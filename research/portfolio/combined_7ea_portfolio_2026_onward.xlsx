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hodology" sheetId="1" state="visible" r:id="rId1"/>
    <sheet name="Trade Ledger" sheetId="2" state="visible" r:id="rId2"/>
    <sheet name="Summary" sheetId="3" state="visible" r:id="rId3"/>
  </sheets>
  <definedNames>
    <definedName name="_xlnm._FilterDatabase" localSheetId="1" hidden="1">'Trade Ledger'!$A$4:$H$1293</definedName>
  </definedNames>
  <calcPr calcId="124519" fullCalcOnLoad="1"/>
</workbook>
</file>

<file path=xl/styles.xml><?xml version="1.0" encoding="utf-8"?>
<styleSheet xmlns="http://schemas.openxmlformats.org/spreadsheetml/2006/main">
  <numFmts count="4">
    <numFmt numFmtId="164" formatCode="$#,##0.00;($#,##0.00);-"/>
    <numFmt numFmtId="165" formatCode="yyyy-mm-dd h:mm:ss"/>
    <numFmt numFmtId="166" formatCode="yyyy-mm-dd hh:mm"/>
    <numFmt numFmtId="167" formatCode="0.0%"/>
  </numFmts>
  <fonts count="8">
    <font>
      <name val="Calibri"/>
      <family val="2"/>
      <color theme="1"/>
      <sz val="11"/>
      <scheme val="minor"/>
    </font>
    <font>
      <name val="Arial"/>
      <b val="1"/>
      <sz val="14"/>
    </font>
    <font>
      <name val="Arial"/>
      <b val="1"/>
      <sz val="11"/>
    </font>
    <font>
      <name val="Arial"/>
      <b val="1"/>
      <color rgb="000000FF"/>
      <sz val="11"/>
    </font>
    <font>
      <name val="Arial"/>
      <sz val="11"/>
    </font>
    <font>
      <name val="Arial"/>
      <b val="1"/>
      <color rgb="00FFFFFF"/>
      <sz val="11"/>
    </font>
    <font>
      <name val="Arial"/>
      <b val="1"/>
      <sz val="16"/>
    </font>
    <font>
      <name val="Arial"/>
      <b val="1"/>
      <color rgb="001F3864"/>
      <sz val="12"/>
    </font>
  </fonts>
  <fills count="4">
    <fill>
      <patternFill/>
    </fill>
    <fill>
      <patternFill patternType="gray125"/>
    </fill>
    <fill>
      <patternFill patternType="solid">
        <fgColor rgb="001F3864"/>
      </patternFill>
    </fill>
    <fill>
      <patternFill patternType="solid">
        <fgColor rgb="00D9E1F2"/>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7">
    <xf numFmtId="0" fontId="0" fillId="0" borderId="0" pivotButton="0" quotePrefix="0" xfId="0"/>
    <xf numFmtId="0" fontId="6" fillId="0" borderId="0" pivotButton="0" quotePrefix="0" xfId="0"/>
    <xf numFmtId="0" fontId="7" fillId="0" borderId="0" pivotButton="0" quotePrefix="0" xfId="0"/>
    <xf numFmtId="0" fontId="4" fillId="0" borderId="0" applyAlignment="1" pivotButton="0" quotePrefix="0" xfId="0">
      <alignment vertical="top" wrapText="1"/>
    </xf>
    <xf numFmtId="0" fontId="1" fillId="0" borderId="0" pivotButton="0" quotePrefix="0" xfId="0"/>
    <xf numFmtId="0" fontId="2" fillId="0" borderId="0" pivotButton="0" quotePrefix="0" xfId="0"/>
    <xf numFmtId="164"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4" fillId="0" borderId="1" pivotButton="0" quotePrefix="0" xfId="0"/>
    <xf numFmtId="166" fontId="4" fillId="0" borderId="1" pivotButton="0" quotePrefix="0" xfId="0"/>
    <xf numFmtId="164" fontId="4" fillId="0" borderId="1" pivotButton="0" quotePrefix="0" xfId="0"/>
    <xf numFmtId="167" fontId="4" fillId="0" borderId="1" pivotButton="0" quotePrefix="0" xfId="0"/>
    <xf numFmtId="0" fontId="2" fillId="3" borderId="1" pivotButton="0" quotePrefix="0" xfId="0"/>
    <xf numFmtId="167" fontId="2" fillId="3" borderId="1" pivotButton="0" quotePrefix="0" xfId="0"/>
    <xf numFmtId="164" fontId="2" fillId="3" borderId="1"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08" customWidth="1" min="1" max="1"/>
  </cols>
  <sheetData>
    <row r="1">
      <c r="A1" s="1" t="inlineStr">
        <is>
          <t>Combined 7-EA Portfolio Ledger - Methodology &amp; Limitations (2026-01-01 onward: 2026-01-01 .. 2026-08-14)</t>
        </is>
      </c>
    </row>
    <row r="2">
      <c r="A2" t="inlineStr"/>
    </row>
    <row r="3">
      <c r="A3" s="2" t="inlineStr">
        <is>
          <t>What this workbook is</t>
        </is>
      </c>
    </row>
    <row r="4" ht="45" customHeight="1">
      <c r="A4" s="3" t="inlineStr">
        <is>
          <t>A single combined trade-for-trade ledger and per-EA attribution summary for all SEVEN systems - Aurelius_EA.mq5 (M5), Aurelius_M15_EA.mq5, Vanguard_EA.mq5 (M5), Vanguard_M15_EA.mq5, Meridian_EA.mq5, Ratchet_EA.mq5 and MSG_Trader_EA.mq5 - trading together against ONE shared account, starting balance 13,500 USD.</t>
        </is>
      </c>
    </row>
    <row r="5" ht="15" customHeight="1">
      <c r="A5" s="3" t="inlineStr">
        <is>
          <t>Window covered: 2026-01-01 00:00 to 2026-08-14 23:55 (broker server time).</t>
        </is>
      </c>
    </row>
    <row r="6">
      <c r="A6" t="inlineStr"/>
    </row>
    <row r="7">
      <c r="A7" s="2" t="inlineStr">
        <is>
          <t>LIMITATION 1 - this is a Python-model combination, not a real 7-EA MT5 run</t>
        </is>
      </c>
    </row>
    <row r="8" ht="165" customHeight="1">
      <c r="A8" s="3" t="inlineStr">
        <is>
          <t>No real simultaneous 7-EA MT5 run exists or could easily exist - these are normally seven independent live accounts/charts. Each system's trades come from its OWN already-validated Python simulator at its OWN current shipped-default parameters (research/overlap/trades.py for the first six; research/msg/sim.py's simulate() with Params() for MSG). All seven use the project's established pnl convention (USD, no compounding), but NOT all at the same position size: the six overlap-study systems' pnl is on a 0.01-lot / 1oz basis (Ratchet sim.py: "All P/L is USD per 0.01 lot (1 oz)"; Meridian msim.py: "P/L is USD per 0.01 lot (1 oz)"; Aurelius/Vanguard's pnl is the raw price difference, the same convention with no multiplier). MSG_Trader_EA.mq5's OWN shipped default lot size is 0.03 (Params.lots), i.e. THREE TIMES that basis - used AS-IS here because the point of this workbook is each EA's own real shipped configuration, not one artificial common lot size. Applying any of this against a real 13,500-USD account is a useful approximation, NOT the same as a real live account: real spread/swap/slippage/margin/execution differences exist, exactly as this project's own real-vs-Python comparisons have repeatedly found this session.</t>
        </is>
      </c>
    </row>
    <row r="9">
      <c r="A9" t="inlineStr"/>
    </row>
    <row r="10">
      <c r="A10" s="2" t="inlineStr">
        <is>
          <t>LIMITATION 2 - ledger ordering: by EXIT time, not entry time</t>
        </is>
      </c>
    </row>
    <row r="11" ht="45" customHeight="1">
      <c r="A11" s="3" t="inlineStr">
        <is>
          <t>All seven systems' trades are merged into ONE chronological ledger ordered by EXIT time - the moment a trade's pnl actually realizes into balance, matching how MT5's own Balance column updates on deal close (not on open). Running balance starts at 13,500 and updates by each trade's pnl in that exit-time order.</t>
        </is>
      </c>
    </row>
    <row r="12">
      <c r="A12" t="inlineStr"/>
    </row>
    <row r="13">
      <c r="A13" s="2" t="inlineStr">
        <is>
          <t>LIMITATION 3 - no shared margin/exposure simulation</t>
        </is>
      </c>
    </row>
    <row r="14" ht="45" customHeight="1">
      <c r="A14" s="3" t="inlineStr">
        <is>
          <t>This is a straightforward realized-pnl ledger - seven independent pnl streams stacked onto one running balance - NOT a margin simulation. It does not model shared margin or exposure limits across the seven systems trading "at once" on one real account.</t>
        </is>
      </c>
    </row>
    <row r="15">
      <c r="A15" t="inlineStr"/>
    </row>
    <row r="16">
      <c r="A16" s="2" t="inlineStr">
        <is>
          <t>Data coverage</t>
        </is>
      </c>
    </row>
    <row r="17" ht="60" customHeight="1">
      <c r="A17" s="3" t="inlineStr">
        <is>
          <t>Aurelius/Vanguard (M5 and M15): GOLD# M5 export, 2023-01-03 01:00 .. 2026-08-14 23:55. Meridian/Ratchet: a different GOLD# M5 export, 2022-06-27 04:30 .. 2026-09-18 23:55 (same broker/symbol feed, confirmed by both CSVs' own meta_symbol=GOLD# header - see research/overlap/trades.py's own docstring for the full reasoning). This workbook's window (2026-01-01 onward: 2026-01-01 .. 2026-08-14) is bounded by these sources where relevant.</t>
        </is>
      </c>
    </row>
    <row r="18" ht="45" customHeight="1">
      <c r="A18" s="3" t="inlineStr">
        <is>
          <t>MSG_Trader_EA.mq5: a SEPARATE GOLD# M1 export, 2025-11-12 10:50 .. 2026-09-18 23:57 - a real, different native timeframe from the other six (M1, not M5); trades are aligned to the other six purely by real timestamp, never forced onto the M5 grid.</t>
        </is>
      </c>
    </row>
    <row r="19" ht="30" customHeight="1">
      <c r="A19" s="3" t="inlineStr">
        <is>
          <t>MSG's real data fully covers this workbook's window (2025-11-12 .. 2026-09-18 spans 2026-01-01 .. 2026-08-14 completely) - no clipping was needed for MSG in this variant.</t>
        </is>
      </c>
    </row>
    <row r="20">
      <c r="A20" t="inlineStr"/>
    </row>
    <row r="21">
      <c r="A21" s="2" t="inlineStr">
        <is>
          <t>Known, disclosed gaps carried through unchanged from the underlying research</t>
        </is>
      </c>
    </row>
    <row r="22" ht="60" customHeight="1">
      <c r="A22" s="3" t="inlineStr">
        <is>
          <t>Ratchet_EA.mq5 v3.30 shipped InpTrailRunnerATR=6.0/InpTrailRunnerKeep=0.60 (real-MT5-confirmed) as an unconditional trail-tightening rule once a trade's best favourable move reaches 6x entry ATR; research/ratchet/sim.py's SHIPPED config has no dedicated field for it and does not apply it here either (only affects the EXIT of a minority of Ratchet's trades - those reaching 6x ATR in profit - not entries or any other system).</t>
        </is>
      </c>
    </row>
    <row r="23" ht="45" customHeight="1">
      <c r="A23" s="3" t="inlineStr">
        <is>
          <t>Vanguard's two trade lists (M5 and M15) are the RAW/UNFILTERED construction - InpUseAureliusFilter (default ON on both real Vanguard EAs) is NOT applied, the same choice research/overlap/overlap_test.py made for its own natural-overlap study, carried through here for consistency rather than silently re-deciding it.</t>
        </is>
      </c>
    </row>
    <row r="24">
      <c r="A24" t="inlineStr"/>
    </row>
    <row r="25">
      <c r="A25" s="2" t="inlineStr">
        <is>
          <t>Reproducibility</t>
        </is>
      </c>
    </row>
    <row r="26" ht="45" customHeight="1">
      <c r="A26" s="3" t="inlineStr">
        <is>
          <t>Generated by research/portfolio/combine_all7.py, which reuses research/overlap/trades.py (six systems) and research/msg/sim.py (MSG) directly - it re-derives none of the seven EAs' entry/exit logic. No .mq5 file was read or modified to produce this workbook.</t>
        </is>
      </c>
    </row>
    <row r="27" ht="15" customHeight="1">
      <c r="A27" s="3" t="inlineStr">
        <is>
          <t>Generated 2026-09-24 09:59 local.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93"/>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44" customWidth="1" min="3" max="3"/>
    <col width="10" customWidth="1" min="4" max="4"/>
    <col width="18" customWidth="1" min="5" max="5"/>
    <col width="18" customWidth="1" min="6" max="6"/>
    <col width="18" customWidth="1" min="7" max="7"/>
    <col width="18" customWidth="1" min="8" max="8"/>
  </cols>
  <sheetData>
    <row r="1">
      <c r="A1" s="4" t="inlineStr">
        <is>
          <t>Combined 7-EA Portfolio - Trade Ledger (2026-01-01 onward: 2026-01-01 .. 2026-08-14)</t>
        </is>
      </c>
    </row>
    <row r="2">
      <c r="A2" s="5" t="inlineStr">
        <is>
          <t>Starting Balance (USD):</t>
        </is>
      </c>
      <c r="C2" s="6" t="n">
        <v>13500</v>
      </c>
      <c r="E2" s="5" t="inlineStr">
        <is>
          <t>Window:</t>
        </is>
      </c>
      <c r="F2" s="7" t="inlineStr">
        <is>
          <t>2026-01-01 00:00 .. 2026-08-14 23:55</t>
        </is>
      </c>
    </row>
    <row r="4">
      <c r="A4" s="8" t="inlineStr">
        <is>
          <t>#</t>
        </is>
      </c>
      <c r="B4" s="8" t="inlineStr">
        <is>
          <t>System</t>
        </is>
      </c>
      <c r="C4" s="8" t="inlineStr">
        <is>
          <t>Core Indicator / Signal</t>
        </is>
      </c>
      <c r="D4" s="8" t="inlineStr">
        <is>
          <t>Direction</t>
        </is>
      </c>
      <c r="E4" s="8" t="inlineStr">
        <is>
          <t>Entry Time</t>
        </is>
      </c>
      <c r="F4" s="8" t="inlineStr">
        <is>
          <t>Exit Time</t>
        </is>
      </c>
      <c r="G4" s="8" t="inlineStr">
        <is>
          <t>PnL (USD, this trade)</t>
        </is>
      </c>
      <c r="H4" s="8" t="inlineStr">
        <is>
          <t>Balance After (USD)</t>
        </is>
      </c>
    </row>
    <row r="5">
      <c r="A5" s="9" t="n">
        <v>1</v>
      </c>
      <c r="B5" s="9" t="inlineStr">
        <is>
          <t>MSG</t>
        </is>
      </c>
      <c r="C5" s="9" t="inlineStr">
        <is>
          <t>Session-range breakout + Fibonacci retracement-zone entry</t>
        </is>
      </c>
      <c r="D5" s="9" t="inlineStr">
        <is>
          <t>Long</t>
        </is>
      </c>
      <c r="E5" s="10" t="n">
        <v>46024.64027777778</v>
      </c>
      <c r="F5" s="10" t="n">
        <v>46024.64166666667</v>
      </c>
      <c r="G5" s="11" t="n">
        <v>-22.17</v>
      </c>
      <c r="H5" s="11">
        <f>$C$2+G5</f>
        <v/>
      </c>
    </row>
    <row r="6">
      <c r="A6" s="9" t="n">
        <v>2</v>
      </c>
      <c r="B6" s="9" t="inlineStr">
        <is>
          <t>Ratchet</t>
        </is>
      </c>
      <c r="C6" s="9" t="inlineStr">
        <is>
          <t>Stochastic scalp with give-back trail exit</t>
        </is>
      </c>
      <c r="D6" s="9" t="inlineStr">
        <is>
          <t>Short</t>
        </is>
      </c>
      <c r="E6" s="10" t="n">
        <v>46024.82638888889</v>
      </c>
      <c r="F6" s="10" t="n">
        <v>46024.87847222222</v>
      </c>
      <c r="G6" s="11" t="n">
        <v>3.97</v>
      </c>
      <c r="H6" s="11">
        <f>H5+G6</f>
        <v/>
      </c>
    </row>
    <row r="7">
      <c r="A7" s="9" t="n">
        <v>3</v>
      </c>
      <c r="B7" s="9" t="inlineStr">
        <is>
          <t>Ratchet</t>
        </is>
      </c>
      <c r="C7" s="9" t="inlineStr">
        <is>
          <t>Stochastic scalp with give-back trail exit</t>
        </is>
      </c>
      <c r="D7" s="9" t="inlineStr">
        <is>
          <t>Long</t>
        </is>
      </c>
      <c r="E7" s="10" t="n">
        <v>46027.19097222222</v>
      </c>
      <c r="F7" s="10" t="n">
        <v>46027.22916666666</v>
      </c>
      <c r="G7" s="11" t="n">
        <v>2.68</v>
      </c>
      <c r="H7" s="11">
        <f>H6+G7</f>
        <v/>
      </c>
    </row>
    <row r="8">
      <c r="A8" s="9" t="n">
        <v>4</v>
      </c>
      <c r="B8" s="9" t="inlineStr">
        <is>
          <t>Ratchet</t>
        </is>
      </c>
      <c r="C8" s="9" t="inlineStr">
        <is>
          <t>Stochastic scalp with give-back trail exit</t>
        </is>
      </c>
      <c r="D8" s="9" t="inlineStr">
        <is>
          <t>Long</t>
        </is>
      </c>
      <c r="E8" s="10" t="n">
        <v>46027.30555555555</v>
      </c>
      <c r="F8" s="10" t="n">
        <v>46027.3125</v>
      </c>
      <c r="G8" s="11" t="n">
        <v>1.21</v>
      </c>
      <c r="H8" s="11">
        <f>H7+G8</f>
        <v/>
      </c>
    </row>
    <row r="9">
      <c r="A9" s="9" t="n">
        <v>5</v>
      </c>
      <c r="B9" s="9" t="inlineStr">
        <is>
          <t>Ratchet</t>
        </is>
      </c>
      <c r="C9" s="9" t="inlineStr">
        <is>
          <t>Stochastic scalp with give-back trail exit</t>
        </is>
      </c>
      <c r="D9" s="9" t="inlineStr">
        <is>
          <t>Long</t>
        </is>
      </c>
      <c r="E9" s="10" t="n">
        <v>46027.38541666666</v>
      </c>
      <c r="F9" s="10" t="n">
        <v>46027.38888888889</v>
      </c>
      <c r="G9" s="11" t="n">
        <v>0.76</v>
      </c>
      <c r="H9" s="11">
        <f>H8+G9</f>
        <v/>
      </c>
    </row>
    <row r="10">
      <c r="A10" s="9" t="n">
        <v>6</v>
      </c>
      <c r="B10" s="9" t="inlineStr">
        <is>
          <t>Ratchet</t>
        </is>
      </c>
      <c r="C10" s="9" t="inlineStr">
        <is>
          <t>Stochastic scalp with give-back trail exit</t>
        </is>
      </c>
      <c r="D10" s="9" t="inlineStr">
        <is>
          <t>Long</t>
        </is>
      </c>
      <c r="E10" s="10" t="n">
        <v>46027.39930555555</v>
      </c>
      <c r="F10" s="10" t="n">
        <v>46027.40625</v>
      </c>
      <c r="G10" s="11" t="n">
        <v>0.95</v>
      </c>
      <c r="H10" s="11">
        <f>H9+G10</f>
        <v/>
      </c>
    </row>
    <row r="11">
      <c r="A11" s="9" t="n">
        <v>7</v>
      </c>
      <c r="B11" s="9" t="inlineStr">
        <is>
          <t>Ratchet</t>
        </is>
      </c>
      <c r="C11" s="9" t="inlineStr">
        <is>
          <t>Stochastic scalp with give-back trail exit</t>
        </is>
      </c>
      <c r="D11" s="9" t="inlineStr">
        <is>
          <t>Long</t>
        </is>
      </c>
      <c r="E11" s="10" t="n">
        <v>46027.50694444445</v>
      </c>
      <c r="F11" s="10" t="n">
        <v>46027.51736111111</v>
      </c>
      <c r="G11" s="11" t="n">
        <v>0</v>
      </c>
      <c r="H11" s="11">
        <f>H10+G11</f>
        <v/>
      </c>
    </row>
    <row r="12">
      <c r="A12" s="9" t="n">
        <v>8</v>
      </c>
      <c r="B12" s="9" t="inlineStr">
        <is>
          <t>MSG</t>
        </is>
      </c>
      <c r="C12" s="9" t="inlineStr">
        <is>
          <t>Session-range breakout + Fibonacci retracement-zone entry</t>
        </is>
      </c>
      <c r="D12" s="9" t="inlineStr">
        <is>
          <t>Short</t>
        </is>
      </c>
      <c r="E12" s="10" t="n">
        <v>46027.57638888889</v>
      </c>
      <c r="F12" s="10" t="n">
        <v>46027.59791666667</v>
      </c>
      <c r="G12" s="11" t="n">
        <v>26.56</v>
      </c>
      <c r="H12" s="11">
        <f>H11+G12</f>
        <v/>
      </c>
    </row>
    <row r="13">
      <c r="A13" s="9" t="n">
        <v>9</v>
      </c>
      <c r="B13" s="9" t="inlineStr">
        <is>
          <t>Ratchet</t>
        </is>
      </c>
      <c r="C13" s="9" t="inlineStr">
        <is>
          <t>Stochastic scalp with give-back trail exit</t>
        </is>
      </c>
      <c r="D13" s="9" t="inlineStr">
        <is>
          <t>Long</t>
        </is>
      </c>
      <c r="E13" s="10" t="n">
        <v>46027.69791666666</v>
      </c>
      <c r="F13" s="10" t="n">
        <v>46027.73263888889</v>
      </c>
      <c r="G13" s="11" t="n">
        <v>7.35</v>
      </c>
      <c r="H13" s="11">
        <f>H12+G13</f>
        <v/>
      </c>
    </row>
    <row r="14">
      <c r="A14" s="9" t="n">
        <v>10</v>
      </c>
      <c r="B14" s="9" t="inlineStr">
        <is>
          <t>Ratchet</t>
        </is>
      </c>
      <c r="C14" s="9" t="inlineStr">
        <is>
          <t>Stochastic scalp with give-back trail exit</t>
        </is>
      </c>
      <c r="D14" s="9" t="inlineStr">
        <is>
          <t>Long</t>
        </is>
      </c>
      <c r="E14" s="10" t="n">
        <v>46027.74652777778</v>
      </c>
      <c r="F14" s="10" t="n">
        <v>46027.75347222222</v>
      </c>
      <c r="G14" s="11" t="n">
        <v>0</v>
      </c>
      <c r="H14" s="11">
        <f>H13+G14</f>
        <v/>
      </c>
    </row>
    <row r="15">
      <c r="A15" s="9" t="n">
        <v>11</v>
      </c>
      <c r="B15" s="9" t="inlineStr">
        <is>
          <t>Ratchet</t>
        </is>
      </c>
      <c r="C15" s="9" t="inlineStr">
        <is>
          <t>Stochastic scalp with give-back trail exit</t>
        </is>
      </c>
      <c r="D15" s="9" t="inlineStr">
        <is>
          <t>Long</t>
        </is>
      </c>
      <c r="E15" s="10" t="n">
        <v>46027.76388888889</v>
      </c>
      <c r="F15" s="10" t="n">
        <v>46027.78819444445</v>
      </c>
      <c r="G15" s="11" t="n">
        <v>1.79</v>
      </c>
      <c r="H15" s="11">
        <f>H14+G15</f>
        <v/>
      </c>
    </row>
    <row r="16">
      <c r="A16" s="9" t="n">
        <v>12</v>
      </c>
      <c r="B16" s="9" t="inlineStr">
        <is>
          <t>Aurelius_M5</t>
        </is>
      </c>
      <c r="C16" s="9" t="inlineStr">
        <is>
          <t>MA alignment (EMA21&gt;EMA50&gt;SMA250&gt;SMMA500 vs EMA2400 trend filter)</t>
        </is>
      </c>
      <c r="D16" s="9" t="inlineStr">
        <is>
          <t>Long</t>
        </is>
      </c>
      <c r="E16" s="10" t="n">
        <v>46027.71180555555</v>
      </c>
      <c r="F16" s="10" t="n">
        <v>46027.79166666666</v>
      </c>
      <c r="G16" s="11" t="n">
        <v>-18.33</v>
      </c>
      <c r="H16" s="11">
        <f>H15+G16</f>
        <v/>
      </c>
    </row>
    <row r="17">
      <c r="A17" s="9" t="n">
        <v>13</v>
      </c>
      <c r="B17" s="9" t="inlineStr">
        <is>
          <t>Ratchet</t>
        </is>
      </c>
      <c r="C17" s="9" t="inlineStr">
        <is>
          <t>Stochastic scalp with give-back trail exit</t>
        </is>
      </c>
      <c r="D17" s="9" t="inlineStr">
        <is>
          <t>Long</t>
        </is>
      </c>
      <c r="E17" s="10" t="n">
        <v>46027.87152777778</v>
      </c>
      <c r="F17" s="10" t="n">
        <v>46027.875</v>
      </c>
      <c r="G17" s="11" t="n">
        <v>0.64</v>
      </c>
      <c r="H17" s="11">
        <f>H16+G17</f>
        <v/>
      </c>
    </row>
    <row r="18">
      <c r="A18" s="9" t="n">
        <v>14</v>
      </c>
      <c r="B18" s="9" t="inlineStr">
        <is>
          <t>Ratchet</t>
        </is>
      </c>
      <c r="C18" s="9" t="inlineStr">
        <is>
          <t>Stochastic scalp with give-back trail exit</t>
        </is>
      </c>
      <c r="D18" s="9" t="inlineStr">
        <is>
          <t>Long</t>
        </is>
      </c>
      <c r="E18" s="10" t="n">
        <v>46028.05555555555</v>
      </c>
      <c r="F18" s="10" t="n">
        <v>46028.0625</v>
      </c>
      <c r="G18" s="11" t="n">
        <v>-5.45</v>
      </c>
      <c r="H18" s="11">
        <f>H17+G18</f>
        <v/>
      </c>
    </row>
    <row r="19">
      <c r="A19" s="9" t="n">
        <v>15</v>
      </c>
      <c r="B19" s="9" t="inlineStr">
        <is>
          <t>Vanguard_M15</t>
        </is>
      </c>
      <c r="C19" s="9" t="inlineStr">
        <is>
          <t>Trendline breakout (fractal swing line) + VWAP/S-R distance gate - M15 chart</t>
        </is>
      </c>
      <c r="D19" s="9" t="inlineStr">
        <is>
          <t>Long</t>
        </is>
      </c>
      <c r="E19" s="10" t="n">
        <v>46027.65625</v>
      </c>
      <c r="F19" s="10" t="n">
        <v>46028.07291666666</v>
      </c>
      <c r="G19" s="11" t="n">
        <v>28.22</v>
      </c>
      <c r="H19" s="11">
        <f>H18+G19</f>
        <v/>
      </c>
    </row>
    <row r="20">
      <c r="A20" s="9" t="n">
        <v>16</v>
      </c>
      <c r="B20" s="9" t="inlineStr">
        <is>
          <t>Vanguard_M5</t>
        </is>
      </c>
      <c r="C20" s="9" t="inlineStr">
        <is>
          <t>Trendline breakout (fractal swing line) + VWAP/S-R distance gate</t>
        </is>
      </c>
      <c r="D20" s="9" t="inlineStr">
        <is>
          <t>Long</t>
        </is>
      </c>
      <c r="E20" s="10" t="n">
        <v>46027.12847222222</v>
      </c>
      <c r="F20" s="10" t="n">
        <v>46028.07638888889</v>
      </c>
      <c r="G20" s="11" t="n">
        <v>22.41</v>
      </c>
      <c r="H20" s="11">
        <f>H19+G20</f>
        <v/>
      </c>
    </row>
    <row r="21">
      <c r="A21" s="9" t="n">
        <v>17</v>
      </c>
      <c r="B21" s="9" t="inlineStr">
        <is>
          <t>Meridian</t>
        </is>
      </c>
      <c r="C21" s="9" t="inlineStr">
        <is>
          <t>21/50 MA cross, 250-period confirm filter, VWAP</t>
        </is>
      </c>
      <c r="D21" s="9" t="inlineStr">
        <is>
          <t>Long</t>
        </is>
      </c>
      <c r="E21" s="10" t="n">
        <v>46027.69791666666</v>
      </c>
      <c r="F21" s="10" t="n">
        <v>46028.09027777778</v>
      </c>
      <c r="G21" s="11" t="n">
        <v>9.15</v>
      </c>
      <c r="H21" s="11">
        <f>H20+G21</f>
        <v/>
      </c>
    </row>
    <row r="22">
      <c r="A22" s="9" t="n">
        <v>18</v>
      </c>
      <c r="B22" s="9" t="inlineStr">
        <is>
          <t>Aurelius_M15</t>
        </is>
      </c>
      <c r="C22" s="9" t="inlineStr">
        <is>
          <t>MA alignment (EMA21&gt;EMA50&gt;SMA250&gt;SMMA500 vs EMA2400 trend filter) - M15 chart</t>
        </is>
      </c>
      <c r="D22" s="9" t="inlineStr">
        <is>
          <t>Long</t>
        </is>
      </c>
      <c r="E22" s="10" t="n">
        <v>46027.72916666666</v>
      </c>
      <c r="F22" s="10" t="n">
        <v>46028.125</v>
      </c>
      <c r="G22" s="11" t="n">
        <v>-8.24</v>
      </c>
      <c r="H22" s="11">
        <f>H21+G22</f>
        <v/>
      </c>
    </row>
    <row r="23">
      <c r="A23" s="9" t="n">
        <v>19</v>
      </c>
      <c r="B23" s="9" t="inlineStr">
        <is>
          <t>Vanguard_M5</t>
        </is>
      </c>
      <c r="C23" s="9" t="inlineStr">
        <is>
          <t>Trendline breakout (fractal swing line) + VWAP/S-R distance gate</t>
        </is>
      </c>
      <c r="D23" s="9" t="inlineStr">
        <is>
          <t>Short</t>
        </is>
      </c>
      <c r="E23" s="10" t="n">
        <v>46028.07986111111</v>
      </c>
      <c r="F23" s="10" t="n">
        <v>46028.16666666666</v>
      </c>
      <c r="G23" s="11" t="n">
        <v>-15.57</v>
      </c>
      <c r="H23" s="11">
        <f>H22+G23</f>
        <v/>
      </c>
    </row>
    <row r="24">
      <c r="A24" s="9" t="n">
        <v>20</v>
      </c>
      <c r="B24" s="9" t="inlineStr">
        <is>
          <t>Ratchet</t>
        </is>
      </c>
      <c r="C24" s="9" t="inlineStr">
        <is>
          <t>Stochastic scalp with give-back trail exit</t>
        </is>
      </c>
      <c r="D24" s="9" t="inlineStr">
        <is>
          <t>Long</t>
        </is>
      </c>
      <c r="E24" s="10" t="n">
        <v>46028.1875</v>
      </c>
      <c r="F24" s="10" t="n">
        <v>46028.19444444445</v>
      </c>
      <c r="G24" s="11" t="n">
        <v>-8.51</v>
      </c>
      <c r="H24" s="11">
        <f>H23+G24</f>
        <v/>
      </c>
    </row>
    <row r="25">
      <c r="A25" s="9" t="n">
        <v>21</v>
      </c>
      <c r="B25" s="9" t="inlineStr">
        <is>
          <t>Ratchet</t>
        </is>
      </c>
      <c r="C25" s="9" t="inlineStr">
        <is>
          <t>Stochastic scalp with give-back trail exit</t>
        </is>
      </c>
      <c r="D25" s="9" t="inlineStr">
        <is>
          <t>Long</t>
        </is>
      </c>
      <c r="E25" s="10" t="n">
        <v>46028.19791666666</v>
      </c>
      <c r="F25" s="10" t="n">
        <v>46028.20138888889</v>
      </c>
      <c r="G25" s="11" t="n">
        <v>0</v>
      </c>
      <c r="H25" s="11">
        <f>H24+G25</f>
        <v/>
      </c>
    </row>
    <row r="26">
      <c r="A26" s="9" t="n">
        <v>22</v>
      </c>
      <c r="B26" s="9" t="inlineStr">
        <is>
          <t>Vanguard_M15</t>
        </is>
      </c>
      <c r="C26" s="9" t="inlineStr">
        <is>
          <t>Trendline breakout (fractal swing line) + VWAP/S-R distance gate - M15 chart</t>
        </is>
      </c>
      <c r="D26" s="9" t="inlineStr">
        <is>
          <t>Short</t>
        </is>
      </c>
      <c r="E26" s="10" t="n">
        <v>46028.08333333334</v>
      </c>
      <c r="F26" s="10" t="n">
        <v>46028.20833333334</v>
      </c>
      <c r="G26" s="11" t="n">
        <v>-21.89</v>
      </c>
      <c r="H26" s="11">
        <f>H25+G26</f>
        <v/>
      </c>
    </row>
    <row r="27">
      <c r="A27" s="9" t="n">
        <v>23</v>
      </c>
      <c r="B27" s="9" t="inlineStr">
        <is>
          <t>Ratchet</t>
        </is>
      </c>
      <c r="C27" s="9" t="inlineStr">
        <is>
          <t>Stochastic scalp with give-back trail exit</t>
        </is>
      </c>
      <c r="D27" s="9" t="inlineStr">
        <is>
          <t>Long</t>
        </is>
      </c>
      <c r="E27" s="10" t="n">
        <v>46028.20833333334</v>
      </c>
      <c r="F27" s="10" t="n">
        <v>46028.21180555555</v>
      </c>
      <c r="G27" s="11" t="n">
        <v>0</v>
      </c>
      <c r="H27" s="11">
        <f>H26+G27</f>
        <v/>
      </c>
    </row>
    <row r="28">
      <c r="A28" s="9" t="n">
        <v>24</v>
      </c>
      <c r="B28" s="9" t="inlineStr">
        <is>
          <t>Ratchet</t>
        </is>
      </c>
      <c r="C28" s="9" t="inlineStr">
        <is>
          <t>Stochastic scalp with give-back trail exit</t>
        </is>
      </c>
      <c r="D28" s="9" t="inlineStr">
        <is>
          <t>Long</t>
        </is>
      </c>
      <c r="E28" s="10" t="n">
        <v>46028.29166666666</v>
      </c>
      <c r="F28" s="10" t="n">
        <v>46028.29513888889</v>
      </c>
      <c r="G28" s="11" t="n">
        <v>0.39</v>
      </c>
      <c r="H28" s="11">
        <f>H27+G28</f>
        <v/>
      </c>
    </row>
    <row r="29">
      <c r="A29" s="9" t="n">
        <v>25</v>
      </c>
      <c r="B29" s="9" t="inlineStr">
        <is>
          <t>Aurelius_M5</t>
        </is>
      </c>
      <c r="C29" s="9" t="inlineStr">
        <is>
          <t>MA alignment (EMA21&gt;EMA50&gt;SMA250&gt;SMMA500 vs EMA2400 trend filter)</t>
        </is>
      </c>
      <c r="D29" s="9" t="inlineStr">
        <is>
          <t>Long</t>
        </is>
      </c>
      <c r="E29" s="10" t="n">
        <v>46028.35763888889</v>
      </c>
      <c r="F29" s="10" t="n">
        <v>46028.46527777778</v>
      </c>
      <c r="G29" s="11" t="n">
        <v>-9.99</v>
      </c>
      <c r="H29" s="11">
        <f>H28+G29</f>
        <v/>
      </c>
    </row>
    <row r="30">
      <c r="A30" s="9" t="n">
        <v>26</v>
      </c>
      <c r="B30" s="9" t="inlineStr">
        <is>
          <t>Vanguard_M5</t>
        </is>
      </c>
      <c r="C30" s="9" t="inlineStr">
        <is>
          <t>Trendline breakout (fractal swing line) + VWAP/S-R distance gate</t>
        </is>
      </c>
      <c r="D30" s="9" t="inlineStr">
        <is>
          <t>Short</t>
        </is>
      </c>
      <c r="E30" s="10" t="n">
        <v>46028.49305555555</v>
      </c>
      <c r="F30" s="10" t="n">
        <v>46028.58333333334</v>
      </c>
      <c r="G30" s="11" t="n">
        <v>-17</v>
      </c>
      <c r="H30" s="11">
        <f>H29+G30</f>
        <v/>
      </c>
    </row>
    <row r="31">
      <c r="A31" s="9" t="n">
        <v>27</v>
      </c>
      <c r="B31" s="9" t="inlineStr">
        <is>
          <t>Vanguard_M15</t>
        </is>
      </c>
      <c r="C31" s="9" t="inlineStr">
        <is>
          <t>Trendline breakout (fractal swing line) + VWAP/S-R distance gate - M15 chart</t>
        </is>
      </c>
      <c r="D31" s="9" t="inlineStr">
        <is>
          <t>Short</t>
        </is>
      </c>
      <c r="E31" s="10" t="n">
        <v>46028.5</v>
      </c>
      <c r="F31" s="10" t="n">
        <v>46028.63541666666</v>
      </c>
      <c r="G31" s="11" t="n">
        <v>-23.13</v>
      </c>
      <c r="H31" s="11">
        <f>H30+G31</f>
        <v/>
      </c>
    </row>
    <row r="32">
      <c r="A32" s="9" t="n">
        <v>28</v>
      </c>
      <c r="B32" s="9" t="inlineStr">
        <is>
          <t>Ratchet</t>
        </is>
      </c>
      <c r="C32" s="9" t="inlineStr">
        <is>
          <t>Stochastic scalp with give-back trail exit</t>
        </is>
      </c>
      <c r="D32" s="9" t="inlineStr">
        <is>
          <t>Long</t>
        </is>
      </c>
      <c r="E32" s="10" t="n">
        <v>46028.62847222222</v>
      </c>
      <c r="F32" s="10" t="n">
        <v>46028.63888888889</v>
      </c>
      <c r="G32" s="11" t="n">
        <v>1.26</v>
      </c>
      <c r="H32" s="11">
        <f>H31+G32</f>
        <v/>
      </c>
    </row>
    <row r="33">
      <c r="A33" s="9" t="n">
        <v>29</v>
      </c>
      <c r="B33" s="9" t="inlineStr">
        <is>
          <t>Meridian</t>
        </is>
      </c>
      <c r="C33" s="9" t="inlineStr">
        <is>
          <t>21/50 MA cross, 250-period confirm filter, VWAP</t>
        </is>
      </c>
      <c r="D33" s="9" t="inlineStr">
        <is>
          <t>Long</t>
        </is>
      </c>
      <c r="E33" s="10" t="n">
        <v>46028.59027777778</v>
      </c>
      <c r="F33" s="10" t="n">
        <v>46028.65972222222</v>
      </c>
      <c r="G33" s="11" t="n">
        <v>-8.33</v>
      </c>
      <c r="H33" s="11">
        <f>H32+G33</f>
        <v/>
      </c>
    </row>
    <row r="34">
      <c r="A34" s="9" t="n">
        <v>30</v>
      </c>
      <c r="B34" s="9" t="inlineStr">
        <is>
          <t>Ratchet</t>
        </is>
      </c>
      <c r="C34" s="9" t="inlineStr">
        <is>
          <t>Stochastic scalp with give-back trail exit</t>
        </is>
      </c>
      <c r="D34" s="9" t="inlineStr">
        <is>
          <t>Long</t>
        </is>
      </c>
      <c r="E34" s="10" t="n">
        <v>46028.69791666666</v>
      </c>
      <c r="F34" s="10" t="n">
        <v>46028.71527777778</v>
      </c>
      <c r="G34" s="11" t="n">
        <v>2.43</v>
      </c>
      <c r="H34" s="11">
        <f>H33+G34</f>
        <v/>
      </c>
    </row>
    <row r="35">
      <c r="A35" s="9" t="n">
        <v>31</v>
      </c>
      <c r="B35" s="9" t="inlineStr">
        <is>
          <t>Ratchet</t>
        </is>
      </c>
      <c r="C35" s="9" t="inlineStr">
        <is>
          <t>Stochastic scalp with give-back trail exit</t>
        </is>
      </c>
      <c r="D35" s="9" t="inlineStr">
        <is>
          <t>Long</t>
        </is>
      </c>
      <c r="E35" s="10" t="n">
        <v>46028.95486111111</v>
      </c>
      <c r="F35" s="10" t="n">
        <v>46028.99652777778</v>
      </c>
      <c r="G35" s="11" t="n">
        <v>4.6</v>
      </c>
      <c r="H35" s="11">
        <f>H34+G35</f>
        <v/>
      </c>
    </row>
    <row r="36">
      <c r="A36" s="9" t="n">
        <v>32</v>
      </c>
      <c r="B36" s="9" t="inlineStr">
        <is>
          <t>Aurelius_M5</t>
        </is>
      </c>
      <c r="C36" s="9" t="inlineStr">
        <is>
          <t>MA alignment (EMA21&gt;EMA50&gt;SMA250&gt;SMMA500 vs EMA2400 trend filter)</t>
        </is>
      </c>
      <c r="D36" s="9" t="inlineStr">
        <is>
          <t>Long</t>
        </is>
      </c>
      <c r="E36" s="10" t="n">
        <v>46028.66319444445</v>
      </c>
      <c r="F36" s="10" t="n">
        <v>46029.04166666666</v>
      </c>
      <c r="G36" s="11" t="n">
        <v>29.59</v>
      </c>
      <c r="H36" s="11">
        <f>H35+G36</f>
        <v/>
      </c>
    </row>
    <row r="37">
      <c r="A37" s="9" t="n">
        <v>33</v>
      </c>
      <c r="B37" s="9" t="inlineStr">
        <is>
          <t>Aurelius_M15</t>
        </is>
      </c>
      <c r="C37" s="9" t="inlineStr">
        <is>
          <t>MA alignment (EMA21&gt;EMA50&gt;SMA250&gt;SMMA500 vs EMA2400 trend filter) - M15 chart</t>
        </is>
      </c>
      <c r="D37" s="9" t="inlineStr">
        <is>
          <t>Long</t>
        </is>
      </c>
      <c r="E37" s="10" t="n">
        <v>46028.66666666666</v>
      </c>
      <c r="F37" s="10" t="n">
        <v>46029.20833333334</v>
      </c>
      <c r="G37" s="11" t="n">
        <v>6.55</v>
      </c>
      <c r="H37" s="11">
        <f>H36+G37</f>
        <v/>
      </c>
    </row>
    <row r="38">
      <c r="A38" s="9" t="n">
        <v>34</v>
      </c>
      <c r="B38" s="9" t="inlineStr">
        <is>
          <t>MSG</t>
        </is>
      </c>
      <c r="C38" s="9" t="inlineStr">
        <is>
          <t>Session-range breakout + Fibonacci retracement-zone entry</t>
        </is>
      </c>
      <c r="D38" s="9" t="inlineStr">
        <is>
          <t>Short</t>
        </is>
      </c>
      <c r="E38" s="10" t="n">
        <v>46029.66458333333</v>
      </c>
      <c r="F38" s="10" t="n">
        <v>46029.70555555556</v>
      </c>
      <c r="G38" s="11" t="n">
        <v>13.62</v>
      </c>
      <c r="H38" s="11">
        <f>H37+G38</f>
        <v/>
      </c>
    </row>
    <row r="39">
      <c r="A39" s="9" t="n">
        <v>35</v>
      </c>
      <c r="B39" s="9" t="inlineStr">
        <is>
          <t>Meridian</t>
        </is>
      </c>
      <c r="C39" s="9" t="inlineStr">
        <is>
          <t>21/50 MA cross, 250-period confirm filter, VWAP</t>
        </is>
      </c>
      <c r="D39" s="9" t="inlineStr">
        <is>
          <t>Short</t>
        </is>
      </c>
      <c r="E39" s="10" t="n">
        <v>46029.5625</v>
      </c>
      <c r="F39" s="10" t="n">
        <v>46029.77430555555</v>
      </c>
      <c r="G39" s="11" t="n">
        <v>-5.86</v>
      </c>
      <c r="H39" s="11">
        <f>H38+G39</f>
        <v/>
      </c>
    </row>
    <row r="40">
      <c r="A40" s="9" t="n">
        <v>36</v>
      </c>
      <c r="B40" s="9" t="inlineStr">
        <is>
          <t>Meridian</t>
        </is>
      </c>
      <c r="C40" s="9" t="inlineStr">
        <is>
          <t>21/50 MA cross, 250-period confirm filter, VWAP</t>
        </is>
      </c>
      <c r="D40" s="9" t="inlineStr">
        <is>
          <t>Short</t>
        </is>
      </c>
      <c r="E40" s="10" t="n">
        <v>46029.89236111111</v>
      </c>
      <c r="F40" s="10" t="n">
        <v>46029.90277777778</v>
      </c>
      <c r="G40" s="11" t="n">
        <v>-6.39</v>
      </c>
      <c r="H40" s="11">
        <f>H39+G40</f>
        <v/>
      </c>
    </row>
    <row r="41">
      <c r="A41" s="9" t="n">
        <v>37</v>
      </c>
      <c r="B41" s="9" t="inlineStr">
        <is>
          <t>Meridian</t>
        </is>
      </c>
      <c r="C41" s="9" t="inlineStr">
        <is>
          <t>21/50 MA cross, 250-period confirm filter, VWAP</t>
        </is>
      </c>
      <c r="D41" s="9" t="inlineStr">
        <is>
          <t>Short</t>
        </is>
      </c>
      <c r="E41" s="10" t="n">
        <v>46030.125</v>
      </c>
      <c r="F41" s="10" t="n">
        <v>46030.12847222222</v>
      </c>
      <c r="G41" s="11" t="n">
        <v>-8.33</v>
      </c>
      <c r="H41" s="11">
        <f>H40+G41</f>
        <v/>
      </c>
    </row>
    <row r="42">
      <c r="A42" s="9" t="n">
        <v>38</v>
      </c>
      <c r="B42" s="9" t="inlineStr">
        <is>
          <t>MSG</t>
        </is>
      </c>
      <c r="C42" s="9" t="inlineStr">
        <is>
          <t>Session-range breakout + Fibonacci retracement-zone entry</t>
        </is>
      </c>
      <c r="D42" s="9" t="inlineStr">
        <is>
          <t>Short</t>
        </is>
      </c>
      <c r="E42" s="10" t="n">
        <v>46030.60625</v>
      </c>
      <c r="F42" s="10" t="n">
        <v>46030.64236111111</v>
      </c>
      <c r="G42" s="11" t="n">
        <v>-28.44</v>
      </c>
      <c r="H42" s="11">
        <f>H41+G42</f>
        <v/>
      </c>
    </row>
    <row r="43">
      <c r="A43" s="9" t="n">
        <v>39</v>
      </c>
      <c r="B43" s="9" t="inlineStr">
        <is>
          <t>Meridian</t>
        </is>
      </c>
      <c r="C43" s="9" t="inlineStr">
        <is>
          <t>21/50 MA cross, 250-period confirm filter, VWAP</t>
        </is>
      </c>
      <c r="D43" s="9" t="inlineStr">
        <is>
          <t>Short</t>
        </is>
      </c>
      <c r="E43" s="10" t="n">
        <v>46030.66319444445</v>
      </c>
      <c r="F43" s="10" t="n">
        <v>46030.69097222222</v>
      </c>
      <c r="G43" s="11" t="n">
        <v>-5.73</v>
      </c>
      <c r="H43" s="11">
        <f>H42+G43</f>
        <v/>
      </c>
    </row>
    <row r="44">
      <c r="A44" s="9" t="n">
        <v>40</v>
      </c>
      <c r="B44" s="9" t="inlineStr">
        <is>
          <t>Meridian</t>
        </is>
      </c>
      <c r="C44" s="9" t="inlineStr">
        <is>
          <t>21/50 MA cross, 250-period confirm filter, VWAP</t>
        </is>
      </c>
      <c r="D44" s="9" t="inlineStr">
        <is>
          <t>Long</t>
        </is>
      </c>
      <c r="E44" s="10" t="n">
        <v>46031.18055555555</v>
      </c>
      <c r="F44" s="10" t="n">
        <v>46031.22569444445</v>
      </c>
      <c r="G44" s="11" t="n">
        <v>-7.39</v>
      </c>
      <c r="H44" s="11">
        <f>H43+G44</f>
        <v/>
      </c>
    </row>
    <row r="45">
      <c r="A45" s="9" t="n">
        <v>41</v>
      </c>
      <c r="B45" s="9" t="inlineStr">
        <is>
          <t>Ratchet</t>
        </is>
      </c>
      <c r="C45" s="9" t="inlineStr">
        <is>
          <t>Stochastic scalp with give-back trail exit</t>
        </is>
      </c>
      <c r="D45" s="9" t="inlineStr">
        <is>
          <t>Long</t>
        </is>
      </c>
      <c r="E45" s="10" t="n">
        <v>46031.33333333334</v>
      </c>
      <c r="F45" s="10" t="n">
        <v>46031.33680555555</v>
      </c>
      <c r="G45" s="11" t="n">
        <v>0.6</v>
      </c>
      <c r="H45" s="11">
        <f>H44+G45</f>
        <v/>
      </c>
    </row>
    <row r="46">
      <c r="A46" s="9" t="n">
        <v>42</v>
      </c>
      <c r="B46" s="9" t="inlineStr">
        <is>
          <t>Ratchet</t>
        </is>
      </c>
      <c r="C46" s="9" t="inlineStr">
        <is>
          <t>Stochastic scalp with give-back trail exit</t>
        </is>
      </c>
      <c r="D46" s="9" t="inlineStr">
        <is>
          <t>Long</t>
        </is>
      </c>
      <c r="E46" s="10" t="n">
        <v>46031.36111111111</v>
      </c>
      <c r="F46" s="10" t="n">
        <v>46031.41666666666</v>
      </c>
      <c r="G46" s="11" t="n">
        <v>-6.47</v>
      </c>
      <c r="H46" s="11">
        <f>H45+G46</f>
        <v/>
      </c>
    </row>
    <row r="47">
      <c r="A47" s="9" t="n">
        <v>43</v>
      </c>
      <c r="B47" s="9" t="inlineStr">
        <is>
          <t>Ratchet</t>
        </is>
      </c>
      <c r="C47" s="9" t="inlineStr">
        <is>
          <t>Stochastic scalp with give-back trail exit</t>
        </is>
      </c>
      <c r="D47" s="9" t="inlineStr">
        <is>
          <t>Long</t>
        </is>
      </c>
      <c r="E47" s="10" t="n">
        <v>46031.42708333334</v>
      </c>
      <c r="F47" s="10" t="n">
        <v>46031.44097222222</v>
      </c>
      <c r="G47" s="11" t="n">
        <v>-5.89</v>
      </c>
      <c r="H47" s="11">
        <f>H46+G47</f>
        <v/>
      </c>
    </row>
    <row r="48">
      <c r="A48" s="9" t="n">
        <v>44</v>
      </c>
      <c r="B48" s="9" t="inlineStr">
        <is>
          <t>MSG</t>
        </is>
      </c>
      <c r="C48" s="9" t="inlineStr">
        <is>
          <t>Session-range breakout + Fibonacci retracement-zone entry</t>
        </is>
      </c>
      <c r="D48" s="9" t="inlineStr">
        <is>
          <t>Long</t>
        </is>
      </c>
      <c r="E48" s="10" t="n">
        <v>46031.59791666667</v>
      </c>
      <c r="F48" s="10" t="n">
        <v>46031.60138888889</v>
      </c>
      <c r="G48" s="11" t="n">
        <v>-10.74</v>
      </c>
      <c r="H48" s="11">
        <f>H47+G48</f>
        <v/>
      </c>
    </row>
    <row r="49">
      <c r="A49" s="9" t="n">
        <v>45</v>
      </c>
      <c r="B49" s="9" t="inlineStr">
        <is>
          <t>Meridian</t>
        </is>
      </c>
      <c r="C49" s="9" t="inlineStr">
        <is>
          <t>21/50 MA cross, 250-period confirm filter, VWAP</t>
        </is>
      </c>
      <c r="D49" s="9" t="inlineStr">
        <is>
          <t>Long</t>
        </is>
      </c>
      <c r="E49" s="10" t="n">
        <v>46031.33333333334</v>
      </c>
      <c r="F49" s="10" t="n">
        <v>46031.61111111111</v>
      </c>
      <c r="G49" s="11" t="n">
        <v>-2.35</v>
      </c>
      <c r="H49" s="11">
        <f>H48+G49</f>
        <v/>
      </c>
    </row>
    <row r="50">
      <c r="A50" s="9" t="n">
        <v>46</v>
      </c>
      <c r="B50" s="9" t="inlineStr">
        <is>
          <t>Vanguard_M5</t>
        </is>
      </c>
      <c r="C50" s="9" t="inlineStr">
        <is>
          <t>Trendline breakout (fractal swing line) + VWAP/S-R distance gate</t>
        </is>
      </c>
      <c r="D50" s="9" t="inlineStr">
        <is>
          <t>Short</t>
        </is>
      </c>
      <c r="E50" s="10" t="n">
        <v>46029.07638888889</v>
      </c>
      <c r="F50" s="10" t="n">
        <v>46031.64583333334</v>
      </c>
      <c r="G50" s="11" t="n">
        <v>6.43</v>
      </c>
      <c r="H50" s="11">
        <f>H49+G50</f>
        <v/>
      </c>
    </row>
    <row r="51">
      <c r="A51" s="9" t="n">
        <v>47</v>
      </c>
      <c r="B51" s="9" t="inlineStr">
        <is>
          <t>Vanguard_M15</t>
        </is>
      </c>
      <c r="C51" s="9" t="inlineStr">
        <is>
          <t>Trendline breakout (fractal swing line) + VWAP/S-R distance gate - M15 chart</t>
        </is>
      </c>
      <c r="D51" s="9" t="inlineStr">
        <is>
          <t>Short</t>
        </is>
      </c>
      <c r="E51" s="10" t="n">
        <v>46029.08333333334</v>
      </c>
      <c r="F51" s="10" t="n">
        <v>46031.64583333334</v>
      </c>
      <c r="G51" s="11" t="n">
        <v>6.41</v>
      </c>
      <c r="H51" s="11">
        <f>H50+G51</f>
        <v/>
      </c>
    </row>
    <row r="52">
      <c r="A52" s="9" t="n">
        <v>48</v>
      </c>
      <c r="B52" s="9" t="inlineStr">
        <is>
          <t>Ratchet</t>
        </is>
      </c>
      <c r="C52" s="9" t="inlineStr">
        <is>
          <t>Stochastic scalp with give-back trail exit</t>
        </is>
      </c>
      <c r="D52" s="9" t="inlineStr">
        <is>
          <t>Long</t>
        </is>
      </c>
      <c r="E52" s="10" t="n">
        <v>46031.67361111111</v>
      </c>
      <c r="F52" s="10" t="n">
        <v>46031.6875</v>
      </c>
      <c r="G52" s="11" t="n">
        <v>2.23</v>
      </c>
      <c r="H52" s="11">
        <f>H51+G52</f>
        <v/>
      </c>
    </row>
    <row r="53">
      <c r="A53" s="9" t="n">
        <v>49</v>
      </c>
      <c r="B53" s="9" t="inlineStr">
        <is>
          <t>Ratchet</t>
        </is>
      </c>
      <c r="C53" s="9" t="inlineStr">
        <is>
          <t>Stochastic scalp with give-back trail exit</t>
        </is>
      </c>
      <c r="D53" s="9" t="inlineStr">
        <is>
          <t>Long</t>
        </is>
      </c>
      <c r="E53" s="10" t="n">
        <v>46031.79513888889</v>
      </c>
      <c r="F53" s="10" t="n">
        <v>46031.80208333334</v>
      </c>
      <c r="G53" s="11" t="n">
        <v>0</v>
      </c>
      <c r="H53" s="11">
        <f>H52+G53</f>
        <v/>
      </c>
    </row>
    <row r="54">
      <c r="A54" s="9" t="n">
        <v>50</v>
      </c>
      <c r="B54" s="9" t="inlineStr">
        <is>
          <t>Aurelius_M5</t>
        </is>
      </c>
      <c r="C54" s="9" t="inlineStr">
        <is>
          <t>MA alignment (EMA21&gt;EMA50&gt;SMA250&gt;SMMA500 vs EMA2400 trend filter)</t>
        </is>
      </c>
      <c r="D54" s="9" t="inlineStr">
        <is>
          <t>Long</t>
        </is>
      </c>
      <c r="E54" s="10" t="n">
        <v>46031.67708333334</v>
      </c>
      <c r="F54" s="10" t="n">
        <v>46031.85069444445</v>
      </c>
      <c r="G54" s="11" t="n">
        <v>2.55</v>
      </c>
      <c r="H54" s="11">
        <f>H53+G54</f>
        <v/>
      </c>
    </row>
    <row r="55">
      <c r="A55" s="9" t="n">
        <v>51</v>
      </c>
      <c r="B55" s="9" t="inlineStr">
        <is>
          <t>Meridian</t>
        </is>
      </c>
      <c r="C55" s="9" t="inlineStr">
        <is>
          <t>21/50 MA cross, 250-period confirm filter, VWAP</t>
        </is>
      </c>
      <c r="D55" s="9" t="inlineStr">
        <is>
          <t>Long</t>
        </is>
      </c>
      <c r="E55" s="10" t="n">
        <v>46031.64930555555</v>
      </c>
      <c r="F55" s="10" t="n">
        <v>46031.91666666666</v>
      </c>
      <c r="G55" s="11" t="n">
        <v>12.02</v>
      </c>
      <c r="H55" s="11">
        <f>H54+G55</f>
        <v/>
      </c>
    </row>
    <row r="56">
      <c r="A56" s="9" t="n">
        <v>52</v>
      </c>
      <c r="B56" s="9" t="inlineStr">
        <is>
          <t>Aurelius_M15</t>
        </is>
      </c>
      <c r="C56" s="9" t="inlineStr">
        <is>
          <t>MA alignment (EMA21&gt;EMA50&gt;SMA250&gt;SMMA500 vs EMA2400 trend filter) - M15 chart</t>
        </is>
      </c>
      <c r="D56" s="9" t="inlineStr">
        <is>
          <t>Long</t>
        </is>
      </c>
      <c r="E56" s="10" t="n">
        <v>46031.64583333334</v>
      </c>
      <c r="F56" s="10" t="n">
        <v>46031.92708333334</v>
      </c>
      <c r="G56" s="11" t="n">
        <v>33.96</v>
      </c>
      <c r="H56" s="11">
        <f>H55+G56</f>
        <v/>
      </c>
    </row>
    <row r="57">
      <c r="A57" s="9" t="n">
        <v>53</v>
      </c>
      <c r="B57" s="9" t="inlineStr">
        <is>
          <t>Ratchet</t>
        </is>
      </c>
      <c r="C57" s="9" t="inlineStr">
        <is>
          <t>Stochastic scalp with give-back trail exit</t>
        </is>
      </c>
      <c r="D57" s="9" t="inlineStr">
        <is>
          <t>Long</t>
        </is>
      </c>
      <c r="E57" s="10" t="n">
        <v>46034.15277777778</v>
      </c>
      <c r="F57" s="10" t="n">
        <v>46034.32986111111</v>
      </c>
      <c r="G57" s="11" t="n">
        <v>0</v>
      </c>
      <c r="H57" s="11">
        <f>H56+G57</f>
        <v/>
      </c>
    </row>
    <row r="58">
      <c r="A58" s="9" t="n">
        <v>54</v>
      </c>
      <c r="B58" s="9" t="inlineStr">
        <is>
          <t>Aurelius_M5</t>
        </is>
      </c>
      <c r="C58" s="9" t="inlineStr">
        <is>
          <t>MA alignment (EMA21&gt;EMA50&gt;SMA250&gt;SMMA500 vs EMA2400 trend filter)</t>
        </is>
      </c>
      <c r="D58" s="9" t="inlineStr">
        <is>
          <t>Long</t>
        </is>
      </c>
      <c r="E58" s="10" t="n">
        <v>46034.32291666666</v>
      </c>
      <c r="F58" s="10" t="n">
        <v>46034.34375</v>
      </c>
      <c r="G58" s="11" t="n">
        <v>-10.54</v>
      </c>
      <c r="H58" s="11">
        <f>H57+G58</f>
        <v/>
      </c>
    </row>
    <row r="59">
      <c r="A59" s="9" t="n">
        <v>55</v>
      </c>
      <c r="B59" s="9" t="inlineStr">
        <is>
          <t>Ratchet</t>
        </is>
      </c>
      <c r="C59" s="9" t="inlineStr">
        <is>
          <t>Stochastic scalp with give-back trail exit</t>
        </is>
      </c>
      <c r="D59" s="9" t="inlineStr">
        <is>
          <t>Long</t>
        </is>
      </c>
      <c r="E59" s="10" t="n">
        <v>46034.54166666666</v>
      </c>
      <c r="F59" s="10" t="n">
        <v>46034.55555555555</v>
      </c>
      <c r="G59" s="11" t="n">
        <v>-6.84</v>
      </c>
      <c r="H59" s="11">
        <f>H58+G59</f>
        <v/>
      </c>
    </row>
    <row r="60">
      <c r="A60" s="9" t="n">
        <v>56</v>
      </c>
      <c r="B60" s="9" t="inlineStr">
        <is>
          <t>Aurelius_M5</t>
        </is>
      </c>
      <c r="C60" s="9" t="inlineStr">
        <is>
          <t>MA alignment (EMA21&gt;EMA50&gt;SMA250&gt;SMMA500 vs EMA2400 trend filter)</t>
        </is>
      </c>
      <c r="D60" s="9" t="inlineStr">
        <is>
          <t>Long</t>
        </is>
      </c>
      <c r="E60" s="10" t="n">
        <v>46034.64583333334</v>
      </c>
      <c r="F60" s="10" t="n">
        <v>46034.67361111111</v>
      </c>
      <c r="G60" s="11" t="n">
        <v>-11.09</v>
      </c>
      <c r="H60" s="11">
        <f>H59+G60</f>
        <v/>
      </c>
    </row>
    <row r="61">
      <c r="A61" s="9" t="n">
        <v>57</v>
      </c>
      <c r="B61" s="9" t="inlineStr">
        <is>
          <t>Meridian</t>
        </is>
      </c>
      <c r="C61" s="9" t="inlineStr">
        <is>
          <t>21/50 MA cross, 250-period confirm filter, VWAP</t>
        </is>
      </c>
      <c r="D61" s="9" t="inlineStr">
        <is>
          <t>Long</t>
        </is>
      </c>
      <c r="E61" s="10" t="n">
        <v>46034.62847222222</v>
      </c>
      <c r="F61" s="10" t="n">
        <v>46034.68402777778</v>
      </c>
      <c r="G61" s="11" t="n">
        <v>-9.029999999999999</v>
      </c>
      <c r="H61" s="11">
        <f>H60+G61</f>
        <v/>
      </c>
    </row>
    <row r="62">
      <c r="A62" s="9" t="n">
        <v>58</v>
      </c>
      <c r="B62" s="9" t="inlineStr">
        <is>
          <t>MSG</t>
        </is>
      </c>
      <c r="C62" s="9" t="inlineStr">
        <is>
          <t>Session-range breakout + Fibonacci retracement-zone entry</t>
        </is>
      </c>
      <c r="D62" s="9" t="inlineStr">
        <is>
          <t>Long</t>
        </is>
      </c>
      <c r="E62" s="10" t="n">
        <v>46034.67430555556</v>
      </c>
      <c r="F62" s="10" t="n">
        <v>46034.72361111111</v>
      </c>
      <c r="G62" s="11" t="n">
        <v>51.22</v>
      </c>
      <c r="H62" s="11">
        <f>H61+G62</f>
        <v/>
      </c>
    </row>
    <row r="63">
      <c r="A63" s="9" t="n">
        <v>59</v>
      </c>
      <c r="B63" s="9" t="inlineStr">
        <is>
          <t>Aurelius_M5</t>
        </is>
      </c>
      <c r="C63" s="9" t="inlineStr">
        <is>
          <t>MA alignment (EMA21&gt;EMA50&gt;SMA250&gt;SMMA500 vs EMA2400 trend filter)</t>
        </is>
      </c>
      <c r="D63" s="9" t="inlineStr">
        <is>
          <t>Long</t>
        </is>
      </c>
      <c r="E63" s="10" t="n">
        <v>46034.70833333334</v>
      </c>
      <c r="F63" s="10" t="n">
        <v>46034.86805555555</v>
      </c>
      <c r="G63" s="11" t="n">
        <v>4.19</v>
      </c>
      <c r="H63" s="11">
        <f>H62+G63</f>
        <v/>
      </c>
    </row>
    <row r="64">
      <c r="A64" s="9" t="n">
        <v>60</v>
      </c>
      <c r="B64" s="9" t="inlineStr">
        <is>
          <t>Ratchet</t>
        </is>
      </c>
      <c r="C64" s="9" t="inlineStr">
        <is>
          <t>Stochastic scalp with give-back trail exit</t>
        </is>
      </c>
      <c r="D64" s="9" t="inlineStr">
        <is>
          <t>Long</t>
        </is>
      </c>
      <c r="E64" s="10" t="n">
        <v>46034.89236111111</v>
      </c>
      <c r="F64" s="10" t="n">
        <v>46034.89930555555</v>
      </c>
      <c r="G64" s="11" t="n">
        <v>0.68</v>
      </c>
      <c r="H64" s="11">
        <f>H63+G64</f>
        <v/>
      </c>
    </row>
    <row r="65">
      <c r="A65" s="9" t="n">
        <v>61</v>
      </c>
      <c r="B65" s="9" t="inlineStr">
        <is>
          <t>Ratchet</t>
        </is>
      </c>
      <c r="C65" s="9" t="inlineStr">
        <is>
          <t>Stochastic scalp with give-back trail exit</t>
        </is>
      </c>
      <c r="D65" s="9" t="inlineStr">
        <is>
          <t>Long</t>
        </is>
      </c>
      <c r="E65" s="10" t="n">
        <v>46034.90277777778</v>
      </c>
      <c r="F65" s="10" t="n">
        <v>46034.91319444445</v>
      </c>
      <c r="G65" s="11" t="n">
        <v>-6.19</v>
      </c>
      <c r="H65" s="11">
        <f>H64+G65</f>
        <v/>
      </c>
    </row>
    <row r="66">
      <c r="A66" s="9" t="n">
        <v>62</v>
      </c>
      <c r="B66" s="9" t="inlineStr">
        <is>
          <t>Meridian</t>
        </is>
      </c>
      <c r="C66" s="9" t="inlineStr">
        <is>
          <t>21/50 MA cross, 250-period confirm filter, VWAP</t>
        </is>
      </c>
      <c r="D66" s="9" t="inlineStr">
        <is>
          <t>Long</t>
        </is>
      </c>
      <c r="E66" s="10" t="n">
        <v>46034.88888888889</v>
      </c>
      <c r="F66" s="10" t="n">
        <v>46034.91666666666</v>
      </c>
      <c r="G66" s="11" t="n">
        <v>-10.65</v>
      </c>
      <c r="H66" s="11">
        <f>H65+G66</f>
        <v/>
      </c>
    </row>
    <row r="67">
      <c r="A67" s="9" t="n">
        <v>63</v>
      </c>
      <c r="B67" s="9" t="inlineStr">
        <is>
          <t>Meridian</t>
        </is>
      </c>
      <c r="C67" s="9" t="inlineStr">
        <is>
          <t>21/50 MA cross, 250-period confirm filter, VWAP</t>
        </is>
      </c>
      <c r="D67" s="9" t="inlineStr">
        <is>
          <t>Short</t>
        </is>
      </c>
      <c r="E67" s="10" t="n">
        <v>46035.34375</v>
      </c>
      <c r="F67" s="10" t="n">
        <v>46035.45486111111</v>
      </c>
      <c r="G67" s="11" t="n">
        <v>-3.06</v>
      </c>
      <c r="H67" s="11">
        <f>H66+G67</f>
        <v/>
      </c>
    </row>
    <row r="68">
      <c r="A68" s="9" t="n">
        <v>64</v>
      </c>
      <c r="B68" s="9" t="inlineStr">
        <is>
          <t>Meridian</t>
        </is>
      </c>
      <c r="C68" s="9" t="inlineStr">
        <is>
          <t>21/50 MA cross, 250-period confirm filter, VWAP</t>
        </is>
      </c>
      <c r="D68" s="9" t="inlineStr">
        <is>
          <t>Short</t>
        </is>
      </c>
      <c r="E68" s="10" t="n">
        <v>46035.50347222222</v>
      </c>
      <c r="F68" s="10" t="n">
        <v>46035.57291666666</v>
      </c>
      <c r="G68" s="11" t="n">
        <v>-8.17</v>
      </c>
      <c r="H68" s="11">
        <f>H67+G68</f>
        <v/>
      </c>
    </row>
    <row r="69">
      <c r="A69" s="9" t="n">
        <v>65</v>
      </c>
      <c r="B69" s="9" t="inlineStr">
        <is>
          <t>Ratchet</t>
        </is>
      </c>
      <c r="C69" s="9" t="inlineStr">
        <is>
          <t>Stochastic scalp with give-back trail exit</t>
        </is>
      </c>
      <c r="D69" s="9" t="inlineStr">
        <is>
          <t>Long</t>
        </is>
      </c>
      <c r="E69" s="10" t="n">
        <v>46035.65972222222</v>
      </c>
      <c r="F69" s="10" t="n">
        <v>46035.66319444445</v>
      </c>
      <c r="G69" s="11" t="n">
        <v>-10.91</v>
      </c>
      <c r="H69" s="11">
        <f>H68+G69</f>
        <v/>
      </c>
    </row>
    <row r="70">
      <c r="A70" s="9" t="n">
        <v>66</v>
      </c>
      <c r="B70" s="9" t="inlineStr">
        <is>
          <t>Ratchet</t>
        </is>
      </c>
      <c r="C70" s="9" t="inlineStr">
        <is>
          <t>Stochastic scalp with give-back trail exit</t>
        </is>
      </c>
      <c r="D70" s="9" t="inlineStr">
        <is>
          <t>Long</t>
        </is>
      </c>
      <c r="E70" s="10" t="n">
        <v>46035.67013888889</v>
      </c>
      <c r="F70" s="10" t="n">
        <v>46035.6875</v>
      </c>
      <c r="G70" s="11" t="n">
        <v>3.14</v>
      </c>
      <c r="H70" s="11">
        <f>H69+G70</f>
        <v/>
      </c>
    </row>
    <row r="71">
      <c r="A71" s="9" t="n">
        <v>67</v>
      </c>
      <c r="B71" s="9" t="inlineStr">
        <is>
          <t>Vanguard_M15</t>
        </is>
      </c>
      <c r="C71" s="9" t="inlineStr">
        <is>
          <t>Trendline breakout (fractal swing line) + VWAP/S-R distance gate - M15 chart</t>
        </is>
      </c>
      <c r="D71" s="9" t="inlineStr">
        <is>
          <t>Long</t>
        </is>
      </c>
      <c r="E71" s="10" t="n">
        <v>46031.65625</v>
      </c>
      <c r="F71" s="10" t="n">
        <v>46035.76041666666</v>
      </c>
      <c r="G71" s="11" t="n">
        <v>111.68</v>
      </c>
      <c r="H71" s="11">
        <f>H70+G71</f>
        <v/>
      </c>
    </row>
    <row r="72">
      <c r="A72" s="9" t="n">
        <v>68</v>
      </c>
      <c r="B72" s="9" t="inlineStr">
        <is>
          <t>Vanguard_M5</t>
        </is>
      </c>
      <c r="C72" s="9" t="inlineStr">
        <is>
          <t>Trendline breakout (fractal swing line) + VWAP/S-R distance gate</t>
        </is>
      </c>
      <c r="D72" s="9" t="inlineStr">
        <is>
          <t>Long</t>
        </is>
      </c>
      <c r="E72" s="10" t="n">
        <v>46031.64930555555</v>
      </c>
      <c r="F72" s="10" t="n">
        <v>46035.76736111111</v>
      </c>
      <c r="G72" s="11" t="n">
        <v>111.55</v>
      </c>
      <c r="H72" s="11">
        <f>H71+G72</f>
        <v/>
      </c>
    </row>
    <row r="73">
      <c r="A73" s="9" t="n">
        <v>69</v>
      </c>
      <c r="B73" s="9" t="inlineStr">
        <is>
          <t>Aurelius_M15</t>
        </is>
      </c>
      <c r="C73" s="9" t="inlineStr">
        <is>
          <t>MA alignment (EMA21&gt;EMA50&gt;SMA250&gt;SMMA500 vs EMA2400 trend filter) - M15 chart</t>
        </is>
      </c>
      <c r="D73" s="9" t="inlineStr">
        <is>
          <t>Long</t>
        </is>
      </c>
      <c r="E73" s="10" t="n">
        <v>46035.72916666666</v>
      </c>
      <c r="F73" s="10" t="n">
        <v>46035.84375</v>
      </c>
      <c r="G73" s="11" t="n">
        <v>-26.42</v>
      </c>
      <c r="H73" s="11">
        <f>H72+G73</f>
        <v/>
      </c>
    </row>
    <row r="74">
      <c r="A74" s="9" t="n">
        <v>70</v>
      </c>
      <c r="B74" s="9" t="inlineStr">
        <is>
          <t>Meridian</t>
        </is>
      </c>
      <c r="C74" s="9" t="inlineStr">
        <is>
          <t>21/50 MA cross, 250-period confirm filter, VWAP</t>
        </is>
      </c>
      <c r="D74" s="9" t="inlineStr">
        <is>
          <t>Short</t>
        </is>
      </c>
      <c r="E74" s="10" t="n">
        <v>46035.83333333334</v>
      </c>
      <c r="F74" s="10" t="n">
        <v>46036.08333333334</v>
      </c>
      <c r="G74" s="11" t="n">
        <v>-6.85</v>
      </c>
      <c r="H74" s="11">
        <f>H73+G74</f>
        <v/>
      </c>
    </row>
    <row r="75">
      <c r="A75" s="9" t="n">
        <v>71</v>
      </c>
      <c r="B75" s="9" t="inlineStr">
        <is>
          <t>Vanguard_M15</t>
        </is>
      </c>
      <c r="C75" s="9" t="inlineStr">
        <is>
          <t>Trendline breakout (fractal swing line) + VWAP/S-R distance gate - M15 chart</t>
        </is>
      </c>
      <c r="D75" s="9" t="inlineStr">
        <is>
          <t>Short</t>
        </is>
      </c>
      <c r="E75" s="10" t="n">
        <v>46035.83333333334</v>
      </c>
      <c r="F75" s="10" t="n">
        <v>46036.22916666666</v>
      </c>
      <c r="G75" s="11" t="n">
        <v>-33.53</v>
      </c>
      <c r="H75" s="11">
        <f>H74+G75</f>
        <v/>
      </c>
    </row>
    <row r="76">
      <c r="A76" s="9" t="n">
        <v>72</v>
      </c>
      <c r="B76" s="9" t="inlineStr">
        <is>
          <t>Ratchet</t>
        </is>
      </c>
      <c r="C76" s="9" t="inlineStr">
        <is>
          <t>Stochastic scalp with give-back trail exit</t>
        </is>
      </c>
      <c r="D76" s="9" t="inlineStr">
        <is>
          <t>Long</t>
        </is>
      </c>
      <c r="E76" s="10" t="n">
        <v>46036.24305555555</v>
      </c>
      <c r="F76" s="10" t="n">
        <v>46036.26736111111</v>
      </c>
      <c r="G76" s="11" t="n">
        <v>1.36</v>
      </c>
      <c r="H76" s="11">
        <f>H75+G76</f>
        <v/>
      </c>
    </row>
    <row r="77">
      <c r="A77" s="9" t="n">
        <v>73</v>
      </c>
      <c r="B77" s="9" t="inlineStr">
        <is>
          <t>Ratchet</t>
        </is>
      </c>
      <c r="C77" s="9" t="inlineStr">
        <is>
          <t>Stochastic scalp with give-back trail exit</t>
        </is>
      </c>
      <c r="D77" s="9" t="inlineStr">
        <is>
          <t>Long</t>
        </is>
      </c>
      <c r="E77" s="10" t="n">
        <v>46036.40625</v>
      </c>
      <c r="F77" s="10" t="n">
        <v>46036.42013888889</v>
      </c>
      <c r="G77" s="11" t="n">
        <v>-6.58</v>
      </c>
      <c r="H77" s="11">
        <f>H76+G77</f>
        <v/>
      </c>
    </row>
    <row r="78">
      <c r="A78" s="9" t="n">
        <v>74</v>
      </c>
      <c r="B78" s="9" t="inlineStr">
        <is>
          <t>Ratchet</t>
        </is>
      </c>
      <c r="C78" s="9" t="inlineStr">
        <is>
          <t>Stochastic scalp with give-back trail exit</t>
        </is>
      </c>
      <c r="D78" s="9" t="inlineStr">
        <is>
          <t>Long</t>
        </is>
      </c>
      <c r="E78" s="10" t="n">
        <v>46036.45833333334</v>
      </c>
      <c r="F78" s="10" t="n">
        <v>46036.46527777778</v>
      </c>
      <c r="G78" s="11" t="n">
        <v>0.85</v>
      </c>
      <c r="H78" s="11">
        <f>H77+G78</f>
        <v/>
      </c>
    </row>
    <row r="79">
      <c r="A79" s="9" t="n">
        <v>75</v>
      </c>
      <c r="B79" s="9" t="inlineStr">
        <is>
          <t>Ratchet</t>
        </is>
      </c>
      <c r="C79" s="9" t="inlineStr">
        <is>
          <t>Stochastic scalp with give-back trail exit</t>
        </is>
      </c>
      <c r="D79" s="9" t="inlineStr">
        <is>
          <t>Long</t>
        </is>
      </c>
      <c r="E79" s="10" t="n">
        <v>46036.46875</v>
      </c>
      <c r="F79" s="10" t="n">
        <v>46036.48263888889</v>
      </c>
      <c r="G79" s="11" t="n">
        <v>-7.35</v>
      </c>
      <c r="H79" s="11">
        <f>H78+G79</f>
        <v/>
      </c>
    </row>
    <row r="80">
      <c r="A80" s="9" t="n">
        <v>76</v>
      </c>
      <c r="B80" s="9" t="inlineStr">
        <is>
          <t>Ratchet</t>
        </is>
      </c>
      <c r="C80" s="9" t="inlineStr">
        <is>
          <t>Stochastic scalp with give-back trail exit</t>
        </is>
      </c>
      <c r="D80" s="9" t="inlineStr">
        <is>
          <t>Long</t>
        </is>
      </c>
      <c r="E80" s="10" t="n">
        <v>46036.52430555555</v>
      </c>
      <c r="F80" s="10" t="n">
        <v>46036.53125</v>
      </c>
      <c r="G80" s="11" t="n">
        <v>0</v>
      </c>
      <c r="H80" s="11">
        <f>H79+G80</f>
        <v/>
      </c>
    </row>
    <row r="81">
      <c r="A81" s="9" t="n">
        <v>77</v>
      </c>
      <c r="B81" s="9" t="inlineStr">
        <is>
          <t>Ratchet</t>
        </is>
      </c>
      <c r="C81" s="9" t="inlineStr">
        <is>
          <t>Stochastic scalp with give-back trail exit</t>
        </is>
      </c>
      <c r="D81" s="9" t="inlineStr">
        <is>
          <t>Long</t>
        </is>
      </c>
      <c r="E81" s="10" t="n">
        <v>46036.59722222222</v>
      </c>
      <c r="F81" s="10" t="n">
        <v>46036.60069444445</v>
      </c>
      <c r="G81" s="11" t="n">
        <v>0.71</v>
      </c>
      <c r="H81" s="11">
        <f>H80+G81</f>
        <v/>
      </c>
    </row>
    <row r="82">
      <c r="A82" s="9" t="n">
        <v>78</v>
      </c>
      <c r="B82" s="9" t="inlineStr">
        <is>
          <t>Ratchet</t>
        </is>
      </c>
      <c r="C82" s="9" t="inlineStr">
        <is>
          <t>Stochastic scalp with give-back trail exit</t>
        </is>
      </c>
      <c r="D82" s="9" t="inlineStr">
        <is>
          <t>Long</t>
        </is>
      </c>
      <c r="E82" s="10" t="n">
        <v>46036.62152777778</v>
      </c>
      <c r="F82" s="10" t="n">
        <v>46036.625</v>
      </c>
      <c r="G82" s="11" t="n">
        <v>0.64</v>
      </c>
      <c r="H82" s="11">
        <f>H81+G82</f>
        <v/>
      </c>
    </row>
    <row r="83">
      <c r="A83" s="9" t="n">
        <v>79</v>
      </c>
      <c r="B83" s="9" t="inlineStr">
        <is>
          <t>Meridian</t>
        </is>
      </c>
      <c r="C83" s="9" t="inlineStr">
        <is>
          <t>21/50 MA cross, 250-period confirm filter, VWAP</t>
        </is>
      </c>
      <c r="D83" s="9" t="inlineStr">
        <is>
          <t>Long</t>
        </is>
      </c>
      <c r="E83" s="10" t="n">
        <v>46036.59027777778</v>
      </c>
      <c r="F83" s="10" t="n">
        <v>46036.63194444445</v>
      </c>
      <c r="G83" s="11" t="n">
        <v>-9.539999999999999</v>
      </c>
      <c r="H83" s="11">
        <f>H82+G83</f>
        <v/>
      </c>
    </row>
    <row r="84">
      <c r="A84" s="9" t="n">
        <v>80</v>
      </c>
      <c r="B84" s="9" t="inlineStr">
        <is>
          <t>Aurelius_M15</t>
        </is>
      </c>
      <c r="C84" s="9" t="inlineStr">
        <is>
          <t>MA alignment (EMA21&gt;EMA50&gt;SMA250&gt;SMMA500 vs EMA2400 trend filter) - M15 chart</t>
        </is>
      </c>
      <c r="D84" s="9" t="inlineStr">
        <is>
          <t>Long</t>
        </is>
      </c>
      <c r="E84" s="10" t="n">
        <v>46036.17708333334</v>
      </c>
      <c r="F84" s="10" t="n">
        <v>46036.77083333334</v>
      </c>
      <c r="G84" s="11" t="n">
        <v>3.39</v>
      </c>
      <c r="H84" s="11">
        <f>H83+G84</f>
        <v/>
      </c>
    </row>
    <row r="85">
      <c r="A85" s="9" t="n">
        <v>81</v>
      </c>
      <c r="B85" s="9" t="inlineStr">
        <is>
          <t>Ratchet</t>
        </is>
      </c>
      <c r="C85" s="9" t="inlineStr">
        <is>
          <t>Stochastic scalp with give-back trail exit</t>
        </is>
      </c>
      <c r="D85" s="9" t="inlineStr">
        <is>
          <t>Long</t>
        </is>
      </c>
      <c r="E85" s="10" t="n">
        <v>46036.88888888889</v>
      </c>
      <c r="F85" s="10" t="n">
        <v>46036.91666666666</v>
      </c>
      <c r="G85" s="11" t="n">
        <v>-7.71</v>
      </c>
      <c r="H85" s="11">
        <f>H84+G85</f>
        <v/>
      </c>
    </row>
    <row r="86">
      <c r="A86" s="9" t="n">
        <v>82</v>
      </c>
      <c r="B86" s="9" t="inlineStr">
        <is>
          <t>Meridian</t>
        </is>
      </c>
      <c r="C86" s="9" t="inlineStr">
        <is>
          <t>21/50 MA cross, 250-period confirm filter, VWAP</t>
        </is>
      </c>
      <c r="D86" s="9" t="inlineStr">
        <is>
          <t>Long</t>
        </is>
      </c>
      <c r="E86" s="10" t="n">
        <v>46036.86111111111</v>
      </c>
      <c r="F86" s="10" t="n">
        <v>46036.98611111111</v>
      </c>
      <c r="G86" s="11" t="n">
        <v>-8.300000000000001</v>
      </c>
      <c r="H86" s="11">
        <f>H85+G86</f>
        <v/>
      </c>
    </row>
    <row r="87">
      <c r="A87" s="9" t="n">
        <v>83</v>
      </c>
      <c r="B87" s="9" t="inlineStr">
        <is>
          <t>MSG</t>
        </is>
      </c>
      <c r="C87" s="9" t="inlineStr">
        <is>
          <t>Session-range breakout + Fibonacci retracement-zone entry</t>
        </is>
      </c>
      <c r="D87" s="9" t="inlineStr">
        <is>
          <t>Long</t>
        </is>
      </c>
      <c r="E87" s="10" t="n">
        <v>46037.63819444444</v>
      </c>
      <c r="F87" s="10" t="n">
        <v>46037.64444444444</v>
      </c>
      <c r="G87" s="11" t="n">
        <v>-14.16</v>
      </c>
      <c r="H87" s="11">
        <f>H86+G87</f>
        <v/>
      </c>
    </row>
    <row r="88">
      <c r="A88" s="9" t="n">
        <v>84</v>
      </c>
      <c r="B88" s="9" t="inlineStr">
        <is>
          <t>Aurelius_M15</t>
        </is>
      </c>
      <c r="C88" s="9" t="inlineStr">
        <is>
          <t>MA alignment (EMA21&gt;EMA50&gt;SMA250&gt;SMMA500 vs EMA2400 trend filter) - M15 chart</t>
        </is>
      </c>
      <c r="D88" s="9" t="inlineStr">
        <is>
          <t>Long</t>
        </is>
      </c>
      <c r="E88" s="10" t="n">
        <v>46037.63541666666</v>
      </c>
      <c r="F88" s="10" t="n">
        <v>46037.64583333334</v>
      </c>
      <c r="G88" s="11" t="n">
        <v>-14.87</v>
      </c>
      <c r="H88" s="11">
        <f>H87+G88</f>
        <v/>
      </c>
    </row>
    <row r="89">
      <c r="A89" s="9" t="n">
        <v>85</v>
      </c>
      <c r="B89" s="9" t="inlineStr">
        <is>
          <t>Meridian</t>
        </is>
      </c>
      <c r="C89" s="9" t="inlineStr">
        <is>
          <t>21/50 MA cross, 250-period confirm filter, VWAP</t>
        </is>
      </c>
      <c r="D89" s="9" t="inlineStr">
        <is>
          <t>Short</t>
        </is>
      </c>
      <c r="E89" s="10" t="n">
        <v>46037.64930555555</v>
      </c>
      <c r="F89" s="10" t="n">
        <v>46037.68402777778</v>
      </c>
      <c r="G89" s="11" t="n">
        <v>-11.38</v>
      </c>
      <c r="H89" s="11">
        <f>H88+G89</f>
        <v/>
      </c>
    </row>
    <row r="90">
      <c r="A90" s="9" t="n">
        <v>86</v>
      </c>
      <c r="B90" s="9" t="inlineStr">
        <is>
          <t>Aurelius_M5</t>
        </is>
      </c>
      <c r="C90" s="9" t="inlineStr">
        <is>
          <t>MA alignment (EMA21&gt;EMA50&gt;SMA250&gt;SMMA500 vs EMA2400 trend filter)</t>
        </is>
      </c>
      <c r="D90" s="9" t="inlineStr">
        <is>
          <t>Long</t>
        </is>
      </c>
      <c r="E90" s="10" t="n">
        <v>46037.76388888889</v>
      </c>
      <c r="F90" s="10" t="n">
        <v>46037.77430555555</v>
      </c>
      <c r="G90" s="11" t="n">
        <v>-14.94</v>
      </c>
      <c r="H90" s="11">
        <f>H89+G90</f>
        <v/>
      </c>
    </row>
    <row r="91">
      <c r="A91" s="9" t="n">
        <v>87</v>
      </c>
      <c r="B91" s="9" t="inlineStr">
        <is>
          <t>Vanguard_M5</t>
        </is>
      </c>
      <c r="C91" s="9" t="inlineStr">
        <is>
          <t>Trendline breakout (fractal swing line) + VWAP/S-R distance gate</t>
        </is>
      </c>
      <c r="D91" s="9" t="inlineStr">
        <is>
          <t>Short</t>
        </is>
      </c>
      <c r="E91" s="10" t="n">
        <v>46037.12847222222</v>
      </c>
      <c r="F91" s="10" t="n">
        <v>46037.90972222222</v>
      </c>
      <c r="G91" s="11" t="n">
        <v>-6.55</v>
      </c>
      <c r="H91" s="11">
        <f>H90+G91</f>
        <v/>
      </c>
    </row>
    <row r="92">
      <c r="A92" s="9" t="n">
        <v>88</v>
      </c>
      <c r="B92" s="9" t="inlineStr">
        <is>
          <t>Meridian</t>
        </is>
      </c>
      <c r="C92" s="9" t="inlineStr">
        <is>
          <t>21/50 MA cross, 250-period confirm filter, VWAP</t>
        </is>
      </c>
      <c r="D92" s="9" t="inlineStr">
        <is>
          <t>Long</t>
        </is>
      </c>
      <c r="E92" s="10" t="n">
        <v>46037.72569444445</v>
      </c>
      <c r="F92" s="10" t="n">
        <v>46037.93055555555</v>
      </c>
      <c r="G92" s="11" t="n">
        <v>-14.41</v>
      </c>
      <c r="H92" s="11">
        <f>H91+G92</f>
        <v/>
      </c>
    </row>
    <row r="93">
      <c r="A93" s="9" t="n">
        <v>89</v>
      </c>
      <c r="B93" s="9" t="inlineStr">
        <is>
          <t>Vanguard_M15</t>
        </is>
      </c>
      <c r="C93" s="9" t="inlineStr">
        <is>
          <t>Trendline breakout (fractal swing line) + VWAP/S-R distance gate - M15 chart</t>
        </is>
      </c>
      <c r="D93" s="9" t="inlineStr">
        <is>
          <t>Short</t>
        </is>
      </c>
      <c r="E93" s="10" t="n">
        <v>46037.13541666666</v>
      </c>
      <c r="F93" s="10" t="n">
        <v>46037.95833333334</v>
      </c>
      <c r="G93" s="11" t="n">
        <v>-3.16</v>
      </c>
      <c r="H93" s="11">
        <f>H92+G93</f>
        <v/>
      </c>
    </row>
    <row r="94">
      <c r="A94" s="9" t="n">
        <v>90</v>
      </c>
      <c r="B94" s="9" t="inlineStr">
        <is>
          <t>Meridian</t>
        </is>
      </c>
      <c r="C94" s="9" t="inlineStr">
        <is>
          <t>21/50 MA cross, 250-period confirm filter, VWAP</t>
        </is>
      </c>
      <c r="D94" s="9" t="inlineStr">
        <is>
          <t>Long</t>
        </is>
      </c>
      <c r="E94" s="10" t="n">
        <v>46038.32638888889</v>
      </c>
      <c r="F94" s="10" t="n">
        <v>46038.35416666666</v>
      </c>
      <c r="G94" s="11" t="n">
        <v>-8.09</v>
      </c>
      <c r="H94" s="11">
        <f>H93+G94</f>
        <v/>
      </c>
    </row>
    <row r="95">
      <c r="A95" s="9" t="n">
        <v>91</v>
      </c>
      <c r="B95" s="9" t="inlineStr">
        <is>
          <t>Meridian</t>
        </is>
      </c>
      <c r="C95" s="9" t="inlineStr">
        <is>
          <t>21/50 MA cross, 250-period confirm filter, VWAP</t>
        </is>
      </c>
      <c r="D95" s="9" t="inlineStr">
        <is>
          <t>Short</t>
        </is>
      </c>
      <c r="E95" s="10" t="n">
        <v>46038.48263888889</v>
      </c>
      <c r="F95" s="10" t="n">
        <v>46038.51041666666</v>
      </c>
      <c r="G95" s="11" t="n">
        <v>-8.630000000000001</v>
      </c>
      <c r="H95" s="11">
        <f>H94+G95</f>
        <v/>
      </c>
    </row>
    <row r="96">
      <c r="A96" s="9" t="n">
        <v>92</v>
      </c>
      <c r="B96" s="9" t="inlineStr">
        <is>
          <t>Vanguard_M5</t>
        </is>
      </c>
      <c r="C96" s="9" t="inlineStr">
        <is>
          <t>Trendline breakout (fractal swing line) + VWAP/S-R distance gate</t>
        </is>
      </c>
      <c r="D96" s="9" t="inlineStr">
        <is>
          <t>Long</t>
        </is>
      </c>
      <c r="E96" s="10" t="n">
        <v>46038.51736111111</v>
      </c>
      <c r="F96" s="10" t="n">
        <v>46038.61805555555</v>
      </c>
      <c r="G96" s="11" t="n">
        <v>-12.63</v>
      </c>
      <c r="H96" s="11">
        <f>H95+G96</f>
        <v/>
      </c>
    </row>
    <row r="97">
      <c r="A97" s="9" t="n">
        <v>93</v>
      </c>
      <c r="B97" s="9" t="inlineStr">
        <is>
          <t>MSG</t>
        </is>
      </c>
      <c r="C97" s="9" t="inlineStr">
        <is>
          <t>Session-range breakout + Fibonacci retracement-zone entry</t>
        </is>
      </c>
      <c r="D97" s="9" t="inlineStr">
        <is>
          <t>Long</t>
        </is>
      </c>
      <c r="E97" s="10" t="n">
        <v>46038.60069444445</v>
      </c>
      <c r="F97" s="10" t="n">
        <v>46038.61875</v>
      </c>
      <c r="G97" s="11" t="n">
        <v>-14.42</v>
      </c>
      <c r="H97" s="11">
        <f>H96+G97</f>
        <v/>
      </c>
    </row>
    <row r="98">
      <c r="A98" s="9" t="n">
        <v>94</v>
      </c>
      <c r="B98" s="9" t="inlineStr">
        <is>
          <t>Vanguard_M15</t>
        </is>
      </c>
      <c r="C98" s="9" t="inlineStr">
        <is>
          <t>Trendline breakout (fractal swing line) + VWAP/S-R distance gate - M15 chart</t>
        </is>
      </c>
      <c r="D98" s="9" t="inlineStr">
        <is>
          <t>Long</t>
        </is>
      </c>
      <c r="E98" s="10" t="n">
        <v>46038.5625</v>
      </c>
      <c r="F98" s="10" t="n">
        <v>46038.63541666666</v>
      </c>
      <c r="G98" s="11" t="n">
        <v>-19.14</v>
      </c>
      <c r="H98" s="11">
        <f>H97+G98</f>
        <v/>
      </c>
    </row>
    <row r="99">
      <c r="A99" s="9" t="n">
        <v>95</v>
      </c>
      <c r="B99" s="9" t="inlineStr">
        <is>
          <t>Vanguard_M15</t>
        </is>
      </c>
      <c r="C99" s="9" t="inlineStr">
        <is>
          <t>Trendline breakout (fractal swing line) + VWAP/S-R distance gate - M15 chart</t>
        </is>
      </c>
      <c r="D99" s="9" t="inlineStr">
        <is>
          <t>Short</t>
        </is>
      </c>
      <c r="E99" s="10" t="n">
        <v>46038.64583333334</v>
      </c>
      <c r="F99" s="10" t="n">
        <v>46038.66666666666</v>
      </c>
      <c r="G99" s="11" t="n">
        <v>-21.29</v>
      </c>
      <c r="H99" s="11">
        <f>H98+G99</f>
        <v/>
      </c>
    </row>
    <row r="100">
      <c r="A100" s="9" t="n">
        <v>96</v>
      </c>
      <c r="B100" s="9" t="inlineStr">
        <is>
          <t>Vanguard_M5</t>
        </is>
      </c>
      <c r="C100" s="9" t="inlineStr">
        <is>
          <t>Trendline breakout (fractal swing line) + VWAP/S-R distance gate</t>
        </is>
      </c>
      <c r="D100" s="9" t="inlineStr">
        <is>
          <t>Short</t>
        </is>
      </c>
      <c r="E100" s="10" t="n">
        <v>46038.63888888889</v>
      </c>
      <c r="F100" s="10" t="n">
        <v>46038.67013888889</v>
      </c>
      <c r="G100" s="11" t="n">
        <v>-18.91</v>
      </c>
      <c r="H100" s="11">
        <f>H99+G100</f>
        <v/>
      </c>
    </row>
    <row r="101">
      <c r="A101" s="9" t="n">
        <v>97</v>
      </c>
      <c r="B101" s="9" t="inlineStr">
        <is>
          <t>Meridian</t>
        </is>
      </c>
      <c r="C101" s="9" t="inlineStr">
        <is>
          <t>21/50 MA cross, 250-period confirm filter, VWAP</t>
        </is>
      </c>
      <c r="D101" s="9" t="inlineStr">
        <is>
          <t>Short</t>
        </is>
      </c>
      <c r="E101" s="10" t="n">
        <v>46038.625</v>
      </c>
      <c r="F101" s="10" t="n">
        <v>46038.69097222222</v>
      </c>
      <c r="G101" s="11" t="n">
        <v>-8.85</v>
      </c>
      <c r="H101" s="11">
        <f>H100+G101</f>
        <v/>
      </c>
    </row>
    <row r="102">
      <c r="A102" s="9" t="n">
        <v>98</v>
      </c>
      <c r="B102" s="9" t="inlineStr">
        <is>
          <t>Vanguard_M15</t>
        </is>
      </c>
      <c r="C102" s="9" t="inlineStr">
        <is>
          <t>Trendline breakout (fractal swing line) + VWAP/S-R distance gate - M15 chart</t>
        </is>
      </c>
      <c r="D102" s="9" t="inlineStr">
        <is>
          <t>Long</t>
        </is>
      </c>
      <c r="E102" s="10" t="n">
        <v>46038.67708333334</v>
      </c>
      <c r="F102" s="10" t="n">
        <v>46038.71875</v>
      </c>
      <c r="G102" s="11" t="n">
        <v>-23.34</v>
      </c>
      <c r="H102" s="11">
        <f>H101+G102</f>
        <v/>
      </c>
    </row>
    <row r="103">
      <c r="A103" s="9" t="n">
        <v>99</v>
      </c>
      <c r="B103" s="9" t="inlineStr">
        <is>
          <t>Vanguard_M5</t>
        </is>
      </c>
      <c r="C103" s="9" t="inlineStr">
        <is>
          <t>Trendline breakout (fractal swing line) + VWAP/S-R distance gate</t>
        </is>
      </c>
      <c r="D103" s="9" t="inlineStr">
        <is>
          <t>Long</t>
        </is>
      </c>
      <c r="E103" s="10" t="n">
        <v>46038.67708333334</v>
      </c>
      <c r="F103" s="10" t="n">
        <v>46038.72222222222</v>
      </c>
      <c r="G103" s="11" t="n">
        <v>-18.42</v>
      </c>
      <c r="H103" s="11">
        <f>H102+G103</f>
        <v/>
      </c>
    </row>
    <row r="104">
      <c r="A104" s="9" t="n">
        <v>100</v>
      </c>
      <c r="B104" s="9" t="inlineStr">
        <is>
          <t>Meridian</t>
        </is>
      </c>
      <c r="C104" s="9" t="inlineStr">
        <is>
          <t>21/50 MA cross, 250-period confirm filter, VWAP</t>
        </is>
      </c>
      <c r="D104" s="9" t="inlineStr">
        <is>
          <t>Long</t>
        </is>
      </c>
      <c r="E104" s="10" t="n">
        <v>46038.70138888889</v>
      </c>
      <c r="F104" s="10" t="n">
        <v>46038.72222222222</v>
      </c>
      <c r="G104" s="11" t="n">
        <v>-15.74</v>
      </c>
      <c r="H104" s="11">
        <f>H103+G104</f>
        <v/>
      </c>
    </row>
    <row r="105">
      <c r="A105" s="9" t="n">
        <v>101</v>
      </c>
      <c r="B105" s="9" t="inlineStr">
        <is>
          <t>Vanguard_M5</t>
        </is>
      </c>
      <c r="C105" s="9" t="inlineStr">
        <is>
          <t>Trendline breakout (fractal swing line) + VWAP/S-R distance gate</t>
        </is>
      </c>
      <c r="D105" s="9" t="inlineStr">
        <is>
          <t>Short</t>
        </is>
      </c>
      <c r="E105" s="10" t="n">
        <v>46038.72569444445</v>
      </c>
      <c r="F105" s="10" t="n">
        <v>46041.04166666666</v>
      </c>
      <c r="G105" s="11" t="n">
        <v>-31.69</v>
      </c>
      <c r="H105" s="11">
        <f>H104+G105</f>
        <v/>
      </c>
    </row>
    <row r="106">
      <c r="A106" s="9" t="n">
        <v>102</v>
      </c>
      <c r="B106" s="9" t="inlineStr">
        <is>
          <t>MSG</t>
        </is>
      </c>
      <c r="C106" s="9" t="inlineStr">
        <is>
          <t>Session-range breakout + Fibonacci retracement-zone entry</t>
        </is>
      </c>
      <c r="D106" s="9" t="inlineStr">
        <is>
          <t>Short</t>
        </is>
      </c>
      <c r="E106" s="10" t="n">
        <v>46041.59513888889</v>
      </c>
      <c r="F106" s="10" t="n">
        <v>46041.60486111111</v>
      </c>
      <c r="G106" s="11" t="n">
        <v>-9.890000000000001</v>
      </c>
      <c r="H106" s="11">
        <f>H105+G106</f>
        <v/>
      </c>
    </row>
    <row r="107">
      <c r="A107" s="9" t="n">
        <v>103</v>
      </c>
      <c r="B107" s="9" t="inlineStr">
        <is>
          <t>Meridian</t>
        </is>
      </c>
      <c r="C107" s="9" t="inlineStr">
        <is>
          <t>21/50 MA cross, 250-period confirm filter, VWAP</t>
        </is>
      </c>
      <c r="D107" s="9" t="inlineStr">
        <is>
          <t>Long</t>
        </is>
      </c>
      <c r="E107" s="10" t="n">
        <v>46041.60763888889</v>
      </c>
      <c r="F107" s="10" t="n">
        <v>46041.66319444445</v>
      </c>
      <c r="G107" s="11" t="n">
        <v>-7.99</v>
      </c>
      <c r="H107" s="11">
        <f>H106+G107</f>
        <v/>
      </c>
    </row>
    <row r="108">
      <c r="A108" s="9" t="n">
        <v>104</v>
      </c>
      <c r="B108" s="9" t="inlineStr">
        <is>
          <t>Meridian</t>
        </is>
      </c>
      <c r="C108" s="9" t="inlineStr">
        <is>
          <t>21/50 MA cross, 250-period confirm filter, VWAP</t>
        </is>
      </c>
      <c r="D108" s="9" t="inlineStr">
        <is>
          <t>Long</t>
        </is>
      </c>
      <c r="E108" s="10" t="n">
        <v>46041.6875</v>
      </c>
      <c r="F108" s="10" t="n">
        <v>46041.69097222222</v>
      </c>
      <c r="G108" s="11" t="n">
        <v>-0.95</v>
      </c>
      <c r="H108" s="11">
        <f>H107+G108</f>
        <v/>
      </c>
    </row>
    <row r="109">
      <c r="A109" s="9" t="n">
        <v>105</v>
      </c>
      <c r="B109" s="9" t="inlineStr">
        <is>
          <t>Meridian</t>
        </is>
      </c>
      <c r="C109" s="9" t="inlineStr">
        <is>
          <t>21/50 MA cross, 250-period confirm filter, VWAP</t>
        </is>
      </c>
      <c r="D109" s="9" t="inlineStr">
        <is>
          <t>Long</t>
        </is>
      </c>
      <c r="E109" s="10" t="n">
        <v>46041.71875</v>
      </c>
      <c r="F109" s="10" t="n">
        <v>46041.72222222222</v>
      </c>
      <c r="G109" s="11" t="n">
        <v>-2.64</v>
      </c>
      <c r="H109" s="11">
        <f>H108+G109</f>
        <v/>
      </c>
    </row>
    <row r="110">
      <c r="A110" s="9" t="n">
        <v>106</v>
      </c>
      <c r="B110" s="9" t="inlineStr">
        <is>
          <t>Meridian</t>
        </is>
      </c>
      <c r="C110" s="9" t="inlineStr">
        <is>
          <t>21/50 MA cross, 250-period confirm filter, VWAP</t>
        </is>
      </c>
      <c r="D110" s="9" t="inlineStr">
        <is>
          <t>Long</t>
        </is>
      </c>
      <c r="E110" s="10" t="n">
        <v>46041.73958333334</v>
      </c>
      <c r="F110" s="10" t="n">
        <v>46042.0625</v>
      </c>
      <c r="G110" s="11" t="n">
        <v>-4.16</v>
      </c>
      <c r="H110" s="11">
        <f>H109+G110</f>
        <v/>
      </c>
    </row>
    <row r="111">
      <c r="A111" s="9" t="n">
        <v>107</v>
      </c>
      <c r="B111" s="9" t="inlineStr">
        <is>
          <t>Meridian</t>
        </is>
      </c>
      <c r="C111" s="9" t="inlineStr">
        <is>
          <t>21/50 MA cross, 250-period confirm filter, VWAP</t>
        </is>
      </c>
      <c r="D111" s="9" t="inlineStr">
        <is>
          <t>Long</t>
        </is>
      </c>
      <c r="E111" s="10" t="n">
        <v>46042.15972222222</v>
      </c>
      <c r="F111" s="10" t="n">
        <v>46042.17708333334</v>
      </c>
      <c r="G111" s="11" t="n">
        <v>-6.39</v>
      </c>
      <c r="H111" s="11">
        <f>H110+G111</f>
        <v/>
      </c>
    </row>
    <row r="112">
      <c r="A112" s="9" t="n">
        <v>108</v>
      </c>
      <c r="B112" s="9" t="inlineStr">
        <is>
          <t>Ratchet</t>
        </is>
      </c>
      <c r="C112" s="9" t="inlineStr">
        <is>
          <t>Stochastic scalp with give-back trail exit</t>
        </is>
      </c>
      <c r="D112" s="9" t="inlineStr">
        <is>
          <t>Long</t>
        </is>
      </c>
      <c r="E112" s="10" t="n">
        <v>46042.19791666666</v>
      </c>
      <c r="F112" s="10" t="n">
        <v>46042.19791666666</v>
      </c>
      <c r="G112" s="11" t="n">
        <v>-5.65</v>
      </c>
      <c r="H112" s="11">
        <f>H111+G112</f>
        <v/>
      </c>
    </row>
    <row r="113">
      <c r="A113" s="9" t="n">
        <v>109</v>
      </c>
      <c r="B113" s="9" t="inlineStr">
        <is>
          <t>Ratchet</t>
        </is>
      </c>
      <c r="C113" s="9" t="inlineStr">
        <is>
          <t>Stochastic scalp with give-back trail exit</t>
        </is>
      </c>
      <c r="D113" s="9" t="inlineStr">
        <is>
          <t>Long</t>
        </is>
      </c>
      <c r="E113" s="10" t="n">
        <v>46042.22569444445</v>
      </c>
      <c r="F113" s="10" t="n">
        <v>46042.50347222222</v>
      </c>
      <c r="G113" s="11" t="n">
        <v>59.18</v>
      </c>
      <c r="H113" s="11">
        <f>H112+G113</f>
        <v/>
      </c>
    </row>
    <row r="114">
      <c r="A114" s="9" t="n">
        <v>110</v>
      </c>
      <c r="B114" s="9" t="inlineStr">
        <is>
          <t>Ratchet</t>
        </is>
      </c>
      <c r="C114" s="9" t="inlineStr">
        <is>
          <t>Stochastic scalp with give-back trail exit</t>
        </is>
      </c>
      <c r="D114" s="9" t="inlineStr">
        <is>
          <t>Long</t>
        </is>
      </c>
      <c r="E114" s="10" t="n">
        <v>46042.57291666666</v>
      </c>
      <c r="F114" s="10" t="n">
        <v>46042.57638888889</v>
      </c>
      <c r="G114" s="11" t="n">
        <v>0</v>
      </c>
      <c r="H114" s="11">
        <f>H113+G114</f>
        <v/>
      </c>
    </row>
    <row r="115">
      <c r="A115" s="9" t="n">
        <v>111</v>
      </c>
      <c r="B115" s="9" t="inlineStr">
        <is>
          <t>Aurelius_M5</t>
        </is>
      </c>
      <c r="C115" s="9" t="inlineStr">
        <is>
          <t>MA alignment (EMA21&gt;EMA50&gt;SMA250&gt;SMMA500 vs EMA2400 trend filter)</t>
        </is>
      </c>
      <c r="D115" s="9" t="inlineStr">
        <is>
          <t>Long</t>
        </is>
      </c>
      <c r="E115" s="10" t="n">
        <v>46042.61458333334</v>
      </c>
      <c r="F115" s="10" t="n">
        <v>46042.63888888889</v>
      </c>
      <c r="G115" s="11" t="n">
        <v>-8.369999999999999</v>
      </c>
      <c r="H115" s="11">
        <f>H114+G115</f>
        <v/>
      </c>
    </row>
    <row r="116">
      <c r="A116" s="9" t="n">
        <v>112</v>
      </c>
      <c r="B116" s="9" t="inlineStr">
        <is>
          <t>Meridian</t>
        </is>
      </c>
      <c r="C116" s="9" t="inlineStr">
        <is>
          <t>21/50 MA cross, 250-period confirm filter, VWAP</t>
        </is>
      </c>
      <c r="D116" s="9" t="inlineStr">
        <is>
          <t>Long</t>
        </is>
      </c>
      <c r="E116" s="10" t="n">
        <v>46042.19097222222</v>
      </c>
      <c r="F116" s="10" t="n">
        <v>46042.65277777778</v>
      </c>
      <c r="G116" s="11" t="n">
        <v>47.06</v>
      </c>
      <c r="H116" s="11">
        <f>H115+G116</f>
        <v/>
      </c>
    </row>
    <row r="117">
      <c r="A117" s="9" t="n">
        <v>113</v>
      </c>
      <c r="B117" s="9" t="inlineStr">
        <is>
          <t>Ratchet</t>
        </is>
      </c>
      <c r="C117" s="9" t="inlineStr">
        <is>
          <t>Stochastic scalp with give-back trail exit</t>
        </is>
      </c>
      <c r="D117" s="9" t="inlineStr">
        <is>
          <t>Long</t>
        </is>
      </c>
      <c r="E117" s="10" t="n">
        <v>46042.65972222222</v>
      </c>
      <c r="F117" s="10" t="n">
        <v>46042.67013888889</v>
      </c>
      <c r="G117" s="11" t="n">
        <v>3.22</v>
      </c>
      <c r="H117" s="11">
        <f>H116+G117</f>
        <v/>
      </c>
    </row>
    <row r="118">
      <c r="A118" s="9" t="n">
        <v>114</v>
      </c>
      <c r="B118" s="9" t="inlineStr">
        <is>
          <t>Aurelius_M5</t>
        </is>
      </c>
      <c r="C118" s="9" t="inlineStr">
        <is>
          <t>MA alignment (EMA21&gt;EMA50&gt;SMA250&gt;SMMA500 vs EMA2400 trend filter)</t>
        </is>
      </c>
      <c r="D118" s="9" t="inlineStr">
        <is>
          <t>Long</t>
        </is>
      </c>
      <c r="E118" s="10" t="n">
        <v>46042.6875</v>
      </c>
      <c r="F118" s="10" t="n">
        <v>46042.6875</v>
      </c>
      <c r="G118" s="11" t="n">
        <v>-15.86</v>
      </c>
      <c r="H118" s="11">
        <f>H117+G118</f>
        <v/>
      </c>
    </row>
    <row r="119">
      <c r="A119" s="9" t="n">
        <v>115</v>
      </c>
      <c r="B119" s="9" t="inlineStr">
        <is>
          <t>Vanguard_M15</t>
        </is>
      </c>
      <c r="C119" s="9" t="inlineStr">
        <is>
          <t>Trendline breakout (fractal swing line) + VWAP/S-R distance gate - M15 chart</t>
        </is>
      </c>
      <c r="D119" s="9" t="inlineStr">
        <is>
          <t>Long</t>
        </is>
      </c>
      <c r="E119" s="10" t="n">
        <v>46041.05208333334</v>
      </c>
      <c r="F119" s="10" t="n">
        <v>46042.71875</v>
      </c>
      <c r="G119" s="11" t="n">
        <v>69.83</v>
      </c>
      <c r="H119" s="11">
        <f>H118+G119</f>
        <v/>
      </c>
    </row>
    <row r="120">
      <c r="A120" s="9" t="n">
        <v>116</v>
      </c>
      <c r="B120" s="9" t="inlineStr">
        <is>
          <t>Vanguard_M5</t>
        </is>
      </c>
      <c r="C120" s="9" t="inlineStr">
        <is>
          <t>Trendline breakout (fractal swing line) + VWAP/S-R distance gate</t>
        </is>
      </c>
      <c r="D120" s="9" t="inlineStr">
        <is>
          <t>Long</t>
        </is>
      </c>
      <c r="E120" s="10" t="n">
        <v>46041.04513888889</v>
      </c>
      <c r="F120" s="10" t="n">
        <v>46042.72569444445</v>
      </c>
      <c r="G120" s="11" t="n">
        <v>75.26000000000001</v>
      </c>
      <c r="H120" s="11">
        <f>H119+G120</f>
        <v/>
      </c>
    </row>
    <row r="121">
      <c r="A121" s="9" t="n">
        <v>117</v>
      </c>
      <c r="B121" s="9" t="inlineStr">
        <is>
          <t>Ratchet</t>
        </is>
      </c>
      <c r="C121" s="9" t="inlineStr">
        <is>
          <t>Stochastic scalp with give-back trail exit</t>
        </is>
      </c>
      <c r="D121" s="9" t="inlineStr">
        <is>
          <t>Long</t>
        </is>
      </c>
      <c r="E121" s="10" t="n">
        <v>46042.77083333334</v>
      </c>
      <c r="F121" s="10" t="n">
        <v>46042.78819444445</v>
      </c>
      <c r="G121" s="11" t="n">
        <v>10.07</v>
      </c>
      <c r="H121" s="11">
        <f>H120+G121</f>
        <v/>
      </c>
    </row>
    <row r="122">
      <c r="A122" s="9" t="n">
        <v>118</v>
      </c>
      <c r="B122" s="9" t="inlineStr">
        <is>
          <t>Ratchet</t>
        </is>
      </c>
      <c r="C122" s="9" t="inlineStr">
        <is>
          <t>Stochastic scalp with give-back trail exit</t>
        </is>
      </c>
      <c r="D122" s="9" t="inlineStr">
        <is>
          <t>Long</t>
        </is>
      </c>
      <c r="E122" s="10" t="n">
        <v>46042.97222222222</v>
      </c>
      <c r="F122" s="10" t="n">
        <v>46042.99652777778</v>
      </c>
      <c r="G122" s="11" t="n">
        <v>1.52</v>
      </c>
      <c r="H122" s="11">
        <f>H121+G122</f>
        <v/>
      </c>
    </row>
    <row r="123">
      <c r="A123" s="9" t="n">
        <v>119</v>
      </c>
      <c r="B123" s="9" t="inlineStr">
        <is>
          <t>Aurelius_M5</t>
        </is>
      </c>
      <c r="C123" s="9" t="inlineStr">
        <is>
          <t>MA alignment (EMA21&gt;EMA50&gt;SMA250&gt;SMMA500 vs EMA2400 trend filter)</t>
        </is>
      </c>
      <c r="D123" s="9" t="inlineStr">
        <is>
          <t>Long</t>
        </is>
      </c>
      <c r="E123" s="10" t="n">
        <v>46042.70486111111</v>
      </c>
      <c r="F123" s="10" t="n">
        <v>46043.04166666666</v>
      </c>
      <c r="G123" s="11" t="n">
        <v>25.56</v>
      </c>
      <c r="H123" s="11">
        <f>H122+G123</f>
        <v/>
      </c>
    </row>
    <row r="124">
      <c r="A124" s="9" t="n">
        <v>120</v>
      </c>
      <c r="B124" s="9" t="inlineStr">
        <is>
          <t>Ratchet</t>
        </is>
      </c>
      <c r="C124" s="9" t="inlineStr">
        <is>
          <t>Stochastic scalp with give-back trail exit</t>
        </is>
      </c>
      <c r="D124" s="9" t="inlineStr">
        <is>
          <t>Long</t>
        </is>
      </c>
      <c r="E124" s="10" t="n">
        <v>46043.34027777778</v>
      </c>
      <c r="F124" s="10" t="n">
        <v>46043.34722222222</v>
      </c>
      <c r="G124" s="11" t="n">
        <v>1.52</v>
      </c>
      <c r="H124" s="11">
        <f>H123+G124</f>
        <v/>
      </c>
    </row>
    <row r="125">
      <c r="A125" s="9" t="n">
        <v>121</v>
      </c>
      <c r="B125" s="9" t="inlineStr">
        <is>
          <t>Ratchet</t>
        </is>
      </c>
      <c r="C125" s="9" t="inlineStr">
        <is>
          <t>Stochastic scalp with give-back trail exit</t>
        </is>
      </c>
      <c r="D125" s="9" t="inlineStr">
        <is>
          <t>Long</t>
        </is>
      </c>
      <c r="E125" s="10" t="n">
        <v>46043.63541666666</v>
      </c>
      <c r="F125" s="10" t="n">
        <v>46043.65972222222</v>
      </c>
      <c r="G125" s="11" t="n">
        <v>2.69</v>
      </c>
      <c r="H125" s="11">
        <f>H124+G125</f>
        <v/>
      </c>
    </row>
    <row r="126">
      <c r="A126" s="9" t="n">
        <v>122</v>
      </c>
      <c r="B126" s="9" t="inlineStr">
        <is>
          <t>Aurelius_M5</t>
        </is>
      </c>
      <c r="C126" s="9" t="inlineStr">
        <is>
          <t>MA alignment (EMA21&gt;EMA50&gt;SMA250&gt;SMMA500 vs EMA2400 trend filter)</t>
        </is>
      </c>
      <c r="D126" s="9" t="inlineStr">
        <is>
          <t>Long</t>
        </is>
      </c>
      <c r="E126" s="10" t="n">
        <v>46043.65625</v>
      </c>
      <c r="F126" s="10" t="n">
        <v>46043.66666666666</v>
      </c>
      <c r="G126" s="11" t="n">
        <v>-13.07</v>
      </c>
      <c r="H126" s="11">
        <f>H125+G126</f>
        <v/>
      </c>
    </row>
    <row r="127">
      <c r="A127" s="9" t="n">
        <v>123</v>
      </c>
      <c r="B127" s="9" t="inlineStr">
        <is>
          <t>Meridian</t>
        </is>
      </c>
      <c r="C127" s="9" t="inlineStr">
        <is>
          <t>21/50 MA cross, 250-period confirm filter, VWAP</t>
        </is>
      </c>
      <c r="D127" s="9" t="inlineStr">
        <is>
          <t>Long</t>
        </is>
      </c>
      <c r="E127" s="10" t="n">
        <v>46042.65625</v>
      </c>
      <c r="F127" s="10" t="n">
        <v>46043.68402777778</v>
      </c>
      <c r="G127" s="11" t="n">
        <v>123.3</v>
      </c>
      <c r="H127" s="11">
        <f>H126+G127</f>
        <v/>
      </c>
    </row>
    <row r="128">
      <c r="A128" s="9" t="n">
        <v>124</v>
      </c>
      <c r="B128" s="9" t="inlineStr">
        <is>
          <t>Aurelius_M15</t>
        </is>
      </c>
      <c r="C128" s="9" t="inlineStr">
        <is>
          <t>MA alignment (EMA21&gt;EMA50&gt;SMA250&gt;SMMA500 vs EMA2400 trend filter) - M15 chart</t>
        </is>
      </c>
      <c r="D128" s="9" t="inlineStr">
        <is>
          <t>Long</t>
        </is>
      </c>
      <c r="E128" s="10" t="n">
        <v>46042.13541666666</v>
      </c>
      <c r="F128" s="10" t="n">
        <v>46043.84375</v>
      </c>
      <c r="G128" s="11" t="n">
        <v>155.04</v>
      </c>
      <c r="H128" s="11">
        <f>H127+G128</f>
        <v/>
      </c>
    </row>
    <row r="129">
      <c r="A129" s="9" t="n">
        <v>125</v>
      </c>
      <c r="B129" s="9" t="inlineStr">
        <is>
          <t>Meridian</t>
        </is>
      </c>
      <c r="C129" s="9" t="inlineStr">
        <is>
          <t>21/50 MA cross, 250-period confirm filter, VWAP</t>
        </is>
      </c>
      <c r="D129" s="9" t="inlineStr">
        <is>
          <t>Long</t>
        </is>
      </c>
      <c r="E129" s="10" t="n">
        <v>46043.89236111111</v>
      </c>
      <c r="F129" s="10" t="n">
        <v>46043.89236111111</v>
      </c>
      <c r="G129" s="11" t="n">
        <v>-18.28</v>
      </c>
      <c r="H129" s="11">
        <f>H128+G129</f>
        <v/>
      </c>
    </row>
    <row r="130">
      <c r="A130" s="9" t="n">
        <v>126</v>
      </c>
      <c r="B130" s="9" t="inlineStr">
        <is>
          <t>Ratchet</t>
        </is>
      </c>
      <c r="C130" s="9" t="inlineStr">
        <is>
          <t>Stochastic scalp with give-back trail exit</t>
        </is>
      </c>
      <c r="D130" s="9" t="inlineStr">
        <is>
          <t>Long</t>
        </is>
      </c>
      <c r="E130" s="10" t="n">
        <v>46044.46527777778</v>
      </c>
      <c r="F130" s="10" t="n">
        <v>46044.47916666666</v>
      </c>
      <c r="G130" s="11" t="n">
        <v>-7.34</v>
      </c>
      <c r="H130" s="11">
        <f>H129+G130</f>
        <v/>
      </c>
    </row>
    <row r="131">
      <c r="A131" s="9" t="n">
        <v>127</v>
      </c>
      <c r="B131" s="9" t="inlineStr">
        <is>
          <t>Ratchet</t>
        </is>
      </c>
      <c r="C131" s="9" t="inlineStr">
        <is>
          <t>Stochastic scalp with give-back trail exit</t>
        </is>
      </c>
      <c r="D131" s="9" t="inlineStr">
        <is>
          <t>Long</t>
        </is>
      </c>
      <c r="E131" s="10" t="n">
        <v>46044.53125</v>
      </c>
      <c r="F131" s="10" t="n">
        <v>46044.53819444445</v>
      </c>
      <c r="G131" s="11" t="n">
        <v>0</v>
      </c>
      <c r="H131" s="11">
        <f>H130+G131</f>
        <v/>
      </c>
    </row>
    <row r="132">
      <c r="A132" s="9" t="n">
        <v>128</v>
      </c>
      <c r="B132" s="9" t="inlineStr">
        <is>
          <t>Vanguard_M5</t>
        </is>
      </c>
      <c r="C132" s="9" t="inlineStr">
        <is>
          <t>Trendline breakout (fractal swing line) + VWAP/S-R distance gate</t>
        </is>
      </c>
      <c r="D132" s="9" t="inlineStr">
        <is>
          <t>Short</t>
        </is>
      </c>
      <c r="E132" s="10" t="n">
        <v>46043.72569444445</v>
      </c>
      <c r="F132" s="10" t="n">
        <v>46044.54861111111</v>
      </c>
      <c r="G132" s="11" t="n">
        <v>-9.050000000000001</v>
      </c>
      <c r="H132" s="11">
        <f>H131+G132</f>
        <v/>
      </c>
    </row>
    <row r="133">
      <c r="A133" s="9" t="n">
        <v>129</v>
      </c>
      <c r="B133" s="9" t="inlineStr">
        <is>
          <t>Ratchet</t>
        </is>
      </c>
      <c r="C133" s="9" t="inlineStr">
        <is>
          <t>Stochastic scalp with give-back trail exit</t>
        </is>
      </c>
      <c r="D133" s="9" t="inlineStr">
        <is>
          <t>Long</t>
        </is>
      </c>
      <c r="E133" s="10" t="n">
        <v>46044.56944444445</v>
      </c>
      <c r="F133" s="10" t="n">
        <v>46044.57986111111</v>
      </c>
      <c r="G133" s="11" t="n">
        <v>1.8</v>
      </c>
      <c r="H133" s="11">
        <f>H132+G133</f>
        <v/>
      </c>
    </row>
    <row r="134">
      <c r="A134" s="9" t="n">
        <v>130</v>
      </c>
      <c r="B134" s="9" t="inlineStr">
        <is>
          <t>Vanguard_M15</t>
        </is>
      </c>
      <c r="C134" s="9" t="inlineStr">
        <is>
          <t>Trendline breakout (fractal swing line) + VWAP/S-R distance gate - M15 chart</t>
        </is>
      </c>
      <c r="D134" s="9" t="inlineStr">
        <is>
          <t>Short</t>
        </is>
      </c>
      <c r="E134" s="10" t="n">
        <v>46043.80208333334</v>
      </c>
      <c r="F134" s="10" t="n">
        <v>46044.625</v>
      </c>
      <c r="G134" s="11" t="n">
        <v>-8.49</v>
      </c>
      <c r="H134" s="11">
        <f>H133+G134</f>
        <v/>
      </c>
    </row>
    <row r="135">
      <c r="A135" s="9" t="n">
        <v>131</v>
      </c>
      <c r="B135" s="9" t="inlineStr">
        <is>
          <t>Ratchet</t>
        </is>
      </c>
      <c r="C135" s="9" t="inlineStr">
        <is>
          <t>Stochastic scalp with give-back trail exit</t>
        </is>
      </c>
      <c r="D135" s="9" t="inlineStr">
        <is>
          <t>Long</t>
        </is>
      </c>
      <c r="E135" s="10" t="n">
        <v>46044.64236111111</v>
      </c>
      <c r="F135" s="10" t="n">
        <v>46044.64583333334</v>
      </c>
      <c r="G135" s="11" t="n">
        <v>-7.45</v>
      </c>
      <c r="H135" s="11">
        <f>H134+G135</f>
        <v/>
      </c>
    </row>
    <row r="136">
      <c r="A136" s="9" t="n">
        <v>132</v>
      </c>
      <c r="B136" s="9" t="inlineStr">
        <is>
          <t>MSG</t>
        </is>
      </c>
      <c r="C136" s="9" t="inlineStr">
        <is>
          <t>Session-range breakout + Fibonacci retracement-zone entry</t>
        </is>
      </c>
      <c r="D136" s="9" t="inlineStr">
        <is>
          <t>Short</t>
        </is>
      </c>
      <c r="E136" s="10" t="n">
        <v>46044.67777777778</v>
      </c>
      <c r="F136" s="10" t="n">
        <v>46044.68611111111</v>
      </c>
      <c r="G136" s="11" t="n">
        <v>-12.94</v>
      </c>
      <c r="H136" s="11">
        <f>H135+G136</f>
        <v/>
      </c>
    </row>
    <row r="137">
      <c r="A137" s="9" t="n">
        <v>133</v>
      </c>
      <c r="B137" s="9" t="inlineStr">
        <is>
          <t>Ratchet</t>
        </is>
      </c>
      <c r="C137" s="9" t="inlineStr">
        <is>
          <t>Stochastic scalp with give-back trail exit</t>
        </is>
      </c>
      <c r="D137" s="9" t="inlineStr">
        <is>
          <t>Long</t>
        </is>
      </c>
      <c r="E137" s="10" t="n">
        <v>46044.80555555555</v>
      </c>
      <c r="F137" s="10" t="n">
        <v>46044.93402777778</v>
      </c>
      <c r="G137" s="11" t="n">
        <v>45.74</v>
      </c>
      <c r="H137" s="11">
        <f>H136+G137</f>
        <v/>
      </c>
    </row>
    <row r="138">
      <c r="A138" s="9" t="n">
        <v>134</v>
      </c>
      <c r="B138" s="9" t="inlineStr">
        <is>
          <t>Aurelius_M5</t>
        </is>
      </c>
      <c r="C138" s="9" t="inlineStr">
        <is>
          <t>MA alignment (EMA21&gt;EMA50&gt;SMA250&gt;SMMA500 vs EMA2400 trend filter)</t>
        </is>
      </c>
      <c r="D138" s="9" t="inlineStr">
        <is>
          <t>Long</t>
        </is>
      </c>
      <c r="E138" s="10" t="n">
        <v>46044.72222222222</v>
      </c>
      <c r="F138" s="10" t="n">
        <v>46045.04166666666</v>
      </c>
      <c r="G138" s="11" t="n">
        <v>94.45999999999999</v>
      </c>
      <c r="H138" s="11">
        <f>H137+G138</f>
        <v/>
      </c>
    </row>
    <row r="139">
      <c r="A139" s="9" t="n">
        <v>135</v>
      </c>
      <c r="B139" s="9" t="inlineStr">
        <is>
          <t>Ratchet</t>
        </is>
      </c>
      <c r="C139" s="9" t="inlineStr">
        <is>
          <t>Stochastic scalp with give-back trail exit</t>
        </is>
      </c>
      <c r="D139" s="9" t="inlineStr">
        <is>
          <t>Long</t>
        </is>
      </c>
      <c r="E139" s="10" t="n">
        <v>46045.19791666666</v>
      </c>
      <c r="F139" s="10" t="n">
        <v>46045.20486111111</v>
      </c>
      <c r="G139" s="11" t="n">
        <v>1.22</v>
      </c>
      <c r="H139" s="11">
        <f>H138+G139</f>
        <v/>
      </c>
    </row>
    <row r="140">
      <c r="A140" s="9" t="n">
        <v>136</v>
      </c>
      <c r="B140" s="9" t="inlineStr">
        <is>
          <t>Meridian</t>
        </is>
      </c>
      <c r="C140" s="9" t="inlineStr">
        <is>
          <t>21/50 MA cross, 250-period confirm filter, VWAP</t>
        </is>
      </c>
      <c r="D140" s="9" t="inlineStr">
        <is>
          <t>Long</t>
        </is>
      </c>
      <c r="E140" s="10" t="n">
        <v>46044.69097222222</v>
      </c>
      <c r="F140" s="10" t="n">
        <v>46045.40972222222</v>
      </c>
      <c r="G140" s="11" t="n">
        <v>101.56</v>
      </c>
      <c r="H140" s="11">
        <f>H139+G140</f>
        <v/>
      </c>
    </row>
    <row r="141">
      <c r="A141" s="9" t="n">
        <v>137</v>
      </c>
      <c r="B141" s="9" t="inlineStr">
        <is>
          <t>Aurelius_M15</t>
        </is>
      </c>
      <c r="C141" s="9" t="inlineStr">
        <is>
          <t>MA alignment (EMA21&gt;EMA50&gt;SMA250&gt;SMMA500 vs EMA2400 trend filter) - M15 chart</t>
        </is>
      </c>
      <c r="D141" s="9" t="inlineStr">
        <is>
          <t>Long</t>
        </is>
      </c>
      <c r="E141" s="10" t="n">
        <v>46044.69791666666</v>
      </c>
      <c r="F141" s="10" t="n">
        <v>46045.47916666666</v>
      </c>
      <c r="G141" s="11" t="n">
        <v>59.59</v>
      </c>
      <c r="H141" s="11">
        <f>H140+G141</f>
        <v/>
      </c>
    </row>
    <row r="142">
      <c r="A142" s="9" t="n">
        <v>138</v>
      </c>
      <c r="B142" s="9" t="inlineStr">
        <is>
          <t>Ratchet</t>
        </is>
      </c>
      <c r="C142" s="9" t="inlineStr">
        <is>
          <t>Stochastic scalp with give-back trail exit</t>
        </is>
      </c>
      <c r="D142" s="9" t="inlineStr">
        <is>
          <t>Long</t>
        </is>
      </c>
      <c r="E142" s="10" t="n">
        <v>46045.67013888889</v>
      </c>
      <c r="F142" s="10" t="n">
        <v>46045.67708333334</v>
      </c>
      <c r="G142" s="11" t="n">
        <v>0</v>
      </c>
      <c r="H142" s="11">
        <f>H141+G142</f>
        <v/>
      </c>
    </row>
    <row r="143">
      <c r="A143" s="9" t="n">
        <v>139</v>
      </c>
      <c r="B143" s="9" t="inlineStr">
        <is>
          <t>Ratchet</t>
        </is>
      </c>
      <c r="C143" s="9" t="inlineStr">
        <is>
          <t>Stochastic scalp with give-back trail exit</t>
        </is>
      </c>
      <c r="D143" s="9" t="inlineStr">
        <is>
          <t>Long</t>
        </is>
      </c>
      <c r="E143" s="10" t="n">
        <v>46045.69097222222</v>
      </c>
      <c r="F143" s="10" t="n">
        <v>46045.70486111111</v>
      </c>
      <c r="G143" s="11" t="n">
        <v>3.14</v>
      </c>
      <c r="H143" s="11">
        <f>H142+G143</f>
        <v/>
      </c>
    </row>
    <row r="144">
      <c r="A144" s="9" t="n">
        <v>140</v>
      </c>
      <c r="B144" s="9" t="inlineStr">
        <is>
          <t>Aurelius_M5</t>
        </is>
      </c>
      <c r="C144" s="9" t="inlineStr">
        <is>
          <t>MA alignment (EMA21&gt;EMA50&gt;SMA250&gt;SMMA500 vs EMA2400 trend filter)</t>
        </is>
      </c>
      <c r="D144" s="9" t="inlineStr">
        <is>
          <t>Long</t>
        </is>
      </c>
      <c r="E144" s="10" t="n">
        <v>46045.70138888889</v>
      </c>
      <c r="F144" s="10" t="n">
        <v>46045.92013888889</v>
      </c>
      <c r="G144" s="11" t="n">
        <v>27.03</v>
      </c>
      <c r="H144" s="11">
        <f>H143+G144</f>
        <v/>
      </c>
    </row>
    <row r="145">
      <c r="A145" s="9" t="n">
        <v>141</v>
      </c>
      <c r="B145" s="9" t="inlineStr">
        <is>
          <t>Aurelius_M15</t>
        </is>
      </c>
      <c r="C145" s="9" t="inlineStr">
        <is>
          <t>MA alignment (EMA21&gt;EMA50&gt;SMA250&gt;SMMA500 vs EMA2400 trend filter) - M15 chart</t>
        </is>
      </c>
      <c r="D145" s="9" t="inlineStr">
        <is>
          <t>Long</t>
        </is>
      </c>
      <c r="E145" s="10" t="n">
        <v>46045.73958333334</v>
      </c>
      <c r="F145" s="10" t="n">
        <v>46045.92708333334</v>
      </c>
      <c r="G145" s="11" t="n">
        <v>22.18</v>
      </c>
      <c r="H145" s="11">
        <f>H144+G145</f>
        <v/>
      </c>
    </row>
    <row r="146">
      <c r="A146" s="9" t="n">
        <v>142</v>
      </c>
      <c r="B146" s="9" t="inlineStr">
        <is>
          <t>Ratchet</t>
        </is>
      </c>
      <c r="C146" s="9" t="inlineStr">
        <is>
          <t>Stochastic scalp with give-back trail exit</t>
        </is>
      </c>
      <c r="D146" s="9" t="inlineStr">
        <is>
          <t>Long</t>
        </is>
      </c>
      <c r="E146" s="10" t="n">
        <v>46048.12847222222</v>
      </c>
      <c r="F146" s="10" t="n">
        <v>46048.14930555555</v>
      </c>
      <c r="G146" s="11" t="n">
        <v>41.04</v>
      </c>
      <c r="H146" s="11">
        <f>H145+G146</f>
        <v/>
      </c>
    </row>
    <row r="147">
      <c r="A147" s="9" t="n">
        <v>143</v>
      </c>
      <c r="B147" s="9" t="inlineStr">
        <is>
          <t>Ratchet</t>
        </is>
      </c>
      <c r="C147" s="9" t="inlineStr">
        <is>
          <t>Stochastic scalp with give-back trail exit</t>
        </is>
      </c>
      <c r="D147" s="9" t="inlineStr">
        <is>
          <t>Long</t>
        </is>
      </c>
      <c r="E147" s="10" t="n">
        <v>46048.21180555555</v>
      </c>
      <c r="F147" s="10" t="n">
        <v>46048.21875</v>
      </c>
      <c r="G147" s="11" t="n">
        <v>0</v>
      </c>
      <c r="H147" s="11">
        <f>H146+G147</f>
        <v/>
      </c>
    </row>
    <row r="148">
      <c r="A148" s="9" t="n">
        <v>144</v>
      </c>
      <c r="B148" s="9" t="inlineStr">
        <is>
          <t>Ratchet</t>
        </is>
      </c>
      <c r="C148" s="9" t="inlineStr">
        <is>
          <t>Stochastic scalp with give-back trail exit</t>
        </is>
      </c>
      <c r="D148" s="9" t="inlineStr">
        <is>
          <t>Long</t>
        </is>
      </c>
      <c r="E148" s="10" t="n">
        <v>46048.33333333334</v>
      </c>
      <c r="F148" s="10" t="n">
        <v>46048.33680555555</v>
      </c>
      <c r="G148" s="11" t="n">
        <v>1.39</v>
      </c>
      <c r="H148" s="11">
        <f>H147+G148</f>
        <v/>
      </c>
    </row>
    <row r="149">
      <c r="A149" s="9" t="n">
        <v>145</v>
      </c>
      <c r="B149" s="9" t="inlineStr">
        <is>
          <t>Ratchet</t>
        </is>
      </c>
      <c r="C149" s="9" t="inlineStr">
        <is>
          <t>Stochastic scalp with give-back trail exit</t>
        </is>
      </c>
      <c r="D149" s="9" t="inlineStr">
        <is>
          <t>Long</t>
        </is>
      </c>
      <c r="E149" s="10" t="n">
        <v>46048.43055555555</v>
      </c>
      <c r="F149" s="10" t="n">
        <v>46048.45138888889</v>
      </c>
      <c r="G149" s="11" t="n">
        <v>-9.06</v>
      </c>
      <c r="H149" s="11">
        <f>H148+G149</f>
        <v/>
      </c>
    </row>
    <row r="150">
      <c r="A150" s="9" t="n">
        <v>146</v>
      </c>
      <c r="B150" s="9" t="inlineStr">
        <is>
          <t>Ratchet</t>
        </is>
      </c>
      <c r="C150" s="9" t="inlineStr">
        <is>
          <t>Stochastic scalp with give-back trail exit</t>
        </is>
      </c>
      <c r="D150" s="9" t="inlineStr">
        <is>
          <t>Long</t>
        </is>
      </c>
      <c r="E150" s="10" t="n">
        <v>46048.58680555555</v>
      </c>
      <c r="F150" s="10" t="n">
        <v>46048.60069444445</v>
      </c>
      <c r="G150" s="11" t="n">
        <v>0.91</v>
      </c>
      <c r="H150" s="11">
        <f>H149+G150</f>
        <v/>
      </c>
    </row>
    <row r="151">
      <c r="A151" s="9" t="n">
        <v>147</v>
      </c>
      <c r="B151" s="9" t="inlineStr">
        <is>
          <t>Aurelius_M5</t>
        </is>
      </c>
      <c r="C151" s="9" t="inlineStr">
        <is>
          <t>MA alignment (EMA21&gt;EMA50&gt;SMA250&gt;SMMA500 vs EMA2400 trend filter)</t>
        </is>
      </c>
      <c r="D151" s="9" t="inlineStr">
        <is>
          <t>Long</t>
        </is>
      </c>
      <c r="E151" s="10" t="n">
        <v>46048.04513888889</v>
      </c>
      <c r="F151" s="10" t="n">
        <v>46048.625</v>
      </c>
      <c r="G151" s="11" t="n">
        <v>65.2</v>
      </c>
      <c r="H151" s="11">
        <f>H150+G151</f>
        <v/>
      </c>
    </row>
    <row r="152">
      <c r="A152" s="9" t="n">
        <v>148</v>
      </c>
      <c r="B152" s="9" t="inlineStr">
        <is>
          <t>MSG</t>
        </is>
      </c>
      <c r="C152" s="9" t="inlineStr">
        <is>
          <t>Session-range breakout + Fibonacci retracement-zone entry</t>
        </is>
      </c>
      <c r="D152" s="9" t="inlineStr">
        <is>
          <t>Short</t>
        </is>
      </c>
      <c r="E152" s="10" t="n">
        <v>46048.63611111111</v>
      </c>
      <c r="F152" s="10" t="n">
        <v>46048.64375</v>
      </c>
      <c r="G152" s="11" t="n">
        <v>30.15</v>
      </c>
      <c r="H152" s="11">
        <f>H151+G152</f>
        <v/>
      </c>
    </row>
    <row r="153">
      <c r="A153" s="9" t="n">
        <v>149</v>
      </c>
      <c r="B153" s="9" t="inlineStr">
        <is>
          <t>Ratchet</t>
        </is>
      </c>
      <c r="C153" s="9" t="inlineStr">
        <is>
          <t>Stochastic scalp with give-back trail exit</t>
        </is>
      </c>
      <c r="D153" s="9" t="inlineStr">
        <is>
          <t>Long</t>
        </is>
      </c>
      <c r="E153" s="10" t="n">
        <v>46048.72569444445</v>
      </c>
      <c r="F153" s="10" t="n">
        <v>46048.73263888889</v>
      </c>
      <c r="G153" s="11" t="n">
        <v>-15.46</v>
      </c>
      <c r="H153" s="11">
        <f>H152+G153</f>
        <v/>
      </c>
    </row>
    <row r="154">
      <c r="A154" s="9" t="n">
        <v>150</v>
      </c>
      <c r="B154" s="9" t="inlineStr">
        <is>
          <t>Meridian</t>
        </is>
      </c>
      <c r="C154" s="9" t="inlineStr">
        <is>
          <t>21/50 MA cross, 250-period confirm filter, VWAP</t>
        </is>
      </c>
      <c r="D154" s="9" t="inlineStr">
        <is>
          <t>Long</t>
        </is>
      </c>
      <c r="E154" s="10" t="n">
        <v>46048.71180555555</v>
      </c>
      <c r="F154" s="10" t="n">
        <v>46048.76736111111</v>
      </c>
      <c r="G154" s="11" t="n">
        <v>-20.96</v>
      </c>
      <c r="H154" s="11">
        <f>H153+G154</f>
        <v/>
      </c>
    </row>
    <row r="155">
      <c r="A155" s="9" t="n">
        <v>151</v>
      </c>
      <c r="B155" s="9" t="inlineStr">
        <is>
          <t>Aurelius_M5</t>
        </is>
      </c>
      <c r="C155" s="9" t="inlineStr">
        <is>
          <t>MA alignment (EMA21&gt;EMA50&gt;SMA250&gt;SMMA500 vs EMA2400 trend filter)</t>
        </is>
      </c>
      <c r="D155" s="9" t="inlineStr">
        <is>
          <t>Long</t>
        </is>
      </c>
      <c r="E155" s="10" t="n">
        <v>46048.75347222222</v>
      </c>
      <c r="F155" s="10" t="n">
        <v>46048.76736111111</v>
      </c>
      <c r="G155" s="11" t="n">
        <v>-22.18</v>
      </c>
      <c r="H155" s="11">
        <f>H154+G155</f>
        <v/>
      </c>
    </row>
    <row r="156">
      <c r="A156" s="9" t="n">
        <v>152</v>
      </c>
      <c r="B156" s="9" t="inlineStr">
        <is>
          <t>Ratchet</t>
        </is>
      </c>
      <c r="C156" s="9" t="inlineStr">
        <is>
          <t>Stochastic scalp with give-back trail exit</t>
        </is>
      </c>
      <c r="D156" s="9" t="inlineStr">
        <is>
          <t>Long</t>
        </is>
      </c>
      <c r="E156" s="10" t="n">
        <v>46048.75694444445</v>
      </c>
      <c r="F156" s="10" t="n">
        <v>46048.76736111111</v>
      </c>
      <c r="G156" s="11" t="n">
        <v>-15.69</v>
      </c>
      <c r="H156" s="11">
        <f>H155+G156</f>
        <v/>
      </c>
    </row>
    <row r="157">
      <c r="A157" s="9" t="n">
        <v>153</v>
      </c>
      <c r="B157" s="9" t="inlineStr">
        <is>
          <t>Ratchet</t>
        </is>
      </c>
      <c r="C157" s="9" t="inlineStr">
        <is>
          <t>Stochastic scalp with give-back trail exit</t>
        </is>
      </c>
      <c r="D157" s="9" t="inlineStr">
        <is>
          <t>Long</t>
        </is>
      </c>
      <c r="E157" s="10" t="n">
        <v>46048.80208333334</v>
      </c>
      <c r="F157" s="10" t="n">
        <v>46048.83680555555</v>
      </c>
      <c r="G157" s="11" t="n">
        <v>2.33</v>
      </c>
      <c r="H157" s="11">
        <f>H156+G157</f>
        <v/>
      </c>
    </row>
    <row r="158">
      <c r="A158" s="9" t="n">
        <v>154</v>
      </c>
      <c r="B158" s="9" t="inlineStr">
        <is>
          <t>Aurelius_M15</t>
        </is>
      </c>
      <c r="C158" s="9" t="inlineStr">
        <is>
          <t>MA alignment (EMA21&gt;EMA50&gt;SMA250&gt;SMMA500 vs EMA2400 trend filter) - M15 chart</t>
        </is>
      </c>
      <c r="D158" s="9" t="inlineStr">
        <is>
          <t>Long</t>
        </is>
      </c>
      <c r="E158" s="10" t="n">
        <v>46048.72916666666</v>
      </c>
      <c r="F158" s="10" t="n">
        <v>46048.85416666666</v>
      </c>
      <c r="G158" s="11" t="n">
        <v>-31.22</v>
      </c>
      <c r="H158" s="11">
        <f>H157+G158</f>
        <v/>
      </c>
    </row>
    <row r="159">
      <c r="A159" s="9" t="n">
        <v>155</v>
      </c>
      <c r="B159" s="9" t="inlineStr">
        <is>
          <t>Aurelius_M5</t>
        </is>
      </c>
      <c r="C159" s="9" t="inlineStr">
        <is>
          <t>MA alignment (EMA21&gt;EMA50&gt;SMA250&gt;SMMA500 vs EMA2400 trend filter)</t>
        </is>
      </c>
      <c r="D159" s="9" t="inlineStr">
        <is>
          <t>Long</t>
        </is>
      </c>
      <c r="E159" s="10" t="n">
        <v>46048.85069444445</v>
      </c>
      <c r="F159" s="10" t="n">
        <v>46048.86111111111</v>
      </c>
      <c r="G159" s="11" t="n">
        <v>-21.31</v>
      </c>
      <c r="H159" s="11">
        <f>H158+G159</f>
        <v/>
      </c>
    </row>
    <row r="160">
      <c r="A160" s="9" t="n">
        <v>156</v>
      </c>
      <c r="B160" s="9" t="inlineStr">
        <is>
          <t>Meridian</t>
        </is>
      </c>
      <c r="C160" s="9" t="inlineStr">
        <is>
          <t>21/50 MA cross, 250-period confirm filter, VWAP</t>
        </is>
      </c>
      <c r="D160" s="9" t="inlineStr">
        <is>
          <t>Short</t>
        </is>
      </c>
      <c r="E160" s="10" t="n">
        <v>46048.86111111111</v>
      </c>
      <c r="F160" s="10" t="n">
        <v>46049.14236111111</v>
      </c>
      <c r="G160" s="11" t="n">
        <v>-0</v>
      </c>
      <c r="H160" s="11">
        <f>H159+G160</f>
        <v/>
      </c>
    </row>
    <row r="161">
      <c r="A161" s="9" t="n">
        <v>157</v>
      </c>
      <c r="B161" s="9" t="inlineStr">
        <is>
          <t>Vanguard_M5</t>
        </is>
      </c>
      <c r="C161" s="9" t="inlineStr">
        <is>
          <t>Trendline breakout (fractal swing line) + VWAP/S-R distance gate</t>
        </is>
      </c>
      <c r="D161" s="9" t="inlineStr">
        <is>
          <t>Short</t>
        </is>
      </c>
      <c r="E161" s="10" t="n">
        <v>46048.89236111111</v>
      </c>
      <c r="F161" s="10" t="n">
        <v>46049.19444444445</v>
      </c>
      <c r="G161" s="11" t="n">
        <v>-54.4</v>
      </c>
      <c r="H161" s="11">
        <f>H160+G161</f>
        <v/>
      </c>
    </row>
    <row r="162">
      <c r="A162" s="9" t="n">
        <v>158</v>
      </c>
      <c r="B162" s="9" t="inlineStr">
        <is>
          <t>Ratchet</t>
        </is>
      </c>
      <c r="C162" s="9" t="inlineStr">
        <is>
          <t>Stochastic scalp with give-back trail exit</t>
        </is>
      </c>
      <c r="D162" s="9" t="inlineStr">
        <is>
          <t>Long</t>
        </is>
      </c>
      <c r="E162" s="10" t="n">
        <v>46049.26736111111</v>
      </c>
      <c r="F162" s="10" t="n">
        <v>46049.27777777778</v>
      </c>
      <c r="G162" s="11" t="n">
        <v>-9.59</v>
      </c>
      <c r="H162" s="11">
        <f>H161+G162</f>
        <v/>
      </c>
    </row>
    <row r="163">
      <c r="A163" s="9" t="n">
        <v>159</v>
      </c>
      <c r="B163" s="9" t="inlineStr">
        <is>
          <t>Vanguard_M15</t>
        </is>
      </c>
      <c r="C163" s="9" t="inlineStr">
        <is>
          <t>Trendline breakout (fractal swing line) + VWAP/S-R distance gate - M15 chart</t>
        </is>
      </c>
      <c r="D163" s="9" t="inlineStr">
        <is>
          <t>Short</t>
        </is>
      </c>
      <c r="E163" s="10" t="n">
        <v>46048.89583333334</v>
      </c>
      <c r="F163" s="10" t="n">
        <v>46049.33333333334</v>
      </c>
      <c r="G163" s="11" t="n">
        <v>-58.19</v>
      </c>
      <c r="H163" s="11">
        <f>H162+G163</f>
        <v/>
      </c>
    </row>
    <row r="164">
      <c r="A164" s="9" t="n">
        <v>160</v>
      </c>
      <c r="B164" s="9" t="inlineStr">
        <is>
          <t>Ratchet</t>
        </is>
      </c>
      <c r="C164" s="9" t="inlineStr">
        <is>
          <t>Stochastic scalp with give-back trail exit</t>
        </is>
      </c>
      <c r="D164" s="9" t="inlineStr">
        <is>
          <t>Long</t>
        </is>
      </c>
      <c r="E164" s="10" t="n">
        <v>46049.39583333334</v>
      </c>
      <c r="F164" s="10" t="n">
        <v>46049.40625</v>
      </c>
      <c r="G164" s="11" t="n">
        <v>2.4</v>
      </c>
      <c r="H164" s="11">
        <f>H163+G164</f>
        <v/>
      </c>
    </row>
    <row r="165">
      <c r="A165" s="9" t="n">
        <v>161</v>
      </c>
      <c r="B165" s="9" t="inlineStr">
        <is>
          <t>Ratchet</t>
        </is>
      </c>
      <c r="C165" s="9" t="inlineStr">
        <is>
          <t>Stochastic scalp with give-back trail exit</t>
        </is>
      </c>
      <c r="D165" s="9" t="inlineStr">
        <is>
          <t>Long</t>
        </is>
      </c>
      <c r="E165" s="10" t="n">
        <v>46049.48263888889</v>
      </c>
      <c r="F165" s="10" t="n">
        <v>46049.48611111111</v>
      </c>
      <c r="G165" s="11" t="n">
        <v>0.92</v>
      </c>
      <c r="H165" s="11">
        <f>H164+G165</f>
        <v/>
      </c>
    </row>
    <row r="166">
      <c r="A166" s="9" t="n">
        <v>162</v>
      </c>
      <c r="B166" s="9" t="inlineStr">
        <is>
          <t>Ratchet</t>
        </is>
      </c>
      <c r="C166" s="9" t="inlineStr">
        <is>
          <t>Stochastic scalp with give-back trail exit</t>
        </is>
      </c>
      <c r="D166" s="9" t="inlineStr">
        <is>
          <t>Long</t>
        </is>
      </c>
      <c r="E166" s="10" t="n">
        <v>46049.49305555555</v>
      </c>
      <c r="F166" s="10" t="n">
        <v>46049.50694444445</v>
      </c>
      <c r="G166" s="11" t="n">
        <v>2.95</v>
      </c>
      <c r="H166" s="11">
        <f>H165+G166</f>
        <v/>
      </c>
    </row>
    <row r="167">
      <c r="A167" s="9" t="n">
        <v>163</v>
      </c>
      <c r="B167" s="9" t="inlineStr">
        <is>
          <t>Vanguard_M5</t>
        </is>
      </c>
      <c r="C167" s="9" t="inlineStr">
        <is>
          <t>Trendline breakout (fractal swing line) + VWAP/S-R distance gate</t>
        </is>
      </c>
      <c r="D167" s="9" t="inlineStr">
        <is>
          <t>Long</t>
        </is>
      </c>
      <c r="E167" s="10" t="n">
        <v>46049.39930555555</v>
      </c>
      <c r="F167" s="10" t="n">
        <v>46049.57638888889</v>
      </c>
      <c r="G167" s="11" t="n">
        <v>-26.67</v>
      </c>
      <c r="H167" s="11">
        <f>H166+G167</f>
        <v/>
      </c>
    </row>
    <row r="168">
      <c r="A168" s="9" t="n">
        <v>164</v>
      </c>
      <c r="B168" s="9" t="inlineStr">
        <is>
          <t>MSG</t>
        </is>
      </c>
      <c r="C168" s="9" t="inlineStr">
        <is>
          <t>Session-range breakout + Fibonacci retracement-zone entry</t>
        </is>
      </c>
      <c r="D168" s="9" t="inlineStr">
        <is>
          <t>Short</t>
        </is>
      </c>
      <c r="E168" s="10" t="n">
        <v>46049.60625</v>
      </c>
      <c r="F168" s="10" t="n">
        <v>46049.62638888889</v>
      </c>
      <c r="G168" s="11" t="n">
        <v>-13.45</v>
      </c>
      <c r="H168" s="11">
        <f>H167+G168</f>
        <v/>
      </c>
    </row>
    <row r="169">
      <c r="A169" s="9" t="n">
        <v>165</v>
      </c>
      <c r="B169" s="9" t="inlineStr">
        <is>
          <t>Meridian</t>
        </is>
      </c>
      <c r="C169" s="9" t="inlineStr">
        <is>
          <t>21/50 MA cross, 250-period confirm filter, VWAP</t>
        </is>
      </c>
      <c r="D169" s="9" t="inlineStr">
        <is>
          <t>Long</t>
        </is>
      </c>
      <c r="E169" s="10" t="n">
        <v>46049.63541666666</v>
      </c>
      <c r="F169" s="10" t="n">
        <v>46049.64583333334</v>
      </c>
      <c r="G169" s="11" t="n">
        <v>-15.24</v>
      </c>
      <c r="H169" s="11">
        <f>H168+G169</f>
        <v/>
      </c>
    </row>
    <row r="170">
      <c r="A170" s="9" t="n">
        <v>166</v>
      </c>
      <c r="B170" s="9" t="inlineStr">
        <is>
          <t>Vanguard_M15</t>
        </is>
      </c>
      <c r="C170" s="9" t="inlineStr">
        <is>
          <t>Trendline breakout (fractal swing line) + VWAP/S-R distance gate - M15 chart</t>
        </is>
      </c>
      <c r="D170" s="9" t="inlineStr">
        <is>
          <t>Long</t>
        </is>
      </c>
      <c r="E170" s="10" t="n">
        <v>46049.5</v>
      </c>
      <c r="F170" s="10" t="n">
        <v>46049.66666666666</v>
      </c>
      <c r="G170" s="11" t="n">
        <v>-33.5</v>
      </c>
      <c r="H170" s="11">
        <f>H169+G170</f>
        <v/>
      </c>
    </row>
    <row r="171">
      <c r="A171" s="9" t="n">
        <v>167</v>
      </c>
      <c r="B171" s="9" t="inlineStr">
        <is>
          <t>Aurelius_M5</t>
        </is>
      </c>
      <c r="C171" s="9" t="inlineStr">
        <is>
          <t>MA alignment (EMA21&gt;EMA50&gt;SMA250&gt;SMMA500 vs EMA2400 trend filter)</t>
        </is>
      </c>
      <c r="D171" s="9" t="inlineStr">
        <is>
          <t>Long</t>
        </is>
      </c>
      <c r="E171" s="10" t="n">
        <v>46049.80555555555</v>
      </c>
      <c r="F171" s="10" t="n">
        <v>46050.04166666666</v>
      </c>
      <c r="G171" s="11" t="n">
        <v>98.09</v>
      </c>
      <c r="H171" s="11">
        <f>H170+G171</f>
        <v/>
      </c>
    </row>
    <row r="172">
      <c r="A172" s="9" t="n">
        <v>168</v>
      </c>
      <c r="B172" s="9" t="inlineStr">
        <is>
          <t>Ratchet</t>
        </is>
      </c>
      <c r="C172" s="9" t="inlineStr">
        <is>
          <t>Stochastic scalp with give-back trail exit</t>
        </is>
      </c>
      <c r="D172" s="9" t="inlineStr">
        <is>
          <t>Long</t>
        </is>
      </c>
      <c r="E172" s="10" t="n">
        <v>46050.04513888889</v>
      </c>
      <c r="F172" s="10" t="n">
        <v>46050.05555555555</v>
      </c>
      <c r="G172" s="11" t="n">
        <v>-18.44</v>
      </c>
      <c r="H172" s="11">
        <f>H171+G172</f>
        <v/>
      </c>
    </row>
    <row r="173">
      <c r="A173" s="9" t="n">
        <v>169</v>
      </c>
      <c r="B173" s="9" t="inlineStr">
        <is>
          <t>Ratchet</t>
        </is>
      </c>
      <c r="C173" s="9" t="inlineStr">
        <is>
          <t>Stochastic scalp with give-back trail exit</t>
        </is>
      </c>
      <c r="D173" s="9" t="inlineStr">
        <is>
          <t>Long</t>
        </is>
      </c>
      <c r="E173" s="10" t="n">
        <v>46050.14583333334</v>
      </c>
      <c r="F173" s="10" t="n">
        <v>46050.17361111111</v>
      </c>
      <c r="G173" s="11" t="n">
        <v>7.96</v>
      </c>
      <c r="H173" s="11">
        <f>H172+G173</f>
        <v/>
      </c>
    </row>
    <row r="174">
      <c r="A174" s="9" t="n">
        <v>170</v>
      </c>
      <c r="B174" s="9" t="inlineStr">
        <is>
          <t>Ratchet</t>
        </is>
      </c>
      <c r="C174" s="9" t="inlineStr">
        <is>
          <t>Stochastic scalp with give-back trail exit</t>
        </is>
      </c>
      <c r="D174" s="9" t="inlineStr">
        <is>
          <t>Long</t>
        </is>
      </c>
      <c r="E174" s="10" t="n">
        <v>46050.23958333334</v>
      </c>
      <c r="F174" s="10" t="n">
        <v>46050.24652777778</v>
      </c>
      <c r="G174" s="11" t="n">
        <v>1.96</v>
      </c>
      <c r="H174" s="11">
        <f>H173+G174</f>
        <v/>
      </c>
    </row>
    <row r="175">
      <c r="A175" s="9" t="n">
        <v>171</v>
      </c>
      <c r="B175" s="9" t="inlineStr">
        <is>
          <t>Ratchet</t>
        </is>
      </c>
      <c r="C175" s="9" t="inlineStr">
        <is>
          <t>Stochastic scalp with give-back trail exit</t>
        </is>
      </c>
      <c r="D175" s="9" t="inlineStr">
        <is>
          <t>Long</t>
        </is>
      </c>
      <c r="E175" s="10" t="n">
        <v>46050.27777777778</v>
      </c>
      <c r="F175" s="10" t="n">
        <v>46050.54166666666</v>
      </c>
      <c r="G175" s="11" t="n">
        <v>19.75</v>
      </c>
      <c r="H175" s="11">
        <f>H174+G175</f>
        <v/>
      </c>
    </row>
    <row r="176">
      <c r="A176" s="9" t="n">
        <v>172</v>
      </c>
      <c r="B176" s="9" t="inlineStr">
        <is>
          <t>Meridian</t>
        </is>
      </c>
      <c r="C176" s="9" t="inlineStr">
        <is>
          <t>21/50 MA cross, 250-period confirm filter, VWAP</t>
        </is>
      </c>
      <c r="D176" s="9" t="inlineStr">
        <is>
          <t>Long</t>
        </is>
      </c>
      <c r="E176" s="10" t="n">
        <v>46049.75694444445</v>
      </c>
      <c r="F176" s="10" t="n">
        <v>46050.54861111111</v>
      </c>
      <c r="G176" s="11" t="n">
        <v>160.81</v>
      </c>
      <c r="H176" s="11">
        <f>H175+G176</f>
        <v/>
      </c>
    </row>
    <row r="177">
      <c r="A177" s="9" t="n">
        <v>173</v>
      </c>
      <c r="B177" s="9" t="inlineStr">
        <is>
          <t>Ratchet</t>
        </is>
      </c>
      <c r="C177" s="9" t="inlineStr">
        <is>
          <t>Stochastic scalp with give-back trail exit</t>
        </is>
      </c>
      <c r="D177" s="9" t="inlineStr">
        <is>
          <t>Long</t>
        </is>
      </c>
      <c r="E177" s="10" t="n">
        <v>46050.63888888889</v>
      </c>
      <c r="F177" s="10" t="n">
        <v>46050.64583333334</v>
      </c>
      <c r="G177" s="11" t="n">
        <v>1.96</v>
      </c>
      <c r="H177" s="11">
        <f>H176+G177</f>
        <v/>
      </c>
    </row>
    <row r="178">
      <c r="A178" s="9" t="n">
        <v>174</v>
      </c>
      <c r="B178" s="9" t="inlineStr">
        <is>
          <t>Meridian</t>
        </is>
      </c>
      <c r="C178" s="9" t="inlineStr">
        <is>
          <t>21/50 MA cross, 250-period confirm filter, VWAP</t>
        </is>
      </c>
      <c r="D178" s="9" t="inlineStr">
        <is>
          <t>Long</t>
        </is>
      </c>
      <c r="E178" s="10" t="n">
        <v>46050.62847222222</v>
      </c>
      <c r="F178" s="10" t="n">
        <v>46050.64930555555</v>
      </c>
      <c r="G178" s="11" t="n">
        <v>-19.58</v>
      </c>
      <c r="H178" s="11">
        <f>H177+G178</f>
        <v/>
      </c>
    </row>
    <row r="179">
      <c r="A179" s="9" t="n">
        <v>175</v>
      </c>
      <c r="B179" s="9" t="inlineStr">
        <is>
          <t>MSG</t>
        </is>
      </c>
      <c r="C179" s="9" t="inlineStr">
        <is>
          <t>Session-range breakout + Fibonacci retracement-zone entry</t>
        </is>
      </c>
      <c r="D179" s="9" t="inlineStr">
        <is>
          <t>Short</t>
        </is>
      </c>
      <c r="E179" s="10" t="n">
        <v>46050.62430555555</v>
      </c>
      <c r="F179" s="10" t="n">
        <v>46050.69166666667</v>
      </c>
      <c r="G179" s="11" t="n">
        <v>24.53</v>
      </c>
      <c r="H179" s="11">
        <f>H178+G179</f>
        <v/>
      </c>
    </row>
    <row r="180">
      <c r="A180" s="9" t="n">
        <v>176</v>
      </c>
      <c r="B180" s="9" t="inlineStr">
        <is>
          <t>Meridian</t>
        </is>
      </c>
      <c r="C180" s="9" t="inlineStr">
        <is>
          <t>21/50 MA cross, 250-period confirm filter, VWAP</t>
        </is>
      </c>
      <c r="D180" s="9" t="inlineStr">
        <is>
          <t>Long</t>
        </is>
      </c>
      <c r="E180" s="10" t="n">
        <v>46050.70138888889</v>
      </c>
      <c r="F180" s="10" t="n">
        <v>46050.71180555555</v>
      </c>
      <c r="G180" s="11" t="n">
        <v>-24.36</v>
      </c>
      <c r="H180" s="11">
        <f>H179+G180</f>
        <v/>
      </c>
    </row>
    <row r="181">
      <c r="A181" s="9" t="n">
        <v>177</v>
      </c>
      <c r="B181" s="9" t="inlineStr">
        <is>
          <t>Ratchet</t>
        </is>
      </c>
      <c r="C181" s="9" t="inlineStr">
        <is>
          <t>Stochastic scalp with give-back trail exit</t>
        </is>
      </c>
      <c r="D181" s="9" t="inlineStr">
        <is>
          <t>Long</t>
        </is>
      </c>
      <c r="E181" s="10" t="n">
        <v>46050.76041666666</v>
      </c>
      <c r="F181" s="10" t="n">
        <v>46050.80208333334</v>
      </c>
      <c r="G181" s="11" t="n">
        <v>5.33</v>
      </c>
      <c r="H181" s="11">
        <f>H180+G181</f>
        <v/>
      </c>
    </row>
    <row r="182">
      <c r="A182" s="9" t="n">
        <v>178</v>
      </c>
      <c r="B182" s="9" t="inlineStr">
        <is>
          <t>Aurelius_M5</t>
        </is>
      </c>
      <c r="C182" s="9" t="inlineStr">
        <is>
          <t>MA alignment (EMA21&gt;EMA50&gt;SMA250&gt;SMMA500 vs EMA2400 trend filter)</t>
        </is>
      </c>
      <c r="D182" s="9" t="inlineStr">
        <is>
          <t>Long</t>
        </is>
      </c>
      <c r="E182" s="10" t="n">
        <v>46050.78472222222</v>
      </c>
      <c r="F182" s="10" t="n">
        <v>46051.04166666666</v>
      </c>
      <c r="G182" s="11" t="n">
        <v>124.49</v>
      </c>
      <c r="H182" s="11">
        <f>H181+G182</f>
        <v/>
      </c>
    </row>
    <row r="183">
      <c r="A183" s="9" t="n">
        <v>179</v>
      </c>
      <c r="B183" s="9" t="inlineStr">
        <is>
          <t>Ratchet</t>
        </is>
      </c>
      <c r="C183" s="9" t="inlineStr">
        <is>
          <t>Stochastic scalp with give-back trail exit</t>
        </is>
      </c>
      <c r="D183" s="9" t="inlineStr">
        <is>
          <t>Long</t>
        </is>
      </c>
      <c r="E183" s="10" t="n">
        <v>46051.14236111111</v>
      </c>
      <c r="F183" s="10" t="n">
        <v>46051.16666666666</v>
      </c>
      <c r="G183" s="11" t="n">
        <v>11.98</v>
      </c>
      <c r="H183" s="11">
        <f>H182+G183</f>
        <v/>
      </c>
    </row>
    <row r="184">
      <c r="A184" s="9" t="n">
        <v>180</v>
      </c>
      <c r="B184" s="9" t="inlineStr">
        <is>
          <t>Ratchet</t>
        </is>
      </c>
      <c r="C184" s="9" t="inlineStr">
        <is>
          <t>Stochastic scalp with give-back trail exit</t>
        </is>
      </c>
      <c r="D184" s="9" t="inlineStr">
        <is>
          <t>Long</t>
        </is>
      </c>
      <c r="E184" s="10" t="n">
        <v>46051.30208333334</v>
      </c>
      <c r="F184" s="10" t="n">
        <v>46051.30555555555</v>
      </c>
      <c r="G184" s="11" t="n">
        <v>-16.03</v>
      </c>
      <c r="H184" s="11">
        <f>H183+G184</f>
        <v/>
      </c>
    </row>
    <row r="185">
      <c r="A185" s="9" t="n">
        <v>181</v>
      </c>
      <c r="B185" s="9" t="inlineStr">
        <is>
          <t>Meridian</t>
        </is>
      </c>
      <c r="C185" s="9" t="inlineStr">
        <is>
          <t>21/50 MA cross, 250-period confirm filter, VWAP</t>
        </is>
      </c>
      <c r="D185" s="9" t="inlineStr">
        <is>
          <t>Long</t>
        </is>
      </c>
      <c r="E185" s="10" t="n">
        <v>46050.73611111111</v>
      </c>
      <c r="F185" s="10" t="n">
        <v>46051.43402777778</v>
      </c>
      <c r="G185" s="11" t="n">
        <v>255.43</v>
      </c>
      <c r="H185" s="11">
        <f>H184+G185</f>
        <v/>
      </c>
    </row>
    <row r="186">
      <c r="A186" s="9" t="n">
        <v>182</v>
      </c>
      <c r="B186" s="9" t="inlineStr">
        <is>
          <t>Aurelius_M15</t>
        </is>
      </c>
      <c r="C186" s="9" t="inlineStr">
        <is>
          <t>MA alignment (EMA21&gt;EMA50&gt;SMA250&gt;SMMA500 vs EMA2400 trend filter) - M15 chart</t>
        </is>
      </c>
      <c r="D186" s="9" t="inlineStr">
        <is>
          <t>Long</t>
        </is>
      </c>
      <c r="E186" s="10" t="n">
        <v>46049.69791666666</v>
      </c>
      <c r="F186" s="10" t="n">
        <v>46051.57291666666</v>
      </c>
      <c r="G186" s="11" t="n">
        <v>435.03</v>
      </c>
      <c r="H186" s="11">
        <f>H185+G186</f>
        <v/>
      </c>
    </row>
    <row r="187">
      <c r="A187" s="9" t="n">
        <v>183</v>
      </c>
      <c r="B187" s="9" t="inlineStr">
        <is>
          <t>Ratchet</t>
        </is>
      </c>
      <c r="C187" s="9" t="inlineStr">
        <is>
          <t>Stochastic scalp with give-back trail exit</t>
        </is>
      </c>
      <c r="D187" s="9" t="inlineStr">
        <is>
          <t>Long</t>
        </is>
      </c>
      <c r="E187" s="10" t="n">
        <v>46051.60763888889</v>
      </c>
      <c r="F187" s="10" t="n">
        <v>46051.61111111111</v>
      </c>
      <c r="G187" s="11" t="n">
        <v>-14.6</v>
      </c>
      <c r="H187" s="11">
        <f>H186+G187</f>
        <v/>
      </c>
    </row>
    <row r="188">
      <c r="A188" s="9" t="n">
        <v>184</v>
      </c>
      <c r="B188" s="9" t="inlineStr">
        <is>
          <t>Meridian</t>
        </is>
      </c>
      <c r="C188" s="9" t="inlineStr">
        <is>
          <t>21/50 MA cross, 250-period confirm filter, VWAP</t>
        </is>
      </c>
      <c r="D188" s="9" t="inlineStr">
        <is>
          <t>Long</t>
        </is>
      </c>
      <c r="E188" s="10" t="n">
        <v>46051.60416666666</v>
      </c>
      <c r="F188" s="10" t="n">
        <v>46051.63194444445</v>
      </c>
      <c r="G188" s="11" t="n">
        <v>-24.33</v>
      </c>
      <c r="H188" s="11">
        <f>H187+G188</f>
        <v/>
      </c>
    </row>
    <row r="189">
      <c r="A189" s="9" t="n">
        <v>185</v>
      </c>
      <c r="B189" s="9" t="inlineStr">
        <is>
          <t>Ratchet</t>
        </is>
      </c>
      <c r="C189" s="9" t="inlineStr">
        <is>
          <t>Stochastic scalp with give-back trail exit</t>
        </is>
      </c>
      <c r="D189" s="9" t="inlineStr">
        <is>
          <t>Long</t>
        </is>
      </c>
      <c r="E189" s="10" t="n">
        <v>46051.62847222222</v>
      </c>
      <c r="F189" s="10" t="n">
        <v>46051.63194444445</v>
      </c>
      <c r="G189" s="11" t="n">
        <v>-15.97</v>
      </c>
      <c r="H189" s="11">
        <f>H188+G189</f>
        <v/>
      </c>
    </row>
    <row r="190">
      <c r="A190" s="9" t="n">
        <v>186</v>
      </c>
      <c r="B190" s="9" t="inlineStr">
        <is>
          <t>Meridian</t>
        </is>
      </c>
      <c r="C190" s="9" t="inlineStr">
        <is>
          <t>21/50 MA cross, 250-period confirm filter, VWAP</t>
        </is>
      </c>
      <c r="D190" s="9" t="inlineStr">
        <is>
          <t>Long</t>
        </is>
      </c>
      <c r="E190" s="10" t="n">
        <v>46051.67708333334</v>
      </c>
      <c r="F190" s="10" t="n">
        <v>46051.69791666666</v>
      </c>
      <c r="G190" s="11" t="n">
        <v>-31.61</v>
      </c>
      <c r="H190" s="11">
        <f>H189+G190</f>
        <v/>
      </c>
    </row>
    <row r="191">
      <c r="A191" s="9" t="n">
        <v>187</v>
      </c>
      <c r="B191" s="9" t="inlineStr">
        <is>
          <t>Vanguard_M15</t>
        </is>
      </c>
      <c r="C191" s="9" t="inlineStr">
        <is>
          <t>Trendline breakout (fractal swing line) + VWAP/S-R distance gate - M15 chart</t>
        </is>
      </c>
      <c r="D191" s="9" t="inlineStr">
        <is>
          <t>Long</t>
        </is>
      </c>
      <c r="E191" s="10" t="n">
        <v>46049.77083333334</v>
      </c>
      <c r="F191" s="10" t="n">
        <v>46051.70833333334</v>
      </c>
      <c r="G191" s="11" t="n">
        <v>285.72</v>
      </c>
      <c r="H191" s="11">
        <f>H190+G191</f>
        <v/>
      </c>
    </row>
    <row r="192">
      <c r="A192" s="9" t="n">
        <v>188</v>
      </c>
      <c r="B192" s="9" t="inlineStr">
        <is>
          <t>Vanguard_M5</t>
        </is>
      </c>
      <c r="C192" s="9" t="inlineStr">
        <is>
          <t>Trendline breakout (fractal swing line) + VWAP/S-R distance gate</t>
        </is>
      </c>
      <c r="D192" s="9" t="inlineStr">
        <is>
          <t>Long</t>
        </is>
      </c>
      <c r="E192" s="10" t="n">
        <v>46049.75</v>
      </c>
      <c r="F192" s="10" t="n">
        <v>46051.71180555555</v>
      </c>
      <c r="G192" s="11" t="n">
        <v>324.24</v>
      </c>
      <c r="H192" s="11">
        <f>H191+G192</f>
        <v/>
      </c>
    </row>
    <row r="193">
      <c r="A193" s="9" t="n">
        <v>189</v>
      </c>
      <c r="B193" s="9" t="inlineStr">
        <is>
          <t>Meridian</t>
        </is>
      </c>
      <c r="C193" s="9" t="inlineStr">
        <is>
          <t>21/50 MA cross, 250-period confirm filter, VWAP</t>
        </is>
      </c>
      <c r="D193" s="9" t="inlineStr">
        <is>
          <t>Short</t>
        </is>
      </c>
      <c r="E193" s="10" t="n">
        <v>46052.14583333334</v>
      </c>
      <c r="F193" s="10" t="n">
        <v>46052.59027777778</v>
      </c>
      <c r="G193" s="11" t="n">
        <v>227.47</v>
      </c>
      <c r="H193" s="11">
        <f>H192+G193</f>
        <v/>
      </c>
    </row>
    <row r="194">
      <c r="A194" s="9" t="n">
        <v>190</v>
      </c>
      <c r="B194" s="9" t="inlineStr">
        <is>
          <t>Meridian</t>
        </is>
      </c>
      <c r="C194" s="9" t="inlineStr">
        <is>
          <t>21/50 MA cross, 250-period confirm filter, VWAP</t>
        </is>
      </c>
      <c r="D194" s="9" t="inlineStr">
        <is>
          <t>Short</t>
        </is>
      </c>
      <c r="E194" s="10" t="n">
        <v>46052.62152777778</v>
      </c>
      <c r="F194" s="10" t="n">
        <v>46052.91666666666</v>
      </c>
      <c r="G194" s="11" t="n">
        <v>157.21</v>
      </c>
      <c r="H194" s="11">
        <f>H193+G194</f>
        <v/>
      </c>
    </row>
    <row r="195">
      <c r="A195" s="9" t="n">
        <v>191</v>
      </c>
      <c r="B195" s="9" t="inlineStr">
        <is>
          <t>Aurelius_M5</t>
        </is>
      </c>
      <c r="C195" s="9" t="inlineStr">
        <is>
          <t>MA alignment (EMA21&gt;EMA50&gt;SMA250&gt;SMMA500 vs EMA2400 trend filter)</t>
        </is>
      </c>
      <c r="D195" s="9" t="inlineStr">
        <is>
          <t>Short</t>
        </is>
      </c>
      <c r="E195" s="10" t="n">
        <v>46052.74305555555</v>
      </c>
      <c r="F195" s="10" t="n">
        <v>46052.92013888889</v>
      </c>
      <c r="G195" s="11" t="n">
        <v>152.83</v>
      </c>
      <c r="H195" s="11">
        <f>H194+G195</f>
        <v/>
      </c>
    </row>
    <row r="196">
      <c r="A196" s="9" t="n">
        <v>192</v>
      </c>
      <c r="B196" s="9" t="inlineStr">
        <is>
          <t>Ratchet</t>
        </is>
      </c>
      <c r="C196" s="9" t="inlineStr">
        <is>
          <t>Stochastic scalp with give-back trail exit</t>
        </is>
      </c>
      <c r="D196" s="9" t="inlineStr">
        <is>
          <t>Short</t>
        </is>
      </c>
      <c r="E196" s="10" t="n">
        <v>46055.12847222222</v>
      </c>
      <c r="F196" s="10" t="n">
        <v>46055.14930555555</v>
      </c>
      <c r="G196" s="11" t="n">
        <v>33.51</v>
      </c>
      <c r="H196" s="11">
        <f>H195+G196</f>
        <v/>
      </c>
    </row>
    <row r="197">
      <c r="A197" s="9" t="n">
        <v>193</v>
      </c>
      <c r="B197" s="9" t="inlineStr">
        <is>
          <t>Ratchet</t>
        </is>
      </c>
      <c r="C197" s="9" t="inlineStr">
        <is>
          <t>Stochastic scalp with give-back trail exit</t>
        </is>
      </c>
      <c r="D197" s="9" t="inlineStr">
        <is>
          <t>Short</t>
        </is>
      </c>
      <c r="E197" s="10" t="n">
        <v>46055.21180555555</v>
      </c>
      <c r="F197" s="10" t="n">
        <v>46055.21875</v>
      </c>
      <c r="G197" s="11" t="n">
        <v>-0</v>
      </c>
      <c r="H197" s="11">
        <f>H196+G197</f>
        <v/>
      </c>
    </row>
    <row r="198">
      <c r="A198" s="9" t="n">
        <v>194</v>
      </c>
      <c r="B198" s="9" t="inlineStr">
        <is>
          <t>Ratchet</t>
        </is>
      </c>
      <c r="C198" s="9" t="inlineStr">
        <is>
          <t>Stochastic scalp with give-back trail exit</t>
        </is>
      </c>
      <c r="D198" s="9" t="inlineStr">
        <is>
          <t>Short</t>
        </is>
      </c>
      <c r="E198" s="10" t="n">
        <v>46055.30555555555</v>
      </c>
      <c r="F198" s="10" t="n">
        <v>46055.40277777778</v>
      </c>
      <c r="G198" s="11" t="n">
        <v>76.5</v>
      </c>
      <c r="H198" s="11">
        <f>H197+G198</f>
        <v/>
      </c>
    </row>
    <row r="199">
      <c r="A199" s="9" t="n">
        <v>195</v>
      </c>
      <c r="B199" s="9" t="inlineStr">
        <is>
          <t>Ratchet</t>
        </is>
      </c>
      <c r="C199" s="9" t="inlineStr">
        <is>
          <t>Stochastic scalp with give-back trail exit</t>
        </is>
      </c>
      <c r="D199" s="9" t="inlineStr">
        <is>
          <t>Short</t>
        </is>
      </c>
      <c r="E199" s="10" t="n">
        <v>46055.88194444445</v>
      </c>
      <c r="F199" s="10" t="n">
        <v>46055.88888888889</v>
      </c>
      <c r="G199" s="11" t="n">
        <v>-0</v>
      </c>
      <c r="H199" s="11">
        <f>H198+G199</f>
        <v/>
      </c>
    </row>
    <row r="200">
      <c r="A200" s="9" t="n">
        <v>196</v>
      </c>
      <c r="B200" s="9" t="inlineStr">
        <is>
          <t>Ratchet</t>
        </is>
      </c>
      <c r="C200" s="9" t="inlineStr">
        <is>
          <t>Stochastic scalp with give-back trail exit</t>
        </is>
      </c>
      <c r="D200" s="9" t="inlineStr">
        <is>
          <t>Short</t>
        </is>
      </c>
      <c r="E200" s="10" t="n">
        <v>46055.95833333334</v>
      </c>
      <c r="F200" s="10" t="n">
        <v>46055.99652777778</v>
      </c>
      <c r="G200" s="11" t="n">
        <v>-12.03</v>
      </c>
      <c r="H200" s="11">
        <f>H199+G200</f>
        <v/>
      </c>
    </row>
    <row r="201">
      <c r="A201" s="9" t="n">
        <v>197</v>
      </c>
      <c r="B201" s="9" t="inlineStr">
        <is>
          <t>Vanguard_M5</t>
        </is>
      </c>
      <c r="C201" s="9" t="inlineStr">
        <is>
          <t>Trendline breakout (fractal swing line) + VWAP/S-R distance gate</t>
        </is>
      </c>
      <c r="D201" s="9" t="inlineStr">
        <is>
          <t>Short</t>
        </is>
      </c>
      <c r="E201" s="10" t="n">
        <v>46051.71527777778</v>
      </c>
      <c r="F201" s="10" t="n">
        <v>46056.04166666666</v>
      </c>
      <c r="G201" s="11" t="n">
        <v>713.97</v>
      </c>
      <c r="H201" s="11">
        <f>H200+G201</f>
        <v/>
      </c>
    </row>
    <row r="202">
      <c r="A202" s="9" t="n">
        <v>198</v>
      </c>
      <c r="B202" s="9" t="inlineStr">
        <is>
          <t>Vanguard_M15</t>
        </is>
      </c>
      <c r="C202" s="9" t="inlineStr">
        <is>
          <t>Trendline breakout (fractal swing line) + VWAP/S-R distance gate - M15 chart</t>
        </is>
      </c>
      <c r="D202" s="9" t="inlineStr">
        <is>
          <t>Short</t>
        </is>
      </c>
      <c r="E202" s="10" t="n">
        <v>46051.71875</v>
      </c>
      <c r="F202" s="10" t="n">
        <v>46056.04166666666</v>
      </c>
      <c r="G202" s="11" t="n">
        <v>665.99</v>
      </c>
      <c r="H202" s="11">
        <f>H201+G202</f>
        <v/>
      </c>
    </row>
    <row r="203">
      <c r="A203" s="9" t="n">
        <v>199</v>
      </c>
      <c r="B203" s="9" t="inlineStr">
        <is>
          <t>Ratchet</t>
        </is>
      </c>
      <c r="C203" s="9" t="inlineStr">
        <is>
          <t>Stochastic scalp with give-back trail exit</t>
        </is>
      </c>
      <c r="D203" s="9" t="inlineStr">
        <is>
          <t>Long</t>
        </is>
      </c>
      <c r="E203" s="10" t="n">
        <v>46056.77430555555</v>
      </c>
      <c r="F203" s="10" t="n">
        <v>46056.78125</v>
      </c>
      <c r="G203" s="11" t="n">
        <v>5.79</v>
      </c>
      <c r="H203" s="11">
        <f>H202+G203</f>
        <v/>
      </c>
    </row>
    <row r="204">
      <c r="A204" s="9" t="n">
        <v>200</v>
      </c>
      <c r="B204" s="9" t="inlineStr">
        <is>
          <t>Meridian</t>
        </is>
      </c>
      <c r="C204" s="9" t="inlineStr">
        <is>
          <t>21/50 MA cross, 250-period confirm filter, VWAP</t>
        </is>
      </c>
      <c r="D204" s="9" t="inlineStr">
        <is>
          <t>Long</t>
        </is>
      </c>
      <c r="E204" s="10" t="n">
        <v>46056.04513888889</v>
      </c>
      <c r="F204" s="10" t="n">
        <v>46056.85763888889</v>
      </c>
      <c r="G204" s="11" t="n">
        <v>194.3</v>
      </c>
      <c r="H204" s="11">
        <f>H203+G204</f>
        <v/>
      </c>
    </row>
    <row r="205">
      <c r="A205" s="9" t="n">
        <v>201</v>
      </c>
      <c r="B205" s="9" t="inlineStr">
        <is>
          <t>Meridian</t>
        </is>
      </c>
      <c r="C205" s="9" t="inlineStr">
        <is>
          <t>21/50 MA cross, 250-period confirm filter, VWAP</t>
        </is>
      </c>
      <c r="D205" s="9" t="inlineStr">
        <is>
          <t>Long</t>
        </is>
      </c>
      <c r="E205" s="10" t="n">
        <v>46056.94444444445</v>
      </c>
      <c r="F205" s="10" t="n">
        <v>46057.04513888889</v>
      </c>
      <c r="G205" s="11" t="n">
        <v>-40.19</v>
      </c>
      <c r="H205" s="11">
        <f>H204+G205</f>
        <v/>
      </c>
    </row>
    <row r="206">
      <c r="A206" s="9" t="n">
        <v>202</v>
      </c>
      <c r="B206" s="9" t="inlineStr">
        <is>
          <t>Ratchet</t>
        </is>
      </c>
      <c r="C206" s="9" t="inlineStr">
        <is>
          <t>Stochastic scalp with give-back trail exit</t>
        </is>
      </c>
      <c r="D206" s="9" t="inlineStr">
        <is>
          <t>Long</t>
        </is>
      </c>
      <c r="E206" s="10" t="n">
        <v>46057.21527777778</v>
      </c>
      <c r="F206" s="10" t="n">
        <v>46057.26388888889</v>
      </c>
      <c r="G206" s="11" t="n">
        <v>6.92</v>
      </c>
      <c r="H206" s="11">
        <f>H205+G206</f>
        <v/>
      </c>
    </row>
    <row r="207">
      <c r="A207" s="9" t="n">
        <v>203</v>
      </c>
      <c r="B207" s="9" t="inlineStr">
        <is>
          <t>Ratchet</t>
        </is>
      </c>
      <c r="C207" s="9" t="inlineStr">
        <is>
          <t>Stochastic scalp with give-back trail exit</t>
        </is>
      </c>
      <c r="D207" s="9" t="inlineStr">
        <is>
          <t>Long</t>
        </is>
      </c>
      <c r="E207" s="10" t="n">
        <v>46057.28125</v>
      </c>
      <c r="F207" s="10" t="n">
        <v>46057.29166666666</v>
      </c>
      <c r="G207" s="11" t="n">
        <v>8.34</v>
      </c>
      <c r="H207" s="11">
        <f>H206+G207</f>
        <v/>
      </c>
    </row>
    <row r="208">
      <c r="A208" s="9" t="n">
        <v>204</v>
      </c>
      <c r="B208" s="9" t="inlineStr">
        <is>
          <t>Ratchet</t>
        </is>
      </c>
      <c r="C208" s="9" t="inlineStr">
        <is>
          <t>Stochastic scalp with give-back trail exit</t>
        </is>
      </c>
      <c r="D208" s="9" t="inlineStr">
        <is>
          <t>Long</t>
        </is>
      </c>
      <c r="E208" s="10" t="n">
        <v>46057.31944444445</v>
      </c>
      <c r="F208" s="10" t="n">
        <v>46057.32986111111</v>
      </c>
      <c r="G208" s="11" t="n">
        <v>3.43</v>
      </c>
      <c r="H208" s="11">
        <f>H207+G208</f>
        <v/>
      </c>
    </row>
    <row r="209">
      <c r="A209" s="9" t="n">
        <v>205</v>
      </c>
      <c r="B209" s="9" t="inlineStr">
        <is>
          <t>Vanguard_M15</t>
        </is>
      </c>
      <c r="C209" s="9" t="inlineStr">
        <is>
          <t>Trendline breakout (fractal swing line) + VWAP/S-R distance gate - M15 chart</t>
        </is>
      </c>
      <c r="D209" s="9" t="inlineStr">
        <is>
          <t>Long</t>
        </is>
      </c>
      <c r="E209" s="10" t="n">
        <v>46056.05208333334</v>
      </c>
      <c r="F209" s="10" t="n">
        <v>46057.46875</v>
      </c>
      <c r="G209" s="11" t="n">
        <v>338.26</v>
      </c>
      <c r="H209" s="11">
        <f>H208+G209</f>
        <v/>
      </c>
    </row>
    <row r="210">
      <c r="A210" s="9" t="n">
        <v>206</v>
      </c>
      <c r="B210" s="9" t="inlineStr">
        <is>
          <t>Vanguard_M5</t>
        </is>
      </c>
      <c r="C210" s="9" t="inlineStr">
        <is>
          <t>Trendline breakout (fractal swing line) + VWAP/S-R distance gate</t>
        </is>
      </c>
      <c r="D210" s="9" t="inlineStr">
        <is>
          <t>Long</t>
        </is>
      </c>
      <c r="E210" s="10" t="n">
        <v>46056.04513888889</v>
      </c>
      <c r="F210" s="10" t="n">
        <v>46057.47569444445</v>
      </c>
      <c r="G210" s="11" t="n">
        <v>355.47</v>
      </c>
      <c r="H210" s="11">
        <f>H209+G210</f>
        <v/>
      </c>
    </row>
    <row r="211">
      <c r="A211" s="9" t="n">
        <v>207</v>
      </c>
      <c r="B211" s="9" t="inlineStr">
        <is>
          <t>MSG</t>
        </is>
      </c>
      <c r="C211" s="9" t="inlineStr">
        <is>
          <t>Session-range breakout + Fibonacci retracement-zone entry</t>
        </is>
      </c>
      <c r="D211" s="9" t="inlineStr">
        <is>
          <t>Short</t>
        </is>
      </c>
      <c r="E211" s="10" t="n">
        <v>46057.60555555556</v>
      </c>
      <c r="F211" s="10" t="n">
        <v>46057.68888888889</v>
      </c>
      <c r="G211" s="11" t="n">
        <v>143.12</v>
      </c>
      <c r="H211" s="11">
        <f>H210+G211</f>
        <v/>
      </c>
    </row>
    <row r="212">
      <c r="A212" s="9" t="n">
        <v>208</v>
      </c>
      <c r="B212" s="9" t="inlineStr">
        <is>
          <t>Ratchet</t>
        </is>
      </c>
      <c r="C212" s="9" t="inlineStr">
        <is>
          <t>Stochastic scalp with give-back trail exit</t>
        </is>
      </c>
      <c r="D212" s="9" t="inlineStr">
        <is>
          <t>Long</t>
        </is>
      </c>
      <c r="E212" s="10" t="n">
        <v>46058.11458333334</v>
      </c>
      <c r="F212" s="10" t="n">
        <v>46058.125</v>
      </c>
      <c r="G212" s="11" t="n">
        <v>-19.36</v>
      </c>
      <c r="H212" s="11">
        <f>H211+G212</f>
        <v/>
      </c>
    </row>
    <row r="213">
      <c r="A213" s="9" t="n">
        <v>209</v>
      </c>
      <c r="B213" s="9" t="inlineStr">
        <is>
          <t>Ratchet</t>
        </is>
      </c>
      <c r="C213" s="9" t="inlineStr">
        <is>
          <t>Stochastic scalp with give-back trail exit</t>
        </is>
      </c>
      <c r="D213" s="9" t="inlineStr">
        <is>
          <t>Short</t>
        </is>
      </c>
      <c r="E213" s="10" t="n">
        <v>46058.30902777778</v>
      </c>
      <c r="F213" s="10" t="n">
        <v>46058.31597222222</v>
      </c>
      <c r="G213" s="11" t="n">
        <v>3.02</v>
      </c>
      <c r="H213" s="11">
        <f>H212+G213</f>
        <v/>
      </c>
    </row>
    <row r="214">
      <c r="A214" s="9" t="n">
        <v>210</v>
      </c>
      <c r="B214" s="9" t="inlineStr">
        <is>
          <t>Meridian</t>
        </is>
      </c>
      <c r="C214" s="9" t="inlineStr">
        <is>
          <t>21/50 MA cross, 250-period confirm filter, VWAP</t>
        </is>
      </c>
      <c r="D214" s="9" t="inlineStr">
        <is>
          <t>Short</t>
        </is>
      </c>
      <c r="E214" s="10" t="n">
        <v>46058.17013888889</v>
      </c>
      <c r="F214" s="10" t="n">
        <v>46058.36111111111</v>
      </c>
      <c r="G214" s="11" t="n">
        <v>25.29</v>
      </c>
      <c r="H214" s="11">
        <f>H213+G214</f>
        <v/>
      </c>
    </row>
    <row r="215">
      <c r="A215" s="9" t="n">
        <v>211</v>
      </c>
      <c r="B215" s="9" t="inlineStr">
        <is>
          <t>Aurelius_M15</t>
        </is>
      </c>
      <c r="C215" s="9" t="inlineStr">
        <is>
          <t>MA alignment (EMA21&gt;EMA50&gt;SMA250&gt;SMMA500 vs EMA2400 trend filter) - M15 chart</t>
        </is>
      </c>
      <c r="D215" s="9" t="inlineStr">
        <is>
          <t>Short</t>
        </is>
      </c>
      <c r="E215" s="10" t="n">
        <v>46058.21875</v>
      </c>
      <c r="F215" s="10" t="n">
        <v>46058.39583333334</v>
      </c>
      <c r="G215" s="11" t="n">
        <v>-85.48</v>
      </c>
      <c r="H215" s="11">
        <f>H214+G215</f>
        <v/>
      </c>
    </row>
    <row r="216">
      <c r="A216" s="9" t="n">
        <v>212</v>
      </c>
      <c r="B216" s="9" t="inlineStr">
        <is>
          <t>Ratchet</t>
        </is>
      </c>
      <c r="C216" s="9" t="inlineStr">
        <is>
          <t>Stochastic scalp with give-back trail exit</t>
        </is>
      </c>
      <c r="D216" s="9" t="inlineStr">
        <is>
          <t>Short</t>
        </is>
      </c>
      <c r="E216" s="10" t="n">
        <v>46058.47916666666</v>
      </c>
      <c r="F216" s="10" t="n">
        <v>46058.50694444445</v>
      </c>
      <c r="G216" s="11" t="n">
        <v>5.68</v>
      </c>
      <c r="H216" s="11">
        <f>H215+G216</f>
        <v/>
      </c>
    </row>
    <row r="217">
      <c r="A217" s="9" t="n">
        <v>213</v>
      </c>
      <c r="B217" s="9" t="inlineStr">
        <is>
          <t>Ratchet</t>
        </is>
      </c>
      <c r="C217" s="9" t="inlineStr">
        <is>
          <t>Stochastic scalp with give-back trail exit</t>
        </is>
      </c>
      <c r="D217" s="9" t="inlineStr">
        <is>
          <t>Short</t>
        </is>
      </c>
      <c r="E217" s="10" t="n">
        <v>46058.58680555555</v>
      </c>
      <c r="F217" s="10" t="n">
        <v>46058.60416666666</v>
      </c>
      <c r="G217" s="11" t="n">
        <v>12.98</v>
      </c>
      <c r="H217" s="11">
        <f>H216+G217</f>
        <v/>
      </c>
    </row>
    <row r="218">
      <c r="A218" s="9" t="n">
        <v>214</v>
      </c>
      <c r="B218" s="9" t="inlineStr">
        <is>
          <t>Ratchet</t>
        </is>
      </c>
      <c r="C218" s="9" t="inlineStr">
        <is>
          <t>Stochastic scalp with give-back trail exit</t>
        </is>
      </c>
      <c r="D218" s="9" t="inlineStr">
        <is>
          <t>Short</t>
        </is>
      </c>
      <c r="E218" s="10" t="n">
        <v>46058.74652777778</v>
      </c>
      <c r="F218" s="10" t="n">
        <v>46058.76736111111</v>
      </c>
      <c r="G218" s="11" t="n">
        <v>-42.26</v>
      </c>
      <c r="H218" s="11">
        <f>H217+G218</f>
        <v/>
      </c>
    </row>
    <row r="219">
      <c r="A219" s="9" t="n">
        <v>215</v>
      </c>
      <c r="B219" s="9" t="inlineStr">
        <is>
          <t>Aurelius_M5</t>
        </is>
      </c>
      <c r="C219" s="9" t="inlineStr">
        <is>
          <t>MA alignment (EMA21&gt;EMA50&gt;SMA250&gt;SMMA500 vs EMA2400 trend filter)</t>
        </is>
      </c>
      <c r="D219" s="9" t="inlineStr">
        <is>
          <t>Short</t>
        </is>
      </c>
      <c r="E219" s="10" t="n">
        <v>46058.59375</v>
      </c>
      <c r="F219" s="10" t="n">
        <v>46058.77777777778</v>
      </c>
      <c r="G219" s="11" t="n">
        <v>-31.54</v>
      </c>
      <c r="H219" s="11">
        <f>H218+G219</f>
        <v/>
      </c>
    </row>
    <row r="220">
      <c r="A220" s="9" t="n">
        <v>216</v>
      </c>
      <c r="B220" s="9" t="inlineStr">
        <is>
          <t>Meridian</t>
        </is>
      </c>
      <c r="C220" s="9" t="inlineStr">
        <is>
          <t>21/50 MA cross, 250-period confirm filter, VWAP</t>
        </is>
      </c>
      <c r="D220" s="9" t="inlineStr">
        <is>
          <t>Short</t>
        </is>
      </c>
      <c r="E220" s="10" t="n">
        <v>46058.46875</v>
      </c>
      <c r="F220" s="10" t="n">
        <v>46058.78472222222</v>
      </c>
      <c r="G220" s="11" t="n">
        <v>-21.67</v>
      </c>
      <c r="H220" s="11">
        <f>H219+G220</f>
        <v/>
      </c>
    </row>
    <row r="221">
      <c r="A221" s="9" t="n">
        <v>217</v>
      </c>
      <c r="B221" s="9" t="inlineStr">
        <is>
          <t>Ratchet</t>
        </is>
      </c>
      <c r="C221" s="9" t="inlineStr">
        <is>
          <t>Stochastic scalp with give-back trail exit</t>
        </is>
      </c>
      <c r="D221" s="9" t="inlineStr">
        <is>
          <t>Short</t>
        </is>
      </c>
      <c r="E221" s="10" t="n">
        <v>46058.91666666666</v>
      </c>
      <c r="F221" s="10" t="n">
        <v>46058.92013888889</v>
      </c>
      <c r="G221" s="11" t="n">
        <v>2.56</v>
      </c>
      <c r="H221" s="11">
        <f>H220+G221</f>
        <v/>
      </c>
    </row>
    <row r="222">
      <c r="A222" s="9" t="n">
        <v>218</v>
      </c>
      <c r="B222" s="9" t="inlineStr">
        <is>
          <t>Ratchet</t>
        </is>
      </c>
      <c r="C222" s="9" t="inlineStr">
        <is>
          <t>Stochastic scalp with give-back trail exit</t>
        </is>
      </c>
      <c r="D222" s="9" t="inlineStr">
        <is>
          <t>Short</t>
        </is>
      </c>
      <c r="E222" s="10" t="n">
        <v>46058.92708333334</v>
      </c>
      <c r="F222" s="10" t="n">
        <v>46058.9375</v>
      </c>
      <c r="G222" s="11" t="n">
        <v>3.74</v>
      </c>
      <c r="H222" s="11">
        <f>H221+G222</f>
        <v/>
      </c>
    </row>
    <row r="223">
      <c r="A223" s="9" t="n">
        <v>219</v>
      </c>
      <c r="B223" s="9" t="inlineStr">
        <is>
          <t>Ratchet</t>
        </is>
      </c>
      <c r="C223" s="9" t="inlineStr">
        <is>
          <t>Stochastic scalp with give-back trail exit</t>
        </is>
      </c>
      <c r="D223" s="9" t="inlineStr">
        <is>
          <t>Short</t>
        </is>
      </c>
      <c r="E223" s="10" t="n">
        <v>46058.97569444445</v>
      </c>
      <c r="F223" s="10" t="n">
        <v>46058.99652777778</v>
      </c>
      <c r="G223" s="11" t="n">
        <v>24.08</v>
      </c>
      <c r="H223" s="11">
        <f>H222+G223</f>
        <v/>
      </c>
    </row>
    <row r="224">
      <c r="A224" s="9" t="n">
        <v>220</v>
      </c>
      <c r="B224" s="9" t="inlineStr">
        <is>
          <t>Ratchet</t>
        </is>
      </c>
      <c r="C224" s="9" t="inlineStr">
        <is>
          <t>Stochastic scalp with give-back trail exit</t>
        </is>
      </c>
      <c r="D224" s="9" t="inlineStr">
        <is>
          <t>Short</t>
        </is>
      </c>
      <c r="E224" s="10" t="n">
        <v>46059.14236111111</v>
      </c>
      <c r="F224" s="10" t="n">
        <v>46059.15972222222</v>
      </c>
      <c r="G224" s="11" t="n">
        <v>-53.28</v>
      </c>
      <c r="H224" s="11">
        <f>H223+G224</f>
        <v/>
      </c>
    </row>
    <row r="225">
      <c r="A225" s="9" t="n">
        <v>221</v>
      </c>
      <c r="B225" s="9" t="inlineStr">
        <is>
          <t>Meridian</t>
        </is>
      </c>
      <c r="C225" s="9" t="inlineStr">
        <is>
          <t>21/50 MA cross, 250-period confirm filter, VWAP</t>
        </is>
      </c>
      <c r="D225" s="9" t="inlineStr">
        <is>
          <t>Short</t>
        </is>
      </c>
      <c r="E225" s="10" t="n">
        <v>46058.89930555555</v>
      </c>
      <c r="F225" s="10" t="n">
        <v>46059.1875</v>
      </c>
      <c r="G225" s="11" t="n">
        <v>14.67</v>
      </c>
      <c r="H225" s="11">
        <f>H224+G225</f>
        <v/>
      </c>
    </row>
    <row r="226">
      <c r="A226" s="9" t="n">
        <v>222</v>
      </c>
      <c r="B226" s="9" t="inlineStr">
        <is>
          <t>Aurelius_M15</t>
        </is>
      </c>
      <c r="C226" s="9" t="inlineStr">
        <is>
          <t>MA alignment (EMA21&gt;EMA50&gt;SMA250&gt;SMMA500 vs EMA2400 trend filter) - M15 chart</t>
        </is>
      </c>
      <c r="D226" s="9" t="inlineStr">
        <is>
          <t>Short</t>
        </is>
      </c>
      <c r="E226" s="10" t="n">
        <v>46058.46875</v>
      </c>
      <c r="F226" s="10" t="n">
        <v>46059.22916666666</v>
      </c>
      <c r="G226" s="11" t="n">
        <v>51.36</v>
      </c>
      <c r="H226" s="11">
        <f>H225+G226</f>
        <v/>
      </c>
    </row>
    <row r="227">
      <c r="A227" s="9" t="n">
        <v>223</v>
      </c>
      <c r="B227" s="9" t="inlineStr">
        <is>
          <t>Ratchet</t>
        </is>
      </c>
      <c r="C227" s="9" t="inlineStr">
        <is>
          <t>Stochastic scalp with give-back trail exit</t>
        </is>
      </c>
      <c r="D227" s="9" t="inlineStr">
        <is>
          <t>Long</t>
        </is>
      </c>
      <c r="E227" s="10" t="n">
        <v>46062.36458333334</v>
      </c>
      <c r="F227" s="10" t="n">
        <v>46062.37847222222</v>
      </c>
      <c r="G227" s="11" t="n">
        <v>-16.16</v>
      </c>
      <c r="H227" s="11">
        <f>H226+G227</f>
        <v/>
      </c>
    </row>
    <row r="228">
      <c r="A228" s="9" t="n">
        <v>224</v>
      </c>
      <c r="B228" s="9" t="inlineStr">
        <is>
          <t>Aurelius_M5</t>
        </is>
      </c>
      <c r="C228" s="9" t="inlineStr">
        <is>
          <t>MA alignment (EMA21&gt;EMA50&gt;SMA250&gt;SMMA500 vs EMA2400 trend filter)</t>
        </is>
      </c>
      <c r="D228" s="9" t="inlineStr">
        <is>
          <t>Long</t>
        </is>
      </c>
      <c r="E228" s="10" t="n">
        <v>46062.31597222222</v>
      </c>
      <c r="F228" s="10" t="n">
        <v>46062.38194444445</v>
      </c>
      <c r="G228" s="11" t="n">
        <v>-19.01</v>
      </c>
      <c r="H228" s="11">
        <f>H227+G228</f>
        <v/>
      </c>
    </row>
    <row r="229">
      <c r="A229" s="9" t="n">
        <v>225</v>
      </c>
      <c r="B229" s="9" t="inlineStr">
        <is>
          <t>Ratchet</t>
        </is>
      </c>
      <c r="C229" s="9" t="inlineStr">
        <is>
          <t>Stochastic scalp with give-back trail exit</t>
        </is>
      </c>
      <c r="D229" s="9" t="inlineStr">
        <is>
          <t>Long</t>
        </is>
      </c>
      <c r="E229" s="10" t="n">
        <v>46062.44097222222</v>
      </c>
      <c r="F229" s="10" t="n">
        <v>46062.46180555555</v>
      </c>
      <c r="G229" s="11" t="n">
        <v>1.41</v>
      </c>
      <c r="H229" s="11">
        <f>H228+G229</f>
        <v/>
      </c>
    </row>
    <row r="230">
      <c r="A230" s="9" t="n">
        <v>226</v>
      </c>
      <c r="B230" s="9" t="inlineStr">
        <is>
          <t>Meridian</t>
        </is>
      </c>
      <c r="C230" s="9" t="inlineStr">
        <is>
          <t>21/50 MA cross, 250-period confirm filter, VWAP</t>
        </is>
      </c>
      <c r="D230" s="9" t="inlineStr">
        <is>
          <t>Long</t>
        </is>
      </c>
      <c r="E230" s="10" t="n">
        <v>46062.44097222222</v>
      </c>
      <c r="F230" s="10" t="n">
        <v>46062.49305555555</v>
      </c>
      <c r="G230" s="11" t="n">
        <v>-21.05</v>
      </c>
      <c r="H230" s="11">
        <f>H229+G230</f>
        <v/>
      </c>
    </row>
    <row r="231">
      <c r="A231" s="9" t="n">
        <v>227</v>
      </c>
      <c r="B231" s="9" t="inlineStr">
        <is>
          <t>Aurelius_M5</t>
        </is>
      </c>
      <c r="C231" s="9" t="inlineStr">
        <is>
          <t>MA alignment (EMA21&gt;EMA50&gt;SMA250&gt;SMMA500 vs EMA2400 trend filter)</t>
        </is>
      </c>
      <c r="D231" s="9" t="inlineStr">
        <is>
          <t>Long</t>
        </is>
      </c>
      <c r="E231" s="10" t="n">
        <v>46062.63541666666</v>
      </c>
      <c r="F231" s="10" t="n">
        <v>46062.64930555555</v>
      </c>
      <c r="G231" s="11" t="n">
        <v>-19.51</v>
      </c>
      <c r="H231" s="11">
        <f>H230+G231</f>
        <v/>
      </c>
    </row>
    <row r="232">
      <c r="A232" s="9" t="n">
        <v>228</v>
      </c>
      <c r="B232" s="9" t="inlineStr">
        <is>
          <t>MSG</t>
        </is>
      </c>
      <c r="C232" s="9" t="inlineStr">
        <is>
          <t>Session-range breakout + Fibonacci retracement-zone entry</t>
        </is>
      </c>
      <c r="D232" s="9" t="inlineStr">
        <is>
          <t>Short</t>
        </is>
      </c>
      <c r="E232" s="10" t="n">
        <v>46062.57152777778</v>
      </c>
      <c r="F232" s="10" t="n">
        <v>46062.66736111111</v>
      </c>
      <c r="G232" s="11" t="n">
        <v>15.48</v>
      </c>
      <c r="H232" s="11">
        <f>H231+G232</f>
        <v/>
      </c>
    </row>
    <row r="233">
      <c r="A233" s="9" t="n">
        <v>229</v>
      </c>
      <c r="B233" s="9" t="inlineStr">
        <is>
          <t>Ratchet</t>
        </is>
      </c>
      <c r="C233" s="9" t="inlineStr">
        <is>
          <t>Stochastic scalp with give-back trail exit</t>
        </is>
      </c>
      <c r="D233" s="9" t="inlineStr">
        <is>
          <t>Long</t>
        </is>
      </c>
      <c r="E233" s="10" t="n">
        <v>46062.68402777778</v>
      </c>
      <c r="F233" s="10" t="n">
        <v>46062.6875</v>
      </c>
      <c r="G233" s="11" t="n">
        <v>0</v>
      </c>
      <c r="H233" s="11">
        <f>H232+G233</f>
        <v/>
      </c>
    </row>
    <row r="234">
      <c r="A234" s="9" t="n">
        <v>230</v>
      </c>
      <c r="B234" s="9" t="inlineStr">
        <is>
          <t>Ratchet</t>
        </is>
      </c>
      <c r="C234" s="9" t="inlineStr">
        <is>
          <t>Stochastic scalp with give-back trail exit</t>
        </is>
      </c>
      <c r="D234" s="9" t="inlineStr">
        <is>
          <t>Long</t>
        </is>
      </c>
      <c r="E234" s="10" t="n">
        <v>46062.72916666666</v>
      </c>
      <c r="F234" s="10" t="n">
        <v>46062.75</v>
      </c>
      <c r="G234" s="11" t="n">
        <v>25.43</v>
      </c>
      <c r="H234" s="11">
        <f>H233+G234</f>
        <v/>
      </c>
    </row>
    <row r="235">
      <c r="A235" s="9" t="n">
        <v>231</v>
      </c>
      <c r="B235" s="9" t="inlineStr">
        <is>
          <t>Vanguard_M5</t>
        </is>
      </c>
      <c r="C235" s="9" t="inlineStr">
        <is>
          <t>Trendline breakout (fractal swing line) + VWAP/S-R distance gate</t>
        </is>
      </c>
      <c r="D235" s="9" t="inlineStr">
        <is>
          <t>Long</t>
        </is>
      </c>
      <c r="E235" s="10" t="n">
        <v>46062.70486111111</v>
      </c>
      <c r="F235" s="10" t="n">
        <v>46062.88194444445</v>
      </c>
      <c r="G235" s="11" t="n">
        <v>26.16</v>
      </c>
      <c r="H235" s="11">
        <f>H234+G235</f>
        <v/>
      </c>
    </row>
    <row r="236">
      <c r="A236" s="9" t="n">
        <v>232</v>
      </c>
      <c r="B236" s="9" t="inlineStr">
        <is>
          <t>Vanguard_M15</t>
        </is>
      </c>
      <c r="C236" s="9" t="inlineStr">
        <is>
          <t>Trendline breakout (fractal swing line) + VWAP/S-R distance gate - M15 chart</t>
        </is>
      </c>
      <c r="D236" s="9" t="inlineStr">
        <is>
          <t>Long</t>
        </is>
      </c>
      <c r="E236" s="10" t="n">
        <v>46062.70833333334</v>
      </c>
      <c r="F236" s="10" t="n">
        <v>46062.9375</v>
      </c>
      <c r="G236" s="11" t="n">
        <v>39.59</v>
      </c>
      <c r="H236" s="11">
        <f>H235+G236</f>
        <v/>
      </c>
    </row>
    <row r="237">
      <c r="A237" s="9" t="n">
        <v>233</v>
      </c>
      <c r="B237" s="9" t="inlineStr">
        <is>
          <t>Ratchet</t>
        </is>
      </c>
      <c r="C237" s="9" t="inlineStr">
        <is>
          <t>Stochastic scalp with give-back trail exit</t>
        </is>
      </c>
      <c r="D237" s="9" t="inlineStr">
        <is>
          <t>Long</t>
        </is>
      </c>
      <c r="E237" s="10" t="n">
        <v>46062.94444444445</v>
      </c>
      <c r="F237" s="10" t="n">
        <v>46062.95486111111</v>
      </c>
      <c r="G237" s="11" t="n">
        <v>1.14</v>
      </c>
      <c r="H237" s="11">
        <f>H236+G237</f>
        <v/>
      </c>
    </row>
    <row r="238">
      <c r="A238" s="9" t="n">
        <v>234</v>
      </c>
      <c r="B238" s="9" t="inlineStr">
        <is>
          <t>Aurelius_M5</t>
        </is>
      </c>
      <c r="C238" s="9" t="inlineStr">
        <is>
          <t>MA alignment (EMA21&gt;EMA50&gt;SMA250&gt;SMMA500 vs EMA2400 trend filter)</t>
        </is>
      </c>
      <c r="D238" s="9" t="inlineStr">
        <is>
          <t>Long</t>
        </is>
      </c>
      <c r="E238" s="10" t="n">
        <v>46062.70833333334</v>
      </c>
      <c r="F238" s="10" t="n">
        <v>46062.98958333334</v>
      </c>
      <c r="G238" s="11" t="n">
        <v>23.38</v>
      </c>
      <c r="H238" s="11">
        <f>H237+G238</f>
        <v/>
      </c>
    </row>
    <row r="239">
      <c r="A239" s="9" t="n">
        <v>235</v>
      </c>
      <c r="B239" s="9" t="inlineStr">
        <is>
          <t>Meridian</t>
        </is>
      </c>
      <c r="C239" s="9" t="inlineStr">
        <is>
          <t>21/50 MA cross, 250-period confirm filter, VWAP</t>
        </is>
      </c>
      <c r="D239" s="9" t="inlineStr">
        <is>
          <t>Long</t>
        </is>
      </c>
      <c r="E239" s="10" t="n">
        <v>46062.68402777778</v>
      </c>
      <c r="F239" s="10" t="n">
        <v>46063.04861111111</v>
      </c>
      <c r="G239" s="11" t="n">
        <v>0.04</v>
      </c>
      <c r="H239" s="11">
        <f>H238+G239</f>
        <v/>
      </c>
    </row>
    <row r="240">
      <c r="A240" s="9" t="n">
        <v>236</v>
      </c>
      <c r="B240" s="9" t="inlineStr">
        <is>
          <t>Aurelius_M15</t>
        </is>
      </c>
      <c r="C240" s="9" t="inlineStr">
        <is>
          <t>MA alignment (EMA21&gt;EMA50&gt;SMA250&gt;SMMA500 vs EMA2400 trend filter) - M15 chart</t>
        </is>
      </c>
      <c r="D240" s="9" t="inlineStr">
        <is>
          <t>Long</t>
        </is>
      </c>
      <c r="E240" s="10" t="n">
        <v>46062.63541666666</v>
      </c>
      <c r="F240" s="10" t="n">
        <v>46063.26041666666</v>
      </c>
      <c r="G240" s="11" t="n">
        <v>1.72</v>
      </c>
      <c r="H240" s="11">
        <f>H239+G240</f>
        <v/>
      </c>
    </row>
    <row r="241">
      <c r="A241" s="9" t="n">
        <v>237</v>
      </c>
      <c r="B241" s="9" t="inlineStr">
        <is>
          <t>Meridian</t>
        </is>
      </c>
      <c r="C241" s="9" t="inlineStr">
        <is>
          <t>21/50 MA cross, 250-period confirm filter, VWAP</t>
        </is>
      </c>
      <c r="D241" s="9" t="inlineStr">
        <is>
          <t>Long</t>
        </is>
      </c>
      <c r="E241" s="10" t="n">
        <v>46063.34375</v>
      </c>
      <c r="F241" s="10" t="n">
        <v>46063.36805555555</v>
      </c>
      <c r="G241" s="11" t="n">
        <v>-16.46</v>
      </c>
      <c r="H241" s="11">
        <f>H240+G241</f>
        <v/>
      </c>
    </row>
    <row r="242">
      <c r="A242" s="9" t="n">
        <v>238</v>
      </c>
      <c r="B242" s="9" t="inlineStr">
        <is>
          <t>Ratchet</t>
        </is>
      </c>
      <c r="C242" s="9" t="inlineStr">
        <is>
          <t>Stochastic scalp with give-back trail exit</t>
        </is>
      </c>
      <c r="D242" s="9" t="inlineStr">
        <is>
          <t>Long</t>
        </is>
      </c>
      <c r="E242" s="10" t="n">
        <v>46063.53472222222</v>
      </c>
      <c r="F242" s="10" t="n">
        <v>46063.53819444445</v>
      </c>
      <c r="G242" s="11" t="n">
        <v>-10.05</v>
      </c>
      <c r="H242" s="11">
        <f>H241+G242</f>
        <v/>
      </c>
    </row>
    <row r="243">
      <c r="A243" s="9" t="n">
        <v>239</v>
      </c>
      <c r="B243" s="9" t="inlineStr">
        <is>
          <t>Ratchet</t>
        </is>
      </c>
      <c r="C243" s="9" t="inlineStr">
        <is>
          <t>Stochastic scalp with give-back trail exit</t>
        </is>
      </c>
      <c r="D243" s="9" t="inlineStr">
        <is>
          <t>Long</t>
        </is>
      </c>
      <c r="E243" s="10" t="n">
        <v>46063.58333333334</v>
      </c>
      <c r="F243" s="10" t="n">
        <v>46063.58680555555</v>
      </c>
      <c r="G243" s="11" t="n">
        <v>-9.06</v>
      </c>
      <c r="H243" s="11">
        <f>H242+G243</f>
        <v/>
      </c>
    </row>
    <row r="244">
      <c r="A244" s="9" t="n">
        <v>240</v>
      </c>
      <c r="B244" s="9" t="inlineStr">
        <is>
          <t>Meridian</t>
        </is>
      </c>
      <c r="C244" s="9" t="inlineStr">
        <is>
          <t>21/50 MA cross, 250-period confirm filter, VWAP</t>
        </is>
      </c>
      <c r="D244" s="9" t="inlineStr">
        <is>
          <t>Short</t>
        </is>
      </c>
      <c r="E244" s="10" t="n">
        <v>46063.61805555555</v>
      </c>
      <c r="F244" s="10" t="n">
        <v>46063.63541666666</v>
      </c>
      <c r="G244" s="11" t="n">
        <v>-17.57</v>
      </c>
      <c r="H244" s="11">
        <f>H243+G244</f>
        <v/>
      </c>
    </row>
    <row r="245">
      <c r="A245" s="9" t="n">
        <v>241</v>
      </c>
      <c r="B245" s="9" t="inlineStr">
        <is>
          <t>Meridian</t>
        </is>
      </c>
      <c r="C245" s="9" t="inlineStr">
        <is>
          <t>21/50 MA cross, 250-period confirm filter, VWAP</t>
        </is>
      </c>
      <c r="D245" s="9" t="inlineStr">
        <is>
          <t>Long</t>
        </is>
      </c>
      <c r="E245" s="10" t="n">
        <v>46063.65972222222</v>
      </c>
      <c r="F245" s="10" t="n">
        <v>46063.69791666666</v>
      </c>
      <c r="G245" s="11" t="n">
        <v>-20.48</v>
      </c>
      <c r="H245" s="11">
        <f>H244+G245</f>
        <v/>
      </c>
    </row>
    <row r="246">
      <c r="A246" s="9" t="n">
        <v>242</v>
      </c>
      <c r="B246" s="9" t="inlineStr">
        <is>
          <t>Aurelius_M5</t>
        </is>
      </c>
      <c r="C246" s="9" t="inlineStr">
        <is>
          <t>MA alignment (EMA21&gt;EMA50&gt;SMA250&gt;SMMA500 vs EMA2400 trend filter)</t>
        </is>
      </c>
      <c r="D246" s="9" t="inlineStr">
        <is>
          <t>Long</t>
        </is>
      </c>
      <c r="E246" s="10" t="n">
        <v>46063.6875</v>
      </c>
      <c r="F246" s="10" t="n">
        <v>46063.69791666666</v>
      </c>
      <c r="G246" s="11" t="n">
        <v>-20.32</v>
      </c>
      <c r="H246" s="11">
        <f>H245+G246</f>
        <v/>
      </c>
    </row>
    <row r="247">
      <c r="A247" s="9" t="n">
        <v>243</v>
      </c>
      <c r="B247" s="9" t="inlineStr">
        <is>
          <t>Aurelius_M15</t>
        </is>
      </c>
      <c r="C247" s="9" t="inlineStr">
        <is>
          <t>MA alignment (EMA21&gt;EMA50&gt;SMA250&gt;SMMA500 vs EMA2400 trend filter) - M15 chart</t>
        </is>
      </c>
      <c r="D247" s="9" t="inlineStr">
        <is>
          <t>Long</t>
        </is>
      </c>
      <c r="E247" s="10" t="n">
        <v>46063.65625</v>
      </c>
      <c r="F247" s="10" t="n">
        <v>46063.72916666666</v>
      </c>
      <c r="G247" s="11" t="n">
        <v>-33.96</v>
      </c>
      <c r="H247" s="11">
        <f>H246+G247</f>
        <v/>
      </c>
    </row>
    <row r="248">
      <c r="A248" s="9" t="n">
        <v>244</v>
      </c>
      <c r="B248" s="9" t="inlineStr">
        <is>
          <t>Vanguard_M15</t>
        </is>
      </c>
      <c r="C248" s="9" t="inlineStr">
        <is>
          <t>Trendline breakout (fractal swing line) + VWAP/S-R distance gate - M15 chart</t>
        </is>
      </c>
      <c r="D248" s="9" t="inlineStr">
        <is>
          <t>Long</t>
        </is>
      </c>
      <c r="E248" s="10" t="n">
        <v>46063.07291666666</v>
      </c>
      <c r="F248" s="10" t="n">
        <v>46063.85416666666</v>
      </c>
      <c r="G248" s="11" t="n">
        <v>-24.46</v>
      </c>
      <c r="H248" s="11">
        <f>H247+G248</f>
        <v/>
      </c>
    </row>
    <row r="249">
      <c r="A249" s="9" t="n">
        <v>245</v>
      </c>
      <c r="B249" s="9" t="inlineStr">
        <is>
          <t>Vanguard_M5</t>
        </is>
      </c>
      <c r="C249" s="9" t="inlineStr">
        <is>
          <t>Trendline breakout (fractal swing line) + VWAP/S-R distance gate</t>
        </is>
      </c>
      <c r="D249" s="9" t="inlineStr">
        <is>
          <t>Long</t>
        </is>
      </c>
      <c r="E249" s="10" t="n">
        <v>46063.07291666666</v>
      </c>
      <c r="F249" s="10" t="n">
        <v>46063.85416666666</v>
      </c>
      <c r="G249" s="11" t="n">
        <v>-30</v>
      </c>
      <c r="H249" s="11">
        <f>H248+G249</f>
        <v/>
      </c>
    </row>
    <row r="250">
      <c r="A250" s="9" t="n">
        <v>246</v>
      </c>
      <c r="B250" s="9" t="inlineStr">
        <is>
          <t>Meridian</t>
        </is>
      </c>
      <c r="C250" s="9" t="inlineStr">
        <is>
          <t>21/50 MA cross, 250-period confirm filter, VWAP</t>
        </is>
      </c>
      <c r="D250" s="9" t="inlineStr">
        <is>
          <t>Short</t>
        </is>
      </c>
      <c r="E250" s="10" t="n">
        <v>46063.72916666666</v>
      </c>
      <c r="F250" s="10" t="n">
        <v>46063.94444444445</v>
      </c>
      <c r="G250" s="11" t="n">
        <v>2.84</v>
      </c>
      <c r="H250" s="11">
        <f>H249+G250</f>
        <v/>
      </c>
    </row>
    <row r="251">
      <c r="A251" s="9" t="n">
        <v>247</v>
      </c>
      <c r="B251" s="9" t="inlineStr">
        <is>
          <t>Ratchet</t>
        </is>
      </c>
      <c r="C251" s="9" t="inlineStr">
        <is>
          <t>Stochastic scalp with give-back trail exit</t>
        </is>
      </c>
      <c r="D251" s="9" t="inlineStr">
        <is>
          <t>Long</t>
        </is>
      </c>
      <c r="E251" s="10" t="n">
        <v>46064.22916666666</v>
      </c>
      <c r="F251" s="10" t="n">
        <v>46064.24305555555</v>
      </c>
      <c r="G251" s="11" t="n">
        <v>0</v>
      </c>
      <c r="H251" s="11">
        <f>H250+G251</f>
        <v/>
      </c>
    </row>
    <row r="252">
      <c r="A252" s="9" t="n">
        <v>248</v>
      </c>
      <c r="B252" s="9" t="inlineStr">
        <is>
          <t>Ratchet</t>
        </is>
      </c>
      <c r="C252" s="9" t="inlineStr">
        <is>
          <t>Stochastic scalp with give-back trail exit</t>
        </is>
      </c>
      <c r="D252" s="9" t="inlineStr">
        <is>
          <t>Long</t>
        </is>
      </c>
      <c r="E252" s="10" t="n">
        <v>46064.32291666666</v>
      </c>
      <c r="F252" s="10" t="n">
        <v>46064.32291666666</v>
      </c>
      <c r="G252" s="11" t="n">
        <v>-7.54</v>
      </c>
      <c r="H252" s="11">
        <f>H251+G252</f>
        <v/>
      </c>
    </row>
    <row r="253">
      <c r="A253" s="9" t="n">
        <v>249</v>
      </c>
      <c r="B253" s="9" t="inlineStr">
        <is>
          <t>Aurelius_M5</t>
        </is>
      </c>
      <c r="C253" s="9" t="inlineStr">
        <is>
          <t>MA alignment (EMA21&gt;EMA50&gt;SMA250&gt;SMMA500 vs EMA2400 trend filter)</t>
        </is>
      </c>
      <c r="D253" s="9" t="inlineStr">
        <is>
          <t>Long</t>
        </is>
      </c>
      <c r="E253" s="10" t="n">
        <v>46064.12847222222</v>
      </c>
      <c r="F253" s="10" t="n">
        <v>46064.45833333334</v>
      </c>
      <c r="G253" s="11" t="n">
        <v>9.09</v>
      </c>
      <c r="H253" s="11">
        <f>H252+G253</f>
        <v/>
      </c>
    </row>
    <row r="254">
      <c r="A254" s="9" t="n">
        <v>250</v>
      </c>
      <c r="B254" s="9" t="inlineStr">
        <is>
          <t>Vanguard_M5</t>
        </is>
      </c>
      <c r="C254" s="9" t="inlineStr">
        <is>
          <t>Trendline breakout (fractal swing line) + VWAP/S-R distance gate</t>
        </is>
      </c>
      <c r="D254" s="9" t="inlineStr">
        <is>
          <t>Long</t>
        </is>
      </c>
      <c r="E254" s="10" t="n">
        <v>46064.51388888889</v>
      </c>
      <c r="F254" s="10" t="n">
        <v>46064.61111111111</v>
      </c>
      <c r="G254" s="11" t="n">
        <v>-18.8</v>
      </c>
      <c r="H254" s="11">
        <f>H253+G254</f>
        <v/>
      </c>
    </row>
    <row r="255">
      <c r="A255" s="9" t="n">
        <v>251</v>
      </c>
      <c r="B255" s="9" t="inlineStr">
        <is>
          <t>MSG</t>
        </is>
      </c>
      <c r="C255" s="9" t="inlineStr">
        <is>
          <t>Session-range breakout + Fibonacci retracement-zone entry</t>
        </is>
      </c>
      <c r="D255" s="9" t="inlineStr">
        <is>
          <t>Long</t>
        </is>
      </c>
      <c r="E255" s="10" t="n">
        <v>46064.60833333333</v>
      </c>
      <c r="F255" s="10" t="n">
        <v>46064.61180555556</v>
      </c>
      <c r="G255" s="11" t="n">
        <v>-81.97</v>
      </c>
      <c r="H255" s="11">
        <f>H254+G255</f>
        <v/>
      </c>
    </row>
    <row r="256">
      <c r="A256" s="9" t="n">
        <v>252</v>
      </c>
      <c r="B256" s="9" t="inlineStr">
        <is>
          <t>Meridian</t>
        </is>
      </c>
      <c r="C256" s="9" t="inlineStr">
        <is>
          <t>21/50 MA cross, 250-period confirm filter, VWAP</t>
        </is>
      </c>
      <c r="D256" s="9" t="inlineStr">
        <is>
          <t>Long</t>
        </is>
      </c>
      <c r="E256" s="10" t="n">
        <v>46064.48611111111</v>
      </c>
      <c r="F256" s="10" t="n">
        <v>46064.64583333334</v>
      </c>
      <c r="G256" s="11" t="n">
        <v>-11.38</v>
      </c>
      <c r="H256" s="11">
        <f>H255+G256</f>
        <v/>
      </c>
    </row>
    <row r="257">
      <c r="A257" s="9" t="n">
        <v>253</v>
      </c>
      <c r="B257" s="9" t="inlineStr">
        <is>
          <t>Vanguard_M15</t>
        </is>
      </c>
      <c r="C257" s="9" t="inlineStr">
        <is>
          <t>Trendline breakout (fractal swing line) + VWAP/S-R distance gate - M15 chart</t>
        </is>
      </c>
      <c r="D257" s="9" t="inlineStr">
        <is>
          <t>Long</t>
        </is>
      </c>
      <c r="E257" s="10" t="n">
        <v>46064.52083333334</v>
      </c>
      <c r="F257" s="10" t="n">
        <v>46064.64583333334</v>
      </c>
      <c r="G257" s="11" t="n">
        <v>-26.91</v>
      </c>
      <c r="H257" s="11">
        <f>H256+G257</f>
        <v/>
      </c>
    </row>
    <row r="258">
      <c r="A258" s="9" t="n">
        <v>254</v>
      </c>
      <c r="B258" s="9" t="inlineStr">
        <is>
          <t>Vanguard_M5</t>
        </is>
      </c>
      <c r="C258" s="9" t="inlineStr">
        <is>
          <t>Trendline breakout (fractal swing line) + VWAP/S-R distance gate</t>
        </is>
      </c>
      <c r="D258" s="9" t="inlineStr">
        <is>
          <t>Long</t>
        </is>
      </c>
      <c r="E258" s="10" t="n">
        <v>46064.61805555555</v>
      </c>
      <c r="F258" s="10" t="n">
        <v>46064.64583333334</v>
      </c>
      <c r="G258" s="11" t="n">
        <v>-41.45</v>
      </c>
      <c r="H258" s="11">
        <f>H257+G258</f>
        <v/>
      </c>
    </row>
    <row r="259">
      <c r="A259" s="9" t="n">
        <v>255</v>
      </c>
      <c r="B259" s="9" t="inlineStr">
        <is>
          <t>Ratchet</t>
        </is>
      </c>
      <c r="C259" s="9" t="inlineStr">
        <is>
          <t>Stochastic scalp with give-back trail exit</t>
        </is>
      </c>
      <c r="D259" s="9" t="inlineStr">
        <is>
          <t>Long</t>
        </is>
      </c>
      <c r="E259" s="10" t="n">
        <v>46064.81944444445</v>
      </c>
      <c r="F259" s="10" t="n">
        <v>46064.83333333334</v>
      </c>
      <c r="G259" s="11" t="n">
        <v>3.69</v>
      </c>
      <c r="H259" s="11">
        <f>H258+G259</f>
        <v/>
      </c>
    </row>
    <row r="260">
      <c r="A260" s="9" t="n">
        <v>256</v>
      </c>
      <c r="B260" s="9" t="inlineStr">
        <is>
          <t>Ratchet</t>
        </is>
      </c>
      <c r="C260" s="9" t="inlineStr">
        <is>
          <t>Stochastic scalp with give-back trail exit</t>
        </is>
      </c>
      <c r="D260" s="9" t="inlineStr">
        <is>
          <t>Long</t>
        </is>
      </c>
      <c r="E260" s="10" t="n">
        <v>46064.86805555555</v>
      </c>
      <c r="F260" s="10" t="n">
        <v>46064.87847222222</v>
      </c>
      <c r="G260" s="11" t="n">
        <v>0</v>
      </c>
      <c r="H260" s="11">
        <f>H259+G260</f>
        <v/>
      </c>
    </row>
    <row r="261">
      <c r="A261" s="9" t="n">
        <v>257</v>
      </c>
      <c r="B261" s="9" t="inlineStr">
        <is>
          <t>Ratchet</t>
        </is>
      </c>
      <c r="C261" s="9" t="inlineStr">
        <is>
          <t>Stochastic scalp with give-back trail exit</t>
        </is>
      </c>
      <c r="D261" s="9" t="inlineStr">
        <is>
          <t>Long</t>
        </is>
      </c>
      <c r="E261" s="10" t="n">
        <v>46064.95138888889</v>
      </c>
      <c r="F261" s="10" t="n">
        <v>46064.97569444445</v>
      </c>
      <c r="G261" s="11" t="n">
        <v>1.07</v>
      </c>
      <c r="H261" s="11">
        <f>H260+G261</f>
        <v/>
      </c>
    </row>
    <row r="262">
      <c r="A262" s="9" t="n">
        <v>258</v>
      </c>
      <c r="B262" s="9" t="inlineStr">
        <is>
          <t>Meridian</t>
        </is>
      </c>
      <c r="C262" s="9" t="inlineStr">
        <is>
          <t>21/50 MA cross, 250-period confirm filter, VWAP</t>
        </is>
      </c>
      <c r="D262" s="9" t="inlineStr">
        <is>
          <t>Short</t>
        </is>
      </c>
      <c r="E262" s="10" t="n">
        <v>46065.05555555555</v>
      </c>
      <c r="F262" s="10" t="n">
        <v>46065.30208333334</v>
      </c>
      <c r="G262" s="11" t="n">
        <v>-8.220000000000001</v>
      </c>
      <c r="H262" s="11">
        <f>H261+G262</f>
        <v/>
      </c>
    </row>
    <row r="263">
      <c r="A263" s="9" t="n">
        <v>259</v>
      </c>
      <c r="B263" s="9" t="inlineStr">
        <is>
          <t>Meridian</t>
        </is>
      </c>
      <c r="C263" s="9" t="inlineStr">
        <is>
          <t>21/50 MA cross, 250-period confirm filter, VWAP</t>
        </is>
      </c>
      <c r="D263" s="9" t="inlineStr">
        <is>
          <t>Short</t>
        </is>
      </c>
      <c r="E263" s="10" t="n">
        <v>46065.35763888889</v>
      </c>
      <c r="F263" s="10" t="n">
        <v>46065.38194444445</v>
      </c>
      <c r="G263" s="11" t="n">
        <v>-15.41</v>
      </c>
      <c r="H263" s="11">
        <f>H262+G263</f>
        <v/>
      </c>
    </row>
    <row r="264">
      <c r="A264" s="9" t="n">
        <v>260</v>
      </c>
      <c r="B264" s="9" t="inlineStr">
        <is>
          <t>Meridian</t>
        </is>
      </c>
      <c r="C264" s="9" t="inlineStr">
        <is>
          <t>21/50 MA cross, 250-period confirm filter, VWAP</t>
        </is>
      </c>
      <c r="D264" s="9" t="inlineStr">
        <is>
          <t>Short</t>
        </is>
      </c>
      <c r="E264" s="10" t="n">
        <v>46065.44097222222</v>
      </c>
      <c r="F264" s="10" t="n">
        <v>46065.45833333334</v>
      </c>
      <c r="G264" s="11" t="n">
        <v>-8.09</v>
      </c>
      <c r="H264" s="11">
        <f>H263+G264</f>
        <v/>
      </c>
    </row>
    <row r="265">
      <c r="A265" s="9" t="n">
        <v>261</v>
      </c>
      <c r="B265" s="9" t="inlineStr">
        <is>
          <t>Vanguard_M15</t>
        </is>
      </c>
      <c r="C265" s="9" t="inlineStr">
        <is>
          <t>Trendline breakout (fractal swing line) + VWAP/S-R distance gate - M15 chart</t>
        </is>
      </c>
      <c r="D265" s="9" t="inlineStr">
        <is>
          <t>Long</t>
        </is>
      </c>
      <c r="E265" s="10" t="n">
        <v>46064.67708333334</v>
      </c>
      <c r="F265" s="10" t="n">
        <v>46065.5</v>
      </c>
      <c r="G265" s="11" t="n">
        <v>-7.88</v>
      </c>
      <c r="H265" s="11">
        <f>H264+G265</f>
        <v/>
      </c>
    </row>
    <row r="266">
      <c r="A266" s="9" t="n">
        <v>262</v>
      </c>
      <c r="B266" s="9" t="inlineStr">
        <is>
          <t>Vanguard_M5</t>
        </is>
      </c>
      <c r="C266" s="9" t="inlineStr">
        <is>
          <t>Trendline breakout (fractal swing line) + VWAP/S-R distance gate</t>
        </is>
      </c>
      <c r="D266" s="9" t="inlineStr">
        <is>
          <t>Long</t>
        </is>
      </c>
      <c r="E266" s="10" t="n">
        <v>46064.65972222222</v>
      </c>
      <c r="F266" s="10" t="n">
        <v>46065.50694444445</v>
      </c>
      <c r="G266" s="11" t="n">
        <v>-3.13</v>
      </c>
      <c r="H266" s="11">
        <f>H265+G266</f>
        <v/>
      </c>
    </row>
    <row r="267">
      <c r="A267" s="9" t="n">
        <v>263</v>
      </c>
      <c r="B267" s="9" t="inlineStr">
        <is>
          <t>Meridian</t>
        </is>
      </c>
      <c r="C267" s="9" t="inlineStr">
        <is>
          <t>21/50 MA cross, 250-period confirm filter, VWAP</t>
        </is>
      </c>
      <c r="D267" s="9" t="inlineStr">
        <is>
          <t>Short</t>
        </is>
      </c>
      <c r="E267" s="10" t="n">
        <v>46065.53472222222</v>
      </c>
      <c r="F267" s="10" t="n">
        <v>46065.63541666666</v>
      </c>
      <c r="G267" s="11" t="n">
        <v>-11.83</v>
      </c>
      <c r="H267" s="11">
        <f>H266+G267</f>
        <v/>
      </c>
    </row>
    <row r="268">
      <c r="A268" s="9" t="n">
        <v>264</v>
      </c>
      <c r="B268" s="9" t="inlineStr">
        <is>
          <t>MSG</t>
        </is>
      </c>
      <c r="C268" s="9" t="inlineStr">
        <is>
          <t>Session-range breakout + Fibonacci retracement-zone entry</t>
        </is>
      </c>
      <c r="D268" s="9" t="inlineStr">
        <is>
          <t>Short</t>
        </is>
      </c>
      <c r="E268" s="10" t="n">
        <v>46065.63472222222</v>
      </c>
      <c r="F268" s="10" t="n">
        <v>46065.63819444444</v>
      </c>
      <c r="G268" s="11" t="n">
        <v>-18.48</v>
      </c>
      <c r="H268" s="11">
        <f>H267+G268</f>
        <v/>
      </c>
    </row>
    <row r="269">
      <c r="A269" s="9" t="n">
        <v>265</v>
      </c>
      <c r="B269" s="9" t="inlineStr">
        <is>
          <t>Meridian</t>
        </is>
      </c>
      <c r="C269" s="9" t="inlineStr">
        <is>
          <t>21/50 MA cross, 250-period confirm filter, VWAP</t>
        </is>
      </c>
      <c r="D269" s="9" t="inlineStr">
        <is>
          <t>Long</t>
        </is>
      </c>
      <c r="E269" s="10" t="n">
        <v>46065.65277777778</v>
      </c>
      <c r="F269" s="10" t="n">
        <v>46065.67708333334</v>
      </c>
      <c r="G269" s="11" t="n">
        <v>-15.37</v>
      </c>
      <c r="H269" s="11">
        <f>H268+G269</f>
        <v/>
      </c>
    </row>
    <row r="270">
      <c r="A270" s="9" t="n">
        <v>266</v>
      </c>
      <c r="B270" s="9" t="inlineStr">
        <is>
          <t>Vanguard_M15</t>
        </is>
      </c>
      <c r="C270" s="9" t="inlineStr">
        <is>
          <t>Trendline breakout (fractal swing line) + VWAP/S-R distance gate - M15 chart</t>
        </is>
      </c>
      <c r="D270" s="9" t="inlineStr">
        <is>
          <t>Long</t>
        </is>
      </c>
      <c r="E270" s="10" t="n">
        <v>46065.65625</v>
      </c>
      <c r="F270" s="10" t="n">
        <v>46065.69791666666</v>
      </c>
      <c r="G270" s="11" t="n">
        <v>-29.05</v>
      </c>
      <c r="H270" s="11">
        <f>H269+G270</f>
        <v/>
      </c>
    </row>
    <row r="271">
      <c r="A271" s="9" t="n">
        <v>267</v>
      </c>
      <c r="B271" s="9" t="inlineStr">
        <is>
          <t>Vanguard_M5</t>
        </is>
      </c>
      <c r="C271" s="9" t="inlineStr">
        <is>
          <t>Trendline breakout (fractal swing line) + VWAP/S-R distance gate</t>
        </is>
      </c>
      <c r="D271" s="9" t="inlineStr">
        <is>
          <t>Long</t>
        </is>
      </c>
      <c r="E271" s="10" t="n">
        <v>46065.64930555555</v>
      </c>
      <c r="F271" s="10" t="n">
        <v>46065.70486111111</v>
      </c>
      <c r="G271" s="11" t="n">
        <v>-24.09</v>
      </c>
      <c r="H271" s="11">
        <f>H270+G271</f>
        <v/>
      </c>
    </row>
    <row r="272">
      <c r="A272" s="9" t="n">
        <v>268</v>
      </c>
      <c r="B272" s="9" t="inlineStr">
        <is>
          <t>Meridian</t>
        </is>
      </c>
      <c r="C272" s="9" t="inlineStr">
        <is>
          <t>21/50 MA cross, 250-period confirm filter, VWAP</t>
        </is>
      </c>
      <c r="D272" s="9" t="inlineStr">
        <is>
          <t>Short</t>
        </is>
      </c>
      <c r="E272" s="10" t="n">
        <v>46065.70138888889</v>
      </c>
      <c r="F272" s="10" t="n">
        <v>46065.74305555555</v>
      </c>
      <c r="G272" s="11" t="n">
        <v>-18.25</v>
      </c>
      <c r="H272" s="11">
        <f>H271+G272</f>
        <v/>
      </c>
    </row>
    <row r="273">
      <c r="A273" s="9" t="n">
        <v>269</v>
      </c>
      <c r="B273" s="9" t="inlineStr">
        <is>
          <t>Vanguard_M15</t>
        </is>
      </c>
      <c r="C273" s="9" t="inlineStr">
        <is>
          <t>Trendline breakout (fractal swing line) + VWAP/S-R distance gate - M15 chart</t>
        </is>
      </c>
      <c r="D273" s="9" t="inlineStr">
        <is>
          <t>Long</t>
        </is>
      </c>
      <c r="E273" s="10" t="n">
        <v>46065.73958333334</v>
      </c>
      <c r="F273" s="10" t="n">
        <v>46065.75</v>
      </c>
      <c r="G273" s="11" t="n">
        <v>-35.76</v>
      </c>
      <c r="H273" s="11">
        <f>H272+G273</f>
        <v/>
      </c>
    </row>
    <row r="274">
      <c r="A274" s="9" t="n">
        <v>270</v>
      </c>
      <c r="B274" s="9" t="inlineStr">
        <is>
          <t>Vanguard_M5</t>
        </is>
      </c>
      <c r="C274" s="9" t="inlineStr">
        <is>
          <t>Trendline breakout (fractal swing line) + VWAP/S-R distance gate</t>
        </is>
      </c>
      <c r="D274" s="9" t="inlineStr">
        <is>
          <t>Long</t>
        </is>
      </c>
      <c r="E274" s="10" t="n">
        <v>46065.73263888889</v>
      </c>
      <c r="F274" s="10" t="n">
        <v>46065.75694444445</v>
      </c>
      <c r="G274" s="11" t="n">
        <v>-32.36</v>
      </c>
      <c r="H274" s="11">
        <f>H273+G274</f>
        <v/>
      </c>
    </row>
    <row r="275">
      <c r="A275" s="9" t="n">
        <v>271</v>
      </c>
      <c r="B275" s="9" t="inlineStr">
        <is>
          <t>Ratchet</t>
        </is>
      </c>
      <c r="C275" s="9" t="inlineStr">
        <is>
          <t>Stochastic scalp with give-back trail exit</t>
        </is>
      </c>
      <c r="D275" s="9" t="inlineStr">
        <is>
          <t>Short</t>
        </is>
      </c>
      <c r="E275" s="10" t="n">
        <v>46065.78125</v>
      </c>
      <c r="F275" s="10" t="n">
        <v>46065.78472222222</v>
      </c>
      <c r="G275" s="11" t="n">
        <v>5.07</v>
      </c>
      <c r="H275" s="11">
        <f>H274+G275</f>
        <v/>
      </c>
    </row>
    <row r="276">
      <c r="A276" s="9" t="n">
        <v>272</v>
      </c>
      <c r="B276" s="9" t="inlineStr">
        <is>
          <t>Ratchet</t>
        </is>
      </c>
      <c r="C276" s="9" t="inlineStr">
        <is>
          <t>Stochastic scalp with give-back trail exit</t>
        </is>
      </c>
      <c r="D276" s="9" t="inlineStr">
        <is>
          <t>Short</t>
        </is>
      </c>
      <c r="E276" s="10" t="n">
        <v>46065.78819444445</v>
      </c>
      <c r="F276" s="10" t="n">
        <v>46065.84722222222</v>
      </c>
      <c r="G276" s="11" t="n">
        <v>8.19</v>
      </c>
      <c r="H276" s="11">
        <f>H275+G276</f>
        <v/>
      </c>
    </row>
    <row r="277">
      <c r="A277" s="9" t="n">
        <v>273</v>
      </c>
      <c r="B277" s="9" t="inlineStr">
        <is>
          <t>Meridian</t>
        </is>
      </c>
      <c r="C277" s="9" t="inlineStr">
        <is>
          <t>21/50 MA cross, 250-period confirm filter, VWAP</t>
        </is>
      </c>
      <c r="D277" s="9" t="inlineStr">
        <is>
          <t>Short</t>
        </is>
      </c>
      <c r="E277" s="10" t="n">
        <v>46065.75694444445</v>
      </c>
      <c r="F277" s="10" t="n">
        <v>46066.12847222222</v>
      </c>
      <c r="G277" s="11" t="n">
        <v>92.79000000000001</v>
      </c>
      <c r="H277" s="11">
        <f>H276+G277</f>
        <v/>
      </c>
    </row>
    <row r="278">
      <c r="A278" s="9" t="n">
        <v>274</v>
      </c>
      <c r="B278" s="9" t="inlineStr">
        <is>
          <t>Meridian</t>
        </is>
      </c>
      <c r="C278" s="9" t="inlineStr">
        <is>
          <t>21/50 MA cross, 250-period confirm filter, VWAP</t>
        </is>
      </c>
      <c r="D278" s="9" t="inlineStr">
        <is>
          <t>Short</t>
        </is>
      </c>
      <c r="E278" s="10" t="n">
        <v>46066.33333333334</v>
      </c>
      <c r="F278" s="10" t="n">
        <v>46066.37152777778</v>
      </c>
      <c r="G278" s="11" t="n">
        <v>-20.36</v>
      </c>
      <c r="H278" s="11">
        <f>H277+G278</f>
        <v/>
      </c>
    </row>
    <row r="279">
      <c r="A279" s="9" t="n">
        <v>275</v>
      </c>
      <c r="B279" s="9" t="inlineStr">
        <is>
          <t>Aurelius_M5</t>
        </is>
      </c>
      <c r="C279" s="9" t="inlineStr">
        <is>
          <t>MA alignment (EMA21&gt;EMA50&gt;SMA250&gt;SMMA500 vs EMA2400 trend filter)</t>
        </is>
      </c>
      <c r="D279" s="9" t="inlineStr">
        <is>
          <t>Short</t>
        </is>
      </c>
      <c r="E279" s="10" t="n">
        <v>46066.35416666666</v>
      </c>
      <c r="F279" s="10" t="n">
        <v>46066.38541666666</v>
      </c>
      <c r="G279" s="11" t="n">
        <v>-20.84</v>
      </c>
      <c r="H279" s="11">
        <f>H278+G279</f>
        <v/>
      </c>
    </row>
    <row r="280">
      <c r="A280" s="9" t="n">
        <v>276</v>
      </c>
      <c r="B280" s="9" t="inlineStr">
        <is>
          <t>Ratchet</t>
        </is>
      </c>
      <c r="C280" s="9" t="inlineStr">
        <is>
          <t>Stochastic scalp with give-back trail exit</t>
        </is>
      </c>
      <c r="D280" s="9" t="inlineStr">
        <is>
          <t>Short</t>
        </is>
      </c>
      <c r="E280" s="10" t="n">
        <v>46066.35416666666</v>
      </c>
      <c r="F280" s="10" t="n">
        <v>46066.38541666666</v>
      </c>
      <c r="G280" s="11" t="n">
        <v>-16.85</v>
      </c>
      <c r="H280" s="11">
        <f>H279+G280</f>
        <v/>
      </c>
    </row>
    <row r="281">
      <c r="A281" s="9" t="n">
        <v>277</v>
      </c>
      <c r="B281" s="9" t="inlineStr">
        <is>
          <t>Ratchet</t>
        </is>
      </c>
      <c r="C281" s="9" t="inlineStr">
        <is>
          <t>Stochastic scalp with give-back trail exit</t>
        </is>
      </c>
      <c r="D281" s="9" t="inlineStr">
        <is>
          <t>Short</t>
        </is>
      </c>
      <c r="E281" s="10" t="n">
        <v>46066.53819444445</v>
      </c>
      <c r="F281" s="10" t="n">
        <v>46066.57986111111</v>
      </c>
      <c r="G281" s="11" t="n">
        <v>6.8</v>
      </c>
      <c r="H281" s="11">
        <f>H280+G281</f>
        <v/>
      </c>
    </row>
    <row r="282">
      <c r="A282" s="9" t="n">
        <v>278</v>
      </c>
      <c r="B282" s="9" t="inlineStr">
        <is>
          <t>Vanguard_M15</t>
        </is>
      </c>
      <c r="C282" s="9" t="inlineStr">
        <is>
          <t>Trendline breakout (fractal swing line) + VWAP/S-R distance gate - M15 chart</t>
        </is>
      </c>
      <c r="D282" s="9" t="inlineStr">
        <is>
          <t>Short</t>
        </is>
      </c>
      <c r="E282" s="10" t="n">
        <v>46065.76041666666</v>
      </c>
      <c r="F282" s="10" t="n">
        <v>46066.58333333334</v>
      </c>
      <c r="G282" s="11" t="n">
        <v>-12.6</v>
      </c>
      <c r="H282" s="11">
        <f>H281+G282</f>
        <v/>
      </c>
    </row>
    <row r="283">
      <c r="A283" s="9" t="n">
        <v>279</v>
      </c>
      <c r="B283" s="9" t="inlineStr">
        <is>
          <t>Vanguard_M5</t>
        </is>
      </c>
      <c r="C283" s="9" t="inlineStr">
        <is>
          <t>Trendline breakout (fractal swing line) + VWAP/S-R distance gate</t>
        </is>
      </c>
      <c r="D283" s="9" t="inlineStr">
        <is>
          <t>Short</t>
        </is>
      </c>
      <c r="E283" s="10" t="n">
        <v>46065.76041666666</v>
      </c>
      <c r="F283" s="10" t="n">
        <v>46066.58333333334</v>
      </c>
      <c r="G283" s="11" t="n">
        <v>-7.27</v>
      </c>
      <c r="H283" s="11">
        <f>H282+G283</f>
        <v/>
      </c>
    </row>
    <row r="284">
      <c r="A284" s="9" t="n">
        <v>280</v>
      </c>
      <c r="B284" s="9" t="inlineStr">
        <is>
          <t>Aurelius_M5</t>
        </is>
      </c>
      <c r="C284" s="9" t="inlineStr">
        <is>
          <t>MA alignment (EMA21&gt;EMA50&gt;SMA250&gt;SMMA500 vs EMA2400 trend filter)</t>
        </is>
      </c>
      <c r="D284" s="9" t="inlineStr">
        <is>
          <t>Short</t>
        </is>
      </c>
      <c r="E284" s="10" t="n">
        <v>46066.54513888889</v>
      </c>
      <c r="F284" s="10" t="n">
        <v>46066.59375</v>
      </c>
      <c r="G284" s="11" t="n">
        <v>-20.02</v>
      </c>
      <c r="H284" s="11">
        <f>H283+G284</f>
        <v/>
      </c>
    </row>
    <row r="285">
      <c r="A285" s="9" t="n">
        <v>281</v>
      </c>
      <c r="B285" s="9" t="inlineStr">
        <is>
          <t>MSG</t>
        </is>
      </c>
      <c r="C285" s="9" t="inlineStr">
        <is>
          <t>Session-range breakout + Fibonacci retracement-zone entry</t>
        </is>
      </c>
      <c r="D285" s="9" t="inlineStr">
        <is>
          <t>Short</t>
        </is>
      </c>
      <c r="E285" s="10" t="n">
        <v>46066.58958333333</v>
      </c>
      <c r="F285" s="10" t="n">
        <v>46066.64583333334</v>
      </c>
      <c r="G285" s="11" t="n">
        <v>-46.12</v>
      </c>
      <c r="H285" s="11">
        <f>H284+G285</f>
        <v/>
      </c>
    </row>
    <row r="286">
      <c r="A286" s="9" t="n">
        <v>282</v>
      </c>
      <c r="B286" s="9" t="inlineStr">
        <is>
          <t>Meridian</t>
        </is>
      </c>
      <c r="C286" s="9" t="inlineStr">
        <is>
          <t>21/50 MA cross, 250-period confirm filter, VWAP</t>
        </is>
      </c>
      <c r="D286" s="9" t="inlineStr">
        <is>
          <t>Long</t>
        </is>
      </c>
      <c r="E286" s="10" t="n">
        <v>46066.62847222222</v>
      </c>
      <c r="F286" s="10" t="n">
        <v>46066.91666666666</v>
      </c>
      <c r="G286" s="11" t="n">
        <v>52.09</v>
      </c>
      <c r="H286" s="11">
        <f>H285+G286</f>
        <v/>
      </c>
    </row>
    <row r="287">
      <c r="A287" s="9" t="n">
        <v>283</v>
      </c>
      <c r="B287" s="9" t="inlineStr">
        <is>
          <t>Meridian</t>
        </is>
      </c>
      <c r="C287" s="9" t="inlineStr">
        <is>
          <t>21/50 MA cross, 250-period confirm filter, VWAP</t>
        </is>
      </c>
      <c r="D287" s="9" t="inlineStr">
        <is>
          <t>Long</t>
        </is>
      </c>
      <c r="E287" s="10" t="n">
        <v>46069.15972222222</v>
      </c>
      <c r="F287" s="10" t="n">
        <v>46069.19097222222</v>
      </c>
      <c r="G287" s="11" t="n">
        <v>-9.380000000000001</v>
      </c>
      <c r="H287" s="11">
        <f>H286+G287</f>
        <v/>
      </c>
    </row>
    <row r="288">
      <c r="A288" s="9" t="n">
        <v>284</v>
      </c>
      <c r="B288" s="9" t="inlineStr">
        <is>
          <t>Vanguard_M15</t>
        </is>
      </c>
      <c r="C288" s="9" t="inlineStr">
        <is>
          <t>Trendline breakout (fractal swing line) + VWAP/S-R distance gate - M15 chart</t>
        </is>
      </c>
      <c r="D288" s="9" t="inlineStr">
        <is>
          <t>Long</t>
        </is>
      </c>
      <c r="E288" s="10" t="n">
        <v>46066.61458333334</v>
      </c>
      <c r="F288" s="10" t="n">
        <v>46069.25</v>
      </c>
      <c r="G288" s="11" t="n">
        <v>10.38</v>
      </c>
      <c r="H288" s="11">
        <f>H287+G288</f>
        <v/>
      </c>
    </row>
    <row r="289">
      <c r="A289" s="9" t="n">
        <v>285</v>
      </c>
      <c r="B289" s="9" t="inlineStr">
        <is>
          <t>Vanguard_M5</t>
        </is>
      </c>
      <c r="C289" s="9" t="inlineStr">
        <is>
          <t>Trendline breakout (fractal swing line) + VWAP/S-R distance gate</t>
        </is>
      </c>
      <c r="D289" s="9" t="inlineStr">
        <is>
          <t>Long</t>
        </is>
      </c>
      <c r="E289" s="10" t="n">
        <v>46066.61111111111</v>
      </c>
      <c r="F289" s="10" t="n">
        <v>46069.25347222222</v>
      </c>
      <c r="G289" s="11" t="n">
        <v>7.43</v>
      </c>
      <c r="H289" s="11">
        <f>H288+G289</f>
        <v/>
      </c>
    </row>
    <row r="290">
      <c r="A290" s="9" t="n">
        <v>286</v>
      </c>
      <c r="B290" s="9" t="inlineStr">
        <is>
          <t>Vanguard_M5</t>
        </is>
      </c>
      <c r="C290" s="9" t="inlineStr">
        <is>
          <t>Trendline breakout (fractal swing line) + VWAP/S-R distance gate</t>
        </is>
      </c>
      <c r="D290" s="9" t="inlineStr">
        <is>
          <t>Short</t>
        </is>
      </c>
      <c r="E290" s="10" t="n">
        <v>46069.25694444445</v>
      </c>
      <c r="F290" s="10" t="n">
        <v>46069.40277777778</v>
      </c>
      <c r="G290" s="11" t="n">
        <v>-27.85</v>
      </c>
      <c r="H290" s="11">
        <f>H289+G290</f>
        <v/>
      </c>
    </row>
    <row r="291">
      <c r="A291" s="9" t="n">
        <v>287</v>
      </c>
      <c r="B291" s="9" t="inlineStr">
        <is>
          <t>Vanguard_M15</t>
        </is>
      </c>
      <c r="C291" s="9" t="inlineStr">
        <is>
          <t>Trendline breakout (fractal swing line) + VWAP/S-R distance gate - M15 chart</t>
        </is>
      </c>
      <c r="D291" s="9" t="inlineStr">
        <is>
          <t>Short</t>
        </is>
      </c>
      <c r="E291" s="10" t="n">
        <v>46069.26041666666</v>
      </c>
      <c r="F291" s="10" t="n">
        <v>46069.41666666666</v>
      </c>
      <c r="G291" s="11" t="n">
        <v>-36.45</v>
      </c>
      <c r="H291" s="11">
        <f>H290+G291</f>
        <v/>
      </c>
    </row>
    <row r="292">
      <c r="A292" s="9" t="n">
        <v>288</v>
      </c>
      <c r="B292" s="9" t="inlineStr">
        <is>
          <t>Meridian</t>
        </is>
      </c>
      <c r="C292" s="9" t="inlineStr">
        <is>
          <t>21/50 MA cross, 250-period confirm filter, VWAP</t>
        </is>
      </c>
      <c r="D292" s="9" t="inlineStr">
        <is>
          <t>Short</t>
        </is>
      </c>
      <c r="E292" s="10" t="n">
        <v>46069.59027777778</v>
      </c>
      <c r="F292" s="10" t="n">
        <v>46069.82638888889</v>
      </c>
      <c r="G292" s="11" t="n">
        <v>10.8</v>
      </c>
      <c r="H292" s="11">
        <f>H291+G292</f>
        <v/>
      </c>
    </row>
    <row r="293">
      <c r="A293" s="9" t="n">
        <v>289</v>
      </c>
      <c r="B293" s="9" t="inlineStr">
        <is>
          <t>Ratchet</t>
        </is>
      </c>
      <c r="C293" s="9" t="inlineStr">
        <is>
          <t>Stochastic scalp with give-back trail exit</t>
        </is>
      </c>
      <c r="D293" s="9" t="inlineStr">
        <is>
          <t>Short</t>
        </is>
      </c>
      <c r="E293" s="10" t="n">
        <v>46070.23263888889</v>
      </c>
      <c r="F293" s="10" t="n">
        <v>46070.23611111111</v>
      </c>
      <c r="G293" s="11" t="n">
        <v>1.04</v>
      </c>
      <c r="H293" s="11">
        <f>H292+G293</f>
        <v/>
      </c>
    </row>
    <row r="294">
      <c r="A294" s="9" t="n">
        <v>290</v>
      </c>
      <c r="B294" s="9" t="inlineStr">
        <is>
          <t>Ratchet</t>
        </is>
      </c>
      <c r="C294" s="9" t="inlineStr">
        <is>
          <t>Stochastic scalp with give-back trail exit</t>
        </is>
      </c>
      <c r="D294" s="9" t="inlineStr">
        <is>
          <t>Short</t>
        </is>
      </c>
      <c r="E294" s="10" t="n">
        <v>46070.28472222222</v>
      </c>
      <c r="F294" s="10" t="n">
        <v>46070.42361111111</v>
      </c>
      <c r="G294" s="11" t="n">
        <v>21.46</v>
      </c>
      <c r="H294" s="11">
        <f>H293+G294</f>
        <v/>
      </c>
    </row>
    <row r="295">
      <c r="A295" s="9" t="n">
        <v>291</v>
      </c>
      <c r="B295" s="9" t="inlineStr">
        <is>
          <t>Meridian</t>
        </is>
      </c>
      <c r="C295" s="9" t="inlineStr">
        <is>
          <t>21/50 MA cross, 250-period confirm filter, VWAP</t>
        </is>
      </c>
      <c r="D295" s="9" t="inlineStr">
        <is>
          <t>Short</t>
        </is>
      </c>
      <c r="E295" s="10" t="n">
        <v>46070.09027777778</v>
      </c>
      <c r="F295" s="10" t="n">
        <v>46070.50347222222</v>
      </c>
      <c r="G295" s="11" t="n">
        <v>50.77</v>
      </c>
      <c r="H295" s="11">
        <f>H294+G295</f>
        <v/>
      </c>
    </row>
    <row r="296">
      <c r="A296" s="9" t="n">
        <v>292</v>
      </c>
      <c r="B296" s="9" t="inlineStr">
        <is>
          <t>Aurelius_M5</t>
        </is>
      </c>
      <c r="C296" s="9" t="inlineStr">
        <is>
          <t>MA alignment (EMA21&gt;EMA50&gt;SMA250&gt;SMMA500 vs EMA2400 trend filter)</t>
        </is>
      </c>
      <c r="D296" s="9" t="inlineStr">
        <is>
          <t>Short</t>
        </is>
      </c>
      <c r="E296" s="10" t="n">
        <v>46070.10416666666</v>
      </c>
      <c r="F296" s="10" t="n">
        <v>46070.50347222222</v>
      </c>
      <c r="G296" s="11" t="n">
        <v>45.96</v>
      </c>
      <c r="H296" s="11">
        <f>H295+G296</f>
        <v/>
      </c>
    </row>
    <row r="297">
      <c r="A297" s="9" t="n">
        <v>293</v>
      </c>
      <c r="B297" s="9" t="inlineStr">
        <is>
          <t>MSG</t>
        </is>
      </c>
      <c r="C297" s="9" t="inlineStr">
        <is>
          <t>Session-range breakout + Fibonacci retracement-zone entry</t>
        </is>
      </c>
      <c r="D297" s="9" t="inlineStr">
        <is>
          <t>Long</t>
        </is>
      </c>
      <c r="E297" s="10" t="n">
        <v>46070.52569444444</v>
      </c>
      <c r="F297" s="10" t="n">
        <v>46070.53541666667</v>
      </c>
      <c r="G297" s="11" t="n">
        <v>-27.92</v>
      </c>
      <c r="H297" s="11">
        <f>H296+G297</f>
        <v/>
      </c>
    </row>
    <row r="298">
      <c r="A298" s="9" t="n">
        <v>294</v>
      </c>
      <c r="B298" s="9" t="inlineStr">
        <is>
          <t>Meridian</t>
        </is>
      </c>
      <c r="C298" s="9" t="inlineStr">
        <is>
          <t>21/50 MA cross, 250-period confirm filter, VWAP</t>
        </is>
      </c>
      <c r="D298" s="9" t="inlineStr">
        <is>
          <t>Short</t>
        </is>
      </c>
      <c r="E298" s="10" t="n">
        <v>46070.54166666666</v>
      </c>
      <c r="F298" s="10" t="n">
        <v>46070.55208333334</v>
      </c>
      <c r="G298" s="11" t="n">
        <v>-12.87</v>
      </c>
      <c r="H298" s="11">
        <f>H297+G298</f>
        <v/>
      </c>
    </row>
    <row r="299">
      <c r="A299" s="9" t="n">
        <v>295</v>
      </c>
      <c r="B299" s="9" t="inlineStr">
        <is>
          <t>Ratchet</t>
        </is>
      </c>
      <c r="C299" s="9" t="inlineStr">
        <is>
          <t>Stochastic scalp with give-back trail exit</t>
        </is>
      </c>
      <c r="D299" s="9" t="inlineStr">
        <is>
          <t>Short</t>
        </is>
      </c>
      <c r="E299" s="10" t="n">
        <v>46070.65972222222</v>
      </c>
      <c r="F299" s="10" t="n">
        <v>46070.6875</v>
      </c>
      <c r="G299" s="11" t="n">
        <v>14.72</v>
      </c>
      <c r="H299" s="11">
        <f>H298+G299</f>
        <v/>
      </c>
    </row>
    <row r="300">
      <c r="A300" s="9" t="n">
        <v>296</v>
      </c>
      <c r="B300" s="9" t="inlineStr">
        <is>
          <t>Ratchet</t>
        </is>
      </c>
      <c r="C300" s="9" t="inlineStr">
        <is>
          <t>Stochastic scalp with give-back trail exit</t>
        </is>
      </c>
      <c r="D300" s="9" t="inlineStr">
        <is>
          <t>Short</t>
        </is>
      </c>
      <c r="E300" s="10" t="n">
        <v>46070.69097222222</v>
      </c>
      <c r="F300" s="10" t="n">
        <v>46070.75</v>
      </c>
      <c r="G300" s="11" t="n">
        <v>13.02</v>
      </c>
      <c r="H300" s="11">
        <f>H299+G300</f>
        <v/>
      </c>
    </row>
    <row r="301">
      <c r="A301" s="9" t="n">
        <v>297</v>
      </c>
      <c r="B301" s="9" t="inlineStr">
        <is>
          <t>Ratchet</t>
        </is>
      </c>
      <c r="C301" s="9" t="inlineStr">
        <is>
          <t>Stochastic scalp with give-back trail exit</t>
        </is>
      </c>
      <c r="D301" s="9" t="inlineStr">
        <is>
          <t>Short</t>
        </is>
      </c>
      <c r="E301" s="10" t="n">
        <v>46070.79861111111</v>
      </c>
      <c r="F301" s="10" t="n">
        <v>46070.80208333334</v>
      </c>
      <c r="G301" s="11" t="n">
        <v>2.89</v>
      </c>
      <c r="H301" s="11">
        <f>H300+G301</f>
        <v/>
      </c>
    </row>
    <row r="302">
      <c r="A302" s="9" t="n">
        <v>298</v>
      </c>
      <c r="B302" s="9" t="inlineStr">
        <is>
          <t>Ratchet</t>
        </is>
      </c>
      <c r="C302" s="9" t="inlineStr">
        <is>
          <t>Stochastic scalp with give-back trail exit</t>
        </is>
      </c>
      <c r="D302" s="9" t="inlineStr">
        <is>
          <t>Short</t>
        </is>
      </c>
      <c r="E302" s="10" t="n">
        <v>46070.81944444445</v>
      </c>
      <c r="F302" s="10" t="n">
        <v>46070.82638888889</v>
      </c>
      <c r="G302" s="11" t="n">
        <v>-0</v>
      </c>
      <c r="H302" s="11">
        <f>H301+G302</f>
        <v/>
      </c>
    </row>
    <row r="303">
      <c r="A303" s="9" t="n">
        <v>299</v>
      </c>
      <c r="B303" s="9" t="inlineStr">
        <is>
          <t>Aurelius_M5</t>
        </is>
      </c>
      <c r="C303" s="9" t="inlineStr">
        <is>
          <t>MA alignment (EMA21&gt;EMA50&gt;SMA250&gt;SMMA500 vs EMA2400 trend filter)</t>
        </is>
      </c>
      <c r="D303" s="9" t="inlineStr">
        <is>
          <t>Short</t>
        </is>
      </c>
      <c r="E303" s="10" t="n">
        <v>46070.6875</v>
      </c>
      <c r="F303" s="10" t="n">
        <v>46070.87152777778</v>
      </c>
      <c r="G303" s="11" t="n">
        <v>4.19</v>
      </c>
      <c r="H303" s="11">
        <f>H302+G303</f>
        <v/>
      </c>
    </row>
    <row r="304">
      <c r="A304" s="9" t="n">
        <v>300</v>
      </c>
      <c r="B304" s="9" t="inlineStr">
        <is>
          <t>Meridian</t>
        </is>
      </c>
      <c r="C304" s="9" t="inlineStr">
        <is>
          <t>21/50 MA cross, 250-period confirm filter, VWAP</t>
        </is>
      </c>
      <c r="D304" s="9" t="inlineStr">
        <is>
          <t>Short</t>
        </is>
      </c>
      <c r="E304" s="10" t="n">
        <v>46070.64930555555</v>
      </c>
      <c r="F304" s="10" t="n">
        <v>46070.87847222222</v>
      </c>
      <c r="G304" s="11" t="n">
        <v>13.56</v>
      </c>
      <c r="H304" s="11">
        <f>H303+G304</f>
        <v/>
      </c>
    </row>
    <row r="305">
      <c r="A305" s="9" t="n">
        <v>301</v>
      </c>
      <c r="B305" s="9" t="inlineStr">
        <is>
          <t>Ratchet</t>
        </is>
      </c>
      <c r="C305" s="9" t="inlineStr">
        <is>
          <t>Stochastic scalp with give-back trail exit</t>
        </is>
      </c>
      <c r="D305" s="9" t="inlineStr">
        <is>
          <t>Short</t>
        </is>
      </c>
      <c r="E305" s="10" t="n">
        <v>46071.05902777778</v>
      </c>
      <c r="F305" s="10" t="n">
        <v>46071.06597222222</v>
      </c>
      <c r="G305" s="11" t="n">
        <v>-0</v>
      </c>
      <c r="H305" s="11">
        <f>H304+G305</f>
        <v/>
      </c>
    </row>
    <row r="306">
      <c r="A306" s="9" t="n">
        <v>302</v>
      </c>
      <c r="B306" s="9" t="inlineStr">
        <is>
          <t>Meridian</t>
        </is>
      </c>
      <c r="C306" s="9" t="inlineStr">
        <is>
          <t>21/50 MA cross, 250-period confirm filter, VWAP</t>
        </is>
      </c>
      <c r="D306" s="9" t="inlineStr">
        <is>
          <t>Short</t>
        </is>
      </c>
      <c r="E306" s="10" t="n">
        <v>46070.93402777778</v>
      </c>
      <c r="F306" s="10" t="n">
        <v>46071.13194444445</v>
      </c>
      <c r="G306" s="11" t="n">
        <v>-16.67</v>
      </c>
      <c r="H306" s="11">
        <f>H305+G306</f>
        <v/>
      </c>
    </row>
    <row r="307">
      <c r="A307" s="9" t="n">
        <v>303</v>
      </c>
      <c r="B307" s="9" t="inlineStr">
        <is>
          <t>Aurelius_M15</t>
        </is>
      </c>
      <c r="C307" s="9" t="inlineStr">
        <is>
          <t>MA alignment (EMA21&gt;EMA50&gt;SMA250&gt;SMMA500 vs EMA2400 trend filter) - M15 chart</t>
        </is>
      </c>
      <c r="D307" s="9" t="inlineStr">
        <is>
          <t>Short</t>
        </is>
      </c>
      <c r="E307" s="10" t="n">
        <v>46070.11458333334</v>
      </c>
      <c r="F307" s="10" t="n">
        <v>46071.1875</v>
      </c>
      <c r="G307" s="11" t="n">
        <v>69.23999999999999</v>
      </c>
      <c r="H307" s="11">
        <f>H306+G307</f>
        <v/>
      </c>
    </row>
    <row r="308">
      <c r="A308" s="9" t="n">
        <v>304</v>
      </c>
      <c r="B308" s="9" t="inlineStr">
        <is>
          <t>MSG</t>
        </is>
      </c>
      <c r="C308" s="9" t="inlineStr">
        <is>
          <t>Session-range breakout + Fibonacci retracement-zone entry</t>
        </is>
      </c>
      <c r="D308" s="9" t="inlineStr">
        <is>
          <t>Short</t>
        </is>
      </c>
      <c r="E308" s="10" t="n">
        <v>46071.59097222222</v>
      </c>
      <c r="F308" s="10" t="n">
        <v>46071.61944444444</v>
      </c>
      <c r="G308" s="11" t="n">
        <v>-26.55</v>
      </c>
      <c r="H308" s="11">
        <f>H307+G308</f>
        <v/>
      </c>
    </row>
    <row r="309">
      <c r="A309" s="9" t="n">
        <v>305</v>
      </c>
      <c r="B309" s="9" t="inlineStr">
        <is>
          <t>Vanguard_M5</t>
        </is>
      </c>
      <c r="C309" s="9" t="inlineStr">
        <is>
          <t>Trendline breakout (fractal swing line) + VWAP/S-R distance gate</t>
        </is>
      </c>
      <c r="D309" s="9" t="inlineStr">
        <is>
          <t>Short</t>
        </is>
      </c>
      <c r="E309" s="10" t="n">
        <v>46069.54861111111</v>
      </c>
      <c r="F309" s="10" t="n">
        <v>46071.70833333334</v>
      </c>
      <c r="G309" s="11" t="n">
        <v>-2.25</v>
      </c>
      <c r="H309" s="11">
        <f>H308+G309</f>
        <v/>
      </c>
    </row>
    <row r="310">
      <c r="A310" s="9" t="n">
        <v>306</v>
      </c>
      <c r="B310" s="9" t="inlineStr">
        <is>
          <t>Vanguard_M15</t>
        </is>
      </c>
      <c r="C310" s="9" t="inlineStr">
        <is>
          <t>Trendline breakout (fractal swing line) + VWAP/S-R distance gate - M15 chart</t>
        </is>
      </c>
      <c r="D310" s="9" t="inlineStr">
        <is>
          <t>Short</t>
        </is>
      </c>
      <c r="E310" s="10" t="n">
        <v>46069.55208333334</v>
      </c>
      <c r="F310" s="10" t="n">
        <v>46071.70833333334</v>
      </c>
      <c r="G310" s="11" t="n">
        <v>-3.03</v>
      </c>
      <c r="H310" s="11">
        <f>H309+G310</f>
        <v/>
      </c>
    </row>
    <row r="311">
      <c r="A311" s="9" t="n">
        <v>307</v>
      </c>
      <c r="B311" s="9" t="inlineStr">
        <is>
          <t>Ratchet</t>
        </is>
      </c>
      <c r="C311" s="9" t="inlineStr">
        <is>
          <t>Stochastic scalp with give-back trail exit</t>
        </is>
      </c>
      <c r="D311" s="9" t="inlineStr">
        <is>
          <t>Long</t>
        </is>
      </c>
      <c r="E311" s="10" t="n">
        <v>46071.77777777778</v>
      </c>
      <c r="F311" s="10" t="n">
        <v>46071.78819444445</v>
      </c>
      <c r="G311" s="11" t="n">
        <v>1.2</v>
      </c>
      <c r="H311" s="11">
        <f>H310+G311</f>
        <v/>
      </c>
    </row>
    <row r="312">
      <c r="A312" s="9" t="n">
        <v>308</v>
      </c>
      <c r="B312" s="9" t="inlineStr">
        <is>
          <t>Meridian</t>
        </is>
      </c>
      <c r="C312" s="9" t="inlineStr">
        <is>
          <t>21/50 MA cross, 250-period confirm filter, VWAP</t>
        </is>
      </c>
      <c r="D312" s="9" t="inlineStr">
        <is>
          <t>Long</t>
        </is>
      </c>
      <c r="E312" s="10" t="n">
        <v>46071.61458333334</v>
      </c>
      <c r="F312" s="10" t="n">
        <v>46071.91319444445</v>
      </c>
      <c r="G312" s="11" t="n">
        <v>50.91</v>
      </c>
      <c r="H312" s="11">
        <f>H311+G312</f>
        <v/>
      </c>
    </row>
    <row r="313">
      <c r="A313" s="9" t="n">
        <v>309</v>
      </c>
      <c r="B313" s="9" t="inlineStr">
        <is>
          <t>Ratchet</t>
        </is>
      </c>
      <c r="C313" s="9" t="inlineStr">
        <is>
          <t>Stochastic scalp with give-back trail exit</t>
        </is>
      </c>
      <c r="D313" s="9" t="inlineStr">
        <is>
          <t>Long</t>
        </is>
      </c>
      <c r="E313" s="10" t="n">
        <v>46072.43402777778</v>
      </c>
      <c r="F313" s="10" t="n">
        <v>46072.45138888889</v>
      </c>
      <c r="G313" s="11" t="n">
        <v>1.77</v>
      </c>
      <c r="H313" s="11">
        <f>H312+G313</f>
        <v/>
      </c>
    </row>
    <row r="314">
      <c r="A314" s="9" t="n">
        <v>310</v>
      </c>
      <c r="B314" s="9" t="inlineStr">
        <is>
          <t>Ratchet</t>
        </is>
      </c>
      <c r="C314" s="9" t="inlineStr">
        <is>
          <t>Stochastic scalp with give-back trail exit</t>
        </is>
      </c>
      <c r="D314" s="9" t="inlineStr">
        <is>
          <t>Long</t>
        </is>
      </c>
      <c r="E314" s="10" t="n">
        <v>46072.45833333334</v>
      </c>
      <c r="F314" s="10" t="n">
        <v>46072.46875</v>
      </c>
      <c r="G314" s="11" t="n">
        <v>0.68</v>
      </c>
      <c r="H314" s="11">
        <f>H313+G314</f>
        <v/>
      </c>
    </row>
    <row r="315">
      <c r="A315" s="9" t="n">
        <v>311</v>
      </c>
      <c r="B315" s="9" t="inlineStr">
        <is>
          <t>Vanguard_M5</t>
        </is>
      </c>
      <c r="C315" s="9" t="inlineStr">
        <is>
          <t>Trendline breakout (fractal swing line) + VWAP/S-R distance gate</t>
        </is>
      </c>
      <c r="D315" s="9" t="inlineStr">
        <is>
          <t>Long</t>
        </is>
      </c>
      <c r="E315" s="10" t="n">
        <v>46072.35763888889</v>
      </c>
      <c r="F315" s="10" t="n">
        <v>46072.48263888889</v>
      </c>
      <c r="G315" s="11" t="n">
        <v>-14.04</v>
      </c>
      <c r="H315" s="11">
        <f>H314+G315</f>
        <v/>
      </c>
    </row>
    <row r="316">
      <c r="A316" s="9" t="n">
        <v>312</v>
      </c>
      <c r="B316" s="9" t="inlineStr">
        <is>
          <t>Vanguard_M15</t>
        </is>
      </c>
      <c r="C316" s="9" t="inlineStr">
        <is>
          <t>Trendline breakout (fractal swing line) + VWAP/S-R distance gate - M15 chart</t>
        </is>
      </c>
      <c r="D316" s="9" t="inlineStr">
        <is>
          <t>Long</t>
        </is>
      </c>
      <c r="E316" s="10" t="n">
        <v>46072.36458333334</v>
      </c>
      <c r="F316" s="10" t="n">
        <v>46072.5</v>
      </c>
      <c r="G316" s="11" t="n">
        <v>-20.45</v>
      </c>
      <c r="H316" s="11">
        <f>H315+G316</f>
        <v/>
      </c>
    </row>
    <row r="317">
      <c r="A317" s="9" t="n">
        <v>313</v>
      </c>
      <c r="B317" s="9" t="inlineStr">
        <is>
          <t>Meridian</t>
        </is>
      </c>
      <c r="C317" s="9" t="inlineStr">
        <is>
          <t>21/50 MA cross, 250-period confirm filter, VWAP</t>
        </is>
      </c>
      <c r="D317" s="9" t="inlineStr">
        <is>
          <t>Long</t>
        </is>
      </c>
      <c r="E317" s="10" t="n">
        <v>46072.24305555555</v>
      </c>
      <c r="F317" s="10" t="n">
        <v>46072.50694444445</v>
      </c>
      <c r="G317" s="11" t="n">
        <v>8.08</v>
      </c>
      <c r="H317" s="11">
        <f>H316+G317</f>
        <v/>
      </c>
    </row>
    <row r="318">
      <c r="A318" s="9" t="n">
        <v>314</v>
      </c>
      <c r="B318" s="9" t="inlineStr">
        <is>
          <t>Vanguard_M5</t>
        </is>
      </c>
      <c r="C318" s="9" t="inlineStr">
        <is>
          <t>Trendline breakout (fractal swing line) + VWAP/S-R distance gate</t>
        </is>
      </c>
      <c r="D318" s="9" t="inlineStr">
        <is>
          <t>Long</t>
        </is>
      </c>
      <c r="E318" s="10" t="n">
        <v>46072.48958333334</v>
      </c>
      <c r="F318" s="10" t="n">
        <v>46072.50694444445</v>
      </c>
      <c r="G318" s="11" t="n">
        <v>-19.61</v>
      </c>
      <c r="H318" s="11">
        <f>H317+G318</f>
        <v/>
      </c>
    </row>
    <row r="319">
      <c r="A319" s="9" t="n">
        <v>315</v>
      </c>
      <c r="B319" s="9" t="inlineStr">
        <is>
          <t>Vanguard_M5</t>
        </is>
      </c>
      <c r="C319" s="9" t="inlineStr">
        <is>
          <t>Trendline breakout (fractal swing line) + VWAP/S-R distance gate</t>
        </is>
      </c>
      <c r="D319" s="9" t="inlineStr">
        <is>
          <t>Short</t>
        </is>
      </c>
      <c r="E319" s="10" t="n">
        <v>46072.67361111111</v>
      </c>
      <c r="F319" s="10" t="n">
        <v>46072.69791666666</v>
      </c>
      <c r="G319" s="11" t="n">
        <v>-20.43</v>
      </c>
      <c r="H319" s="11">
        <f>H318+G319</f>
        <v/>
      </c>
    </row>
    <row r="320">
      <c r="A320" s="9" t="n">
        <v>316</v>
      </c>
      <c r="B320" s="9" t="inlineStr">
        <is>
          <t>Vanguard_M15</t>
        </is>
      </c>
      <c r="C320" s="9" t="inlineStr">
        <is>
          <t>Trendline breakout (fractal swing line) + VWAP/S-R distance gate - M15 chart</t>
        </is>
      </c>
      <c r="D320" s="9" t="inlineStr">
        <is>
          <t>Short</t>
        </is>
      </c>
      <c r="E320" s="10" t="n">
        <v>46072.67708333334</v>
      </c>
      <c r="F320" s="10" t="n">
        <v>46072.69791666666</v>
      </c>
      <c r="G320" s="11" t="n">
        <v>-32.08</v>
      </c>
      <c r="H320" s="11">
        <f>H319+G320</f>
        <v/>
      </c>
    </row>
    <row r="321">
      <c r="A321" s="9" t="n">
        <v>317</v>
      </c>
      <c r="B321" s="9" t="inlineStr">
        <is>
          <t>Ratchet</t>
        </is>
      </c>
      <c r="C321" s="9" t="inlineStr">
        <is>
          <t>Stochastic scalp with give-back trail exit</t>
        </is>
      </c>
      <c r="D321" s="9" t="inlineStr">
        <is>
          <t>Long</t>
        </is>
      </c>
      <c r="E321" s="10" t="n">
        <v>46072.72222222222</v>
      </c>
      <c r="F321" s="10" t="n">
        <v>46072.75347222222</v>
      </c>
      <c r="G321" s="11" t="n">
        <v>6.37</v>
      </c>
      <c r="H321" s="11">
        <f>H320+G321</f>
        <v/>
      </c>
    </row>
    <row r="322">
      <c r="A322" s="9" t="n">
        <v>318</v>
      </c>
      <c r="B322" s="9" t="inlineStr">
        <is>
          <t>Aurelius_M5</t>
        </is>
      </c>
      <c r="C322" s="9" t="inlineStr">
        <is>
          <t>MA alignment (EMA21&gt;EMA50&gt;SMA250&gt;SMMA500 vs EMA2400 trend filter)</t>
        </is>
      </c>
      <c r="D322" s="9" t="inlineStr">
        <is>
          <t>Long</t>
        </is>
      </c>
      <c r="E322" s="10" t="n">
        <v>46072.73263888889</v>
      </c>
      <c r="F322" s="10" t="n">
        <v>46072.76041666666</v>
      </c>
      <c r="G322" s="11" t="n">
        <v>-21.69</v>
      </c>
      <c r="H322" s="11">
        <f>H321+G322</f>
        <v/>
      </c>
    </row>
    <row r="323">
      <c r="A323" s="9" t="n">
        <v>319</v>
      </c>
      <c r="B323" s="9" t="inlineStr">
        <is>
          <t>Vanguard_M15</t>
        </is>
      </c>
      <c r="C323" s="9" t="inlineStr">
        <is>
          <t>Trendline breakout (fractal swing line) + VWAP/S-R distance gate - M15 chart</t>
        </is>
      </c>
      <c r="D323" s="9" t="inlineStr">
        <is>
          <t>Long</t>
        </is>
      </c>
      <c r="E323" s="10" t="n">
        <v>46072.70833333334</v>
      </c>
      <c r="F323" s="10" t="n">
        <v>46072.80208333334</v>
      </c>
      <c r="G323" s="11" t="n">
        <v>-11.85</v>
      </c>
      <c r="H323" s="11">
        <f>H322+G323</f>
        <v/>
      </c>
    </row>
    <row r="324">
      <c r="A324" s="9" t="n">
        <v>320</v>
      </c>
      <c r="B324" s="9" t="inlineStr">
        <is>
          <t>Vanguard_M5</t>
        </is>
      </c>
      <c r="C324" s="9" t="inlineStr">
        <is>
          <t>Trendline breakout (fractal swing line) + VWAP/S-R distance gate</t>
        </is>
      </c>
      <c r="D324" s="9" t="inlineStr">
        <is>
          <t>Long</t>
        </is>
      </c>
      <c r="E324" s="10" t="n">
        <v>46072.70138888889</v>
      </c>
      <c r="F324" s="10" t="n">
        <v>46072.80902777778</v>
      </c>
      <c r="G324" s="11" t="n">
        <v>-5.91</v>
      </c>
      <c r="H324" s="11">
        <f>H323+G324</f>
        <v/>
      </c>
    </row>
    <row r="325">
      <c r="A325" s="9" t="n">
        <v>321</v>
      </c>
      <c r="B325" s="9" t="inlineStr">
        <is>
          <t>Meridian</t>
        </is>
      </c>
      <c r="C325" s="9" t="inlineStr">
        <is>
          <t>21/50 MA cross, 250-period confirm filter, VWAP</t>
        </is>
      </c>
      <c r="D325" s="9" t="inlineStr">
        <is>
          <t>Long</t>
        </is>
      </c>
      <c r="E325" s="10" t="n">
        <v>46072.71180555555</v>
      </c>
      <c r="F325" s="10" t="n">
        <v>46072.82638888889</v>
      </c>
      <c r="G325" s="11" t="n">
        <v>-12.97</v>
      </c>
      <c r="H325" s="11">
        <f>H324+G325</f>
        <v/>
      </c>
    </row>
    <row r="326">
      <c r="A326" s="9" t="n">
        <v>322</v>
      </c>
      <c r="B326" s="9" t="inlineStr">
        <is>
          <t>Aurelius_M15</t>
        </is>
      </c>
      <c r="C326" s="9" t="inlineStr">
        <is>
          <t>MA alignment (EMA21&gt;EMA50&gt;SMA250&gt;SMMA500 vs EMA2400 trend filter) - M15 chart</t>
        </is>
      </c>
      <c r="D326" s="9" t="inlineStr">
        <is>
          <t>Long</t>
        </is>
      </c>
      <c r="E326" s="10" t="n">
        <v>46072.78125</v>
      </c>
      <c r="F326" s="10" t="n">
        <v>46072.90625</v>
      </c>
      <c r="G326" s="11" t="n">
        <v>-21.53</v>
      </c>
      <c r="H326" s="11">
        <f>H325+G326</f>
        <v/>
      </c>
    </row>
    <row r="327">
      <c r="A327" s="9" t="n">
        <v>323</v>
      </c>
      <c r="B327" s="9" t="inlineStr">
        <is>
          <t>Ratchet</t>
        </is>
      </c>
      <c r="C327" s="9" t="inlineStr">
        <is>
          <t>Stochastic scalp with give-back trail exit</t>
        </is>
      </c>
      <c r="D327" s="9" t="inlineStr">
        <is>
          <t>Long</t>
        </is>
      </c>
      <c r="E327" s="10" t="n">
        <v>46072.95833333334</v>
      </c>
      <c r="F327" s="10" t="n">
        <v>46072.97222222222</v>
      </c>
      <c r="G327" s="11" t="n">
        <v>-5.33</v>
      </c>
      <c r="H327" s="11">
        <f>H326+G327</f>
        <v/>
      </c>
    </row>
    <row r="328">
      <c r="A328" s="9" t="n">
        <v>324</v>
      </c>
      <c r="B328" s="9" t="inlineStr">
        <is>
          <t>Ratchet</t>
        </is>
      </c>
      <c r="C328" s="9" t="inlineStr">
        <is>
          <t>Stochastic scalp with give-back trail exit</t>
        </is>
      </c>
      <c r="D328" s="9" t="inlineStr">
        <is>
          <t>Long</t>
        </is>
      </c>
      <c r="E328" s="10" t="n">
        <v>46073.05555555555</v>
      </c>
      <c r="F328" s="10" t="n">
        <v>46073.07638888889</v>
      </c>
      <c r="G328" s="11" t="n">
        <v>-8.99</v>
      </c>
      <c r="H328" s="11">
        <f>H327+G328</f>
        <v/>
      </c>
    </row>
    <row r="329">
      <c r="A329" s="9" t="n">
        <v>325</v>
      </c>
      <c r="B329" s="9" t="inlineStr">
        <is>
          <t>Meridian</t>
        </is>
      </c>
      <c r="C329" s="9" t="inlineStr">
        <is>
          <t>21/50 MA cross, 250-period confirm filter, VWAP</t>
        </is>
      </c>
      <c r="D329" s="9" t="inlineStr">
        <is>
          <t>Long</t>
        </is>
      </c>
      <c r="E329" s="10" t="n">
        <v>46072.94791666666</v>
      </c>
      <c r="F329" s="10" t="n">
        <v>46073.07986111111</v>
      </c>
      <c r="G329" s="11" t="n">
        <v>-9.890000000000001</v>
      </c>
      <c r="H329" s="11">
        <f>H328+G329</f>
        <v/>
      </c>
    </row>
    <row r="330">
      <c r="A330" s="9" t="n">
        <v>326</v>
      </c>
      <c r="B330" s="9" t="inlineStr">
        <is>
          <t>Meridian</t>
        </is>
      </c>
      <c r="C330" s="9" t="inlineStr">
        <is>
          <t>21/50 MA cross, 250-period confirm filter, VWAP</t>
        </is>
      </c>
      <c r="D330" s="9" t="inlineStr">
        <is>
          <t>Short</t>
        </is>
      </c>
      <c r="E330" s="10" t="n">
        <v>46073.10416666666</v>
      </c>
      <c r="F330" s="10" t="n">
        <v>46073.12152777778</v>
      </c>
      <c r="G330" s="11" t="n">
        <v>-10.25</v>
      </c>
      <c r="H330" s="11">
        <f>H329+G330</f>
        <v/>
      </c>
    </row>
    <row r="331">
      <c r="A331" s="9" t="n">
        <v>327</v>
      </c>
      <c r="B331" s="9" t="inlineStr">
        <is>
          <t>Vanguard_M15</t>
        </is>
      </c>
      <c r="C331" s="9" t="inlineStr">
        <is>
          <t>Trendline breakout (fractal swing line) + VWAP/S-R distance gate - M15 chart</t>
        </is>
      </c>
      <c r="D331" s="9" t="inlineStr">
        <is>
          <t>Long</t>
        </is>
      </c>
      <c r="E331" s="10" t="n">
        <v>46072.9375</v>
      </c>
      <c r="F331" s="10" t="n">
        <v>46073.22916666666</v>
      </c>
      <c r="G331" s="11" t="n">
        <v>-8.56</v>
      </c>
      <c r="H331" s="11">
        <f>H330+G331</f>
        <v/>
      </c>
    </row>
    <row r="332">
      <c r="A332" s="9" t="n">
        <v>328</v>
      </c>
      <c r="B332" s="9" t="inlineStr">
        <is>
          <t>Vanguard_M5</t>
        </is>
      </c>
      <c r="C332" s="9" t="inlineStr">
        <is>
          <t>Trendline breakout (fractal swing line) + VWAP/S-R distance gate</t>
        </is>
      </c>
      <c r="D332" s="9" t="inlineStr">
        <is>
          <t>Long</t>
        </is>
      </c>
      <c r="E332" s="10" t="n">
        <v>46072.81944444445</v>
      </c>
      <c r="F332" s="10" t="n">
        <v>46073.23611111111</v>
      </c>
      <c r="G332" s="11" t="n">
        <v>-8.32</v>
      </c>
      <c r="H332" s="11">
        <f>H331+G332</f>
        <v/>
      </c>
    </row>
    <row r="333">
      <c r="A333" s="9" t="n">
        <v>329</v>
      </c>
      <c r="B333" s="9" t="inlineStr">
        <is>
          <t>Meridian</t>
        </is>
      </c>
      <c r="C333" s="9" t="inlineStr">
        <is>
          <t>21/50 MA cross, 250-period confirm filter, VWAP</t>
        </is>
      </c>
      <c r="D333" s="9" t="inlineStr">
        <is>
          <t>Short</t>
        </is>
      </c>
      <c r="E333" s="10" t="n">
        <v>46073.21527777778</v>
      </c>
      <c r="F333" s="10" t="n">
        <v>46073.29513888889</v>
      </c>
      <c r="G333" s="11" t="n">
        <v>-12.03</v>
      </c>
      <c r="H333" s="11">
        <f>H332+G333</f>
        <v/>
      </c>
    </row>
    <row r="334">
      <c r="A334" s="9" t="n">
        <v>330</v>
      </c>
      <c r="B334" s="9" t="inlineStr">
        <is>
          <t>Ratchet</t>
        </is>
      </c>
      <c r="C334" s="9" t="inlineStr">
        <is>
          <t>Stochastic scalp with give-back trail exit</t>
        </is>
      </c>
      <c r="D334" s="9" t="inlineStr">
        <is>
          <t>Long</t>
        </is>
      </c>
      <c r="E334" s="10" t="n">
        <v>46073.3125</v>
      </c>
      <c r="F334" s="10" t="n">
        <v>46073.31944444445</v>
      </c>
      <c r="G334" s="11" t="n">
        <v>0</v>
      </c>
      <c r="H334" s="11">
        <f>H333+G334</f>
        <v/>
      </c>
    </row>
    <row r="335">
      <c r="A335" s="9" t="n">
        <v>331</v>
      </c>
      <c r="B335" s="9" t="inlineStr">
        <is>
          <t>Vanguard_M5</t>
        </is>
      </c>
      <c r="C335" s="9" t="inlineStr">
        <is>
          <t>Trendline breakout (fractal swing line) + VWAP/S-R distance gate</t>
        </is>
      </c>
      <c r="D335" s="9" t="inlineStr">
        <is>
          <t>Short</t>
        </is>
      </c>
      <c r="E335" s="10" t="n">
        <v>46073.23958333334</v>
      </c>
      <c r="F335" s="10" t="n">
        <v>46073.32986111111</v>
      </c>
      <c r="G335" s="11" t="n">
        <v>-21.94</v>
      </c>
      <c r="H335" s="11">
        <f>H334+G335</f>
        <v/>
      </c>
    </row>
    <row r="336">
      <c r="A336" s="9" t="n">
        <v>332</v>
      </c>
      <c r="B336" s="9" t="inlineStr">
        <is>
          <t>Vanguard_M15</t>
        </is>
      </c>
      <c r="C336" s="9" t="inlineStr">
        <is>
          <t>Trendline breakout (fractal swing line) + VWAP/S-R distance gate - M15 chart</t>
        </is>
      </c>
      <c r="D336" s="9" t="inlineStr">
        <is>
          <t>Short</t>
        </is>
      </c>
      <c r="E336" s="10" t="n">
        <v>46073.23958333334</v>
      </c>
      <c r="F336" s="10" t="n">
        <v>46073.33333333334</v>
      </c>
      <c r="G336" s="11" t="n">
        <v>-28.7</v>
      </c>
      <c r="H336" s="11">
        <f>H335+G336</f>
        <v/>
      </c>
    </row>
    <row r="337">
      <c r="A337" s="9" t="n">
        <v>333</v>
      </c>
      <c r="B337" s="9" t="inlineStr">
        <is>
          <t>Ratchet</t>
        </is>
      </c>
      <c r="C337" s="9" t="inlineStr">
        <is>
          <t>Stochastic scalp with give-back trail exit</t>
        </is>
      </c>
      <c r="D337" s="9" t="inlineStr">
        <is>
          <t>Long</t>
        </is>
      </c>
      <c r="E337" s="10" t="n">
        <v>46073.37847222222</v>
      </c>
      <c r="F337" s="10" t="n">
        <v>46073.38194444445</v>
      </c>
      <c r="G337" s="11" t="n">
        <v>1.23</v>
      </c>
      <c r="H337" s="11">
        <f>H336+G337</f>
        <v/>
      </c>
    </row>
    <row r="338">
      <c r="A338" s="9" t="n">
        <v>334</v>
      </c>
      <c r="B338" s="9" t="inlineStr">
        <is>
          <t>Aurelius_M5</t>
        </is>
      </c>
      <c r="C338" s="9" t="inlineStr">
        <is>
          <t>MA alignment (EMA21&gt;EMA50&gt;SMA250&gt;SMMA500 vs EMA2400 trend filter)</t>
        </is>
      </c>
      <c r="D338" s="9" t="inlineStr">
        <is>
          <t>Long</t>
        </is>
      </c>
      <c r="E338" s="10" t="n">
        <v>46073.32638888889</v>
      </c>
      <c r="F338" s="10" t="n">
        <v>46073.60069444445</v>
      </c>
      <c r="G338" s="11" t="n">
        <v>8.59</v>
      </c>
      <c r="H338" s="11">
        <f>H337+G338</f>
        <v/>
      </c>
    </row>
    <row r="339">
      <c r="A339" s="9" t="n">
        <v>335</v>
      </c>
      <c r="B339" s="9" t="inlineStr">
        <is>
          <t>Ratchet</t>
        </is>
      </c>
      <c r="C339" s="9" t="inlineStr">
        <is>
          <t>Stochastic scalp with give-back trail exit</t>
        </is>
      </c>
      <c r="D339" s="9" t="inlineStr">
        <is>
          <t>Long</t>
        </is>
      </c>
      <c r="E339" s="10" t="n">
        <v>46073.64236111111</v>
      </c>
      <c r="F339" s="10" t="n">
        <v>46073.64583333334</v>
      </c>
      <c r="G339" s="11" t="n">
        <v>-9.050000000000001</v>
      </c>
      <c r="H339" s="11">
        <f>H338+G339</f>
        <v/>
      </c>
    </row>
    <row r="340">
      <c r="A340" s="9" t="n">
        <v>336</v>
      </c>
      <c r="B340" s="9" t="inlineStr">
        <is>
          <t>Meridian</t>
        </is>
      </c>
      <c r="C340" s="9" t="inlineStr">
        <is>
          <t>21/50 MA cross, 250-period confirm filter, VWAP</t>
        </is>
      </c>
      <c r="D340" s="9" t="inlineStr">
        <is>
          <t>Long</t>
        </is>
      </c>
      <c r="E340" s="10" t="n">
        <v>46073.63888888889</v>
      </c>
      <c r="F340" s="10" t="n">
        <v>46073.70833333334</v>
      </c>
      <c r="G340" s="11" t="n">
        <v>-12.61</v>
      </c>
      <c r="H340" s="11">
        <f>H339+G340</f>
        <v/>
      </c>
    </row>
    <row r="341">
      <c r="A341" s="9" t="n">
        <v>337</v>
      </c>
      <c r="B341" s="9" t="inlineStr">
        <is>
          <t>Ratchet</t>
        </is>
      </c>
      <c r="C341" s="9" t="inlineStr">
        <is>
          <t>Stochastic scalp with give-back trail exit</t>
        </is>
      </c>
      <c r="D341" s="9" t="inlineStr">
        <is>
          <t>Long</t>
        </is>
      </c>
      <c r="E341" s="10" t="n">
        <v>46073.65625</v>
      </c>
      <c r="F341" s="10" t="n">
        <v>46073.70833333334</v>
      </c>
      <c r="G341" s="11" t="n">
        <v>8.33</v>
      </c>
      <c r="H341" s="11">
        <f>H340+G341</f>
        <v/>
      </c>
    </row>
    <row r="342">
      <c r="A342" s="9" t="n">
        <v>338</v>
      </c>
      <c r="B342" s="9" t="inlineStr">
        <is>
          <t>Aurelius_M5</t>
        </is>
      </c>
      <c r="C342" s="9" t="inlineStr">
        <is>
          <t>MA alignment (EMA21&gt;EMA50&gt;SMA250&gt;SMMA500 vs EMA2400 trend filter)</t>
        </is>
      </c>
      <c r="D342" s="9" t="inlineStr">
        <is>
          <t>Long</t>
        </is>
      </c>
      <c r="E342" s="10" t="n">
        <v>46073.67013888889</v>
      </c>
      <c r="F342" s="10" t="n">
        <v>46073.70833333334</v>
      </c>
      <c r="G342" s="11" t="n">
        <v>-15.53</v>
      </c>
      <c r="H342" s="11">
        <f>H341+G342</f>
        <v/>
      </c>
    </row>
    <row r="343">
      <c r="A343" s="9" t="n">
        <v>339</v>
      </c>
      <c r="B343" s="9" t="inlineStr">
        <is>
          <t>Ratchet</t>
        </is>
      </c>
      <c r="C343" s="9" t="inlineStr">
        <is>
          <t>Stochastic scalp with give-back trail exit</t>
        </is>
      </c>
      <c r="D343" s="9" t="inlineStr">
        <is>
          <t>Long</t>
        </is>
      </c>
      <c r="E343" s="10" t="n">
        <v>46073.76736111111</v>
      </c>
      <c r="F343" s="10" t="n">
        <v>46073.80555555555</v>
      </c>
      <c r="G343" s="11" t="n">
        <v>5.84</v>
      </c>
      <c r="H343" s="11">
        <f>H342+G343</f>
        <v/>
      </c>
    </row>
    <row r="344">
      <c r="A344" s="9" t="n">
        <v>340</v>
      </c>
      <c r="B344" s="9" t="inlineStr">
        <is>
          <t>Ratchet</t>
        </is>
      </c>
      <c r="C344" s="9" t="inlineStr">
        <is>
          <t>Stochastic scalp with give-back trail exit</t>
        </is>
      </c>
      <c r="D344" s="9" t="inlineStr">
        <is>
          <t>Long</t>
        </is>
      </c>
      <c r="E344" s="10" t="n">
        <v>46073.81597222222</v>
      </c>
      <c r="F344" s="10" t="n">
        <v>46073.83680555555</v>
      </c>
      <c r="G344" s="11" t="n">
        <v>3.12</v>
      </c>
      <c r="H344" s="11">
        <f>H343+G344</f>
        <v/>
      </c>
    </row>
    <row r="345">
      <c r="A345" s="9" t="n">
        <v>341</v>
      </c>
      <c r="B345" s="9" t="inlineStr">
        <is>
          <t>Aurelius_M5</t>
        </is>
      </c>
      <c r="C345" s="9" t="inlineStr">
        <is>
          <t>MA alignment (EMA21&gt;EMA50&gt;SMA250&gt;SMMA500 vs EMA2400 trend filter)</t>
        </is>
      </c>
      <c r="D345" s="9" t="inlineStr">
        <is>
          <t>Long</t>
        </is>
      </c>
      <c r="E345" s="10" t="n">
        <v>46073.76041666666</v>
      </c>
      <c r="F345" s="10" t="n">
        <v>46073.92013888889</v>
      </c>
      <c r="G345" s="11" t="n">
        <v>23.42</v>
      </c>
      <c r="H345" s="11">
        <f>H344+G345</f>
        <v/>
      </c>
    </row>
    <row r="346">
      <c r="A346" s="9" t="n">
        <v>342</v>
      </c>
      <c r="B346" s="9" t="inlineStr">
        <is>
          <t>Aurelius_M15</t>
        </is>
      </c>
      <c r="C346" s="9" t="inlineStr">
        <is>
          <t>MA alignment (EMA21&gt;EMA50&gt;SMA250&gt;SMMA500 vs EMA2400 trend filter) - M15 chart</t>
        </is>
      </c>
      <c r="D346" s="9" t="inlineStr">
        <is>
          <t>Long</t>
        </is>
      </c>
      <c r="E346" s="10" t="n">
        <v>46073.14583333334</v>
      </c>
      <c r="F346" s="10" t="n">
        <v>46073.92708333334</v>
      </c>
      <c r="G346" s="11" t="n">
        <v>79.89</v>
      </c>
      <c r="H346" s="11">
        <f>H345+G346</f>
        <v/>
      </c>
    </row>
    <row r="347">
      <c r="A347" s="9" t="n">
        <v>343</v>
      </c>
      <c r="B347" s="9" t="inlineStr">
        <is>
          <t>Ratchet</t>
        </is>
      </c>
      <c r="C347" s="9" t="inlineStr">
        <is>
          <t>Stochastic scalp with give-back trail exit</t>
        </is>
      </c>
      <c r="D347" s="9" t="inlineStr">
        <is>
          <t>Long</t>
        </is>
      </c>
      <c r="E347" s="10" t="n">
        <v>46076.23958333334</v>
      </c>
      <c r="F347" s="10" t="n">
        <v>46076.25347222222</v>
      </c>
      <c r="G347" s="11" t="n">
        <v>-11.21</v>
      </c>
      <c r="H347" s="11">
        <f>H346+G347</f>
        <v/>
      </c>
    </row>
    <row r="348">
      <c r="A348" s="9" t="n">
        <v>344</v>
      </c>
      <c r="B348" s="9" t="inlineStr">
        <is>
          <t>Ratchet</t>
        </is>
      </c>
      <c r="C348" s="9" t="inlineStr">
        <is>
          <t>Stochastic scalp with give-back trail exit</t>
        </is>
      </c>
      <c r="D348" s="9" t="inlineStr">
        <is>
          <t>Long</t>
        </is>
      </c>
      <c r="E348" s="10" t="n">
        <v>46076.51736111111</v>
      </c>
      <c r="F348" s="10" t="n">
        <v>46076.52083333334</v>
      </c>
      <c r="G348" s="11" t="n">
        <v>0.66</v>
      </c>
      <c r="H348" s="11">
        <f>H347+G348</f>
        <v/>
      </c>
    </row>
    <row r="349">
      <c r="A349" s="9" t="n">
        <v>345</v>
      </c>
      <c r="B349" s="9" t="inlineStr">
        <is>
          <t>Ratchet</t>
        </is>
      </c>
      <c r="C349" s="9" t="inlineStr">
        <is>
          <t>Stochastic scalp with give-back trail exit</t>
        </is>
      </c>
      <c r="D349" s="9" t="inlineStr">
        <is>
          <t>Long</t>
        </is>
      </c>
      <c r="E349" s="10" t="n">
        <v>46076.75</v>
      </c>
      <c r="F349" s="10" t="n">
        <v>46076.75</v>
      </c>
      <c r="G349" s="11" t="n">
        <v>-17.81</v>
      </c>
      <c r="H349" s="11">
        <f>H348+G349</f>
        <v/>
      </c>
    </row>
    <row r="350">
      <c r="A350" s="9" t="n">
        <v>346</v>
      </c>
      <c r="B350" s="9" t="inlineStr">
        <is>
          <t>Aurelius_M5</t>
        </is>
      </c>
      <c r="C350" s="9" t="inlineStr">
        <is>
          <t>MA alignment (EMA21&gt;EMA50&gt;SMA250&gt;SMMA500 vs EMA2400 trend filter)</t>
        </is>
      </c>
      <c r="D350" s="9" t="inlineStr">
        <is>
          <t>Long</t>
        </is>
      </c>
      <c r="E350" s="10" t="n">
        <v>46076.52430555555</v>
      </c>
      <c r="F350" s="10" t="n">
        <v>46077.04166666666</v>
      </c>
      <c r="G350" s="11" t="n">
        <v>78.36</v>
      </c>
      <c r="H350" s="11">
        <f>H349+G350</f>
        <v/>
      </c>
    </row>
    <row r="351">
      <c r="A351" s="9" t="n">
        <v>347</v>
      </c>
      <c r="B351" s="9" t="inlineStr">
        <is>
          <t>Ratchet</t>
        </is>
      </c>
      <c r="C351" s="9" t="inlineStr">
        <is>
          <t>Stochastic scalp with give-back trail exit</t>
        </is>
      </c>
      <c r="D351" s="9" t="inlineStr">
        <is>
          <t>Long</t>
        </is>
      </c>
      <c r="E351" s="10" t="n">
        <v>46077.07291666666</v>
      </c>
      <c r="F351" s="10" t="n">
        <v>46077.08333333334</v>
      </c>
      <c r="G351" s="11" t="n">
        <v>-13.8</v>
      </c>
      <c r="H351" s="11">
        <f>H350+G351</f>
        <v/>
      </c>
    </row>
    <row r="352">
      <c r="A352" s="9" t="n">
        <v>348</v>
      </c>
      <c r="B352" s="9" t="inlineStr">
        <is>
          <t>Meridian</t>
        </is>
      </c>
      <c r="C352" s="9" t="inlineStr">
        <is>
          <t>21/50 MA cross, 250-period confirm filter, VWAP</t>
        </is>
      </c>
      <c r="D352" s="9" t="inlineStr">
        <is>
          <t>Short</t>
        </is>
      </c>
      <c r="E352" s="10" t="n">
        <v>46077.99652777778</v>
      </c>
      <c r="F352" s="10" t="n">
        <v>46078.125</v>
      </c>
      <c r="G352" s="11" t="n">
        <v>-13.08</v>
      </c>
      <c r="H352" s="11">
        <f>H351+G352</f>
        <v/>
      </c>
    </row>
    <row r="353">
      <c r="A353" s="9" t="n">
        <v>349</v>
      </c>
      <c r="B353" s="9" t="inlineStr">
        <is>
          <t>Ratchet</t>
        </is>
      </c>
      <c r="C353" s="9" t="inlineStr">
        <is>
          <t>Stochastic scalp with give-back trail exit</t>
        </is>
      </c>
      <c r="D353" s="9" t="inlineStr">
        <is>
          <t>Long</t>
        </is>
      </c>
      <c r="E353" s="10" t="n">
        <v>46078.43402777778</v>
      </c>
      <c r="F353" s="10" t="n">
        <v>46078.44444444445</v>
      </c>
      <c r="G353" s="11" t="n">
        <v>0</v>
      </c>
      <c r="H353" s="11">
        <f>H352+G353</f>
        <v/>
      </c>
    </row>
    <row r="354">
      <c r="A354" s="9" t="n">
        <v>350</v>
      </c>
      <c r="B354" s="9" t="inlineStr">
        <is>
          <t>Meridian</t>
        </is>
      </c>
      <c r="C354" s="9" t="inlineStr">
        <is>
          <t>21/50 MA cross, 250-period confirm filter, VWAP</t>
        </is>
      </c>
      <c r="D354" s="9" t="inlineStr">
        <is>
          <t>Long</t>
        </is>
      </c>
      <c r="E354" s="10" t="n">
        <v>46078.13541666666</v>
      </c>
      <c r="F354" s="10" t="n">
        <v>46078.47916666666</v>
      </c>
      <c r="G354" s="11" t="n">
        <v>12.44</v>
      </c>
      <c r="H354" s="11">
        <f>H353+G354</f>
        <v/>
      </c>
    </row>
    <row r="355">
      <c r="A355" s="9" t="n">
        <v>351</v>
      </c>
      <c r="B355" s="9" t="inlineStr">
        <is>
          <t>Meridian</t>
        </is>
      </c>
      <c r="C355" s="9" t="inlineStr">
        <is>
          <t>21/50 MA cross, 250-period confirm filter, VWAP</t>
        </is>
      </c>
      <c r="D355" s="9" t="inlineStr">
        <is>
          <t>Long</t>
        </is>
      </c>
      <c r="E355" s="10" t="n">
        <v>46078.48263888889</v>
      </c>
      <c r="F355" s="10" t="n">
        <v>46078.51041666666</v>
      </c>
      <c r="G355" s="11" t="n">
        <v>-11.36</v>
      </c>
      <c r="H355" s="11">
        <f>H354+G355</f>
        <v/>
      </c>
    </row>
    <row r="356">
      <c r="A356" s="9" t="n">
        <v>352</v>
      </c>
      <c r="B356" s="9" t="inlineStr">
        <is>
          <t>MSG</t>
        </is>
      </c>
      <c r="C356" s="9" t="inlineStr">
        <is>
          <t>Session-range breakout + Fibonacci retracement-zone entry</t>
        </is>
      </c>
      <c r="D356" s="9" t="inlineStr">
        <is>
          <t>Short</t>
        </is>
      </c>
      <c r="E356" s="10" t="n">
        <v>46078.58055555556</v>
      </c>
      <c r="F356" s="10" t="n">
        <v>46078.64097222222</v>
      </c>
      <c r="G356" s="11" t="n">
        <v>-42.2</v>
      </c>
      <c r="H356" s="11">
        <f>H355+G356</f>
        <v/>
      </c>
    </row>
    <row r="357">
      <c r="A357" s="9" t="n">
        <v>353</v>
      </c>
      <c r="B357" s="9" t="inlineStr">
        <is>
          <t>Ratchet</t>
        </is>
      </c>
      <c r="C357" s="9" t="inlineStr">
        <is>
          <t>Stochastic scalp with give-back trail exit</t>
        </is>
      </c>
      <c r="D357" s="9" t="inlineStr">
        <is>
          <t>Long</t>
        </is>
      </c>
      <c r="E357" s="10" t="n">
        <v>46078.64930555555</v>
      </c>
      <c r="F357" s="10" t="n">
        <v>46078.67361111111</v>
      </c>
      <c r="G357" s="11" t="n">
        <v>0</v>
      </c>
      <c r="H357" s="11">
        <f>H356+G357</f>
        <v/>
      </c>
    </row>
    <row r="358">
      <c r="A358" s="9" t="n">
        <v>354</v>
      </c>
      <c r="B358" s="9" t="inlineStr">
        <is>
          <t>Aurelius_M5</t>
        </is>
      </c>
      <c r="C358" s="9" t="inlineStr">
        <is>
          <t>MA alignment (EMA21&gt;EMA50&gt;SMA250&gt;SMMA500 vs EMA2400 trend filter)</t>
        </is>
      </c>
      <c r="D358" s="9" t="inlineStr">
        <is>
          <t>Long</t>
        </is>
      </c>
      <c r="E358" s="10" t="n">
        <v>46078.64236111111</v>
      </c>
      <c r="F358" s="10" t="n">
        <v>46078.68055555555</v>
      </c>
      <c r="G358" s="11" t="n">
        <v>-11.5</v>
      </c>
      <c r="H358" s="11">
        <f>H357+G358</f>
        <v/>
      </c>
    </row>
    <row r="359">
      <c r="A359" s="9" t="n">
        <v>355</v>
      </c>
      <c r="B359" s="9" t="inlineStr">
        <is>
          <t>Meridian</t>
        </is>
      </c>
      <c r="C359" s="9" t="inlineStr">
        <is>
          <t>21/50 MA cross, 250-period confirm filter, VWAP</t>
        </is>
      </c>
      <c r="D359" s="9" t="inlineStr">
        <is>
          <t>Long</t>
        </is>
      </c>
      <c r="E359" s="10" t="n">
        <v>46078.63194444445</v>
      </c>
      <c r="F359" s="10" t="n">
        <v>46078.68402777778</v>
      </c>
      <c r="G359" s="11" t="n">
        <v>-11.7</v>
      </c>
      <c r="H359" s="11">
        <f>H358+G359</f>
        <v/>
      </c>
    </row>
    <row r="360">
      <c r="A360" s="9" t="n">
        <v>356</v>
      </c>
      <c r="B360" s="9" t="inlineStr">
        <is>
          <t>Meridian</t>
        </is>
      </c>
      <c r="C360" s="9" t="inlineStr">
        <is>
          <t>21/50 MA cross, 250-period confirm filter, VWAP</t>
        </is>
      </c>
      <c r="D360" s="9" t="inlineStr">
        <is>
          <t>Short</t>
        </is>
      </c>
      <c r="E360" s="10" t="n">
        <v>46078.69444444445</v>
      </c>
      <c r="F360" s="10" t="n">
        <v>46078.69444444445</v>
      </c>
      <c r="G360" s="11" t="n">
        <v>-15.21</v>
      </c>
      <c r="H360" s="11">
        <f>H359+G360</f>
        <v/>
      </c>
    </row>
    <row r="361">
      <c r="A361" s="9" t="n">
        <v>357</v>
      </c>
      <c r="B361" s="9" t="inlineStr">
        <is>
          <t>Vanguard_M5</t>
        </is>
      </c>
      <c r="C361" s="9" t="inlineStr">
        <is>
          <t>Trendline breakout (fractal swing line) + VWAP/S-R distance gate</t>
        </is>
      </c>
      <c r="D361" s="9" t="inlineStr">
        <is>
          <t>Short</t>
        </is>
      </c>
      <c r="E361" s="10" t="n">
        <v>46077.07986111111</v>
      </c>
      <c r="F361" s="10" t="n">
        <v>46078.70833333334</v>
      </c>
      <c r="G361" s="11" t="n">
        <v>35.84</v>
      </c>
      <c r="H361" s="11">
        <f>H360+G361</f>
        <v/>
      </c>
    </row>
    <row r="362">
      <c r="A362" s="9" t="n">
        <v>358</v>
      </c>
      <c r="B362" s="9" t="inlineStr">
        <is>
          <t>Meridian</t>
        </is>
      </c>
      <c r="C362" s="9" t="inlineStr">
        <is>
          <t>21/50 MA cross, 250-period confirm filter, VWAP</t>
        </is>
      </c>
      <c r="D362" s="9" t="inlineStr">
        <is>
          <t>Long</t>
        </is>
      </c>
      <c r="E362" s="10" t="n">
        <v>46078.70833333334</v>
      </c>
      <c r="F362" s="10" t="n">
        <v>46078.72569444445</v>
      </c>
      <c r="G362" s="11" t="n">
        <v>-17.34</v>
      </c>
      <c r="H362" s="11">
        <f>H361+G362</f>
        <v/>
      </c>
    </row>
    <row r="363">
      <c r="A363" s="9" t="n">
        <v>359</v>
      </c>
      <c r="B363" s="9" t="inlineStr">
        <is>
          <t>Vanguard_M15</t>
        </is>
      </c>
      <c r="C363" s="9" t="inlineStr">
        <is>
          <t>Trendline breakout (fractal swing line) + VWAP/S-R distance gate - M15 chart</t>
        </is>
      </c>
      <c r="D363" s="9" t="inlineStr">
        <is>
          <t>Short</t>
        </is>
      </c>
      <c r="E363" s="10" t="n">
        <v>46077.08333333334</v>
      </c>
      <c r="F363" s="10" t="n">
        <v>46078.76041666666</v>
      </c>
      <c r="G363" s="11" t="n">
        <v>32.52</v>
      </c>
      <c r="H363" s="11">
        <f>H362+G363</f>
        <v/>
      </c>
    </row>
    <row r="364">
      <c r="A364" s="9" t="n">
        <v>360</v>
      </c>
      <c r="B364" s="9" t="inlineStr">
        <is>
          <t>Aurelius_M5</t>
        </is>
      </c>
      <c r="C364" s="9" t="inlineStr">
        <is>
          <t>MA alignment (EMA21&gt;EMA50&gt;SMA250&gt;SMMA500 vs EMA2400 trend filter)</t>
        </is>
      </c>
      <c r="D364" s="9" t="inlineStr">
        <is>
          <t>Long</t>
        </is>
      </c>
      <c r="E364" s="10" t="n">
        <v>46078.76736111111</v>
      </c>
      <c r="F364" s="10" t="n">
        <v>46078.92708333334</v>
      </c>
      <c r="G364" s="11" t="n">
        <v>-18.02</v>
      </c>
      <c r="H364" s="11">
        <f>H363+G364</f>
        <v/>
      </c>
    </row>
    <row r="365">
      <c r="A365" s="9" t="n">
        <v>361</v>
      </c>
      <c r="B365" s="9" t="inlineStr">
        <is>
          <t>Vanguard_M15</t>
        </is>
      </c>
      <c r="C365" s="9" t="inlineStr">
        <is>
          <t>Trendline breakout (fractal swing line) + VWAP/S-R distance gate - M15 chart</t>
        </is>
      </c>
      <c r="D365" s="9" t="inlineStr">
        <is>
          <t>Long</t>
        </is>
      </c>
      <c r="E365" s="10" t="n">
        <v>46078.77083333334</v>
      </c>
      <c r="F365" s="10" t="n">
        <v>46078.9375</v>
      </c>
      <c r="G365" s="11" t="n">
        <v>-21.79</v>
      </c>
      <c r="H365" s="11">
        <f>H364+G365</f>
        <v/>
      </c>
    </row>
    <row r="366">
      <c r="A366" s="9" t="n">
        <v>362</v>
      </c>
      <c r="B366" s="9" t="inlineStr">
        <is>
          <t>Vanguard_M5</t>
        </is>
      </c>
      <c r="C366" s="9" t="inlineStr">
        <is>
          <t>Trendline breakout (fractal swing line) + VWAP/S-R distance gate</t>
        </is>
      </c>
      <c r="D366" s="9" t="inlineStr">
        <is>
          <t>Long</t>
        </is>
      </c>
      <c r="E366" s="10" t="n">
        <v>46078.71180555555</v>
      </c>
      <c r="F366" s="10" t="n">
        <v>46078.94097222222</v>
      </c>
      <c r="G366" s="11" t="n">
        <v>-15.32</v>
      </c>
      <c r="H366" s="11">
        <f>H365+G366</f>
        <v/>
      </c>
    </row>
    <row r="367">
      <c r="A367" s="9" t="n">
        <v>363</v>
      </c>
      <c r="B367" s="9" t="inlineStr">
        <is>
          <t>Vanguard_M15</t>
        </is>
      </c>
      <c r="C367" s="9" t="inlineStr">
        <is>
          <t>Trendline breakout (fractal swing line) + VWAP/S-R distance gate - M15 chart</t>
        </is>
      </c>
      <c r="D367" s="9" t="inlineStr">
        <is>
          <t>Short</t>
        </is>
      </c>
      <c r="E367" s="10" t="n">
        <v>46078.94791666666</v>
      </c>
      <c r="F367" s="10" t="n">
        <v>46079.10416666666</v>
      </c>
      <c r="G367" s="11" t="n">
        <v>-7.21</v>
      </c>
      <c r="H367" s="11">
        <f>H366+G367</f>
        <v/>
      </c>
    </row>
    <row r="368">
      <c r="A368" s="9" t="n">
        <v>364</v>
      </c>
      <c r="B368" s="9" t="inlineStr">
        <is>
          <t>Vanguard_M5</t>
        </is>
      </c>
      <c r="C368" s="9" t="inlineStr">
        <is>
          <t>Trendline breakout (fractal swing line) + VWAP/S-R distance gate</t>
        </is>
      </c>
      <c r="D368" s="9" t="inlineStr">
        <is>
          <t>Short</t>
        </is>
      </c>
      <c r="E368" s="10" t="n">
        <v>46078.94444444445</v>
      </c>
      <c r="F368" s="10" t="n">
        <v>46079.11111111111</v>
      </c>
      <c r="G368" s="11" t="n">
        <v>-5.13</v>
      </c>
      <c r="H368" s="11">
        <f>H367+G368</f>
        <v/>
      </c>
    </row>
    <row r="369">
      <c r="A369" s="9" t="n">
        <v>365</v>
      </c>
      <c r="B369" s="9" t="inlineStr">
        <is>
          <t>Vanguard_M5</t>
        </is>
      </c>
      <c r="C369" s="9" t="inlineStr">
        <is>
          <t>Trendline breakout (fractal swing line) + VWAP/S-R distance gate</t>
        </is>
      </c>
      <c r="D369" s="9" t="inlineStr">
        <is>
          <t>Long</t>
        </is>
      </c>
      <c r="E369" s="10" t="n">
        <v>46079.11458333334</v>
      </c>
      <c r="F369" s="10" t="n">
        <v>46079.12847222222</v>
      </c>
      <c r="G369" s="11" t="n">
        <v>-4.7</v>
      </c>
      <c r="H369" s="11">
        <f>H368+G369</f>
        <v/>
      </c>
    </row>
    <row r="370">
      <c r="A370" s="9" t="n">
        <v>366</v>
      </c>
      <c r="B370" s="9" t="inlineStr">
        <is>
          <t>Ratchet</t>
        </is>
      </c>
      <c r="C370" s="9" t="inlineStr">
        <is>
          <t>Stochastic scalp with give-back trail exit</t>
        </is>
      </c>
      <c r="D370" s="9" t="inlineStr">
        <is>
          <t>Long</t>
        </is>
      </c>
      <c r="E370" s="10" t="n">
        <v>46079.26736111111</v>
      </c>
      <c r="F370" s="10" t="n">
        <v>46079.28125</v>
      </c>
      <c r="G370" s="11" t="n">
        <v>0</v>
      </c>
      <c r="H370" s="11">
        <f>H369+G370</f>
        <v/>
      </c>
    </row>
    <row r="371">
      <c r="A371" s="9" t="n">
        <v>367</v>
      </c>
      <c r="B371" s="9" t="inlineStr">
        <is>
          <t>MSG</t>
        </is>
      </c>
      <c r="C371" s="9" t="inlineStr">
        <is>
          <t>Session-range breakout + Fibonacci retracement-zone entry</t>
        </is>
      </c>
      <c r="D371" s="9" t="inlineStr">
        <is>
          <t>Short</t>
        </is>
      </c>
      <c r="E371" s="10" t="n">
        <v>46079.60069444445</v>
      </c>
      <c r="F371" s="10" t="n">
        <v>46079.6125</v>
      </c>
      <c r="G371" s="11" t="n">
        <v>-30.52</v>
      </c>
      <c r="H371" s="11">
        <f>H370+G371</f>
        <v/>
      </c>
    </row>
    <row r="372">
      <c r="A372" s="9" t="n">
        <v>368</v>
      </c>
      <c r="B372" s="9" t="inlineStr">
        <is>
          <t>Vanguard_M15</t>
        </is>
      </c>
      <c r="C372" s="9" t="inlineStr">
        <is>
          <t>Trendline breakout (fractal swing line) + VWAP/S-R distance gate - M15 chart</t>
        </is>
      </c>
      <c r="D372" s="9" t="inlineStr">
        <is>
          <t>Long</t>
        </is>
      </c>
      <c r="E372" s="10" t="n">
        <v>46079.11458333334</v>
      </c>
      <c r="F372" s="10" t="n">
        <v>46079.6875</v>
      </c>
      <c r="G372" s="11" t="n">
        <v>-38.3</v>
      </c>
      <c r="H372" s="11">
        <f>H371+G372</f>
        <v/>
      </c>
    </row>
    <row r="373">
      <c r="A373" s="9" t="n">
        <v>369</v>
      </c>
      <c r="B373" s="9" t="inlineStr">
        <is>
          <t>Vanguard_M5</t>
        </is>
      </c>
      <c r="C373" s="9" t="inlineStr">
        <is>
          <t>Trendline breakout (fractal swing line) + VWAP/S-R distance gate</t>
        </is>
      </c>
      <c r="D373" s="9" t="inlineStr">
        <is>
          <t>Long</t>
        </is>
      </c>
      <c r="E373" s="10" t="n">
        <v>46079.13541666666</v>
      </c>
      <c r="F373" s="10" t="n">
        <v>46079.6875</v>
      </c>
      <c r="G373" s="11" t="n">
        <v>-32.21</v>
      </c>
      <c r="H373" s="11">
        <f>H372+G373</f>
        <v/>
      </c>
    </row>
    <row r="374">
      <c r="A374" s="9" t="n">
        <v>370</v>
      </c>
      <c r="B374" s="9" t="inlineStr">
        <is>
          <t>Meridian</t>
        </is>
      </c>
      <c r="C374" s="9" t="inlineStr">
        <is>
          <t>21/50 MA cross, 250-period confirm filter, VWAP</t>
        </is>
      </c>
      <c r="D374" s="9" t="inlineStr">
        <is>
          <t>Short</t>
        </is>
      </c>
      <c r="E374" s="10" t="n">
        <v>46079.39583333334</v>
      </c>
      <c r="F374" s="10" t="n">
        <v>46079.76041666666</v>
      </c>
      <c r="G374" s="11" t="n">
        <v>8.109999999999999</v>
      </c>
      <c r="H374" s="11">
        <f>H373+G374</f>
        <v/>
      </c>
    </row>
    <row r="375">
      <c r="A375" s="9" t="n">
        <v>371</v>
      </c>
      <c r="B375" s="9" t="inlineStr">
        <is>
          <t>Meridian</t>
        </is>
      </c>
      <c r="C375" s="9" t="inlineStr">
        <is>
          <t>21/50 MA cross, 250-period confirm filter, VWAP</t>
        </is>
      </c>
      <c r="D375" s="9" t="inlineStr">
        <is>
          <t>Short</t>
        </is>
      </c>
      <c r="E375" s="10" t="n">
        <v>46079.83680555555</v>
      </c>
      <c r="F375" s="10" t="n">
        <v>46079.86458333334</v>
      </c>
      <c r="G375" s="11" t="n">
        <v>-12.34</v>
      </c>
      <c r="H375" s="11">
        <f>H374+G375</f>
        <v/>
      </c>
    </row>
    <row r="376">
      <c r="A376" s="9" t="n">
        <v>372</v>
      </c>
      <c r="B376" s="9" t="inlineStr">
        <is>
          <t>Ratchet</t>
        </is>
      </c>
      <c r="C376" s="9" t="inlineStr">
        <is>
          <t>Stochastic scalp with give-back trail exit</t>
        </is>
      </c>
      <c r="D376" s="9" t="inlineStr">
        <is>
          <t>Long</t>
        </is>
      </c>
      <c r="E376" s="10" t="n">
        <v>46079.94097222222</v>
      </c>
      <c r="F376" s="10" t="n">
        <v>46079.95138888889</v>
      </c>
      <c r="G376" s="11" t="n">
        <v>1.63</v>
      </c>
      <c r="H376" s="11">
        <f>H375+G376</f>
        <v/>
      </c>
    </row>
    <row r="377">
      <c r="A377" s="9" t="n">
        <v>373</v>
      </c>
      <c r="B377" s="9" t="inlineStr">
        <is>
          <t>Meridian</t>
        </is>
      </c>
      <c r="C377" s="9" t="inlineStr">
        <is>
          <t>21/50 MA cross, 250-period confirm filter, VWAP</t>
        </is>
      </c>
      <c r="D377" s="9" t="inlineStr">
        <is>
          <t>Long</t>
        </is>
      </c>
      <c r="E377" s="10" t="n">
        <v>46080.10069444445</v>
      </c>
      <c r="F377" s="10" t="n">
        <v>46080.10416666666</v>
      </c>
      <c r="G377" s="11" t="n">
        <v>-12.17</v>
      </c>
      <c r="H377" s="11">
        <f>H376+G377</f>
        <v/>
      </c>
    </row>
    <row r="378">
      <c r="A378" s="9" t="n">
        <v>374</v>
      </c>
      <c r="B378" s="9" t="inlineStr">
        <is>
          <t>Meridian</t>
        </is>
      </c>
      <c r="C378" s="9" t="inlineStr">
        <is>
          <t>21/50 MA cross, 250-period confirm filter, VWAP</t>
        </is>
      </c>
      <c r="D378" s="9" t="inlineStr">
        <is>
          <t>Long</t>
        </is>
      </c>
      <c r="E378" s="10" t="n">
        <v>46080.17013888889</v>
      </c>
      <c r="F378" s="10" t="n">
        <v>46080.19097222222</v>
      </c>
      <c r="G378" s="11" t="n">
        <v>-14.03</v>
      </c>
      <c r="H378" s="11">
        <f>H377+G378</f>
        <v/>
      </c>
    </row>
    <row r="379">
      <c r="A379" s="9" t="n">
        <v>375</v>
      </c>
      <c r="B379" s="9" t="inlineStr">
        <is>
          <t>Meridian</t>
        </is>
      </c>
      <c r="C379" s="9" t="inlineStr">
        <is>
          <t>21/50 MA cross, 250-period confirm filter, VWAP</t>
        </is>
      </c>
      <c r="D379" s="9" t="inlineStr">
        <is>
          <t>Short</t>
        </is>
      </c>
      <c r="E379" s="10" t="n">
        <v>46080.20486111111</v>
      </c>
      <c r="F379" s="10" t="n">
        <v>46080.23611111111</v>
      </c>
      <c r="G379" s="11" t="n">
        <v>-8.890000000000001</v>
      </c>
      <c r="H379" s="11">
        <f>H378+G379</f>
        <v/>
      </c>
    </row>
    <row r="380">
      <c r="A380" s="9" t="n">
        <v>376</v>
      </c>
      <c r="B380" s="9" t="inlineStr">
        <is>
          <t>Aurelius_M5</t>
        </is>
      </c>
      <c r="C380" s="9" t="inlineStr">
        <is>
          <t>MA alignment (EMA21&gt;EMA50&gt;SMA250&gt;SMMA500 vs EMA2400 trend filter)</t>
        </is>
      </c>
      <c r="D380" s="9" t="inlineStr">
        <is>
          <t>Long</t>
        </is>
      </c>
      <c r="E380" s="10" t="n">
        <v>46080.32291666666</v>
      </c>
      <c r="F380" s="10" t="n">
        <v>46080.375</v>
      </c>
      <c r="G380" s="11" t="n">
        <v>-8.93</v>
      </c>
      <c r="H380" s="11">
        <f>H379+G380</f>
        <v/>
      </c>
    </row>
    <row r="381">
      <c r="A381" s="9" t="n">
        <v>377</v>
      </c>
      <c r="B381" s="9" t="inlineStr">
        <is>
          <t>Vanguard_M5</t>
        </is>
      </c>
      <c r="C381" s="9" t="inlineStr">
        <is>
          <t>Trendline breakout (fractal swing line) + VWAP/S-R distance gate</t>
        </is>
      </c>
      <c r="D381" s="9" t="inlineStr">
        <is>
          <t>Long</t>
        </is>
      </c>
      <c r="E381" s="10" t="n">
        <v>46080.34375</v>
      </c>
      <c r="F381" s="10" t="n">
        <v>46080.38194444445</v>
      </c>
      <c r="G381" s="11" t="n">
        <v>-15.5</v>
      </c>
      <c r="H381" s="11">
        <f>H380+G381</f>
        <v/>
      </c>
    </row>
    <row r="382">
      <c r="A382" s="9" t="n">
        <v>378</v>
      </c>
      <c r="B382" s="9" t="inlineStr">
        <is>
          <t>Aurelius_M15</t>
        </is>
      </c>
      <c r="C382" s="9" t="inlineStr">
        <is>
          <t>MA alignment (EMA21&gt;EMA50&gt;SMA250&gt;SMMA500 vs EMA2400 trend filter) - M15 chart</t>
        </is>
      </c>
      <c r="D382" s="9" t="inlineStr">
        <is>
          <t>Long</t>
        </is>
      </c>
      <c r="E382" s="10" t="n">
        <v>46080.17708333334</v>
      </c>
      <c r="F382" s="10" t="n">
        <v>46080.45833333334</v>
      </c>
      <c r="G382" s="11" t="n">
        <v>-16.06</v>
      </c>
      <c r="H382" s="11">
        <f>H381+G382</f>
        <v/>
      </c>
    </row>
    <row r="383">
      <c r="A383" s="9" t="n">
        <v>379</v>
      </c>
      <c r="B383" s="9" t="inlineStr">
        <is>
          <t>MSG</t>
        </is>
      </c>
      <c r="C383" s="9" t="inlineStr">
        <is>
          <t>Session-range breakout + Fibonacci retracement-zone entry</t>
        </is>
      </c>
      <c r="D383" s="9" t="inlineStr">
        <is>
          <t>Short</t>
        </is>
      </c>
      <c r="E383" s="10" t="n">
        <v>46080.51875</v>
      </c>
      <c r="F383" s="10" t="n">
        <v>46080.525</v>
      </c>
      <c r="G383" s="11" t="n">
        <v>22.61</v>
      </c>
      <c r="H383" s="11">
        <f>H382+G383</f>
        <v/>
      </c>
    </row>
    <row r="384">
      <c r="A384" s="9" t="n">
        <v>380</v>
      </c>
      <c r="B384" s="9" t="inlineStr">
        <is>
          <t>Meridian</t>
        </is>
      </c>
      <c r="C384" s="9" t="inlineStr">
        <is>
          <t>21/50 MA cross, 250-period confirm filter, VWAP</t>
        </is>
      </c>
      <c r="D384" s="9" t="inlineStr">
        <is>
          <t>Long</t>
        </is>
      </c>
      <c r="E384" s="10" t="n">
        <v>46080.59027777778</v>
      </c>
      <c r="F384" s="10" t="n">
        <v>46080.91666666666</v>
      </c>
      <c r="G384" s="11" t="n">
        <v>61.93</v>
      </c>
      <c r="H384" s="11">
        <f>H383+G384</f>
        <v/>
      </c>
    </row>
    <row r="385">
      <c r="A385" s="9" t="n">
        <v>381</v>
      </c>
      <c r="B385" s="9" t="inlineStr">
        <is>
          <t>Aurelius_M15</t>
        </is>
      </c>
      <c r="C385" s="9" t="inlineStr">
        <is>
          <t>MA alignment (EMA21&gt;EMA50&gt;SMA250&gt;SMMA500 vs EMA2400 trend filter) - M15 chart</t>
        </is>
      </c>
      <c r="D385" s="9" t="inlineStr">
        <is>
          <t>Long</t>
        </is>
      </c>
      <c r="E385" s="10" t="n">
        <v>46080.65625</v>
      </c>
      <c r="F385" s="10" t="n">
        <v>46080.92708333334</v>
      </c>
      <c r="G385" s="11" t="n">
        <v>34.99</v>
      </c>
      <c r="H385" s="11">
        <f>H384+G385</f>
        <v/>
      </c>
    </row>
    <row r="386">
      <c r="A386" s="9" t="n">
        <v>382</v>
      </c>
      <c r="B386" s="9" t="inlineStr">
        <is>
          <t>Ratchet</t>
        </is>
      </c>
      <c r="C386" s="9" t="inlineStr">
        <is>
          <t>Stochastic scalp with give-back trail exit</t>
        </is>
      </c>
      <c r="D386" s="9" t="inlineStr">
        <is>
          <t>Long</t>
        </is>
      </c>
      <c r="E386" s="10" t="n">
        <v>46083.10069444445</v>
      </c>
      <c r="F386" s="10" t="n">
        <v>46083.11111111111</v>
      </c>
      <c r="G386" s="11" t="n">
        <v>2.6</v>
      </c>
      <c r="H386" s="11">
        <f>H385+G386</f>
        <v/>
      </c>
    </row>
    <row r="387">
      <c r="A387" s="9" t="n">
        <v>383</v>
      </c>
      <c r="B387" s="9" t="inlineStr">
        <is>
          <t>MSG</t>
        </is>
      </c>
      <c r="C387" s="9" t="inlineStr">
        <is>
          <t>Session-range breakout + Fibonacci retracement-zone entry</t>
        </is>
      </c>
      <c r="D387" s="9" t="inlineStr">
        <is>
          <t>Short</t>
        </is>
      </c>
      <c r="E387" s="10" t="n">
        <v>46083.53125</v>
      </c>
      <c r="F387" s="10" t="n">
        <v>46083.5375</v>
      </c>
      <c r="G387" s="11" t="n">
        <v>39.05</v>
      </c>
      <c r="H387" s="11">
        <f>H386+G387</f>
        <v/>
      </c>
    </row>
    <row r="388">
      <c r="A388" s="9" t="n">
        <v>384</v>
      </c>
      <c r="B388" s="9" t="inlineStr">
        <is>
          <t>Aurelius_M5</t>
        </is>
      </c>
      <c r="C388" s="9" t="inlineStr">
        <is>
          <t>MA alignment (EMA21&gt;EMA50&gt;SMA250&gt;SMMA500 vs EMA2400 trend filter)</t>
        </is>
      </c>
      <c r="D388" s="9" t="inlineStr">
        <is>
          <t>Long</t>
        </is>
      </c>
      <c r="E388" s="10" t="n">
        <v>46083.17361111111</v>
      </c>
      <c r="F388" s="10" t="n">
        <v>46083.57986111111</v>
      </c>
      <c r="G388" s="11" t="n">
        <v>50.62</v>
      </c>
      <c r="H388" s="11">
        <f>H387+G388</f>
        <v/>
      </c>
    </row>
    <row r="389">
      <c r="A389" s="9" t="n">
        <v>385</v>
      </c>
      <c r="B389" s="9" t="inlineStr">
        <is>
          <t>Ratchet</t>
        </is>
      </c>
      <c r="C389" s="9" t="inlineStr">
        <is>
          <t>Stochastic scalp with give-back trail exit</t>
        </is>
      </c>
      <c r="D389" s="9" t="inlineStr">
        <is>
          <t>Long</t>
        </is>
      </c>
      <c r="E389" s="10" t="n">
        <v>46083.62847222222</v>
      </c>
      <c r="F389" s="10" t="n">
        <v>46083.63194444445</v>
      </c>
      <c r="G389" s="11" t="n">
        <v>-12.71</v>
      </c>
      <c r="H389" s="11">
        <f>H388+G389</f>
        <v/>
      </c>
    </row>
    <row r="390">
      <c r="A390" s="9" t="n">
        <v>386</v>
      </c>
      <c r="B390" s="9" t="inlineStr">
        <is>
          <t>Meridian</t>
        </is>
      </c>
      <c r="C390" s="9" t="inlineStr">
        <is>
          <t>21/50 MA cross, 250-period confirm filter, VWAP</t>
        </is>
      </c>
      <c r="D390" s="9" t="inlineStr">
        <is>
          <t>Long</t>
        </is>
      </c>
      <c r="E390" s="10" t="n">
        <v>46083.60763888889</v>
      </c>
      <c r="F390" s="10" t="n">
        <v>46083.66666666666</v>
      </c>
      <c r="G390" s="11" t="n">
        <v>-17.91</v>
      </c>
      <c r="H390" s="11">
        <f>H389+G390</f>
        <v/>
      </c>
    </row>
    <row r="391">
      <c r="A391" s="9" t="n">
        <v>387</v>
      </c>
      <c r="B391" s="9" t="inlineStr">
        <is>
          <t>Ratchet</t>
        </is>
      </c>
      <c r="C391" s="9" t="inlineStr">
        <is>
          <t>Stochastic scalp with give-back trail exit</t>
        </is>
      </c>
      <c r="D391" s="9" t="inlineStr">
        <is>
          <t>Long</t>
        </is>
      </c>
      <c r="E391" s="10" t="n">
        <v>46084.20486111111</v>
      </c>
      <c r="F391" s="10" t="n">
        <v>46084.21527777778</v>
      </c>
      <c r="G391" s="11" t="n">
        <v>1.8</v>
      </c>
      <c r="H391" s="11">
        <f>H390+G391</f>
        <v/>
      </c>
    </row>
    <row r="392">
      <c r="A392" s="9" t="n">
        <v>388</v>
      </c>
      <c r="B392" s="9" t="inlineStr">
        <is>
          <t>Aurelius_M15</t>
        </is>
      </c>
      <c r="C392" s="9" t="inlineStr">
        <is>
          <t>MA alignment (EMA21&gt;EMA50&gt;SMA250&gt;SMMA500 vs EMA2400 trend filter) - M15 chart</t>
        </is>
      </c>
      <c r="D392" s="9" t="inlineStr">
        <is>
          <t>Long</t>
        </is>
      </c>
      <c r="E392" s="10" t="n">
        <v>46084.17708333334</v>
      </c>
      <c r="F392" s="10" t="n">
        <v>46084.32291666666</v>
      </c>
      <c r="G392" s="11" t="n">
        <v>-41.97</v>
      </c>
      <c r="H392" s="11">
        <f>H391+G392</f>
        <v/>
      </c>
    </row>
    <row r="393">
      <c r="A393" s="9" t="n">
        <v>389</v>
      </c>
      <c r="B393" s="9" t="inlineStr">
        <is>
          <t>Vanguard_M15</t>
        </is>
      </c>
      <c r="C393" s="9" t="inlineStr">
        <is>
          <t>Trendline breakout (fractal swing line) + VWAP/S-R distance gate - M15 chart</t>
        </is>
      </c>
      <c r="D393" s="9" t="inlineStr">
        <is>
          <t>Long</t>
        </is>
      </c>
      <c r="E393" s="10" t="n">
        <v>46080.63541666666</v>
      </c>
      <c r="F393" s="10" t="n">
        <v>46084.33333333334</v>
      </c>
      <c r="G393" s="11" t="n">
        <v>76.61</v>
      </c>
      <c r="H393" s="11">
        <f>H392+G393</f>
        <v/>
      </c>
    </row>
    <row r="394">
      <c r="A394" s="9" t="n">
        <v>390</v>
      </c>
      <c r="B394" s="9" t="inlineStr">
        <is>
          <t>Vanguard_M5</t>
        </is>
      </c>
      <c r="C394" s="9" t="inlineStr">
        <is>
          <t>Trendline breakout (fractal swing line) + VWAP/S-R distance gate</t>
        </is>
      </c>
      <c r="D394" s="9" t="inlineStr">
        <is>
          <t>Long</t>
        </is>
      </c>
      <c r="E394" s="10" t="n">
        <v>46080.62847222222</v>
      </c>
      <c r="F394" s="10" t="n">
        <v>46084.34027777778</v>
      </c>
      <c r="G394" s="11" t="n">
        <v>94.36</v>
      </c>
      <c r="H394" s="11">
        <f>H393+G394</f>
        <v/>
      </c>
    </row>
    <row r="395">
      <c r="A395" s="9" t="n">
        <v>391</v>
      </c>
      <c r="B395" s="9" t="inlineStr">
        <is>
          <t>Ratchet</t>
        </is>
      </c>
      <c r="C395" s="9" t="inlineStr">
        <is>
          <t>Stochastic scalp with give-back trail exit</t>
        </is>
      </c>
      <c r="D395" s="9" t="inlineStr">
        <is>
          <t>Short</t>
        </is>
      </c>
      <c r="E395" s="10" t="n">
        <v>46084.64236111111</v>
      </c>
      <c r="F395" s="10" t="n">
        <v>46084.66666666666</v>
      </c>
      <c r="G395" s="11" t="n">
        <v>8.800000000000001</v>
      </c>
      <c r="H395" s="11">
        <f>H394+G395</f>
        <v/>
      </c>
    </row>
    <row r="396">
      <c r="A396" s="9" t="n">
        <v>392</v>
      </c>
      <c r="B396" s="9" t="inlineStr">
        <is>
          <t>MSG</t>
        </is>
      </c>
      <c r="C396" s="9" t="inlineStr">
        <is>
          <t>Session-range breakout + Fibonacci retracement-zone entry</t>
        </is>
      </c>
      <c r="D396" s="9" t="inlineStr">
        <is>
          <t>Short</t>
        </is>
      </c>
      <c r="E396" s="10" t="n">
        <v>46084.60277777778</v>
      </c>
      <c r="F396" s="10" t="n">
        <v>46084.71944444445</v>
      </c>
      <c r="G396" s="11" t="n">
        <v>433.4</v>
      </c>
      <c r="H396" s="11">
        <f>H395+G396</f>
        <v/>
      </c>
    </row>
    <row r="397">
      <c r="A397" s="9" t="n">
        <v>393</v>
      </c>
      <c r="B397" s="9" t="inlineStr">
        <is>
          <t>Meridian</t>
        </is>
      </c>
      <c r="C397" s="9" t="inlineStr">
        <is>
          <t>21/50 MA cross, 250-period confirm filter, VWAP</t>
        </is>
      </c>
      <c r="D397" s="9" t="inlineStr">
        <is>
          <t>Short</t>
        </is>
      </c>
      <c r="E397" s="10" t="n">
        <v>46084.32291666666</v>
      </c>
      <c r="F397" s="10" t="n">
        <v>46084.875</v>
      </c>
      <c r="G397" s="11" t="n">
        <v>209.24</v>
      </c>
      <c r="H397" s="11">
        <f>H396+G397</f>
        <v/>
      </c>
    </row>
    <row r="398">
      <c r="A398" s="9" t="n">
        <v>394</v>
      </c>
      <c r="B398" s="9" t="inlineStr">
        <is>
          <t>Meridian</t>
        </is>
      </c>
      <c r="C398" s="9" t="inlineStr">
        <is>
          <t>21/50 MA cross, 250-period confirm filter, VWAP</t>
        </is>
      </c>
      <c r="D398" s="9" t="inlineStr">
        <is>
          <t>Short</t>
        </is>
      </c>
      <c r="E398" s="10" t="n">
        <v>46084.95486111111</v>
      </c>
      <c r="F398" s="10" t="n">
        <v>46085.05208333334</v>
      </c>
      <c r="G398" s="11" t="n">
        <v>-32.32</v>
      </c>
      <c r="H398" s="11">
        <f>H397+G398</f>
        <v/>
      </c>
    </row>
    <row r="399">
      <c r="A399" s="9" t="n">
        <v>395</v>
      </c>
      <c r="B399" s="9" t="inlineStr">
        <is>
          <t>Meridian</t>
        </is>
      </c>
      <c r="C399" s="9" t="inlineStr">
        <is>
          <t>21/50 MA cross, 250-period confirm filter, VWAP</t>
        </is>
      </c>
      <c r="D399" s="9" t="inlineStr">
        <is>
          <t>Short</t>
        </is>
      </c>
      <c r="E399" s="10" t="n">
        <v>46085.34375</v>
      </c>
      <c r="F399" s="10" t="n">
        <v>46085.375</v>
      </c>
      <c r="G399" s="11" t="n">
        <v>-26.07</v>
      </c>
      <c r="H399" s="11">
        <f>H398+G399</f>
        <v/>
      </c>
    </row>
    <row r="400">
      <c r="A400" s="9" t="n">
        <v>396</v>
      </c>
      <c r="B400" s="9" t="inlineStr">
        <is>
          <t>MSG</t>
        </is>
      </c>
      <c r="C400" s="9" t="inlineStr">
        <is>
          <t>Session-range breakout + Fibonacci retracement-zone entry</t>
        </is>
      </c>
      <c r="D400" s="9" t="inlineStr">
        <is>
          <t>Long</t>
        </is>
      </c>
      <c r="E400" s="10" t="n">
        <v>46085.60277777778</v>
      </c>
      <c r="F400" s="10" t="n">
        <v>46085.61180555556</v>
      </c>
      <c r="G400" s="11" t="n">
        <v>-51.64</v>
      </c>
      <c r="H400" s="11">
        <f>H399+G400</f>
        <v/>
      </c>
    </row>
    <row r="401">
      <c r="A401" s="9" t="n">
        <v>397</v>
      </c>
      <c r="B401" s="9" t="inlineStr">
        <is>
          <t>Meridian</t>
        </is>
      </c>
      <c r="C401" s="9" t="inlineStr">
        <is>
          <t>21/50 MA cross, 250-period confirm filter, VWAP</t>
        </is>
      </c>
      <c r="D401" s="9" t="inlineStr">
        <is>
          <t>Long</t>
        </is>
      </c>
      <c r="E401" s="10" t="n">
        <v>46085.38541666666</v>
      </c>
      <c r="F401" s="10" t="n">
        <v>46085.625</v>
      </c>
      <c r="G401" s="11" t="n">
        <v>3.46</v>
      </c>
      <c r="H401" s="11">
        <f>H400+G401</f>
        <v/>
      </c>
    </row>
    <row r="402">
      <c r="A402" s="9" t="n">
        <v>398</v>
      </c>
      <c r="B402" s="9" t="inlineStr">
        <is>
          <t>Meridian</t>
        </is>
      </c>
      <c r="C402" s="9" t="inlineStr">
        <is>
          <t>21/50 MA cross, 250-period confirm filter, VWAP</t>
        </is>
      </c>
      <c r="D402" s="9" t="inlineStr">
        <is>
          <t>Long</t>
        </is>
      </c>
      <c r="E402" s="10" t="n">
        <v>46085.63194444445</v>
      </c>
      <c r="F402" s="10" t="n">
        <v>46085.66666666666</v>
      </c>
      <c r="G402" s="11" t="n">
        <v>-21.18</v>
      </c>
      <c r="H402" s="11">
        <f>H401+G402</f>
        <v/>
      </c>
    </row>
    <row r="403">
      <c r="A403" s="9" t="n">
        <v>399</v>
      </c>
      <c r="B403" s="9" t="inlineStr">
        <is>
          <t>Ratchet</t>
        </is>
      </c>
      <c r="C403" s="9" t="inlineStr">
        <is>
          <t>Stochastic scalp with give-back trail exit</t>
        </is>
      </c>
      <c r="D403" s="9" t="inlineStr">
        <is>
          <t>Short</t>
        </is>
      </c>
      <c r="E403" s="10" t="n">
        <v>46085.76041666666</v>
      </c>
      <c r="F403" s="10" t="n">
        <v>46085.76736111111</v>
      </c>
      <c r="G403" s="11" t="n">
        <v>2.18</v>
      </c>
      <c r="H403" s="11">
        <f>H402+G403</f>
        <v/>
      </c>
    </row>
    <row r="404">
      <c r="A404" s="9" t="n">
        <v>400</v>
      </c>
      <c r="B404" s="9" t="inlineStr">
        <is>
          <t>Ratchet</t>
        </is>
      </c>
      <c r="C404" s="9" t="inlineStr">
        <is>
          <t>Stochastic scalp with give-back trail exit</t>
        </is>
      </c>
      <c r="D404" s="9" t="inlineStr">
        <is>
          <t>Short</t>
        </is>
      </c>
      <c r="E404" s="10" t="n">
        <v>46085.89236111111</v>
      </c>
      <c r="F404" s="10" t="n">
        <v>46085.94097222222</v>
      </c>
      <c r="G404" s="11" t="n">
        <v>-14.75</v>
      </c>
      <c r="H404" s="11">
        <f>H403+G404</f>
        <v/>
      </c>
    </row>
    <row r="405">
      <c r="A405" s="9" t="n">
        <v>401</v>
      </c>
      <c r="B405" s="9" t="inlineStr">
        <is>
          <t>Vanguard_M15</t>
        </is>
      </c>
      <c r="C405" s="9" t="inlineStr">
        <is>
          <t>Trendline breakout (fractal swing line) + VWAP/S-R distance gate - M15 chart</t>
        </is>
      </c>
      <c r="D405" s="9" t="inlineStr">
        <is>
          <t>Short</t>
        </is>
      </c>
      <c r="E405" s="10" t="n">
        <v>46084.34375</v>
      </c>
      <c r="F405" s="10" t="n">
        <v>46086.05208333334</v>
      </c>
      <c r="G405" s="11" t="n">
        <v>135.01</v>
      </c>
      <c r="H405" s="11">
        <f>H404+G405</f>
        <v/>
      </c>
    </row>
    <row r="406">
      <c r="A406" s="9" t="n">
        <v>402</v>
      </c>
      <c r="B406" s="9" t="inlineStr">
        <is>
          <t>Vanguard_M5</t>
        </is>
      </c>
      <c r="C406" s="9" t="inlineStr">
        <is>
          <t>Trendline breakout (fractal swing line) + VWAP/S-R distance gate</t>
        </is>
      </c>
      <c r="D406" s="9" t="inlineStr">
        <is>
          <t>Short</t>
        </is>
      </c>
      <c r="E406" s="10" t="n">
        <v>46084.34375</v>
      </c>
      <c r="F406" s="10" t="n">
        <v>46086.05208333334</v>
      </c>
      <c r="G406" s="11" t="n">
        <v>135.82</v>
      </c>
      <c r="H406" s="11">
        <f>H405+G406</f>
        <v/>
      </c>
    </row>
    <row r="407">
      <c r="A407" s="9" t="n">
        <v>403</v>
      </c>
      <c r="B407" s="9" t="inlineStr">
        <is>
          <t>Vanguard_M15</t>
        </is>
      </c>
      <c r="C407" s="9" t="inlineStr">
        <is>
          <t>Trendline breakout (fractal swing line) + VWAP/S-R distance gate - M15 chart</t>
        </is>
      </c>
      <c r="D407" s="9" t="inlineStr">
        <is>
          <t>Long</t>
        </is>
      </c>
      <c r="E407" s="10" t="n">
        <v>46086.0625</v>
      </c>
      <c r="F407" s="10" t="n">
        <v>46086.32291666666</v>
      </c>
      <c r="G407" s="11" t="n">
        <v>-6.26</v>
      </c>
      <c r="H407" s="11">
        <f>H406+G407</f>
        <v/>
      </c>
    </row>
    <row r="408">
      <c r="A408" s="9" t="n">
        <v>404</v>
      </c>
      <c r="B408" s="9" t="inlineStr">
        <is>
          <t>Vanguard_M5</t>
        </is>
      </c>
      <c r="C408" s="9" t="inlineStr">
        <is>
          <t>Trendline breakout (fractal swing line) + VWAP/S-R distance gate</t>
        </is>
      </c>
      <c r="D408" s="9" t="inlineStr">
        <is>
          <t>Long</t>
        </is>
      </c>
      <c r="E408" s="10" t="n">
        <v>46086.05555555555</v>
      </c>
      <c r="F408" s="10" t="n">
        <v>46086.32986111111</v>
      </c>
      <c r="G408" s="11" t="n">
        <v>-5.5</v>
      </c>
      <c r="H408" s="11">
        <f>H407+G408</f>
        <v/>
      </c>
    </row>
    <row r="409">
      <c r="A409" s="9" t="n">
        <v>405</v>
      </c>
      <c r="B409" s="9" t="inlineStr">
        <is>
          <t>Aurelius_M5</t>
        </is>
      </c>
      <c r="C409" s="9" t="inlineStr">
        <is>
          <t>MA alignment (EMA21&gt;EMA50&gt;SMA250&gt;SMMA500 vs EMA2400 trend filter)</t>
        </is>
      </c>
      <c r="D409" s="9" t="inlineStr">
        <is>
          <t>Short</t>
        </is>
      </c>
      <c r="E409" s="10" t="n">
        <v>46086.43055555555</v>
      </c>
      <c r="F409" s="10" t="n">
        <v>46086.44097222222</v>
      </c>
      <c r="G409" s="11" t="n">
        <v>-17.92</v>
      </c>
      <c r="H409" s="11">
        <f>H408+G409</f>
        <v/>
      </c>
    </row>
    <row r="410">
      <c r="A410" s="9" t="n">
        <v>406</v>
      </c>
      <c r="B410" s="9" t="inlineStr">
        <is>
          <t>Vanguard_M5</t>
        </is>
      </c>
      <c r="C410" s="9" t="inlineStr">
        <is>
          <t>Trendline breakout (fractal swing line) + VWAP/S-R distance gate</t>
        </is>
      </c>
      <c r="D410" s="9" t="inlineStr">
        <is>
          <t>Short</t>
        </is>
      </c>
      <c r="E410" s="10" t="n">
        <v>46086.33333333334</v>
      </c>
      <c r="F410" s="10" t="n">
        <v>46086.46180555555</v>
      </c>
      <c r="G410" s="11" t="n">
        <v>-24.62</v>
      </c>
      <c r="H410" s="11">
        <f>H409+G410</f>
        <v/>
      </c>
    </row>
    <row r="411">
      <c r="A411" s="9" t="n">
        <v>407</v>
      </c>
      <c r="B411" s="9" t="inlineStr">
        <is>
          <t>Meridian</t>
        </is>
      </c>
      <c r="C411" s="9" t="inlineStr">
        <is>
          <t>21/50 MA cross, 250-period confirm filter, VWAP</t>
        </is>
      </c>
      <c r="D411" s="9" t="inlineStr">
        <is>
          <t>Long</t>
        </is>
      </c>
      <c r="E411" s="10" t="n">
        <v>46086.46875</v>
      </c>
      <c r="F411" s="10" t="n">
        <v>46086.48263888889</v>
      </c>
      <c r="G411" s="11" t="n">
        <v>-19.74</v>
      </c>
      <c r="H411" s="11">
        <f>H410+G411</f>
        <v/>
      </c>
    </row>
    <row r="412">
      <c r="A412" s="9" t="n">
        <v>408</v>
      </c>
      <c r="B412" s="9" t="inlineStr">
        <is>
          <t>Ratchet</t>
        </is>
      </c>
      <c r="C412" s="9" t="inlineStr">
        <is>
          <t>Stochastic scalp with give-back trail exit</t>
        </is>
      </c>
      <c r="D412" s="9" t="inlineStr">
        <is>
          <t>Short</t>
        </is>
      </c>
      <c r="E412" s="10" t="n">
        <v>46086.51388888889</v>
      </c>
      <c r="F412" s="10" t="n">
        <v>46086.53472222222</v>
      </c>
      <c r="G412" s="11" t="n">
        <v>-12.76</v>
      </c>
      <c r="H412" s="11">
        <f>H411+G412</f>
        <v/>
      </c>
    </row>
    <row r="413">
      <c r="A413" s="9" t="n">
        <v>409</v>
      </c>
      <c r="B413" s="9" t="inlineStr">
        <is>
          <t>Meridian</t>
        </is>
      </c>
      <c r="C413" s="9" t="inlineStr">
        <is>
          <t>21/50 MA cross, 250-period confirm filter, VWAP</t>
        </is>
      </c>
      <c r="D413" s="9" t="inlineStr">
        <is>
          <t>Short</t>
        </is>
      </c>
      <c r="E413" s="10" t="n">
        <v>46086.50347222222</v>
      </c>
      <c r="F413" s="10" t="n">
        <v>46086.55902777778</v>
      </c>
      <c r="G413" s="11" t="n">
        <v>-14.8</v>
      </c>
      <c r="H413" s="11">
        <f>H412+G413</f>
        <v/>
      </c>
    </row>
    <row r="414">
      <c r="A414" s="9" t="n">
        <v>410</v>
      </c>
      <c r="B414" s="9" t="inlineStr">
        <is>
          <t>MSG</t>
        </is>
      </c>
      <c r="C414" s="9" t="inlineStr">
        <is>
          <t>Session-range breakout + Fibonacci retracement-zone entry</t>
        </is>
      </c>
      <c r="D414" s="9" t="inlineStr">
        <is>
          <t>Short</t>
        </is>
      </c>
      <c r="E414" s="10" t="n">
        <v>46086.65347222222</v>
      </c>
      <c r="F414" s="10" t="n">
        <v>46086.71388888889</v>
      </c>
      <c r="G414" s="11" t="n">
        <v>169.3</v>
      </c>
      <c r="H414" s="11">
        <f>H413+G414</f>
        <v/>
      </c>
    </row>
    <row r="415">
      <c r="A415" s="9" t="n">
        <v>411</v>
      </c>
      <c r="B415" s="9" t="inlineStr">
        <is>
          <t>Ratchet</t>
        </is>
      </c>
      <c r="C415" s="9" t="inlineStr">
        <is>
          <t>Stochastic scalp with give-back trail exit</t>
        </is>
      </c>
      <c r="D415" s="9" t="inlineStr">
        <is>
          <t>Short</t>
        </is>
      </c>
      <c r="E415" s="10" t="n">
        <v>46086.71180555555</v>
      </c>
      <c r="F415" s="10" t="n">
        <v>46086.71875</v>
      </c>
      <c r="G415" s="11" t="n">
        <v>7.91</v>
      </c>
      <c r="H415" s="11">
        <f>H414+G415</f>
        <v/>
      </c>
    </row>
    <row r="416">
      <c r="A416" s="9" t="n">
        <v>412</v>
      </c>
      <c r="B416" s="9" t="inlineStr">
        <is>
          <t>Ratchet</t>
        </is>
      </c>
      <c r="C416" s="9" t="inlineStr">
        <is>
          <t>Stochastic scalp with give-back trail exit</t>
        </is>
      </c>
      <c r="D416" s="9" t="inlineStr">
        <is>
          <t>Short</t>
        </is>
      </c>
      <c r="E416" s="10" t="n">
        <v>46086.91319444445</v>
      </c>
      <c r="F416" s="10" t="n">
        <v>46086.92361111111</v>
      </c>
      <c r="G416" s="11" t="n">
        <v>-13.85</v>
      </c>
      <c r="H416" s="11">
        <f>H415+G416</f>
        <v/>
      </c>
    </row>
    <row r="417">
      <c r="A417" s="9" t="n">
        <v>413</v>
      </c>
      <c r="B417" s="9" t="inlineStr">
        <is>
          <t>Aurelius_M5</t>
        </is>
      </c>
      <c r="C417" s="9" t="inlineStr">
        <is>
          <t>MA alignment (EMA21&gt;EMA50&gt;SMA250&gt;SMMA500 vs EMA2400 trend filter)</t>
        </is>
      </c>
      <c r="D417" s="9" t="inlineStr">
        <is>
          <t>Short</t>
        </is>
      </c>
      <c r="E417" s="10" t="n">
        <v>46086.64930555555</v>
      </c>
      <c r="F417" s="10" t="n">
        <v>46087.04166666666</v>
      </c>
      <c r="G417" s="11" t="n">
        <v>48.05</v>
      </c>
      <c r="H417" s="11">
        <f>H416+G417</f>
        <v/>
      </c>
    </row>
    <row r="418">
      <c r="A418" s="9" t="n">
        <v>414</v>
      </c>
      <c r="B418" s="9" t="inlineStr">
        <is>
          <t>Meridian</t>
        </is>
      </c>
      <c r="C418" s="9" t="inlineStr">
        <is>
          <t>21/50 MA cross, 250-period confirm filter, VWAP</t>
        </is>
      </c>
      <c r="D418" s="9" t="inlineStr">
        <is>
          <t>Short</t>
        </is>
      </c>
      <c r="E418" s="10" t="n">
        <v>46086.63194444445</v>
      </c>
      <c r="F418" s="10" t="n">
        <v>46087.04513888889</v>
      </c>
      <c r="G418" s="11" t="n">
        <v>58.55</v>
      </c>
      <c r="H418" s="11">
        <f>H417+G418</f>
        <v/>
      </c>
    </row>
    <row r="419">
      <c r="A419" s="9" t="n">
        <v>415</v>
      </c>
      <c r="B419" s="9" t="inlineStr">
        <is>
          <t>Aurelius_M15</t>
        </is>
      </c>
      <c r="C419" s="9" t="inlineStr">
        <is>
          <t>MA alignment (EMA21&gt;EMA50&gt;SMA250&gt;SMMA500 vs EMA2400 trend filter) - M15 chart</t>
        </is>
      </c>
      <c r="D419" s="9" t="inlineStr">
        <is>
          <t>Short</t>
        </is>
      </c>
      <c r="E419" s="10" t="n">
        <v>46086.66666666666</v>
      </c>
      <c r="F419" s="10" t="n">
        <v>46087.22916666666</v>
      </c>
      <c r="G419" s="11" t="n">
        <v>-18.85</v>
      </c>
      <c r="H419" s="11">
        <f>H418+G419</f>
        <v/>
      </c>
    </row>
    <row r="420">
      <c r="A420" s="9" t="n">
        <v>416</v>
      </c>
      <c r="B420" s="9" t="inlineStr">
        <is>
          <t>Ratchet</t>
        </is>
      </c>
      <c r="C420" s="9" t="inlineStr">
        <is>
          <t>Stochastic scalp with give-back trail exit</t>
        </is>
      </c>
      <c r="D420" s="9" t="inlineStr">
        <is>
          <t>Short</t>
        </is>
      </c>
      <c r="E420" s="10" t="n">
        <v>46087.52430555555</v>
      </c>
      <c r="F420" s="10" t="n">
        <v>46087.53125</v>
      </c>
      <c r="G420" s="11" t="n">
        <v>-0</v>
      </c>
      <c r="H420" s="11">
        <f>H419+G420</f>
        <v/>
      </c>
    </row>
    <row r="421">
      <c r="A421" s="9" t="n">
        <v>417</v>
      </c>
      <c r="B421" s="9" t="inlineStr">
        <is>
          <t>MSG</t>
        </is>
      </c>
      <c r="C421" s="9" t="inlineStr">
        <is>
          <t>Session-range breakout + Fibonacci retracement-zone entry</t>
        </is>
      </c>
      <c r="D421" s="9" t="inlineStr">
        <is>
          <t>Short</t>
        </is>
      </c>
      <c r="E421" s="10" t="n">
        <v>46087.59722222222</v>
      </c>
      <c r="F421" s="10" t="n">
        <v>46087.63888888889</v>
      </c>
      <c r="G421" s="11" t="n">
        <v>55.28</v>
      </c>
      <c r="H421" s="11">
        <f>H420+G421</f>
        <v/>
      </c>
    </row>
    <row r="422">
      <c r="A422" s="9" t="n">
        <v>418</v>
      </c>
      <c r="B422" s="9" t="inlineStr">
        <is>
          <t>Ratchet</t>
        </is>
      </c>
      <c r="C422" s="9" t="inlineStr">
        <is>
          <t>Stochastic scalp with give-back trail exit</t>
        </is>
      </c>
      <c r="D422" s="9" t="inlineStr">
        <is>
          <t>Short</t>
        </is>
      </c>
      <c r="E422" s="10" t="n">
        <v>46087.625</v>
      </c>
      <c r="F422" s="10" t="n">
        <v>46087.63888888889</v>
      </c>
      <c r="G422" s="11" t="n">
        <v>3.88</v>
      </c>
      <c r="H422" s="11">
        <f>H421+G422</f>
        <v/>
      </c>
    </row>
    <row r="423">
      <c r="A423" s="9" t="n">
        <v>419</v>
      </c>
      <c r="B423" s="9" t="inlineStr">
        <is>
          <t>Vanguard_M15</t>
        </is>
      </c>
      <c r="C423" s="9" t="inlineStr">
        <is>
          <t>Trendline breakout (fractal swing line) + VWAP/S-R distance gate - M15 chart</t>
        </is>
      </c>
      <c r="D423" s="9" t="inlineStr">
        <is>
          <t>Short</t>
        </is>
      </c>
      <c r="E423" s="10" t="n">
        <v>46086.33333333334</v>
      </c>
      <c r="F423" s="10" t="n">
        <v>46087.64583333334</v>
      </c>
      <c r="G423" s="11" t="n">
        <v>26.32</v>
      </c>
      <c r="H423" s="11">
        <f>H422+G423</f>
        <v/>
      </c>
    </row>
    <row r="424">
      <c r="A424" s="9" t="n">
        <v>420</v>
      </c>
      <c r="B424" s="9" t="inlineStr">
        <is>
          <t>Vanguard_M5</t>
        </is>
      </c>
      <c r="C424" s="9" t="inlineStr">
        <is>
          <t>Trendline breakout (fractal swing line) + VWAP/S-R distance gate</t>
        </is>
      </c>
      <c r="D424" s="9" t="inlineStr">
        <is>
          <t>Short</t>
        </is>
      </c>
      <c r="E424" s="10" t="n">
        <v>46086.48263888889</v>
      </c>
      <c r="F424" s="10" t="n">
        <v>46087.64583333334</v>
      </c>
      <c r="G424" s="11" t="n">
        <v>41.71</v>
      </c>
      <c r="H424" s="11">
        <f>H423+G424</f>
        <v/>
      </c>
    </row>
    <row r="425">
      <c r="A425" s="9" t="n">
        <v>421</v>
      </c>
      <c r="B425" s="9" t="inlineStr">
        <is>
          <t>Aurelius_M5</t>
        </is>
      </c>
      <c r="C425" s="9" t="inlineStr">
        <is>
          <t>MA alignment (EMA21&gt;EMA50&gt;SMA250&gt;SMMA500 vs EMA2400 trend filter)</t>
        </is>
      </c>
      <c r="D425" s="9" t="inlineStr">
        <is>
          <t>Short</t>
        </is>
      </c>
      <c r="E425" s="10" t="n">
        <v>46087.60069444445</v>
      </c>
      <c r="F425" s="10" t="n">
        <v>46087.64583333334</v>
      </c>
      <c r="G425" s="11" t="n">
        <v>-19.33</v>
      </c>
      <c r="H425" s="11">
        <f>H424+G425</f>
        <v/>
      </c>
    </row>
    <row r="426">
      <c r="A426" s="9" t="n">
        <v>422</v>
      </c>
      <c r="B426" s="9" t="inlineStr">
        <is>
          <t>Aurelius_M15</t>
        </is>
      </c>
      <c r="C426" s="9" t="inlineStr">
        <is>
          <t>MA alignment (EMA21&gt;EMA50&gt;SMA250&gt;SMMA500 vs EMA2400 trend filter) - M15 chart</t>
        </is>
      </c>
      <c r="D426" s="9" t="inlineStr">
        <is>
          <t>Short</t>
        </is>
      </c>
      <c r="E426" s="10" t="n">
        <v>46087.63541666666</v>
      </c>
      <c r="F426" s="10" t="n">
        <v>46087.64583333334</v>
      </c>
      <c r="G426" s="11" t="n">
        <v>-33.43</v>
      </c>
      <c r="H426" s="11">
        <f>H425+G426</f>
        <v/>
      </c>
    </row>
    <row r="427">
      <c r="A427" s="9" t="n">
        <v>423</v>
      </c>
      <c r="B427" s="9" t="inlineStr">
        <is>
          <t>Vanguard_M15</t>
        </is>
      </c>
      <c r="C427" s="9" t="inlineStr">
        <is>
          <t>Trendline breakout (fractal swing line) + VWAP/S-R distance gate - M15 chart</t>
        </is>
      </c>
      <c r="D427" s="9" t="inlineStr">
        <is>
          <t>Long</t>
        </is>
      </c>
      <c r="E427" s="10" t="n">
        <v>46087.65625</v>
      </c>
      <c r="F427" s="10" t="n">
        <v>46087.65625</v>
      </c>
      <c r="G427" s="11" t="n">
        <v>-48.06</v>
      </c>
      <c r="H427" s="11">
        <f>H426+G427</f>
        <v/>
      </c>
    </row>
    <row r="428">
      <c r="A428" s="9" t="n">
        <v>424</v>
      </c>
      <c r="B428" s="9" t="inlineStr">
        <is>
          <t>Vanguard_M5</t>
        </is>
      </c>
      <c r="C428" s="9" t="inlineStr">
        <is>
          <t>Trendline breakout (fractal swing line) + VWAP/S-R distance gate</t>
        </is>
      </c>
      <c r="D428" s="9" t="inlineStr">
        <is>
          <t>Long</t>
        </is>
      </c>
      <c r="E428" s="10" t="n">
        <v>46087.64930555555</v>
      </c>
      <c r="F428" s="10" t="n">
        <v>46087.66319444445</v>
      </c>
      <c r="G428" s="11" t="n">
        <v>-42.3</v>
      </c>
      <c r="H428" s="11">
        <f>H427+G428</f>
        <v/>
      </c>
    </row>
    <row r="429">
      <c r="A429" s="9" t="n">
        <v>425</v>
      </c>
      <c r="B429" s="9" t="inlineStr">
        <is>
          <t>Meridian</t>
        </is>
      </c>
      <c r="C429" s="9" t="inlineStr">
        <is>
          <t>21/50 MA cross, 250-period confirm filter, VWAP</t>
        </is>
      </c>
      <c r="D429" s="9" t="inlineStr">
        <is>
          <t>Long</t>
        </is>
      </c>
      <c r="E429" s="10" t="n">
        <v>46087.65625</v>
      </c>
      <c r="F429" s="10" t="n">
        <v>46087.66319444445</v>
      </c>
      <c r="G429" s="11" t="n">
        <v>-26.93</v>
      </c>
      <c r="H429" s="11">
        <f>H428+G429</f>
        <v/>
      </c>
    </row>
    <row r="430">
      <c r="A430" s="9" t="n">
        <v>426</v>
      </c>
      <c r="B430" s="9" t="inlineStr">
        <is>
          <t>Aurelius_M15</t>
        </is>
      </c>
      <c r="C430" s="9" t="inlineStr">
        <is>
          <t>MA alignment (EMA21&gt;EMA50&gt;SMA250&gt;SMMA500 vs EMA2400 trend filter) - M15 chart</t>
        </is>
      </c>
      <c r="D430" s="9" t="inlineStr">
        <is>
          <t>Short</t>
        </is>
      </c>
      <c r="E430" s="10" t="n">
        <v>46087.69791666666</v>
      </c>
      <c r="F430" s="10" t="n">
        <v>46087.70833333334</v>
      </c>
      <c r="G430" s="11" t="n">
        <v>-49.15</v>
      </c>
      <c r="H430" s="11">
        <f>H429+G430</f>
        <v/>
      </c>
    </row>
    <row r="431">
      <c r="A431" s="9" t="n">
        <v>427</v>
      </c>
      <c r="B431" s="9" t="inlineStr">
        <is>
          <t>Vanguard_M15</t>
        </is>
      </c>
      <c r="C431" s="9" t="inlineStr">
        <is>
          <t>Trendline breakout (fractal swing line) + VWAP/S-R distance gate - M15 chart</t>
        </is>
      </c>
      <c r="D431" s="9" t="inlineStr">
        <is>
          <t>Long</t>
        </is>
      </c>
      <c r="E431" s="10" t="n">
        <v>46087.70833333334</v>
      </c>
      <c r="F431" s="10" t="n">
        <v>46090.0625</v>
      </c>
      <c r="G431" s="11" t="n">
        <v>-64.28</v>
      </c>
      <c r="H431" s="11">
        <f>H430+G431</f>
        <v/>
      </c>
    </row>
    <row r="432">
      <c r="A432" s="9" t="n">
        <v>428</v>
      </c>
      <c r="B432" s="9" t="inlineStr">
        <is>
          <t>Vanguard_M5</t>
        </is>
      </c>
      <c r="C432" s="9" t="inlineStr">
        <is>
          <t>Trendline breakout (fractal swing line) + VWAP/S-R distance gate</t>
        </is>
      </c>
      <c r="D432" s="9" t="inlineStr">
        <is>
          <t>Long</t>
        </is>
      </c>
      <c r="E432" s="10" t="n">
        <v>46087.70833333334</v>
      </c>
      <c r="F432" s="10" t="n">
        <v>46090.06597222222</v>
      </c>
      <c r="G432" s="11" t="n">
        <v>-57.64</v>
      </c>
      <c r="H432" s="11">
        <f>H431+G432</f>
        <v/>
      </c>
    </row>
    <row r="433">
      <c r="A433" s="9" t="n">
        <v>429</v>
      </c>
      <c r="B433" s="9" t="inlineStr">
        <is>
          <t>Vanguard_M15</t>
        </is>
      </c>
      <c r="C433" s="9" t="inlineStr">
        <is>
          <t>Trendline breakout (fractal swing line) + VWAP/S-R distance gate - M15 chart</t>
        </is>
      </c>
      <c r="D433" s="9" t="inlineStr">
        <is>
          <t>Short</t>
        </is>
      </c>
      <c r="E433" s="10" t="n">
        <v>46090.09375</v>
      </c>
      <c r="F433" s="10" t="n">
        <v>46090.16666666666</v>
      </c>
      <c r="G433" s="11" t="n">
        <v>-58.26</v>
      </c>
      <c r="H433" s="11">
        <f>H432+G433</f>
        <v/>
      </c>
    </row>
    <row r="434">
      <c r="A434" s="9" t="n">
        <v>430</v>
      </c>
      <c r="B434" s="9" t="inlineStr">
        <is>
          <t>Vanguard_M5</t>
        </is>
      </c>
      <c r="C434" s="9" t="inlineStr">
        <is>
          <t>Trendline breakout (fractal swing line) + VWAP/S-R distance gate</t>
        </is>
      </c>
      <c r="D434" s="9" t="inlineStr">
        <is>
          <t>Short</t>
        </is>
      </c>
      <c r="E434" s="10" t="n">
        <v>46090.06944444445</v>
      </c>
      <c r="F434" s="10" t="n">
        <v>46090.17361111111</v>
      </c>
      <c r="G434" s="11" t="n">
        <v>-23.94</v>
      </c>
      <c r="H434" s="11">
        <f>H433+G434</f>
        <v/>
      </c>
    </row>
    <row r="435">
      <c r="A435" s="9" t="n">
        <v>431</v>
      </c>
      <c r="B435" s="9" t="inlineStr">
        <is>
          <t>Aurelius_M5</t>
        </is>
      </c>
      <c r="C435" s="9" t="inlineStr">
        <is>
          <t>MA alignment (EMA21&gt;EMA50&gt;SMA250&gt;SMMA500 vs EMA2400 trend filter)</t>
        </is>
      </c>
      <c r="D435" s="9" t="inlineStr">
        <is>
          <t>Short</t>
        </is>
      </c>
      <c r="E435" s="10" t="n">
        <v>46090.19097222222</v>
      </c>
      <c r="F435" s="10" t="n">
        <v>46090.21875</v>
      </c>
      <c r="G435" s="11" t="n">
        <v>-5.9</v>
      </c>
      <c r="H435" s="11">
        <f>H434+G435</f>
        <v/>
      </c>
    </row>
    <row r="436">
      <c r="A436" s="9" t="n">
        <v>432</v>
      </c>
      <c r="B436" s="9" t="inlineStr">
        <is>
          <t>Meridian</t>
        </is>
      </c>
      <c r="C436" s="9" t="inlineStr">
        <is>
          <t>21/50 MA cross, 250-period confirm filter, VWAP</t>
        </is>
      </c>
      <c r="D436" s="9" t="inlineStr">
        <is>
          <t>Short</t>
        </is>
      </c>
      <c r="E436" s="10" t="n">
        <v>46090.4375</v>
      </c>
      <c r="F436" s="10" t="n">
        <v>46090.46527777778</v>
      </c>
      <c r="G436" s="11" t="n">
        <v>-20.65</v>
      </c>
      <c r="H436" s="11">
        <f>H435+G436</f>
        <v/>
      </c>
    </row>
    <row r="437">
      <c r="A437" s="9" t="n">
        <v>433</v>
      </c>
      <c r="B437" s="9" t="inlineStr">
        <is>
          <t>Meridian</t>
        </is>
      </c>
      <c r="C437" s="9" t="inlineStr">
        <is>
          <t>21/50 MA cross, 250-period confirm filter, VWAP</t>
        </is>
      </c>
      <c r="D437" s="9" t="inlineStr">
        <is>
          <t>Long</t>
        </is>
      </c>
      <c r="E437" s="10" t="n">
        <v>46090.47222222222</v>
      </c>
      <c r="F437" s="10" t="n">
        <v>46090.52083333334</v>
      </c>
      <c r="G437" s="11" t="n">
        <v>-21.74</v>
      </c>
      <c r="H437" s="11">
        <f>H436+G437</f>
        <v/>
      </c>
    </row>
    <row r="438">
      <c r="A438" s="9" t="n">
        <v>434</v>
      </c>
      <c r="B438" s="9" t="inlineStr">
        <is>
          <t>Ratchet</t>
        </is>
      </c>
      <c r="C438" s="9" t="inlineStr">
        <is>
          <t>Stochastic scalp with give-back trail exit</t>
        </is>
      </c>
      <c r="D438" s="9" t="inlineStr">
        <is>
          <t>Short</t>
        </is>
      </c>
      <c r="E438" s="10" t="n">
        <v>46090.625</v>
      </c>
      <c r="F438" s="10" t="n">
        <v>46090.63194444445</v>
      </c>
      <c r="G438" s="11" t="n">
        <v>-0</v>
      </c>
      <c r="H438" s="11">
        <f>H437+G438</f>
        <v/>
      </c>
    </row>
    <row r="439">
      <c r="A439" s="9" t="n">
        <v>435</v>
      </c>
      <c r="B439" s="9" t="inlineStr">
        <is>
          <t>MSG</t>
        </is>
      </c>
      <c r="C439" s="9" t="inlineStr">
        <is>
          <t>Session-range breakout + Fibonacci retracement-zone entry</t>
        </is>
      </c>
      <c r="D439" s="9" t="inlineStr">
        <is>
          <t>Short</t>
        </is>
      </c>
      <c r="E439" s="10" t="n">
        <v>46090.60347222222</v>
      </c>
      <c r="F439" s="10" t="n">
        <v>46090.63680555556</v>
      </c>
      <c r="G439" s="11" t="n">
        <v>36.35</v>
      </c>
      <c r="H439" s="11">
        <f>H438+G439</f>
        <v/>
      </c>
    </row>
    <row r="440">
      <c r="A440" s="9" t="n">
        <v>436</v>
      </c>
      <c r="B440" s="9" t="inlineStr">
        <is>
          <t>Aurelius_M15</t>
        </is>
      </c>
      <c r="C440" s="9" t="inlineStr">
        <is>
          <t>MA alignment (EMA21&gt;EMA50&gt;SMA250&gt;SMMA500 vs EMA2400 trend filter) - M15 chart</t>
        </is>
      </c>
      <c r="D440" s="9" t="inlineStr">
        <is>
          <t>Short</t>
        </is>
      </c>
      <c r="E440" s="10" t="n">
        <v>46090.65625</v>
      </c>
      <c r="F440" s="10" t="n">
        <v>46090.6875</v>
      </c>
      <c r="G440" s="11" t="n">
        <v>-37.72</v>
      </c>
      <c r="H440" s="11">
        <f>H439+G440</f>
        <v/>
      </c>
    </row>
    <row r="441">
      <c r="A441" s="9" t="n">
        <v>437</v>
      </c>
      <c r="B441" s="9" t="inlineStr">
        <is>
          <t>Ratchet</t>
        </is>
      </c>
      <c r="C441" s="9" t="inlineStr">
        <is>
          <t>Stochastic scalp with give-back trail exit</t>
        </is>
      </c>
      <c r="D441" s="9" t="inlineStr">
        <is>
          <t>Short</t>
        </is>
      </c>
      <c r="E441" s="10" t="n">
        <v>46090.66666666666</v>
      </c>
      <c r="F441" s="10" t="n">
        <v>46090.69097222222</v>
      </c>
      <c r="G441" s="11" t="n">
        <v>-19.98</v>
      </c>
      <c r="H441" s="11">
        <f>H440+G441</f>
        <v/>
      </c>
    </row>
    <row r="442">
      <c r="A442" s="9" t="n">
        <v>438</v>
      </c>
      <c r="B442" s="9" t="inlineStr">
        <is>
          <t>Aurelius_M5</t>
        </is>
      </c>
      <c r="C442" s="9" t="inlineStr">
        <is>
          <t>MA alignment (EMA21&gt;EMA50&gt;SMA250&gt;SMMA500 vs EMA2400 trend filter)</t>
        </is>
      </c>
      <c r="D442" s="9" t="inlineStr">
        <is>
          <t>Short</t>
        </is>
      </c>
      <c r="E442" s="10" t="n">
        <v>46090.67708333334</v>
      </c>
      <c r="F442" s="10" t="n">
        <v>46090.69444444445</v>
      </c>
      <c r="G442" s="11" t="n">
        <v>-29.26</v>
      </c>
      <c r="H442" s="11">
        <f>H441+G442</f>
        <v/>
      </c>
    </row>
    <row r="443">
      <c r="A443" s="9" t="n">
        <v>439</v>
      </c>
      <c r="B443" s="9" t="inlineStr">
        <is>
          <t>Aurelius_M5</t>
        </is>
      </c>
      <c r="C443" s="9" t="inlineStr">
        <is>
          <t>MA alignment (EMA21&gt;EMA50&gt;SMA250&gt;SMMA500 vs EMA2400 trend filter)</t>
        </is>
      </c>
      <c r="D443" s="9" t="inlineStr">
        <is>
          <t>Short</t>
        </is>
      </c>
      <c r="E443" s="10" t="n">
        <v>46090.71180555555</v>
      </c>
      <c r="F443" s="10" t="n">
        <v>46090.74652777778</v>
      </c>
      <c r="G443" s="11" t="n">
        <v>-13.63</v>
      </c>
      <c r="H443" s="11">
        <f>H442+G443</f>
        <v/>
      </c>
    </row>
    <row r="444">
      <c r="A444" s="9" t="n">
        <v>440</v>
      </c>
      <c r="B444" s="9" t="inlineStr">
        <is>
          <t>Ratchet</t>
        </is>
      </c>
      <c r="C444" s="9" t="inlineStr">
        <is>
          <t>Stochastic scalp with give-back trail exit</t>
        </is>
      </c>
      <c r="D444" s="9" t="inlineStr">
        <is>
          <t>Long</t>
        </is>
      </c>
      <c r="E444" s="10" t="n">
        <v>46091.37152777778</v>
      </c>
      <c r="F444" s="10" t="n">
        <v>46091.38541666666</v>
      </c>
      <c r="G444" s="11" t="n">
        <v>-7.58</v>
      </c>
      <c r="H444" s="11">
        <f>H443+G444</f>
        <v/>
      </c>
    </row>
    <row r="445">
      <c r="A445" s="9" t="n">
        <v>441</v>
      </c>
      <c r="B445" s="9" t="inlineStr">
        <is>
          <t>Ratchet</t>
        </is>
      </c>
      <c r="C445" s="9" t="inlineStr">
        <is>
          <t>Stochastic scalp with give-back trail exit</t>
        </is>
      </c>
      <c r="D445" s="9" t="inlineStr">
        <is>
          <t>Long</t>
        </is>
      </c>
      <c r="E445" s="10" t="n">
        <v>46091.43055555555</v>
      </c>
      <c r="F445" s="10" t="n">
        <v>46091.45486111111</v>
      </c>
      <c r="G445" s="11" t="n">
        <v>4.31</v>
      </c>
      <c r="H445" s="11">
        <f>H444+G445</f>
        <v/>
      </c>
    </row>
    <row r="446">
      <c r="A446" s="9" t="n">
        <v>442</v>
      </c>
      <c r="B446" s="9" t="inlineStr">
        <is>
          <t>Meridian</t>
        </is>
      </c>
      <c r="C446" s="9" t="inlineStr">
        <is>
          <t>21/50 MA cross, 250-period confirm filter, VWAP</t>
        </is>
      </c>
      <c r="D446" s="9" t="inlineStr">
        <is>
          <t>Long</t>
        </is>
      </c>
      <c r="E446" s="10" t="n">
        <v>46091.54861111111</v>
      </c>
      <c r="F446" s="10" t="n">
        <v>46091.56944444445</v>
      </c>
      <c r="G446" s="11" t="n">
        <v>-16.9</v>
      </c>
      <c r="H446" s="11">
        <f>H445+G446</f>
        <v/>
      </c>
    </row>
    <row r="447">
      <c r="A447" s="9" t="n">
        <v>443</v>
      </c>
      <c r="B447" s="9" t="inlineStr">
        <is>
          <t>Aurelius_M5</t>
        </is>
      </c>
      <c r="C447" s="9" t="inlineStr">
        <is>
          <t>MA alignment (EMA21&gt;EMA50&gt;SMA250&gt;SMMA500 vs EMA2400 trend filter)</t>
        </is>
      </c>
      <c r="D447" s="9" t="inlineStr">
        <is>
          <t>Long</t>
        </is>
      </c>
      <c r="E447" s="10" t="n">
        <v>46091.63888888889</v>
      </c>
      <c r="F447" s="10" t="n">
        <v>46091.65625</v>
      </c>
      <c r="G447" s="11" t="n">
        <v>-18.11</v>
      </c>
      <c r="H447" s="11">
        <f>H446+G447</f>
        <v/>
      </c>
    </row>
    <row r="448">
      <c r="A448" s="9" t="n">
        <v>444</v>
      </c>
      <c r="B448" s="9" t="inlineStr">
        <is>
          <t>MSG</t>
        </is>
      </c>
      <c r="C448" s="9" t="inlineStr">
        <is>
          <t>Session-range breakout + Fibonacci retracement-zone entry</t>
        </is>
      </c>
      <c r="D448" s="9" t="inlineStr">
        <is>
          <t>Long</t>
        </is>
      </c>
      <c r="E448" s="10" t="n">
        <v>46091.67222222222</v>
      </c>
      <c r="F448" s="10" t="n">
        <v>46091.72986111111</v>
      </c>
      <c r="G448" s="11" t="n">
        <v>90.92</v>
      </c>
      <c r="H448" s="11">
        <f>H447+G448</f>
        <v/>
      </c>
    </row>
    <row r="449">
      <c r="A449" s="9" t="n">
        <v>445</v>
      </c>
      <c r="B449" s="9" t="inlineStr">
        <is>
          <t>Ratchet</t>
        </is>
      </c>
      <c r="C449" s="9" t="inlineStr">
        <is>
          <t>Stochastic scalp with give-back trail exit</t>
        </is>
      </c>
      <c r="D449" s="9" t="inlineStr">
        <is>
          <t>Long</t>
        </is>
      </c>
      <c r="E449" s="10" t="n">
        <v>46091.77430555555</v>
      </c>
      <c r="F449" s="10" t="n">
        <v>46091.83333333334</v>
      </c>
      <c r="G449" s="11" t="n">
        <v>-10.96</v>
      </c>
      <c r="H449" s="11">
        <f>H448+G449</f>
        <v/>
      </c>
    </row>
    <row r="450">
      <c r="A450" s="9" t="n">
        <v>446</v>
      </c>
      <c r="B450" s="9" t="inlineStr">
        <is>
          <t>Meridian</t>
        </is>
      </c>
      <c r="C450" s="9" t="inlineStr">
        <is>
          <t>21/50 MA cross, 250-period confirm filter, VWAP</t>
        </is>
      </c>
      <c r="D450" s="9" t="inlineStr">
        <is>
          <t>Long</t>
        </is>
      </c>
      <c r="E450" s="10" t="n">
        <v>46091.61805555555</v>
      </c>
      <c r="F450" s="10" t="n">
        <v>46091.84375</v>
      </c>
      <c r="G450" s="11" t="n">
        <v>-14.81</v>
      </c>
      <c r="H450" s="11">
        <f>H449+G450</f>
        <v/>
      </c>
    </row>
    <row r="451">
      <c r="A451" s="9" t="n">
        <v>447</v>
      </c>
      <c r="B451" s="9" t="inlineStr">
        <is>
          <t>Ratchet</t>
        </is>
      </c>
      <c r="C451" s="9" t="inlineStr">
        <is>
          <t>Stochastic scalp with give-back trail exit</t>
        </is>
      </c>
      <c r="D451" s="9" t="inlineStr">
        <is>
          <t>Long</t>
        </is>
      </c>
      <c r="E451" s="10" t="n">
        <v>46092.11458333334</v>
      </c>
      <c r="F451" s="10" t="n">
        <v>46092.12847222222</v>
      </c>
      <c r="G451" s="11" t="n">
        <v>1.98</v>
      </c>
      <c r="H451" s="11">
        <f>H450+G451</f>
        <v/>
      </c>
    </row>
    <row r="452">
      <c r="A452" s="9" t="n">
        <v>448</v>
      </c>
      <c r="B452" s="9" t="inlineStr">
        <is>
          <t>Aurelius_M5</t>
        </is>
      </c>
      <c r="C452" s="9" t="inlineStr">
        <is>
          <t>MA alignment (EMA21&gt;EMA50&gt;SMA250&gt;SMMA500 vs EMA2400 trend filter)</t>
        </is>
      </c>
      <c r="D452" s="9" t="inlineStr">
        <is>
          <t>Long</t>
        </is>
      </c>
      <c r="E452" s="10" t="n">
        <v>46092.12847222222</v>
      </c>
      <c r="F452" s="10" t="n">
        <v>46092.16666666666</v>
      </c>
      <c r="G452" s="11" t="n">
        <v>-14.88</v>
      </c>
      <c r="H452" s="11">
        <f>H451+G452</f>
        <v/>
      </c>
    </row>
    <row r="453">
      <c r="A453" s="9" t="n">
        <v>449</v>
      </c>
      <c r="B453" s="9" t="inlineStr">
        <is>
          <t>Meridian</t>
        </is>
      </c>
      <c r="C453" s="9" t="inlineStr">
        <is>
          <t>21/50 MA cross, 250-period confirm filter, VWAP</t>
        </is>
      </c>
      <c r="D453" s="9" t="inlineStr">
        <is>
          <t>Long</t>
        </is>
      </c>
      <c r="E453" s="10" t="n">
        <v>46092.10763888889</v>
      </c>
      <c r="F453" s="10" t="n">
        <v>46092.17361111111</v>
      </c>
      <c r="G453" s="11" t="n">
        <v>-15.35</v>
      </c>
      <c r="H453" s="11">
        <f>H452+G453</f>
        <v/>
      </c>
    </row>
    <row r="454">
      <c r="A454" s="9" t="n">
        <v>450</v>
      </c>
      <c r="B454" s="9" t="inlineStr">
        <is>
          <t>Ratchet</t>
        </is>
      </c>
      <c r="C454" s="9" t="inlineStr">
        <is>
          <t>Stochastic scalp with give-back trail exit</t>
        </is>
      </c>
      <c r="D454" s="9" t="inlineStr">
        <is>
          <t>Long</t>
        </is>
      </c>
      <c r="E454" s="10" t="n">
        <v>46092.21875</v>
      </c>
      <c r="F454" s="10" t="n">
        <v>46092.22569444445</v>
      </c>
      <c r="G454" s="11" t="n">
        <v>-8.65</v>
      </c>
      <c r="H454" s="11">
        <f>H453+G454</f>
        <v/>
      </c>
    </row>
    <row r="455">
      <c r="A455" s="9" t="n">
        <v>451</v>
      </c>
      <c r="B455" s="9" t="inlineStr">
        <is>
          <t>Vanguard_M15</t>
        </is>
      </c>
      <c r="C455" s="9" t="inlineStr">
        <is>
          <t>Trendline breakout (fractal swing line) + VWAP/S-R distance gate - M15 chart</t>
        </is>
      </c>
      <c r="D455" s="9" t="inlineStr">
        <is>
          <t>Long</t>
        </is>
      </c>
      <c r="E455" s="10" t="n">
        <v>46090.17708333334</v>
      </c>
      <c r="F455" s="10" t="n">
        <v>46092.35416666666</v>
      </c>
      <c r="G455" s="11" t="n">
        <v>100.27</v>
      </c>
      <c r="H455" s="11">
        <f>H454+G455</f>
        <v/>
      </c>
    </row>
    <row r="456">
      <c r="A456" s="9" t="n">
        <v>452</v>
      </c>
      <c r="B456" s="9" t="inlineStr">
        <is>
          <t>Vanguard_M5</t>
        </is>
      </c>
      <c r="C456" s="9" t="inlineStr">
        <is>
          <t>Trendline breakout (fractal swing line) + VWAP/S-R distance gate</t>
        </is>
      </c>
      <c r="D456" s="9" t="inlineStr">
        <is>
          <t>Long</t>
        </is>
      </c>
      <c r="E456" s="10" t="n">
        <v>46090.17708333334</v>
      </c>
      <c r="F456" s="10" t="n">
        <v>46092.36111111111</v>
      </c>
      <c r="G456" s="11" t="n">
        <v>100.28</v>
      </c>
      <c r="H456" s="11">
        <f>H455+G456</f>
        <v/>
      </c>
    </row>
    <row r="457">
      <c r="A457" s="9" t="n">
        <v>453</v>
      </c>
      <c r="B457" s="9" t="inlineStr">
        <is>
          <t>MSG</t>
        </is>
      </c>
      <c r="C457" s="9" t="inlineStr">
        <is>
          <t>Session-range breakout + Fibonacci retracement-zone entry</t>
        </is>
      </c>
      <c r="D457" s="9" t="inlineStr">
        <is>
          <t>Short</t>
        </is>
      </c>
      <c r="E457" s="10" t="n">
        <v>46092.66597222222</v>
      </c>
      <c r="F457" s="10" t="n">
        <v>46092.68680555555</v>
      </c>
      <c r="G457" s="11" t="n">
        <v>-53.67</v>
      </c>
      <c r="H457" s="11">
        <f>H456+G457</f>
        <v/>
      </c>
    </row>
    <row r="458">
      <c r="A458" s="9" t="n">
        <v>454</v>
      </c>
      <c r="B458" s="9" t="inlineStr">
        <is>
          <t>Meridian</t>
        </is>
      </c>
      <c r="C458" s="9" t="inlineStr">
        <is>
          <t>21/50 MA cross, 250-period confirm filter, VWAP</t>
        </is>
      </c>
      <c r="D458" s="9" t="inlineStr">
        <is>
          <t>Short</t>
        </is>
      </c>
      <c r="E458" s="10" t="n">
        <v>46092.70833333334</v>
      </c>
      <c r="F458" s="10" t="n">
        <v>46092.90277777778</v>
      </c>
      <c r="G458" s="11" t="n">
        <v>5.02</v>
      </c>
      <c r="H458" s="11">
        <f>H457+G458</f>
        <v/>
      </c>
    </row>
    <row r="459">
      <c r="A459" s="9" t="n">
        <v>455</v>
      </c>
      <c r="B459" s="9" t="inlineStr">
        <is>
          <t>Ratchet</t>
        </is>
      </c>
      <c r="C459" s="9" t="inlineStr">
        <is>
          <t>Stochastic scalp with give-back trail exit</t>
        </is>
      </c>
      <c r="D459" s="9" t="inlineStr">
        <is>
          <t>Short</t>
        </is>
      </c>
      <c r="E459" s="10" t="n">
        <v>46093.20833333334</v>
      </c>
      <c r="F459" s="10" t="n">
        <v>46093.29861111111</v>
      </c>
      <c r="G459" s="11" t="n">
        <v>2.34</v>
      </c>
      <c r="H459" s="11">
        <f>H458+G459</f>
        <v/>
      </c>
    </row>
    <row r="460">
      <c r="A460" s="9" t="n">
        <v>456</v>
      </c>
      <c r="B460" s="9" t="inlineStr">
        <is>
          <t>Ratchet</t>
        </is>
      </c>
      <c r="C460" s="9" t="inlineStr">
        <is>
          <t>Stochastic scalp with give-back trail exit</t>
        </is>
      </c>
      <c r="D460" s="9" t="inlineStr">
        <is>
          <t>Short</t>
        </is>
      </c>
      <c r="E460" s="10" t="n">
        <v>46093.30208333334</v>
      </c>
      <c r="F460" s="10" t="n">
        <v>46093.3125</v>
      </c>
      <c r="G460" s="11" t="n">
        <v>1.39</v>
      </c>
      <c r="H460" s="11">
        <f>H459+G460</f>
        <v/>
      </c>
    </row>
    <row r="461">
      <c r="A461" s="9" t="n">
        <v>457</v>
      </c>
      <c r="B461" s="9" t="inlineStr">
        <is>
          <t>Meridian</t>
        </is>
      </c>
      <c r="C461" s="9" t="inlineStr">
        <is>
          <t>21/50 MA cross, 250-period confirm filter, VWAP</t>
        </is>
      </c>
      <c r="D461" s="9" t="inlineStr">
        <is>
          <t>Short</t>
        </is>
      </c>
      <c r="E461" s="10" t="n">
        <v>46093.20833333334</v>
      </c>
      <c r="F461" s="10" t="n">
        <v>46093.36111111111</v>
      </c>
      <c r="G461" s="11" t="n">
        <v>-14.37</v>
      </c>
      <c r="H461" s="11">
        <f>H460+G461</f>
        <v/>
      </c>
    </row>
    <row r="462">
      <c r="A462" s="9" t="n">
        <v>458</v>
      </c>
      <c r="B462" s="9" t="inlineStr">
        <is>
          <t>Aurelius_M5</t>
        </is>
      </c>
      <c r="C462" s="9" t="inlineStr">
        <is>
          <t>MA alignment (EMA21&gt;EMA50&gt;SMA250&gt;SMMA500 vs EMA2400 trend filter)</t>
        </is>
      </c>
      <c r="D462" s="9" t="inlineStr">
        <is>
          <t>Long</t>
        </is>
      </c>
      <c r="E462" s="10" t="n">
        <v>46093.57638888889</v>
      </c>
      <c r="F462" s="10" t="n">
        <v>46093.58680555555</v>
      </c>
      <c r="G462" s="11" t="n">
        <v>-10</v>
      </c>
      <c r="H462" s="11">
        <f>H461+G462</f>
        <v/>
      </c>
    </row>
    <row r="463">
      <c r="A463" s="9" t="n">
        <v>459</v>
      </c>
      <c r="B463" s="9" t="inlineStr">
        <is>
          <t>Meridian</t>
        </is>
      </c>
      <c r="C463" s="9" t="inlineStr">
        <is>
          <t>21/50 MA cross, 250-period confirm filter, VWAP</t>
        </is>
      </c>
      <c r="D463" s="9" t="inlineStr">
        <is>
          <t>Long</t>
        </is>
      </c>
      <c r="E463" s="10" t="n">
        <v>46093.625</v>
      </c>
      <c r="F463" s="10" t="n">
        <v>46093.63888888889</v>
      </c>
      <c r="G463" s="11" t="n">
        <v>-12.8</v>
      </c>
      <c r="H463" s="11">
        <f>H462+G463</f>
        <v/>
      </c>
    </row>
    <row r="464">
      <c r="A464" s="9" t="n">
        <v>460</v>
      </c>
      <c r="B464" s="9" t="inlineStr">
        <is>
          <t>Ratchet</t>
        </is>
      </c>
      <c r="C464" s="9" t="inlineStr">
        <is>
          <t>Stochastic scalp with give-back trail exit</t>
        </is>
      </c>
      <c r="D464" s="9" t="inlineStr">
        <is>
          <t>Short</t>
        </is>
      </c>
      <c r="E464" s="10" t="n">
        <v>46093.68402777778</v>
      </c>
      <c r="F464" s="10" t="n">
        <v>46093.69097222222</v>
      </c>
      <c r="G464" s="11" t="n">
        <v>1.89</v>
      </c>
      <c r="H464" s="11">
        <f>H463+G464</f>
        <v/>
      </c>
    </row>
    <row r="465">
      <c r="A465" s="9" t="n">
        <v>461</v>
      </c>
      <c r="B465" s="9" t="inlineStr">
        <is>
          <t>Ratchet</t>
        </is>
      </c>
      <c r="C465" s="9" t="inlineStr">
        <is>
          <t>Stochastic scalp with give-back trail exit</t>
        </is>
      </c>
      <c r="D465" s="9" t="inlineStr">
        <is>
          <t>Short</t>
        </is>
      </c>
      <c r="E465" s="10" t="n">
        <v>46093.69444444445</v>
      </c>
      <c r="F465" s="10" t="n">
        <v>46094.04166666666</v>
      </c>
      <c r="G465" s="11" t="n">
        <v>48.58</v>
      </c>
      <c r="H465" s="11">
        <f>H464+G465</f>
        <v/>
      </c>
    </row>
    <row r="466">
      <c r="A466" s="9" t="n">
        <v>462</v>
      </c>
      <c r="B466" s="9" t="inlineStr">
        <is>
          <t>Ratchet</t>
        </is>
      </c>
      <c r="C466" s="9" t="inlineStr">
        <is>
          <t>Stochastic scalp with give-back trail exit</t>
        </is>
      </c>
      <c r="D466" s="9" t="inlineStr">
        <is>
          <t>Short</t>
        </is>
      </c>
      <c r="E466" s="10" t="n">
        <v>46094.28125</v>
      </c>
      <c r="F466" s="10" t="n">
        <v>46094.3125</v>
      </c>
      <c r="G466" s="11" t="n">
        <v>-6.48</v>
      </c>
      <c r="H466" s="11">
        <f>H465+G466</f>
        <v/>
      </c>
    </row>
    <row r="467">
      <c r="A467" s="9" t="n">
        <v>463</v>
      </c>
      <c r="B467" s="9" t="inlineStr">
        <is>
          <t>Meridian</t>
        </is>
      </c>
      <c r="C467" s="9" t="inlineStr">
        <is>
          <t>21/50 MA cross, 250-period confirm filter, VWAP</t>
        </is>
      </c>
      <c r="D467" s="9" t="inlineStr">
        <is>
          <t>Short</t>
        </is>
      </c>
      <c r="E467" s="10" t="n">
        <v>46094.28125</v>
      </c>
      <c r="F467" s="10" t="n">
        <v>46094.54513888889</v>
      </c>
      <c r="G467" s="11" t="n">
        <v>9.32</v>
      </c>
      <c r="H467" s="11">
        <f>H466+G467</f>
        <v/>
      </c>
    </row>
    <row r="468">
      <c r="A468" s="9" t="n">
        <v>464</v>
      </c>
      <c r="B468" s="9" t="inlineStr">
        <is>
          <t>Aurelius_M5</t>
        </is>
      </c>
      <c r="C468" s="9" t="inlineStr">
        <is>
          <t>MA alignment (EMA21&gt;EMA50&gt;SMA250&gt;SMMA500 vs EMA2400 trend filter)</t>
        </is>
      </c>
      <c r="D468" s="9" t="inlineStr">
        <is>
          <t>Short</t>
        </is>
      </c>
      <c r="E468" s="10" t="n">
        <v>46094.31597222222</v>
      </c>
      <c r="F468" s="10" t="n">
        <v>46094.54513888889</v>
      </c>
      <c r="G468" s="11" t="n">
        <v>13.57</v>
      </c>
      <c r="H468" s="11">
        <f>H467+G468</f>
        <v/>
      </c>
    </row>
    <row r="469">
      <c r="A469" s="9" t="n">
        <v>465</v>
      </c>
      <c r="B469" s="9" t="inlineStr">
        <is>
          <t>Aurelius_M15</t>
        </is>
      </c>
      <c r="C469" s="9" t="inlineStr">
        <is>
          <t>MA alignment (EMA21&gt;EMA50&gt;SMA250&gt;SMMA500 vs EMA2400 trend filter) - M15 chart</t>
        </is>
      </c>
      <c r="D469" s="9" t="inlineStr">
        <is>
          <t>Short</t>
        </is>
      </c>
      <c r="E469" s="10" t="n">
        <v>46094.375</v>
      </c>
      <c r="F469" s="10" t="n">
        <v>46094.58333333334</v>
      </c>
      <c r="G469" s="11" t="n">
        <v>-20.8</v>
      </c>
      <c r="H469" s="11">
        <f>H468+G469</f>
        <v/>
      </c>
    </row>
    <row r="470">
      <c r="A470" s="9" t="n">
        <v>466</v>
      </c>
      <c r="B470" s="9" t="inlineStr">
        <is>
          <t>MSG</t>
        </is>
      </c>
      <c r="C470" s="9" t="inlineStr">
        <is>
          <t>Session-range breakout + Fibonacci retracement-zone entry</t>
        </is>
      </c>
      <c r="D470" s="9" t="inlineStr">
        <is>
          <t>Long</t>
        </is>
      </c>
      <c r="E470" s="10" t="n">
        <v>46094.67708333334</v>
      </c>
      <c r="F470" s="10" t="n">
        <v>46094.69861111111</v>
      </c>
      <c r="G470" s="11" t="n">
        <v>-55.3</v>
      </c>
      <c r="H470" s="11">
        <f>H469+G470</f>
        <v/>
      </c>
    </row>
    <row r="471">
      <c r="A471" s="9" t="n">
        <v>467</v>
      </c>
      <c r="B471" s="9" t="inlineStr">
        <is>
          <t>Meridian</t>
        </is>
      </c>
      <c r="C471" s="9" t="inlineStr">
        <is>
          <t>21/50 MA cross, 250-period confirm filter, VWAP</t>
        </is>
      </c>
      <c r="D471" s="9" t="inlineStr">
        <is>
          <t>Short</t>
        </is>
      </c>
      <c r="E471" s="10" t="n">
        <v>46094.69097222222</v>
      </c>
      <c r="F471" s="10" t="n">
        <v>46094.91666666666</v>
      </c>
      <c r="G471" s="11" t="n">
        <v>73.37</v>
      </c>
      <c r="H471" s="11">
        <f>H470+G471</f>
        <v/>
      </c>
    </row>
    <row r="472">
      <c r="A472" s="9" t="n">
        <v>468</v>
      </c>
      <c r="B472" s="9" t="inlineStr">
        <is>
          <t>Ratchet</t>
        </is>
      </c>
      <c r="C472" s="9" t="inlineStr">
        <is>
          <t>Stochastic scalp with give-back trail exit</t>
        </is>
      </c>
      <c r="D472" s="9" t="inlineStr">
        <is>
          <t>Short</t>
        </is>
      </c>
      <c r="E472" s="10" t="n">
        <v>46097.21180555555</v>
      </c>
      <c r="F472" s="10" t="n">
        <v>46097.22222222222</v>
      </c>
      <c r="G472" s="11" t="n">
        <v>1.06</v>
      </c>
      <c r="H472" s="11">
        <f>H471+G472</f>
        <v/>
      </c>
    </row>
    <row r="473">
      <c r="A473" s="9" t="n">
        <v>469</v>
      </c>
      <c r="B473" s="9" t="inlineStr">
        <is>
          <t>Ratchet</t>
        </is>
      </c>
      <c r="C473" s="9" t="inlineStr">
        <is>
          <t>Stochastic scalp with give-back trail exit</t>
        </is>
      </c>
      <c r="D473" s="9" t="inlineStr">
        <is>
          <t>Short</t>
        </is>
      </c>
      <c r="E473" s="10" t="n">
        <v>46097.39583333334</v>
      </c>
      <c r="F473" s="10" t="n">
        <v>46097.40625</v>
      </c>
      <c r="G473" s="11" t="n">
        <v>2.79</v>
      </c>
      <c r="H473" s="11">
        <f>H472+G473</f>
        <v/>
      </c>
    </row>
    <row r="474">
      <c r="A474" s="9" t="n">
        <v>470</v>
      </c>
      <c r="B474" s="9" t="inlineStr">
        <is>
          <t>Ratchet</t>
        </is>
      </c>
      <c r="C474" s="9" t="inlineStr">
        <is>
          <t>Stochastic scalp with give-back trail exit</t>
        </is>
      </c>
      <c r="D474" s="9" t="inlineStr">
        <is>
          <t>Short</t>
        </is>
      </c>
      <c r="E474" s="10" t="n">
        <v>46097.48263888889</v>
      </c>
      <c r="F474" s="10" t="n">
        <v>46097.51388888889</v>
      </c>
      <c r="G474" s="11" t="n">
        <v>4.13</v>
      </c>
      <c r="H474" s="11">
        <f>H473+G474</f>
        <v/>
      </c>
    </row>
    <row r="475">
      <c r="A475" s="9" t="n">
        <v>471</v>
      </c>
      <c r="B475" s="9" t="inlineStr">
        <is>
          <t>Meridian</t>
        </is>
      </c>
      <c r="C475" s="9" t="inlineStr">
        <is>
          <t>21/50 MA cross, 250-period confirm filter, VWAP</t>
        </is>
      </c>
      <c r="D475" s="9" t="inlineStr">
        <is>
          <t>Short</t>
        </is>
      </c>
      <c r="E475" s="10" t="n">
        <v>46097.39236111111</v>
      </c>
      <c r="F475" s="10" t="n">
        <v>46097.55555555555</v>
      </c>
      <c r="G475" s="11" t="n">
        <v>-15.47</v>
      </c>
      <c r="H475" s="11">
        <f>H474+G475</f>
        <v/>
      </c>
    </row>
    <row r="476">
      <c r="A476" s="9" t="n">
        <v>472</v>
      </c>
      <c r="B476" s="9" t="inlineStr">
        <is>
          <t>MSG</t>
        </is>
      </c>
      <c r="C476" s="9" t="inlineStr">
        <is>
          <t>Session-range breakout + Fibonacci retracement-zone entry</t>
        </is>
      </c>
      <c r="D476" s="9" t="inlineStr">
        <is>
          <t>Long</t>
        </is>
      </c>
      <c r="E476" s="10" t="n">
        <v>46097.58194444444</v>
      </c>
      <c r="F476" s="10" t="n">
        <v>46097.60277777778</v>
      </c>
      <c r="G476" s="11" t="n">
        <v>54.25</v>
      </c>
      <c r="H476" s="11">
        <f>H475+G476</f>
        <v/>
      </c>
    </row>
    <row r="477">
      <c r="A477" s="9" t="n">
        <v>473</v>
      </c>
      <c r="B477" s="9" t="inlineStr">
        <is>
          <t>Ratchet</t>
        </is>
      </c>
      <c r="C477" s="9" t="inlineStr">
        <is>
          <t>Stochastic scalp with give-back trail exit</t>
        </is>
      </c>
      <c r="D477" s="9" t="inlineStr">
        <is>
          <t>Short</t>
        </is>
      </c>
      <c r="E477" s="10" t="n">
        <v>46097.74305555555</v>
      </c>
      <c r="F477" s="10" t="n">
        <v>46097.75347222222</v>
      </c>
      <c r="G477" s="11" t="n">
        <v>2.37</v>
      </c>
      <c r="H477" s="11">
        <f>H476+G477</f>
        <v/>
      </c>
    </row>
    <row r="478">
      <c r="A478" s="9" t="n">
        <v>474</v>
      </c>
      <c r="B478" s="9" t="inlineStr">
        <is>
          <t>Ratchet</t>
        </is>
      </c>
      <c r="C478" s="9" t="inlineStr">
        <is>
          <t>Stochastic scalp with give-back trail exit</t>
        </is>
      </c>
      <c r="D478" s="9" t="inlineStr">
        <is>
          <t>Short</t>
        </is>
      </c>
      <c r="E478" s="10" t="n">
        <v>46097.82638888889</v>
      </c>
      <c r="F478" s="10" t="n">
        <v>46097.83333333334</v>
      </c>
      <c r="G478" s="11" t="n">
        <v>-9.550000000000001</v>
      </c>
      <c r="H478" s="11">
        <f>H477+G478</f>
        <v/>
      </c>
    </row>
    <row r="479">
      <c r="A479" s="9" t="n">
        <v>475</v>
      </c>
      <c r="B479" s="9" t="inlineStr">
        <is>
          <t>Meridian</t>
        </is>
      </c>
      <c r="C479" s="9" t="inlineStr">
        <is>
          <t>21/50 MA cross, 250-period confirm filter, VWAP</t>
        </is>
      </c>
      <c r="D479" s="9" t="inlineStr">
        <is>
          <t>Short</t>
        </is>
      </c>
      <c r="E479" s="10" t="n">
        <v>46097.71180555555</v>
      </c>
      <c r="F479" s="10" t="n">
        <v>46097.86458333334</v>
      </c>
      <c r="G479" s="11" t="n">
        <v>-15.76</v>
      </c>
      <c r="H479" s="11">
        <f>H478+G479</f>
        <v/>
      </c>
    </row>
    <row r="480">
      <c r="A480" s="9" t="n">
        <v>476</v>
      </c>
      <c r="B480" s="9" t="inlineStr">
        <is>
          <t>Vanguard_M15</t>
        </is>
      </c>
      <c r="C480" s="9" t="inlineStr">
        <is>
          <t>Trendline breakout (fractal swing line) + VWAP/S-R distance gate - M15 chart</t>
        </is>
      </c>
      <c r="D480" s="9" t="inlineStr">
        <is>
          <t>Short</t>
        </is>
      </c>
      <c r="E480" s="10" t="n">
        <v>46092.36458333334</v>
      </c>
      <c r="F480" s="10" t="n">
        <v>46098.05208333334</v>
      </c>
      <c r="G480" s="11" t="n">
        <v>185.13</v>
      </c>
      <c r="H480" s="11">
        <f>H479+G480</f>
        <v/>
      </c>
    </row>
    <row r="481">
      <c r="A481" s="9" t="n">
        <v>477</v>
      </c>
      <c r="B481" s="9" t="inlineStr">
        <is>
          <t>Vanguard_M5</t>
        </is>
      </c>
      <c r="C481" s="9" t="inlineStr">
        <is>
          <t>Trendline breakout (fractal swing line) + VWAP/S-R distance gate</t>
        </is>
      </c>
      <c r="D481" s="9" t="inlineStr">
        <is>
          <t>Short</t>
        </is>
      </c>
      <c r="E481" s="10" t="n">
        <v>46092.36458333334</v>
      </c>
      <c r="F481" s="10" t="n">
        <v>46098.05902777778</v>
      </c>
      <c r="G481" s="11" t="n">
        <v>185.14</v>
      </c>
      <c r="H481" s="11">
        <f>H480+G481</f>
        <v/>
      </c>
    </row>
    <row r="482">
      <c r="A482" s="9" t="n">
        <v>478</v>
      </c>
      <c r="B482" s="9" t="inlineStr">
        <is>
          <t>Meridian</t>
        </is>
      </c>
      <c r="C482" s="9" t="inlineStr">
        <is>
          <t>21/50 MA cross, 250-period confirm filter, VWAP</t>
        </is>
      </c>
      <c r="D482" s="9" t="inlineStr">
        <is>
          <t>Long</t>
        </is>
      </c>
      <c r="E482" s="10" t="n">
        <v>46098.06597222222</v>
      </c>
      <c r="F482" s="10" t="n">
        <v>46098.08680555555</v>
      </c>
      <c r="G482" s="11" t="n">
        <v>-9.970000000000001</v>
      </c>
      <c r="H482" s="11">
        <f>H481+G482</f>
        <v/>
      </c>
    </row>
    <row r="483">
      <c r="A483" s="9" t="n">
        <v>479</v>
      </c>
      <c r="B483" s="9" t="inlineStr">
        <is>
          <t>Ratchet</t>
        </is>
      </c>
      <c r="C483" s="9" t="inlineStr">
        <is>
          <t>Stochastic scalp with give-back trail exit</t>
        </is>
      </c>
      <c r="D483" s="9" t="inlineStr">
        <is>
          <t>Short</t>
        </is>
      </c>
      <c r="E483" s="10" t="n">
        <v>46098.11805555555</v>
      </c>
      <c r="F483" s="10" t="n">
        <v>46098.12847222222</v>
      </c>
      <c r="G483" s="11" t="n">
        <v>-8.880000000000001</v>
      </c>
      <c r="H483" s="11">
        <f>H482+G483</f>
        <v/>
      </c>
    </row>
    <row r="484">
      <c r="A484" s="9" t="n">
        <v>480</v>
      </c>
      <c r="B484" s="9" t="inlineStr">
        <is>
          <t>Meridian</t>
        </is>
      </c>
      <c r="C484" s="9" t="inlineStr">
        <is>
          <t>21/50 MA cross, 250-period confirm filter, VWAP</t>
        </is>
      </c>
      <c r="D484" s="9" t="inlineStr">
        <is>
          <t>Short</t>
        </is>
      </c>
      <c r="E484" s="10" t="n">
        <v>46098.10763888889</v>
      </c>
      <c r="F484" s="10" t="n">
        <v>46098.13541666666</v>
      </c>
      <c r="G484" s="11" t="n">
        <v>-11.47</v>
      </c>
      <c r="H484" s="11">
        <f>H483+G484</f>
        <v/>
      </c>
    </row>
    <row r="485">
      <c r="A485" s="9" t="n">
        <v>481</v>
      </c>
      <c r="B485" s="9" t="inlineStr">
        <is>
          <t>Meridian</t>
        </is>
      </c>
      <c r="C485" s="9" t="inlineStr">
        <is>
          <t>21/50 MA cross, 250-period confirm filter, VWAP</t>
        </is>
      </c>
      <c r="D485" s="9" t="inlineStr">
        <is>
          <t>Long</t>
        </is>
      </c>
      <c r="E485" s="10" t="n">
        <v>46098.14583333334</v>
      </c>
      <c r="F485" s="10" t="n">
        <v>46098.34722222222</v>
      </c>
      <c r="G485" s="11" t="n">
        <v>-1.48</v>
      </c>
      <c r="H485" s="11">
        <f>H484+G485</f>
        <v/>
      </c>
    </row>
    <row r="486">
      <c r="A486" s="9" t="n">
        <v>482</v>
      </c>
      <c r="B486" s="9" t="inlineStr">
        <is>
          <t>Meridian</t>
        </is>
      </c>
      <c r="C486" s="9" t="inlineStr">
        <is>
          <t>21/50 MA cross, 250-period confirm filter, VWAP</t>
        </is>
      </c>
      <c r="D486" s="9" t="inlineStr">
        <is>
          <t>Long</t>
        </is>
      </c>
      <c r="E486" s="10" t="n">
        <v>46098.45833333334</v>
      </c>
      <c r="F486" s="10" t="n">
        <v>46098.46527777778</v>
      </c>
      <c r="G486" s="11" t="n">
        <v>-6.39</v>
      </c>
      <c r="H486" s="11">
        <f>H485+G486</f>
        <v/>
      </c>
    </row>
    <row r="487">
      <c r="A487" s="9" t="n">
        <v>483</v>
      </c>
      <c r="B487" s="9" t="inlineStr">
        <is>
          <t>Vanguard_M5</t>
        </is>
      </c>
      <c r="C487" s="9" t="inlineStr">
        <is>
          <t>Trendline breakout (fractal swing line) + VWAP/S-R distance gate</t>
        </is>
      </c>
      <c r="D487" s="9" t="inlineStr">
        <is>
          <t>Long</t>
        </is>
      </c>
      <c r="E487" s="10" t="n">
        <v>46098.0625</v>
      </c>
      <c r="F487" s="10" t="n">
        <v>46098.52777777778</v>
      </c>
      <c r="G487" s="11" t="n">
        <v>-16</v>
      </c>
      <c r="H487" s="11">
        <f>H486+G487</f>
        <v/>
      </c>
    </row>
    <row r="488">
      <c r="A488" s="9" t="n">
        <v>484</v>
      </c>
      <c r="B488" s="9" t="inlineStr">
        <is>
          <t>Ratchet</t>
        </is>
      </c>
      <c r="C488" s="9" t="inlineStr">
        <is>
          <t>Stochastic scalp with give-back trail exit</t>
        </is>
      </c>
      <c r="D488" s="9" t="inlineStr">
        <is>
          <t>Short</t>
        </is>
      </c>
      <c r="E488" s="10" t="n">
        <v>46098.53472222222</v>
      </c>
      <c r="F488" s="10" t="n">
        <v>46098.55208333334</v>
      </c>
      <c r="G488" s="11" t="n">
        <v>-9.56</v>
      </c>
      <c r="H488" s="11">
        <f>H487+G488</f>
        <v/>
      </c>
    </row>
    <row r="489">
      <c r="A489" s="9" t="n">
        <v>485</v>
      </c>
      <c r="B489" s="9" t="inlineStr">
        <is>
          <t>MSG</t>
        </is>
      </c>
      <c r="C489" s="9" t="inlineStr">
        <is>
          <t>Session-range breakout + Fibonacci retracement-zone entry</t>
        </is>
      </c>
      <c r="D489" s="9" t="inlineStr">
        <is>
          <t>Short</t>
        </is>
      </c>
      <c r="E489" s="10" t="n">
        <v>46098.57361111111</v>
      </c>
      <c r="F489" s="10" t="n">
        <v>46098.60555555556</v>
      </c>
      <c r="G489" s="11" t="n">
        <v>-36.76</v>
      </c>
      <c r="H489" s="11">
        <f>H488+G489</f>
        <v/>
      </c>
    </row>
    <row r="490">
      <c r="A490" s="9" t="n">
        <v>486</v>
      </c>
      <c r="B490" s="9" t="inlineStr">
        <is>
          <t>Meridian</t>
        </is>
      </c>
      <c r="C490" s="9" t="inlineStr">
        <is>
          <t>21/50 MA cross, 250-period confirm filter, VWAP</t>
        </is>
      </c>
      <c r="D490" s="9" t="inlineStr">
        <is>
          <t>Long</t>
        </is>
      </c>
      <c r="E490" s="10" t="n">
        <v>46098.62847222222</v>
      </c>
      <c r="F490" s="10" t="n">
        <v>46098.6875</v>
      </c>
      <c r="G490" s="11" t="n">
        <v>-12</v>
      </c>
      <c r="H490" s="11">
        <f>H489+G490</f>
        <v/>
      </c>
    </row>
    <row r="491">
      <c r="A491" s="9" t="n">
        <v>487</v>
      </c>
      <c r="B491" s="9" t="inlineStr">
        <is>
          <t>Vanguard_M15</t>
        </is>
      </c>
      <c r="C491" s="9" t="inlineStr">
        <is>
          <t>Trendline breakout (fractal swing line) + VWAP/S-R distance gate - M15 chart</t>
        </is>
      </c>
      <c r="D491" s="9" t="inlineStr">
        <is>
          <t>Long</t>
        </is>
      </c>
      <c r="E491" s="10" t="n">
        <v>46098.0625</v>
      </c>
      <c r="F491" s="10" t="n">
        <v>46098.72916666666</v>
      </c>
      <c r="G491" s="11" t="n">
        <v>-26.76</v>
      </c>
      <c r="H491" s="11">
        <f>H490+G491</f>
        <v/>
      </c>
    </row>
    <row r="492">
      <c r="A492" s="9" t="n">
        <v>488</v>
      </c>
      <c r="B492" s="9" t="inlineStr">
        <is>
          <t>Aurelius_M5</t>
        </is>
      </c>
      <c r="C492" s="9" t="inlineStr">
        <is>
          <t>MA alignment (EMA21&gt;EMA50&gt;SMA250&gt;SMMA500 vs EMA2400 trend filter)</t>
        </is>
      </c>
      <c r="D492" s="9" t="inlineStr">
        <is>
          <t>Short</t>
        </is>
      </c>
      <c r="E492" s="10" t="n">
        <v>46098.73611111111</v>
      </c>
      <c r="F492" s="10" t="n">
        <v>46098.76041666666</v>
      </c>
      <c r="G492" s="11" t="n">
        <v>-20.47</v>
      </c>
      <c r="H492" s="11">
        <f>H491+G492</f>
        <v/>
      </c>
    </row>
    <row r="493">
      <c r="A493" s="9" t="n">
        <v>489</v>
      </c>
      <c r="B493" s="9" t="inlineStr">
        <is>
          <t>Ratchet</t>
        </is>
      </c>
      <c r="C493" s="9" t="inlineStr">
        <is>
          <t>Stochastic scalp with give-back trail exit</t>
        </is>
      </c>
      <c r="D493" s="9" t="inlineStr">
        <is>
          <t>Short</t>
        </is>
      </c>
      <c r="E493" s="10" t="n">
        <v>46098.89236111111</v>
      </c>
      <c r="F493" s="10" t="n">
        <v>46098.89930555555</v>
      </c>
      <c r="G493" s="11" t="n">
        <v>-0</v>
      </c>
      <c r="H493" s="11">
        <f>H492+G493</f>
        <v/>
      </c>
    </row>
    <row r="494">
      <c r="A494" s="9" t="n">
        <v>490</v>
      </c>
      <c r="B494" s="9" t="inlineStr">
        <is>
          <t>Meridian</t>
        </is>
      </c>
      <c r="C494" s="9" t="inlineStr">
        <is>
          <t>21/50 MA cross, 250-period confirm filter, VWAP</t>
        </is>
      </c>
      <c r="D494" s="9" t="inlineStr">
        <is>
          <t>Short</t>
        </is>
      </c>
      <c r="E494" s="10" t="n">
        <v>46098.70833333334</v>
      </c>
      <c r="F494" s="10" t="n">
        <v>46099.09027777778</v>
      </c>
      <c r="G494" s="11" t="n">
        <v>-4.98</v>
      </c>
      <c r="H494" s="11">
        <f>H493+G494</f>
        <v/>
      </c>
    </row>
    <row r="495">
      <c r="A495" s="9" t="n">
        <v>491</v>
      </c>
      <c r="B495" s="9" t="inlineStr">
        <is>
          <t>Ratchet</t>
        </is>
      </c>
      <c r="C495" s="9" t="inlineStr">
        <is>
          <t>Stochastic scalp with give-back trail exit</t>
        </is>
      </c>
      <c r="D495" s="9" t="inlineStr">
        <is>
          <t>Short</t>
        </is>
      </c>
      <c r="E495" s="10" t="n">
        <v>46099.17013888889</v>
      </c>
      <c r="F495" s="10" t="n">
        <v>46099.18055555555</v>
      </c>
      <c r="G495" s="11" t="n">
        <v>-8.619999999999999</v>
      </c>
      <c r="H495" s="11">
        <f>H494+G495</f>
        <v/>
      </c>
    </row>
    <row r="496">
      <c r="A496" s="9" t="n">
        <v>492</v>
      </c>
      <c r="B496" s="9" t="inlineStr">
        <is>
          <t>Ratchet</t>
        </is>
      </c>
      <c r="C496" s="9" t="inlineStr">
        <is>
          <t>Stochastic scalp with give-back trail exit</t>
        </is>
      </c>
      <c r="D496" s="9" t="inlineStr">
        <is>
          <t>Short</t>
        </is>
      </c>
      <c r="E496" s="10" t="n">
        <v>46099.23611111111</v>
      </c>
      <c r="F496" s="10" t="n">
        <v>46099.29861111111</v>
      </c>
      <c r="G496" s="11" t="n">
        <v>3.72</v>
      </c>
      <c r="H496" s="11">
        <f>H495+G496</f>
        <v/>
      </c>
    </row>
    <row r="497">
      <c r="A497" s="9" t="n">
        <v>493</v>
      </c>
      <c r="B497" s="9" t="inlineStr">
        <is>
          <t>Aurelius_M5</t>
        </is>
      </c>
      <c r="C497" s="9" t="inlineStr">
        <is>
          <t>MA alignment (EMA21&gt;EMA50&gt;SMA250&gt;SMMA500 vs EMA2400 trend filter)</t>
        </is>
      </c>
      <c r="D497" s="9" t="inlineStr">
        <is>
          <t>Short</t>
        </is>
      </c>
      <c r="E497" s="10" t="n">
        <v>46099.20833333334</v>
      </c>
      <c r="F497" s="10" t="n">
        <v>46099.32291666666</v>
      </c>
      <c r="G497" s="11" t="n">
        <v>-10.55</v>
      </c>
      <c r="H497" s="11">
        <f>H496+G497</f>
        <v/>
      </c>
    </row>
    <row r="498">
      <c r="A498" s="9" t="n">
        <v>494</v>
      </c>
      <c r="B498" s="9" t="inlineStr">
        <is>
          <t>Meridian</t>
        </is>
      </c>
      <c r="C498" s="9" t="inlineStr">
        <is>
          <t>21/50 MA cross, 250-period confirm filter, VWAP</t>
        </is>
      </c>
      <c r="D498" s="9" t="inlineStr">
        <is>
          <t>Short</t>
        </is>
      </c>
      <c r="E498" s="10" t="n">
        <v>46099.17013888889</v>
      </c>
      <c r="F498" s="10" t="n">
        <v>46099.34027777778</v>
      </c>
      <c r="G498" s="11" t="n">
        <v>-10.8</v>
      </c>
      <c r="H498" s="11">
        <f>H497+G498</f>
        <v/>
      </c>
    </row>
    <row r="499">
      <c r="A499" s="9" t="n">
        <v>495</v>
      </c>
      <c r="B499" s="9" t="inlineStr">
        <is>
          <t>Ratchet</t>
        </is>
      </c>
      <c r="C499" s="9" t="inlineStr">
        <is>
          <t>Stochastic scalp with give-back trail exit</t>
        </is>
      </c>
      <c r="D499" s="9" t="inlineStr">
        <is>
          <t>Short</t>
        </is>
      </c>
      <c r="E499" s="10" t="n">
        <v>46099.51736111111</v>
      </c>
      <c r="F499" s="10" t="n">
        <v>46099.52083333334</v>
      </c>
      <c r="G499" s="11" t="n">
        <v>1.87</v>
      </c>
      <c r="H499" s="11">
        <f>H498+G499</f>
        <v/>
      </c>
    </row>
    <row r="500">
      <c r="A500" s="9" t="n">
        <v>496</v>
      </c>
      <c r="B500" s="9" t="inlineStr">
        <is>
          <t>Ratchet</t>
        </is>
      </c>
      <c r="C500" s="9" t="inlineStr">
        <is>
          <t>Stochastic scalp with give-back trail exit</t>
        </is>
      </c>
      <c r="D500" s="9" t="inlineStr">
        <is>
          <t>Short</t>
        </is>
      </c>
      <c r="E500" s="10" t="n">
        <v>46099.65972222222</v>
      </c>
      <c r="F500" s="10" t="n">
        <v>46099.69791666666</v>
      </c>
      <c r="G500" s="11" t="n">
        <v>3.3</v>
      </c>
      <c r="H500" s="11">
        <f>H499+G500</f>
        <v/>
      </c>
    </row>
    <row r="501">
      <c r="A501" s="9" t="n">
        <v>497</v>
      </c>
      <c r="B501" s="9" t="inlineStr">
        <is>
          <t>Aurelius_M5</t>
        </is>
      </c>
      <c r="C501" s="9" t="inlineStr">
        <is>
          <t>MA alignment (EMA21&gt;EMA50&gt;SMA250&gt;SMMA500 vs EMA2400 trend filter)</t>
        </is>
      </c>
      <c r="D501" s="9" t="inlineStr">
        <is>
          <t>Short</t>
        </is>
      </c>
      <c r="E501" s="10" t="n">
        <v>46099.52777777778</v>
      </c>
      <c r="F501" s="10" t="n">
        <v>46099.80208333334</v>
      </c>
      <c r="G501" s="11" t="n">
        <v>89.92</v>
      </c>
      <c r="H501" s="11">
        <f>H500+G501</f>
        <v/>
      </c>
    </row>
    <row r="502">
      <c r="A502" s="9" t="n">
        <v>498</v>
      </c>
      <c r="B502" s="9" t="inlineStr">
        <is>
          <t>Meridian</t>
        </is>
      </c>
      <c r="C502" s="9" t="inlineStr">
        <is>
          <t>21/50 MA cross, 250-period confirm filter, VWAP</t>
        </is>
      </c>
      <c r="D502" s="9" t="inlineStr">
        <is>
          <t>Short</t>
        </is>
      </c>
      <c r="E502" s="10" t="n">
        <v>46099.43055555555</v>
      </c>
      <c r="F502" s="10" t="n">
        <v>46099.82638888889</v>
      </c>
      <c r="G502" s="11" t="n">
        <v>98.97</v>
      </c>
      <c r="H502" s="11">
        <f>H501+G502</f>
        <v/>
      </c>
    </row>
    <row r="503">
      <c r="A503" s="9" t="n">
        <v>499</v>
      </c>
      <c r="B503" s="9" t="inlineStr">
        <is>
          <t>Aurelius_M15</t>
        </is>
      </c>
      <c r="C503" s="9" t="inlineStr">
        <is>
          <t>MA alignment (EMA21&gt;EMA50&gt;SMA250&gt;SMMA500 vs EMA2400 trend filter) - M15 chart</t>
        </is>
      </c>
      <c r="D503" s="9" t="inlineStr">
        <is>
          <t>Short</t>
        </is>
      </c>
      <c r="E503" s="10" t="n">
        <v>46098.6875</v>
      </c>
      <c r="F503" s="10" t="n">
        <v>46100.10416666666</v>
      </c>
      <c r="G503" s="11" t="n">
        <v>165.87</v>
      </c>
      <c r="H503" s="11">
        <f>H502+G503</f>
        <v/>
      </c>
    </row>
    <row r="504">
      <c r="A504" s="9" t="n">
        <v>500</v>
      </c>
      <c r="B504" s="9" t="inlineStr">
        <is>
          <t>Meridian</t>
        </is>
      </c>
      <c r="C504" s="9" t="inlineStr">
        <is>
          <t>21/50 MA cross, 250-period confirm filter, VWAP</t>
        </is>
      </c>
      <c r="D504" s="9" t="inlineStr">
        <is>
          <t>Short</t>
        </is>
      </c>
      <c r="E504" s="10" t="n">
        <v>46099.85069444445</v>
      </c>
      <c r="F504" s="10" t="n">
        <v>46100.15277777778</v>
      </c>
      <c r="G504" s="11" t="n">
        <v>18.49</v>
      </c>
      <c r="H504" s="11">
        <f>H503+G504</f>
        <v/>
      </c>
    </row>
    <row r="505">
      <c r="A505" s="9" t="n">
        <v>501</v>
      </c>
      <c r="B505" s="9" t="inlineStr">
        <is>
          <t>Ratchet</t>
        </is>
      </c>
      <c r="C505" s="9" t="inlineStr">
        <is>
          <t>Stochastic scalp with give-back trail exit</t>
        </is>
      </c>
      <c r="D505" s="9" t="inlineStr">
        <is>
          <t>Short</t>
        </is>
      </c>
      <c r="E505" s="10" t="n">
        <v>46100.34375</v>
      </c>
      <c r="F505" s="10" t="n">
        <v>46100.62152777778</v>
      </c>
      <c r="G505" s="11" t="n">
        <v>259.36</v>
      </c>
      <c r="H505" s="11">
        <f>H504+G505</f>
        <v/>
      </c>
    </row>
    <row r="506">
      <c r="A506" s="9" t="n">
        <v>502</v>
      </c>
      <c r="B506" s="9" t="inlineStr">
        <is>
          <t>Ratchet</t>
        </is>
      </c>
      <c r="C506" s="9" t="inlineStr">
        <is>
          <t>Stochastic scalp with give-back trail exit</t>
        </is>
      </c>
      <c r="D506" s="9" t="inlineStr">
        <is>
          <t>Short</t>
        </is>
      </c>
      <c r="E506" s="10" t="n">
        <v>46100.79166666666</v>
      </c>
      <c r="F506" s="10" t="n">
        <v>46100.79861111111</v>
      </c>
      <c r="G506" s="11" t="n">
        <v>-0</v>
      </c>
      <c r="H506" s="11">
        <f>H505+G506</f>
        <v/>
      </c>
    </row>
    <row r="507">
      <c r="A507" s="9" t="n">
        <v>503</v>
      </c>
      <c r="B507" s="9" t="inlineStr">
        <is>
          <t>Meridian</t>
        </is>
      </c>
      <c r="C507" s="9" t="inlineStr">
        <is>
          <t>21/50 MA cross, 250-period confirm filter, VWAP</t>
        </is>
      </c>
      <c r="D507" s="9" t="inlineStr">
        <is>
          <t>Short</t>
        </is>
      </c>
      <c r="E507" s="10" t="n">
        <v>46100.31597222222</v>
      </c>
      <c r="F507" s="10" t="n">
        <v>46100.875</v>
      </c>
      <c r="G507" s="11" t="n">
        <v>217.5</v>
      </c>
      <c r="H507" s="11">
        <f>H506+G507</f>
        <v/>
      </c>
    </row>
    <row r="508">
      <c r="A508" s="9" t="n">
        <v>504</v>
      </c>
      <c r="B508" s="9" t="inlineStr">
        <is>
          <t>Aurelius_M5</t>
        </is>
      </c>
      <c r="C508" s="9" t="inlineStr">
        <is>
          <t>MA alignment (EMA21&gt;EMA50&gt;SMA250&gt;SMMA500 vs EMA2400 trend filter)</t>
        </is>
      </c>
      <c r="D508" s="9" t="inlineStr">
        <is>
          <t>Short</t>
        </is>
      </c>
      <c r="E508" s="10" t="n">
        <v>46100.32291666666</v>
      </c>
      <c r="F508" s="10" t="n">
        <v>46100.875</v>
      </c>
      <c r="G508" s="11" t="n">
        <v>210.45</v>
      </c>
      <c r="H508" s="11">
        <f>H507+G508</f>
        <v/>
      </c>
    </row>
    <row r="509">
      <c r="A509" s="9" t="n">
        <v>505</v>
      </c>
      <c r="B509" s="9" t="inlineStr">
        <is>
          <t>Aurelius_M15</t>
        </is>
      </c>
      <c r="C509" s="9" t="inlineStr">
        <is>
          <t>MA alignment (EMA21&gt;EMA50&gt;SMA250&gt;SMMA500 vs EMA2400 trend filter) - M15 chart</t>
        </is>
      </c>
      <c r="D509" s="9" t="inlineStr">
        <is>
          <t>Short</t>
        </is>
      </c>
      <c r="E509" s="10" t="n">
        <v>46100.36458333334</v>
      </c>
      <c r="F509" s="10" t="n">
        <v>46101.21875</v>
      </c>
      <c r="G509" s="11" t="n">
        <v>68.70999999999999</v>
      </c>
      <c r="H509" s="11">
        <f>H508+G509</f>
        <v/>
      </c>
    </row>
    <row r="510">
      <c r="A510" s="9" t="n">
        <v>506</v>
      </c>
      <c r="B510" s="9" t="inlineStr">
        <is>
          <t>Meridian</t>
        </is>
      </c>
      <c r="C510" s="9" t="inlineStr">
        <is>
          <t>21/50 MA cross, 250-period confirm filter, VWAP</t>
        </is>
      </c>
      <c r="D510" s="9" t="inlineStr">
        <is>
          <t>Long</t>
        </is>
      </c>
      <c r="E510" s="10" t="n">
        <v>46101.42708333334</v>
      </c>
      <c r="F510" s="10" t="n">
        <v>46101.44791666666</v>
      </c>
      <c r="G510" s="11" t="n">
        <v>-19.31</v>
      </c>
      <c r="H510" s="11">
        <f>H509+G510</f>
        <v/>
      </c>
    </row>
    <row r="511">
      <c r="A511" s="9" t="n">
        <v>507</v>
      </c>
      <c r="B511" s="9" t="inlineStr">
        <is>
          <t>Vanguard_M5</t>
        </is>
      </c>
      <c r="C511" s="9" t="inlineStr">
        <is>
          <t>Trendline breakout (fractal swing line) + VWAP/S-R distance gate</t>
        </is>
      </c>
      <c r="D511" s="9" t="inlineStr">
        <is>
          <t>Short</t>
        </is>
      </c>
      <c r="E511" s="10" t="n">
        <v>46099.53819444445</v>
      </c>
      <c r="F511" s="10" t="n">
        <v>46101.58680555555</v>
      </c>
      <c r="G511" s="11" t="n">
        <v>284.6</v>
      </c>
      <c r="H511" s="11">
        <f>H510+G511</f>
        <v/>
      </c>
    </row>
    <row r="512">
      <c r="A512" s="9" t="n">
        <v>508</v>
      </c>
      <c r="B512" s="9" t="inlineStr">
        <is>
          <t>Vanguard_M5</t>
        </is>
      </c>
      <c r="C512" s="9" t="inlineStr">
        <is>
          <t>Trendline breakout (fractal swing line) + VWAP/S-R distance gate</t>
        </is>
      </c>
      <c r="D512" s="9" t="inlineStr">
        <is>
          <t>Long</t>
        </is>
      </c>
      <c r="E512" s="10" t="n">
        <v>46101.59027777778</v>
      </c>
      <c r="F512" s="10" t="n">
        <v>46101.64583333334</v>
      </c>
      <c r="G512" s="11" t="n">
        <v>-39.72</v>
      </c>
      <c r="H512" s="11">
        <f>H511+G512</f>
        <v/>
      </c>
    </row>
    <row r="513">
      <c r="A513" s="9" t="n">
        <v>509</v>
      </c>
      <c r="B513" s="9" t="inlineStr">
        <is>
          <t>Ratchet</t>
        </is>
      </c>
      <c r="C513" s="9" t="inlineStr">
        <is>
          <t>Stochastic scalp with give-back trail exit</t>
        </is>
      </c>
      <c r="D513" s="9" t="inlineStr">
        <is>
          <t>Short</t>
        </is>
      </c>
      <c r="E513" s="10" t="n">
        <v>46101.64236111111</v>
      </c>
      <c r="F513" s="10" t="n">
        <v>46101.64930555555</v>
      </c>
      <c r="G513" s="11" t="n">
        <v>5.06</v>
      </c>
      <c r="H513" s="11">
        <f>H512+G513</f>
        <v/>
      </c>
    </row>
    <row r="514">
      <c r="A514" s="9" t="n">
        <v>510</v>
      </c>
      <c r="B514" s="9" t="inlineStr">
        <is>
          <t>Vanguard_M15</t>
        </is>
      </c>
      <c r="C514" s="9" t="inlineStr">
        <is>
          <t>Trendline breakout (fractal swing line) + VWAP/S-R distance gate - M15 chart</t>
        </is>
      </c>
      <c r="D514" s="9" t="inlineStr">
        <is>
          <t>Long</t>
        </is>
      </c>
      <c r="E514" s="10" t="n">
        <v>46101.59375</v>
      </c>
      <c r="F514" s="10" t="n">
        <v>46101.65625</v>
      </c>
      <c r="G514" s="11" t="n">
        <v>-53.96</v>
      </c>
      <c r="H514" s="11">
        <f>H513+G514</f>
        <v/>
      </c>
    </row>
    <row r="515">
      <c r="A515" s="9" t="n">
        <v>511</v>
      </c>
      <c r="B515" s="9" t="inlineStr">
        <is>
          <t>Aurelius_M5</t>
        </is>
      </c>
      <c r="C515" s="9" t="inlineStr">
        <is>
          <t>MA alignment (EMA21&gt;EMA50&gt;SMA250&gt;SMMA500 vs EMA2400 trend filter)</t>
        </is>
      </c>
      <c r="D515" s="9" t="inlineStr">
        <is>
          <t>Short</t>
        </is>
      </c>
      <c r="E515" s="10" t="n">
        <v>46101.66666666666</v>
      </c>
      <c r="F515" s="10" t="n">
        <v>46101.87847222222</v>
      </c>
      <c r="G515" s="11" t="n">
        <v>115.7</v>
      </c>
      <c r="H515" s="11">
        <f>H514+G515</f>
        <v/>
      </c>
    </row>
    <row r="516">
      <c r="A516" s="9" t="n">
        <v>512</v>
      </c>
      <c r="B516" s="9" t="inlineStr">
        <is>
          <t>Aurelius_M15</t>
        </is>
      </c>
      <c r="C516" s="9" t="inlineStr">
        <is>
          <t>MA alignment (EMA21&gt;EMA50&gt;SMA250&gt;SMMA500 vs EMA2400 trend filter) - M15 chart</t>
        </is>
      </c>
      <c r="D516" s="9" t="inlineStr">
        <is>
          <t>Short</t>
        </is>
      </c>
      <c r="E516" s="10" t="n">
        <v>46101.63541666666</v>
      </c>
      <c r="F516" s="10" t="n">
        <v>46101.88541666666</v>
      </c>
      <c r="G516" s="11" t="n">
        <v>161.29</v>
      </c>
      <c r="H516" s="11">
        <f>H515+G516</f>
        <v/>
      </c>
    </row>
    <row r="517">
      <c r="A517" s="9" t="n">
        <v>513</v>
      </c>
      <c r="B517" s="9" t="inlineStr">
        <is>
          <t>MSG</t>
        </is>
      </c>
      <c r="C517" s="9" t="inlineStr">
        <is>
          <t>Session-range breakout + Fibonacci retracement-zone entry</t>
        </is>
      </c>
      <c r="D517" s="9" t="inlineStr">
        <is>
          <t>Short</t>
        </is>
      </c>
      <c r="E517" s="10" t="n">
        <v>46100.675</v>
      </c>
      <c r="F517" s="10" t="n">
        <v>46104</v>
      </c>
      <c r="G517" s="11" t="n">
        <v>468.12</v>
      </c>
      <c r="H517" s="11">
        <f>H516+G517</f>
        <v/>
      </c>
    </row>
    <row r="518">
      <c r="A518" s="9" t="n">
        <v>514</v>
      </c>
      <c r="B518" s="9" t="inlineStr">
        <is>
          <t>Ratchet</t>
        </is>
      </c>
      <c r="C518" s="9" t="inlineStr">
        <is>
          <t>Stochastic scalp with give-back trail exit</t>
        </is>
      </c>
      <c r="D518" s="9" t="inlineStr">
        <is>
          <t>Short</t>
        </is>
      </c>
      <c r="E518" s="10" t="n">
        <v>46104.04861111111</v>
      </c>
      <c r="F518" s="10" t="n">
        <v>46104.06944444445</v>
      </c>
      <c r="G518" s="11" t="n">
        <v>4.84</v>
      </c>
      <c r="H518" s="11">
        <f>H517+G518</f>
        <v/>
      </c>
    </row>
    <row r="519">
      <c r="A519" s="9" t="n">
        <v>515</v>
      </c>
      <c r="B519" s="9" t="inlineStr">
        <is>
          <t>Ratchet</t>
        </is>
      </c>
      <c r="C519" s="9" t="inlineStr">
        <is>
          <t>Stochastic scalp with give-back trail exit</t>
        </is>
      </c>
      <c r="D519" s="9" t="inlineStr">
        <is>
          <t>Short</t>
        </is>
      </c>
      <c r="E519" s="10" t="n">
        <v>46104.1875</v>
      </c>
      <c r="F519" s="10" t="n">
        <v>46104.33333333334</v>
      </c>
      <c r="G519" s="11" t="n">
        <v>88.92</v>
      </c>
      <c r="H519" s="11">
        <f>H518+G519</f>
        <v/>
      </c>
    </row>
    <row r="520">
      <c r="A520" s="9" t="n">
        <v>516</v>
      </c>
      <c r="B520" s="9" t="inlineStr">
        <is>
          <t>Meridian</t>
        </is>
      </c>
      <c r="C520" s="9" t="inlineStr">
        <is>
          <t>21/50 MA cross, 250-period confirm filter, VWAP</t>
        </is>
      </c>
      <c r="D520" s="9" t="inlineStr">
        <is>
          <t>Long</t>
        </is>
      </c>
      <c r="E520" s="10" t="n">
        <v>46104.83333333334</v>
      </c>
      <c r="F520" s="10" t="n">
        <v>46104.92013888889</v>
      </c>
      <c r="G520" s="11" t="n">
        <v>-33.79</v>
      </c>
      <c r="H520" s="11">
        <f>H519+G520</f>
        <v/>
      </c>
    </row>
    <row r="521">
      <c r="A521" s="9" t="n">
        <v>517</v>
      </c>
      <c r="B521" s="9" t="inlineStr">
        <is>
          <t>Meridian</t>
        </is>
      </c>
      <c r="C521" s="9" t="inlineStr">
        <is>
          <t>21/50 MA cross, 250-period confirm filter, VWAP</t>
        </is>
      </c>
      <c r="D521" s="9" t="inlineStr">
        <is>
          <t>Long</t>
        </is>
      </c>
      <c r="E521" s="10" t="n">
        <v>46105.04513888889</v>
      </c>
      <c r="F521" s="10" t="n">
        <v>46105.10069444445</v>
      </c>
      <c r="G521" s="11" t="n">
        <v>-32.38</v>
      </c>
      <c r="H521" s="11">
        <f>H520+G521</f>
        <v/>
      </c>
    </row>
    <row r="522">
      <c r="A522" s="9" t="n">
        <v>518</v>
      </c>
      <c r="B522" s="9" t="inlineStr">
        <is>
          <t>Ratchet</t>
        </is>
      </c>
      <c r="C522" s="9" t="inlineStr">
        <is>
          <t>Stochastic scalp with give-back trail exit</t>
        </is>
      </c>
      <c r="D522" s="9" t="inlineStr">
        <is>
          <t>Short</t>
        </is>
      </c>
      <c r="E522" s="10" t="n">
        <v>46105.13541666666</v>
      </c>
      <c r="F522" s="10" t="n">
        <v>46105.15972222222</v>
      </c>
      <c r="G522" s="11" t="n">
        <v>4.84</v>
      </c>
      <c r="H522" s="11">
        <f>H521+G522</f>
        <v/>
      </c>
    </row>
    <row r="523">
      <c r="A523" s="9" t="n">
        <v>519</v>
      </c>
      <c r="B523" s="9" t="inlineStr">
        <is>
          <t>Ratchet</t>
        </is>
      </c>
      <c r="C523" s="9" t="inlineStr">
        <is>
          <t>Stochastic scalp with give-back trail exit</t>
        </is>
      </c>
      <c r="D523" s="9" t="inlineStr">
        <is>
          <t>Short</t>
        </is>
      </c>
      <c r="E523" s="10" t="n">
        <v>46105.23958333334</v>
      </c>
      <c r="F523" s="10" t="n">
        <v>46105.26736111111</v>
      </c>
      <c r="G523" s="11" t="n">
        <v>3.35</v>
      </c>
      <c r="H523" s="11">
        <f>H522+G523</f>
        <v/>
      </c>
    </row>
    <row r="524">
      <c r="A524" s="9" t="n">
        <v>520</v>
      </c>
      <c r="B524" s="9" t="inlineStr">
        <is>
          <t>Vanguard_M15</t>
        </is>
      </c>
      <c r="C524" s="9" t="inlineStr">
        <is>
          <t>Trendline breakout (fractal swing line) + VWAP/S-R distance gate - M15 chart</t>
        </is>
      </c>
      <c r="D524" s="9" t="inlineStr">
        <is>
          <t>Long</t>
        </is>
      </c>
      <c r="E524" s="10" t="n">
        <v>46105.38541666666</v>
      </c>
      <c r="F524" s="10" t="n">
        <v>46105.55208333334</v>
      </c>
      <c r="G524" s="11" t="n">
        <v>-11.78</v>
      </c>
      <c r="H524" s="11">
        <f>H523+G524</f>
        <v/>
      </c>
    </row>
    <row r="525">
      <c r="A525" s="9" t="n">
        <v>521</v>
      </c>
      <c r="B525" s="9" t="inlineStr">
        <is>
          <t>Vanguard_M5</t>
        </is>
      </c>
      <c r="C525" s="9" t="inlineStr">
        <is>
          <t>Trendline breakout (fractal swing line) + VWAP/S-R distance gate</t>
        </is>
      </c>
      <c r="D525" s="9" t="inlineStr">
        <is>
          <t>Long</t>
        </is>
      </c>
      <c r="E525" s="10" t="n">
        <v>46105.38194444445</v>
      </c>
      <c r="F525" s="10" t="n">
        <v>46105.55902777778</v>
      </c>
      <c r="G525" s="11" t="n">
        <v>-2.57</v>
      </c>
      <c r="H525" s="11">
        <f>H524+G525</f>
        <v/>
      </c>
    </row>
    <row r="526">
      <c r="A526" s="9" t="n">
        <v>522</v>
      </c>
      <c r="B526" s="9" t="inlineStr">
        <is>
          <t>Meridian</t>
        </is>
      </c>
      <c r="C526" s="9" t="inlineStr">
        <is>
          <t>21/50 MA cross, 250-period confirm filter, VWAP</t>
        </is>
      </c>
      <c r="D526" s="9" t="inlineStr">
        <is>
          <t>Long</t>
        </is>
      </c>
      <c r="E526" s="10" t="n">
        <v>46105.35069444445</v>
      </c>
      <c r="F526" s="10" t="n">
        <v>46105.61111111111</v>
      </c>
      <c r="G526" s="11" t="n">
        <v>-20.5</v>
      </c>
      <c r="H526" s="11">
        <f>H525+G526</f>
        <v/>
      </c>
    </row>
    <row r="527">
      <c r="A527" s="9" t="n">
        <v>523</v>
      </c>
      <c r="B527" s="9" t="inlineStr">
        <is>
          <t>Ratchet</t>
        </is>
      </c>
      <c r="C527" s="9" t="inlineStr">
        <is>
          <t>Stochastic scalp with give-back trail exit</t>
        </is>
      </c>
      <c r="D527" s="9" t="inlineStr">
        <is>
          <t>Short</t>
        </is>
      </c>
      <c r="E527" s="10" t="n">
        <v>46105.65972222222</v>
      </c>
      <c r="F527" s="10" t="n">
        <v>46105.66319444445</v>
      </c>
      <c r="G527" s="11" t="n">
        <v>-26.9</v>
      </c>
      <c r="H527" s="11">
        <f>H526+G527</f>
        <v/>
      </c>
    </row>
    <row r="528">
      <c r="A528" s="9" t="n">
        <v>524</v>
      </c>
      <c r="B528" s="9" t="inlineStr">
        <is>
          <t>MSG</t>
        </is>
      </c>
      <c r="C528" s="9" t="inlineStr">
        <is>
          <t>Session-range breakout + Fibonacci retracement-zone entry</t>
        </is>
      </c>
      <c r="D528" s="9" t="inlineStr">
        <is>
          <t>Short</t>
        </is>
      </c>
      <c r="E528" s="10" t="n">
        <v>46105.66944444444</v>
      </c>
      <c r="F528" s="10" t="n">
        <v>46105.69583333333</v>
      </c>
      <c r="G528" s="11" t="n">
        <v>-76.69</v>
      </c>
      <c r="H528" s="11">
        <f>H527+G528</f>
        <v/>
      </c>
    </row>
    <row r="529">
      <c r="A529" s="9" t="n">
        <v>525</v>
      </c>
      <c r="B529" s="9" t="inlineStr">
        <is>
          <t>Meridian</t>
        </is>
      </c>
      <c r="C529" s="9" t="inlineStr">
        <is>
          <t>21/50 MA cross, 250-period confirm filter, VWAP</t>
        </is>
      </c>
      <c r="D529" s="9" t="inlineStr">
        <is>
          <t>Long</t>
        </is>
      </c>
      <c r="E529" s="10" t="n">
        <v>46105.70486111111</v>
      </c>
      <c r="F529" s="10" t="n">
        <v>46105.8125</v>
      </c>
      <c r="G529" s="11" t="n">
        <v>-41.28</v>
      </c>
      <c r="H529" s="11">
        <f>H528+G529</f>
        <v/>
      </c>
    </row>
    <row r="530">
      <c r="A530" s="9" t="n">
        <v>526</v>
      </c>
      <c r="B530" s="9" t="inlineStr">
        <is>
          <t>Meridian</t>
        </is>
      </c>
      <c r="C530" s="9" t="inlineStr">
        <is>
          <t>21/50 MA cross, 250-period confirm filter, VWAP</t>
        </is>
      </c>
      <c r="D530" s="9" t="inlineStr">
        <is>
          <t>Short</t>
        </is>
      </c>
      <c r="E530" s="10" t="n">
        <v>46105.81944444445</v>
      </c>
      <c r="F530" s="10" t="n">
        <v>46105.85416666666</v>
      </c>
      <c r="G530" s="11" t="n">
        <v>-28.25</v>
      </c>
      <c r="H530" s="11">
        <f>H529+G530</f>
        <v/>
      </c>
    </row>
    <row r="531">
      <c r="A531" s="9" t="n">
        <v>527</v>
      </c>
      <c r="B531" s="9" t="inlineStr">
        <is>
          <t>Vanguard_M5</t>
        </is>
      </c>
      <c r="C531" s="9" t="inlineStr">
        <is>
          <t>Trendline breakout (fractal swing line) + VWAP/S-R distance gate</t>
        </is>
      </c>
      <c r="D531" s="9" t="inlineStr">
        <is>
          <t>Long</t>
        </is>
      </c>
      <c r="E531" s="10" t="n">
        <v>46105.93055555555</v>
      </c>
      <c r="F531" s="10" t="n">
        <v>46106.06944444445</v>
      </c>
      <c r="G531" s="11" t="n">
        <v>129.82</v>
      </c>
      <c r="H531" s="11">
        <f>H530+G531</f>
        <v/>
      </c>
    </row>
    <row r="532">
      <c r="A532" s="9" t="n">
        <v>528</v>
      </c>
      <c r="B532" s="9" t="inlineStr">
        <is>
          <t>Vanguard_M15</t>
        </is>
      </c>
      <c r="C532" s="9" t="inlineStr">
        <is>
          <t>Trendline breakout (fractal swing line) + VWAP/S-R distance gate - M15 chart</t>
        </is>
      </c>
      <c r="D532" s="9" t="inlineStr">
        <is>
          <t>Long</t>
        </is>
      </c>
      <c r="E532" s="10" t="n">
        <v>46105.9375</v>
      </c>
      <c r="F532" s="10" t="n">
        <v>46106.20833333334</v>
      </c>
      <c r="G532" s="11" t="n">
        <v>120.75</v>
      </c>
      <c r="H532" s="11">
        <f>H531+G532</f>
        <v/>
      </c>
    </row>
    <row r="533">
      <c r="A533" s="9" t="n">
        <v>529</v>
      </c>
      <c r="B533" s="9" t="inlineStr">
        <is>
          <t>Meridian</t>
        </is>
      </c>
      <c r="C533" s="9" t="inlineStr">
        <is>
          <t>21/50 MA cross, 250-period confirm filter, VWAP</t>
        </is>
      </c>
      <c r="D533" s="9" t="inlineStr">
        <is>
          <t>Long</t>
        </is>
      </c>
      <c r="E533" s="10" t="n">
        <v>46105.93402777778</v>
      </c>
      <c r="F533" s="10" t="n">
        <v>46106.33680555555</v>
      </c>
      <c r="G533" s="11" t="n">
        <v>86.48</v>
      </c>
      <c r="H533" s="11">
        <f>H532+G533</f>
        <v/>
      </c>
    </row>
    <row r="534">
      <c r="A534" s="9" t="n">
        <v>530</v>
      </c>
      <c r="B534" s="9" t="inlineStr">
        <is>
          <t>Meridian</t>
        </is>
      </c>
      <c r="C534" s="9" t="inlineStr">
        <is>
          <t>21/50 MA cross, 250-period confirm filter, VWAP</t>
        </is>
      </c>
      <c r="D534" s="9" t="inlineStr">
        <is>
          <t>Long</t>
        </is>
      </c>
      <c r="E534" s="10" t="n">
        <v>46106.44791666666</v>
      </c>
      <c r="F534" s="10" t="n">
        <v>46106.48958333334</v>
      </c>
      <c r="G534" s="11" t="n">
        <v>-19.09</v>
      </c>
      <c r="H534" s="11">
        <f>H533+G534</f>
        <v/>
      </c>
    </row>
    <row r="535">
      <c r="A535" s="9" t="n">
        <v>531</v>
      </c>
      <c r="B535" s="9" t="inlineStr">
        <is>
          <t>Meridian</t>
        </is>
      </c>
      <c r="C535" s="9" t="inlineStr">
        <is>
          <t>21/50 MA cross, 250-period confirm filter, VWAP</t>
        </is>
      </c>
      <c r="D535" s="9" t="inlineStr">
        <is>
          <t>Long</t>
        </is>
      </c>
      <c r="E535" s="10" t="n">
        <v>46106.54513888889</v>
      </c>
      <c r="F535" s="10" t="n">
        <v>46106.60069444445</v>
      </c>
      <c r="G535" s="11" t="n">
        <v>-17.82</v>
      </c>
      <c r="H535" s="11">
        <f>H534+G535</f>
        <v/>
      </c>
    </row>
    <row r="536">
      <c r="A536" s="9" t="n">
        <v>532</v>
      </c>
      <c r="B536" s="9" t="inlineStr">
        <is>
          <t>MSG</t>
        </is>
      </c>
      <c r="C536" s="9" t="inlineStr">
        <is>
          <t>Session-range breakout + Fibonacci retracement-zone entry</t>
        </is>
      </c>
      <c r="D536" s="9" t="inlineStr">
        <is>
          <t>Long</t>
        </is>
      </c>
      <c r="E536" s="10" t="n">
        <v>46106.60069444445</v>
      </c>
      <c r="F536" s="10" t="n">
        <v>46106.60347222222</v>
      </c>
      <c r="G536" s="11" t="n">
        <v>-49.44</v>
      </c>
      <c r="H536" s="11">
        <f>H535+G536</f>
        <v/>
      </c>
    </row>
    <row r="537">
      <c r="A537" s="9" t="n">
        <v>533</v>
      </c>
      <c r="B537" s="9" t="inlineStr">
        <is>
          <t>Meridian</t>
        </is>
      </c>
      <c r="C537" s="9" t="inlineStr">
        <is>
          <t>21/50 MA cross, 250-period confirm filter, VWAP</t>
        </is>
      </c>
      <c r="D537" s="9" t="inlineStr">
        <is>
          <t>Long</t>
        </is>
      </c>
      <c r="E537" s="10" t="n">
        <v>46106.70486111111</v>
      </c>
      <c r="F537" s="10" t="n">
        <v>46106.71875</v>
      </c>
      <c r="G537" s="11" t="n">
        <v>-18.47</v>
      </c>
      <c r="H537" s="11">
        <f>H536+G537</f>
        <v/>
      </c>
    </row>
    <row r="538">
      <c r="A538" s="9" t="n">
        <v>534</v>
      </c>
      <c r="B538" s="9" t="inlineStr">
        <is>
          <t>Ratchet</t>
        </is>
      </c>
      <c r="C538" s="9" t="inlineStr">
        <is>
          <t>Stochastic scalp with give-back trail exit</t>
        </is>
      </c>
      <c r="D538" s="9" t="inlineStr">
        <is>
          <t>Short</t>
        </is>
      </c>
      <c r="E538" s="10" t="n">
        <v>46107.46180555555</v>
      </c>
      <c r="F538" s="10" t="n">
        <v>46107.49305555555</v>
      </c>
      <c r="G538" s="11" t="n">
        <v>-0</v>
      </c>
      <c r="H538" s="11">
        <f>H537+G538</f>
        <v/>
      </c>
    </row>
    <row r="539">
      <c r="A539" s="9" t="n">
        <v>535</v>
      </c>
      <c r="B539" s="9" t="inlineStr">
        <is>
          <t>Meridian</t>
        </is>
      </c>
      <c r="C539" s="9" t="inlineStr">
        <is>
          <t>21/50 MA cross, 250-period confirm filter, VWAP</t>
        </is>
      </c>
      <c r="D539" s="9" t="inlineStr">
        <is>
          <t>Short</t>
        </is>
      </c>
      <c r="E539" s="10" t="n">
        <v>46107.20833333334</v>
      </c>
      <c r="F539" s="10" t="n">
        <v>46107.65625</v>
      </c>
      <c r="G539" s="11" t="n">
        <v>54.88</v>
      </c>
      <c r="H539" s="11">
        <f>H538+G539</f>
        <v/>
      </c>
    </row>
    <row r="540">
      <c r="A540" s="9" t="n">
        <v>536</v>
      </c>
      <c r="B540" s="9" t="inlineStr">
        <is>
          <t>Aurelius_M5</t>
        </is>
      </c>
      <c r="C540" s="9" t="inlineStr">
        <is>
          <t>MA alignment (EMA21&gt;EMA50&gt;SMA250&gt;SMMA500 vs EMA2400 trend filter)</t>
        </is>
      </c>
      <c r="D540" s="9" t="inlineStr">
        <is>
          <t>Short</t>
        </is>
      </c>
      <c r="E540" s="10" t="n">
        <v>46107.77430555555</v>
      </c>
      <c r="F540" s="10" t="n">
        <v>46107.95138888889</v>
      </c>
      <c r="G540" s="11" t="n">
        <v>-8.800000000000001</v>
      </c>
      <c r="H540" s="11">
        <f>H539+G540</f>
        <v/>
      </c>
    </row>
    <row r="541">
      <c r="A541" s="9" t="n">
        <v>537</v>
      </c>
      <c r="B541" s="9" t="inlineStr">
        <is>
          <t>Meridian</t>
        </is>
      </c>
      <c r="C541" s="9" t="inlineStr">
        <is>
          <t>21/50 MA cross, 250-period confirm filter, VWAP</t>
        </is>
      </c>
      <c r="D541" s="9" t="inlineStr">
        <is>
          <t>Short</t>
        </is>
      </c>
      <c r="E541" s="10" t="n">
        <v>46107.75694444445</v>
      </c>
      <c r="F541" s="10" t="n">
        <v>46108.15277777778</v>
      </c>
      <c r="G541" s="11" t="n">
        <v>21.87</v>
      </c>
      <c r="H541" s="11">
        <f>H540+G541</f>
        <v/>
      </c>
    </row>
    <row r="542">
      <c r="A542" s="9" t="n">
        <v>538</v>
      </c>
      <c r="B542" s="9" t="inlineStr">
        <is>
          <t>Aurelius_M15</t>
        </is>
      </c>
      <c r="C542" s="9" t="inlineStr">
        <is>
          <t>MA alignment (EMA21&gt;EMA50&gt;SMA250&gt;SMMA500 vs EMA2400 trend filter) - M15 chart</t>
        </is>
      </c>
      <c r="D542" s="9" t="inlineStr">
        <is>
          <t>Short</t>
        </is>
      </c>
      <c r="E542" s="10" t="n">
        <v>46107.75</v>
      </c>
      <c r="F542" s="10" t="n">
        <v>46108.21875</v>
      </c>
      <c r="G542" s="11" t="n">
        <v>8.48</v>
      </c>
      <c r="H542" s="11">
        <f>H541+G542</f>
        <v/>
      </c>
    </row>
    <row r="543">
      <c r="A543" s="9" t="n">
        <v>539</v>
      </c>
      <c r="B543" s="9" t="inlineStr">
        <is>
          <t>Vanguard_M5</t>
        </is>
      </c>
      <c r="C543" s="9" t="inlineStr">
        <is>
          <t>Trendline breakout (fractal swing line) + VWAP/S-R distance gate</t>
        </is>
      </c>
      <c r="D543" s="9" t="inlineStr">
        <is>
          <t>Long</t>
        </is>
      </c>
      <c r="E543" s="10" t="n">
        <v>46108.22916666666</v>
      </c>
      <c r="F543" s="10" t="n">
        <v>46108.54513888889</v>
      </c>
      <c r="G543" s="11" t="n">
        <v>-30.42</v>
      </c>
      <c r="H543" s="11">
        <f>H542+G543</f>
        <v/>
      </c>
    </row>
    <row r="544">
      <c r="A544" s="9" t="n">
        <v>540</v>
      </c>
      <c r="B544" s="9" t="inlineStr">
        <is>
          <t>Ratchet</t>
        </is>
      </c>
      <c r="C544" s="9" t="inlineStr">
        <is>
          <t>Stochastic scalp with give-back trail exit</t>
        </is>
      </c>
      <c r="D544" s="9" t="inlineStr">
        <is>
          <t>Short</t>
        </is>
      </c>
      <c r="E544" s="10" t="n">
        <v>46108.55555555555</v>
      </c>
      <c r="F544" s="10" t="n">
        <v>46108.57291666666</v>
      </c>
      <c r="G544" s="11" t="n">
        <v>-11.65</v>
      </c>
      <c r="H544" s="11">
        <f>H543+G544</f>
        <v/>
      </c>
    </row>
    <row r="545">
      <c r="A545" s="9" t="n">
        <v>541</v>
      </c>
      <c r="B545" s="9" t="inlineStr">
        <is>
          <t>Meridian</t>
        </is>
      </c>
      <c r="C545" s="9" t="inlineStr">
        <is>
          <t>21/50 MA cross, 250-period confirm filter, VWAP</t>
        </is>
      </c>
      <c r="D545" s="9" t="inlineStr">
        <is>
          <t>Long</t>
        </is>
      </c>
      <c r="E545" s="10" t="n">
        <v>46108.62847222222</v>
      </c>
      <c r="F545" s="10" t="n">
        <v>46108.64583333334</v>
      </c>
      <c r="G545" s="11" t="n">
        <v>-18.25</v>
      </c>
      <c r="H545" s="11">
        <f>H544+G545</f>
        <v/>
      </c>
    </row>
    <row r="546">
      <c r="A546" s="9" t="n">
        <v>542</v>
      </c>
      <c r="B546" s="9" t="inlineStr">
        <is>
          <t>MSG</t>
        </is>
      </c>
      <c r="C546" s="9" t="inlineStr">
        <is>
          <t>Session-range breakout + Fibonacci retracement-zone entry</t>
        </is>
      </c>
      <c r="D546" s="9" t="inlineStr">
        <is>
          <t>Short</t>
        </is>
      </c>
      <c r="E546" s="10" t="n">
        <v>46108.61041666667</v>
      </c>
      <c r="F546" s="10" t="n">
        <v>46108.65625</v>
      </c>
      <c r="G546" s="11" t="n">
        <v>17.92</v>
      </c>
      <c r="H546" s="11">
        <f>H545+G546</f>
        <v/>
      </c>
    </row>
    <row r="547">
      <c r="A547" s="9" t="n">
        <v>543</v>
      </c>
      <c r="B547" s="9" t="inlineStr">
        <is>
          <t>Meridian</t>
        </is>
      </c>
      <c r="C547" s="9" t="inlineStr">
        <is>
          <t>21/50 MA cross, 250-period confirm filter, VWAP</t>
        </is>
      </c>
      <c r="D547" s="9" t="inlineStr">
        <is>
          <t>Long</t>
        </is>
      </c>
      <c r="E547" s="10" t="n">
        <v>46108.65972222222</v>
      </c>
      <c r="F547" s="10" t="n">
        <v>46108.66319444445</v>
      </c>
      <c r="G547" s="11" t="n">
        <v>-7.64</v>
      </c>
      <c r="H547" s="11">
        <f>H546+G547</f>
        <v/>
      </c>
    </row>
    <row r="548">
      <c r="A548" s="9" t="n">
        <v>544</v>
      </c>
      <c r="B548" s="9" t="inlineStr">
        <is>
          <t>Meridian</t>
        </is>
      </c>
      <c r="C548" s="9" t="inlineStr">
        <is>
          <t>21/50 MA cross, 250-period confirm filter, VWAP</t>
        </is>
      </c>
      <c r="D548" s="9" t="inlineStr">
        <is>
          <t>Long</t>
        </is>
      </c>
      <c r="E548" s="10" t="n">
        <v>46108.66666666666</v>
      </c>
      <c r="F548" s="10" t="n">
        <v>46108.91666666666</v>
      </c>
      <c r="G548" s="11" t="n">
        <v>83.11</v>
      </c>
      <c r="H548" s="11">
        <f>H547+G548</f>
        <v/>
      </c>
    </row>
    <row r="549">
      <c r="A549" s="9" t="n">
        <v>545</v>
      </c>
      <c r="B549" s="9" t="inlineStr">
        <is>
          <t>Vanguard_M15</t>
        </is>
      </c>
      <c r="C549" s="9" t="inlineStr">
        <is>
          <t>Trendline breakout (fractal swing line) + VWAP/S-R distance gate - M15 chart</t>
        </is>
      </c>
      <c r="D549" s="9" t="inlineStr">
        <is>
          <t>Long</t>
        </is>
      </c>
      <c r="E549" s="10" t="n">
        <v>46108.22916666666</v>
      </c>
      <c r="F549" s="10" t="n">
        <v>46111.11458333334</v>
      </c>
      <c r="G549" s="11" t="n">
        <v>13.38</v>
      </c>
      <c r="H549" s="11">
        <f>H548+G549</f>
        <v/>
      </c>
    </row>
    <row r="550">
      <c r="A550" s="9" t="n">
        <v>546</v>
      </c>
      <c r="B550" s="9" t="inlineStr">
        <is>
          <t>Vanguard_M5</t>
        </is>
      </c>
      <c r="C550" s="9" t="inlineStr">
        <is>
          <t>Trendline breakout (fractal swing line) + VWAP/S-R distance gate</t>
        </is>
      </c>
      <c r="D550" s="9" t="inlineStr">
        <is>
          <t>Long</t>
        </is>
      </c>
      <c r="E550" s="10" t="n">
        <v>46108.70138888889</v>
      </c>
      <c r="F550" s="10" t="n">
        <v>46111.11458333334</v>
      </c>
      <c r="G550" s="11" t="n">
        <v>-28.67</v>
      </c>
      <c r="H550" s="11">
        <f>H549+G550</f>
        <v/>
      </c>
    </row>
    <row r="551">
      <c r="A551" s="9" t="n">
        <v>547</v>
      </c>
      <c r="B551" s="9" t="inlineStr">
        <is>
          <t>Vanguard_M5</t>
        </is>
      </c>
      <c r="C551" s="9" t="inlineStr">
        <is>
          <t>Trendline breakout (fractal swing line) + VWAP/S-R distance gate</t>
        </is>
      </c>
      <c r="D551" s="9" t="inlineStr">
        <is>
          <t>Short</t>
        </is>
      </c>
      <c r="E551" s="10" t="n">
        <v>46111.11805555555</v>
      </c>
      <c r="F551" s="10" t="n">
        <v>46111.23611111111</v>
      </c>
      <c r="G551" s="11" t="n">
        <v>-46.99</v>
      </c>
      <c r="H551" s="11">
        <f>H550+G551</f>
        <v/>
      </c>
    </row>
    <row r="552">
      <c r="A552" s="9" t="n">
        <v>548</v>
      </c>
      <c r="B552" s="9" t="inlineStr">
        <is>
          <t>Vanguard_M15</t>
        </is>
      </c>
      <c r="C552" s="9" t="inlineStr">
        <is>
          <t>Trendline breakout (fractal swing line) + VWAP/S-R distance gate - M15 chart</t>
        </is>
      </c>
      <c r="D552" s="9" t="inlineStr">
        <is>
          <t>Short</t>
        </is>
      </c>
      <c r="E552" s="10" t="n">
        <v>46111.125</v>
      </c>
      <c r="F552" s="10" t="n">
        <v>46111.25</v>
      </c>
      <c r="G552" s="11" t="n">
        <v>-56.44</v>
      </c>
      <c r="H552" s="11">
        <f>H551+G552</f>
        <v/>
      </c>
    </row>
    <row r="553">
      <c r="A553" s="9" t="n">
        <v>549</v>
      </c>
      <c r="B553" s="9" t="inlineStr">
        <is>
          <t>Meridian</t>
        </is>
      </c>
      <c r="C553" s="9" t="inlineStr">
        <is>
          <t>21/50 MA cross, 250-period confirm filter, VWAP</t>
        </is>
      </c>
      <c r="D553" s="9" t="inlineStr">
        <is>
          <t>Long</t>
        </is>
      </c>
      <c r="E553" s="10" t="n">
        <v>46111.24305555555</v>
      </c>
      <c r="F553" s="10" t="n">
        <v>46111.71875</v>
      </c>
      <c r="G553" s="11" t="n">
        <v>41.77</v>
      </c>
      <c r="H553" s="11">
        <f>H552+G553</f>
        <v/>
      </c>
    </row>
    <row r="554">
      <c r="A554" s="9" t="n">
        <v>550</v>
      </c>
      <c r="B554" s="9" t="inlineStr">
        <is>
          <t>Meridian</t>
        </is>
      </c>
      <c r="C554" s="9" t="inlineStr">
        <is>
          <t>21/50 MA cross, 250-period confirm filter, VWAP</t>
        </is>
      </c>
      <c r="D554" s="9" t="inlineStr">
        <is>
          <t>Short</t>
        </is>
      </c>
      <c r="E554" s="10" t="n">
        <v>46112.13888888889</v>
      </c>
      <c r="F554" s="10" t="n">
        <v>46112.14930555555</v>
      </c>
      <c r="G554" s="11" t="n">
        <v>-21.88</v>
      </c>
      <c r="H554" s="11">
        <f>H553+G554</f>
        <v/>
      </c>
    </row>
    <row r="555">
      <c r="A555" s="9" t="n">
        <v>551</v>
      </c>
      <c r="B555" s="9" t="inlineStr">
        <is>
          <t>Ratchet</t>
        </is>
      </c>
      <c r="C555" s="9" t="inlineStr">
        <is>
          <t>Stochastic scalp with give-back trail exit</t>
        </is>
      </c>
      <c r="D555" s="9" t="inlineStr">
        <is>
          <t>Long</t>
        </is>
      </c>
      <c r="E555" s="10" t="n">
        <v>46112.19097222222</v>
      </c>
      <c r="F555" s="10" t="n">
        <v>46112.20833333334</v>
      </c>
      <c r="G555" s="11" t="n">
        <v>10.59</v>
      </c>
      <c r="H555" s="11">
        <f>H554+G555</f>
        <v/>
      </c>
    </row>
    <row r="556">
      <c r="A556" s="9" t="n">
        <v>552</v>
      </c>
      <c r="B556" s="9" t="inlineStr">
        <is>
          <t>Ratchet</t>
        </is>
      </c>
      <c r="C556" s="9" t="inlineStr">
        <is>
          <t>Stochastic scalp with give-back trail exit</t>
        </is>
      </c>
      <c r="D556" s="9" t="inlineStr">
        <is>
          <t>Long</t>
        </is>
      </c>
      <c r="E556" s="10" t="n">
        <v>46112.23958333334</v>
      </c>
      <c r="F556" s="10" t="n">
        <v>46112.26041666666</v>
      </c>
      <c r="G556" s="11" t="n">
        <v>-22.58</v>
      </c>
      <c r="H556" s="11">
        <f>H555+G556</f>
        <v/>
      </c>
    </row>
    <row r="557">
      <c r="A557" s="9" t="n">
        <v>553</v>
      </c>
      <c r="B557" s="9" t="inlineStr">
        <is>
          <t>Meridian</t>
        </is>
      </c>
      <c r="C557" s="9" t="inlineStr">
        <is>
          <t>21/50 MA cross, 250-period confirm filter, VWAP</t>
        </is>
      </c>
      <c r="D557" s="9" t="inlineStr">
        <is>
          <t>Long</t>
        </is>
      </c>
      <c r="E557" s="10" t="n">
        <v>46112.46875</v>
      </c>
      <c r="F557" s="10" t="n">
        <v>46112.53819444445</v>
      </c>
      <c r="G557" s="11" t="n">
        <v>-9.609999999999999</v>
      </c>
      <c r="H557" s="11">
        <f>H556+G557</f>
        <v/>
      </c>
    </row>
    <row r="558">
      <c r="A558" s="9" t="n">
        <v>554</v>
      </c>
      <c r="B558" s="9" t="inlineStr">
        <is>
          <t>MSG</t>
        </is>
      </c>
      <c r="C558" s="9" t="inlineStr">
        <is>
          <t>Session-range breakout + Fibonacci retracement-zone entry</t>
        </is>
      </c>
      <c r="D558" s="9" t="inlineStr">
        <is>
          <t>Short</t>
        </is>
      </c>
      <c r="E558" s="10" t="n">
        <v>46112.59444444445</v>
      </c>
      <c r="F558" s="10" t="n">
        <v>46112.59513888889</v>
      </c>
      <c r="G558" s="11" t="n">
        <v>-21.15</v>
      </c>
      <c r="H558" s="11">
        <f>H557+G558</f>
        <v/>
      </c>
    </row>
    <row r="559">
      <c r="A559" s="9" t="n">
        <v>555</v>
      </c>
      <c r="B559" s="9" t="inlineStr">
        <is>
          <t>Ratchet</t>
        </is>
      </c>
      <c r="C559" s="9" t="inlineStr">
        <is>
          <t>Stochastic scalp with give-back trail exit</t>
        </is>
      </c>
      <c r="D559" s="9" t="inlineStr">
        <is>
          <t>Long</t>
        </is>
      </c>
      <c r="E559" s="10" t="n">
        <v>46112.625</v>
      </c>
      <c r="F559" s="10" t="n">
        <v>46112.63194444445</v>
      </c>
      <c r="G559" s="11" t="n">
        <v>2.74</v>
      </c>
      <c r="H559" s="11">
        <f>H558+G559</f>
        <v/>
      </c>
    </row>
    <row r="560">
      <c r="A560" s="9" t="n">
        <v>556</v>
      </c>
      <c r="B560" s="9" t="inlineStr">
        <is>
          <t>Ratchet</t>
        </is>
      </c>
      <c r="C560" s="9" t="inlineStr">
        <is>
          <t>Stochastic scalp with give-back trail exit</t>
        </is>
      </c>
      <c r="D560" s="9" t="inlineStr">
        <is>
          <t>Long</t>
        </is>
      </c>
      <c r="E560" s="10" t="n">
        <v>46112.67708333334</v>
      </c>
      <c r="F560" s="10" t="n">
        <v>46112.95486111111</v>
      </c>
      <c r="G560" s="11" t="n">
        <v>102.71</v>
      </c>
      <c r="H560" s="11">
        <f>H559+G560</f>
        <v/>
      </c>
    </row>
    <row r="561">
      <c r="A561" s="9" t="n">
        <v>557</v>
      </c>
      <c r="B561" s="9" t="inlineStr">
        <is>
          <t>Aurelius_M5</t>
        </is>
      </c>
      <c r="C561" s="9" t="inlineStr">
        <is>
          <t>MA alignment (EMA21&gt;EMA50&gt;SMA250&gt;SMMA500 vs EMA2400 trend filter)</t>
        </is>
      </c>
      <c r="D561" s="9" t="inlineStr">
        <is>
          <t>Long</t>
        </is>
      </c>
      <c r="E561" s="10" t="n">
        <v>46112.70486111111</v>
      </c>
      <c r="F561" s="10" t="n">
        <v>46113.04166666666</v>
      </c>
      <c r="G561" s="11" t="n">
        <v>60.38</v>
      </c>
      <c r="H561" s="11">
        <f>H560+G561</f>
        <v/>
      </c>
    </row>
    <row r="562">
      <c r="A562" s="9" t="n">
        <v>558</v>
      </c>
      <c r="B562" s="9" t="inlineStr">
        <is>
          <t>Ratchet</t>
        </is>
      </c>
      <c r="C562" s="9" t="inlineStr">
        <is>
          <t>Stochastic scalp with give-back trail exit</t>
        </is>
      </c>
      <c r="D562" s="9" t="inlineStr">
        <is>
          <t>Long</t>
        </is>
      </c>
      <c r="E562" s="10" t="n">
        <v>46113.17708333334</v>
      </c>
      <c r="F562" s="10" t="n">
        <v>46113.19097222222</v>
      </c>
      <c r="G562" s="11" t="n">
        <v>-18.77</v>
      </c>
      <c r="H562" s="11">
        <f>H561+G562</f>
        <v/>
      </c>
    </row>
    <row r="563">
      <c r="A563" s="9" t="n">
        <v>559</v>
      </c>
      <c r="B563" s="9" t="inlineStr">
        <is>
          <t>Meridian</t>
        </is>
      </c>
      <c r="C563" s="9" t="inlineStr">
        <is>
          <t>21/50 MA cross, 250-period confirm filter, VWAP</t>
        </is>
      </c>
      <c r="D563" s="9" t="inlineStr">
        <is>
          <t>Long</t>
        </is>
      </c>
      <c r="E563" s="10" t="n">
        <v>46112.61111111111</v>
      </c>
      <c r="F563" s="10" t="n">
        <v>46113.27430555555</v>
      </c>
      <c r="G563" s="11" t="n">
        <v>97.76000000000001</v>
      </c>
      <c r="H563" s="11">
        <f>H562+G563</f>
        <v/>
      </c>
    </row>
    <row r="564">
      <c r="A564" s="9" t="n">
        <v>560</v>
      </c>
      <c r="B564" s="9" t="inlineStr">
        <is>
          <t>Meridian</t>
        </is>
      </c>
      <c r="C564" s="9" t="inlineStr">
        <is>
          <t>21/50 MA cross, 250-period confirm filter, VWAP</t>
        </is>
      </c>
      <c r="D564" s="9" t="inlineStr">
        <is>
          <t>Long</t>
        </is>
      </c>
      <c r="E564" s="10" t="n">
        <v>46113.36458333334</v>
      </c>
      <c r="F564" s="10" t="n">
        <v>46113.37152777778</v>
      </c>
      <c r="G564" s="11" t="n">
        <v>-14.31</v>
      </c>
      <c r="H564" s="11">
        <f>H563+G564</f>
        <v/>
      </c>
    </row>
    <row r="565">
      <c r="A565" s="9" t="n">
        <v>561</v>
      </c>
      <c r="B565" s="9" t="inlineStr">
        <is>
          <t>Ratchet</t>
        </is>
      </c>
      <c r="C565" s="9" t="inlineStr">
        <is>
          <t>Stochastic scalp with give-back trail exit</t>
        </is>
      </c>
      <c r="D565" s="9" t="inlineStr">
        <is>
          <t>Long</t>
        </is>
      </c>
      <c r="E565" s="10" t="n">
        <v>46113.39583333334</v>
      </c>
      <c r="F565" s="10" t="n">
        <v>46113.42013888889</v>
      </c>
      <c r="G565" s="11" t="n">
        <v>6.39</v>
      </c>
      <c r="H565" s="11">
        <f>H564+G565</f>
        <v/>
      </c>
    </row>
    <row r="566">
      <c r="A566" s="9" t="n">
        <v>562</v>
      </c>
      <c r="B566" s="9" t="inlineStr">
        <is>
          <t>Ratchet</t>
        </is>
      </c>
      <c r="C566" s="9" t="inlineStr">
        <is>
          <t>Stochastic scalp with give-back trail exit</t>
        </is>
      </c>
      <c r="D566" s="9" t="inlineStr">
        <is>
          <t>Long</t>
        </is>
      </c>
      <c r="E566" s="10" t="n">
        <v>46113.48263888889</v>
      </c>
      <c r="F566" s="10" t="n">
        <v>46113.48611111111</v>
      </c>
      <c r="G566" s="11" t="n">
        <v>0</v>
      </c>
      <c r="H566" s="11">
        <f>H565+G566</f>
        <v/>
      </c>
    </row>
    <row r="567">
      <c r="A567" s="9" t="n">
        <v>563</v>
      </c>
      <c r="B567" s="9" t="inlineStr">
        <is>
          <t>MSG</t>
        </is>
      </c>
      <c r="C567" s="9" t="inlineStr">
        <is>
          <t>Session-range breakout + Fibonacci retracement-zone entry</t>
        </is>
      </c>
      <c r="D567" s="9" t="inlineStr">
        <is>
          <t>Long</t>
        </is>
      </c>
      <c r="E567" s="10" t="n">
        <v>46113.66736111111</v>
      </c>
      <c r="F567" s="10" t="n">
        <v>46113.725</v>
      </c>
      <c r="G567" s="11" t="n">
        <v>64.63</v>
      </c>
      <c r="H567" s="11">
        <f>H566+G567</f>
        <v/>
      </c>
    </row>
    <row r="568">
      <c r="A568" s="9" t="n">
        <v>564</v>
      </c>
      <c r="B568" s="9" t="inlineStr">
        <is>
          <t>Ratchet</t>
        </is>
      </c>
      <c r="C568" s="9" t="inlineStr">
        <is>
          <t>Stochastic scalp with give-back trail exit</t>
        </is>
      </c>
      <c r="D568" s="9" t="inlineStr">
        <is>
          <t>Long</t>
        </is>
      </c>
      <c r="E568" s="10" t="n">
        <v>46113.72222222222</v>
      </c>
      <c r="F568" s="10" t="n">
        <v>46113.875</v>
      </c>
      <c r="G568" s="11" t="n">
        <v>13.04</v>
      </c>
      <c r="H568" s="11">
        <f>H567+G568</f>
        <v/>
      </c>
    </row>
    <row r="569">
      <c r="A569" s="9" t="n">
        <v>565</v>
      </c>
      <c r="B569" s="9" t="inlineStr">
        <is>
          <t>Aurelius_M5</t>
        </is>
      </c>
      <c r="C569" s="9" t="inlineStr">
        <is>
          <t>MA alignment (EMA21&gt;EMA50&gt;SMA250&gt;SMMA500 vs EMA2400 trend filter)</t>
        </is>
      </c>
      <c r="D569" s="9" t="inlineStr">
        <is>
          <t>Long</t>
        </is>
      </c>
      <c r="E569" s="10" t="n">
        <v>46113.39236111111</v>
      </c>
      <c r="F569" s="10" t="n">
        <v>46113.89930555555</v>
      </c>
      <c r="G569" s="11" t="n">
        <v>46.56</v>
      </c>
      <c r="H569" s="11">
        <f>H568+G569</f>
        <v/>
      </c>
    </row>
    <row r="570">
      <c r="A570" s="9" t="n">
        <v>566</v>
      </c>
      <c r="B570" s="9" t="inlineStr">
        <is>
          <t>Ratchet</t>
        </is>
      </c>
      <c r="C570" s="9" t="inlineStr">
        <is>
          <t>Stochastic scalp with give-back trail exit</t>
        </is>
      </c>
      <c r="D570" s="9" t="inlineStr">
        <is>
          <t>Long</t>
        </is>
      </c>
      <c r="E570" s="10" t="n">
        <v>46114.07291666666</v>
      </c>
      <c r="F570" s="10" t="n">
        <v>46114.07638888889</v>
      </c>
      <c r="G570" s="11" t="n">
        <v>1.15</v>
      </c>
      <c r="H570" s="11">
        <f>H569+G570</f>
        <v/>
      </c>
    </row>
    <row r="571">
      <c r="A571" s="9" t="n">
        <v>567</v>
      </c>
      <c r="B571" s="9" t="inlineStr">
        <is>
          <t>Ratchet</t>
        </is>
      </c>
      <c r="C571" s="9" t="inlineStr">
        <is>
          <t>Stochastic scalp with give-back trail exit</t>
        </is>
      </c>
      <c r="D571" s="9" t="inlineStr">
        <is>
          <t>Long</t>
        </is>
      </c>
      <c r="E571" s="10" t="n">
        <v>46114.08680555555</v>
      </c>
      <c r="F571" s="10" t="n">
        <v>46114.11458333334</v>
      </c>
      <c r="G571" s="11" t="n">
        <v>5.21</v>
      </c>
      <c r="H571" s="11">
        <f>H570+G571</f>
        <v/>
      </c>
    </row>
    <row r="572">
      <c r="A572" s="9" t="n">
        <v>568</v>
      </c>
      <c r="B572" s="9" t="inlineStr">
        <is>
          <t>Meridian</t>
        </is>
      </c>
      <c r="C572" s="9" t="inlineStr">
        <is>
          <t>21/50 MA cross, 250-period confirm filter, VWAP</t>
        </is>
      </c>
      <c r="D572" s="9" t="inlineStr">
        <is>
          <t>Long</t>
        </is>
      </c>
      <c r="E572" s="10" t="n">
        <v>46114.06944444445</v>
      </c>
      <c r="F572" s="10" t="n">
        <v>46114.16666666666</v>
      </c>
      <c r="G572" s="11" t="n">
        <v>-15.59</v>
      </c>
      <c r="H572" s="11">
        <f>H571+G572</f>
        <v/>
      </c>
    </row>
    <row r="573">
      <c r="A573" s="9" t="n">
        <v>569</v>
      </c>
      <c r="B573" s="9" t="inlineStr">
        <is>
          <t>Ratchet</t>
        </is>
      </c>
      <c r="C573" s="9" t="inlineStr">
        <is>
          <t>Stochastic scalp with give-back trail exit</t>
        </is>
      </c>
      <c r="D573" s="9" t="inlineStr">
        <is>
          <t>Long</t>
        </is>
      </c>
      <c r="E573" s="10" t="n">
        <v>46114.14930555555</v>
      </c>
      <c r="F573" s="10" t="n">
        <v>46114.16666666666</v>
      </c>
      <c r="G573" s="11" t="n">
        <v>-11.55</v>
      </c>
      <c r="H573" s="11">
        <f>H572+G573</f>
        <v/>
      </c>
    </row>
    <row r="574">
      <c r="A574" s="9" t="n">
        <v>570</v>
      </c>
      <c r="B574" s="9" t="inlineStr">
        <is>
          <t>Ratchet</t>
        </is>
      </c>
      <c r="C574" s="9" t="inlineStr">
        <is>
          <t>Stochastic scalp with give-back trail exit</t>
        </is>
      </c>
      <c r="D574" s="9" t="inlineStr">
        <is>
          <t>Short</t>
        </is>
      </c>
      <c r="E574" s="10" t="n">
        <v>46114.50347222222</v>
      </c>
      <c r="F574" s="10" t="n">
        <v>46114.54513888889</v>
      </c>
      <c r="G574" s="11" t="n">
        <v>-15.84</v>
      </c>
      <c r="H574" s="11">
        <f>H573+G574</f>
        <v/>
      </c>
    </row>
    <row r="575">
      <c r="A575" s="9" t="n">
        <v>571</v>
      </c>
      <c r="B575" s="9" t="inlineStr">
        <is>
          <t>Ratchet</t>
        </is>
      </c>
      <c r="C575" s="9" t="inlineStr">
        <is>
          <t>Stochastic scalp with give-back trail exit</t>
        </is>
      </c>
      <c r="D575" s="9" t="inlineStr">
        <is>
          <t>Short</t>
        </is>
      </c>
      <c r="E575" s="10" t="n">
        <v>46114.56944444445</v>
      </c>
      <c r="F575" s="10" t="n">
        <v>46114.56944444445</v>
      </c>
      <c r="G575" s="11" t="n">
        <v>-14.39</v>
      </c>
      <c r="H575" s="11">
        <f>H574+G575</f>
        <v/>
      </c>
    </row>
    <row r="576">
      <c r="A576" s="9" t="n">
        <v>572</v>
      </c>
      <c r="B576" s="9" t="inlineStr">
        <is>
          <t>Meridian</t>
        </is>
      </c>
      <c r="C576" s="9" t="inlineStr">
        <is>
          <t>21/50 MA cross, 250-period confirm filter, VWAP</t>
        </is>
      </c>
      <c r="D576" s="9" t="inlineStr">
        <is>
          <t>Short</t>
        </is>
      </c>
      <c r="E576" s="10" t="n">
        <v>46114.18055555555</v>
      </c>
      <c r="F576" s="10" t="n">
        <v>46114.71527777778</v>
      </c>
      <c r="G576" s="11" t="n">
        <v>79.22</v>
      </c>
      <c r="H576" s="11">
        <f>H575+G576</f>
        <v/>
      </c>
    </row>
    <row r="577">
      <c r="A577" s="9" t="n">
        <v>573</v>
      </c>
      <c r="B577" s="9" t="inlineStr">
        <is>
          <t>Meridian</t>
        </is>
      </c>
      <c r="C577" s="9" t="inlineStr">
        <is>
          <t>21/50 MA cross, 250-period confirm filter, VWAP</t>
        </is>
      </c>
      <c r="D577" s="9" t="inlineStr">
        <is>
          <t>Short</t>
        </is>
      </c>
      <c r="E577" s="10" t="n">
        <v>46118.05208333334</v>
      </c>
      <c r="F577" s="10" t="n">
        <v>46118.07986111111</v>
      </c>
      <c r="G577" s="11" t="n">
        <v>-23.54</v>
      </c>
      <c r="H577" s="11">
        <f>H576+G577</f>
        <v/>
      </c>
    </row>
    <row r="578">
      <c r="A578" s="9" t="n">
        <v>574</v>
      </c>
      <c r="B578" s="9" t="inlineStr">
        <is>
          <t>Ratchet</t>
        </is>
      </c>
      <c r="C578" s="9" t="inlineStr">
        <is>
          <t>Stochastic scalp with give-back trail exit</t>
        </is>
      </c>
      <c r="D578" s="9" t="inlineStr">
        <is>
          <t>Short</t>
        </is>
      </c>
      <c r="E578" s="10" t="n">
        <v>46118.11111111111</v>
      </c>
      <c r="F578" s="10" t="n">
        <v>46118.11458333334</v>
      </c>
      <c r="G578" s="11" t="n">
        <v>-0</v>
      </c>
      <c r="H578" s="11">
        <f>H577+G578</f>
        <v/>
      </c>
    </row>
    <row r="579">
      <c r="A579" s="9" t="n">
        <v>575</v>
      </c>
      <c r="B579" s="9" t="inlineStr">
        <is>
          <t>Vanguard_M15</t>
        </is>
      </c>
      <c r="C579" s="9" t="inlineStr">
        <is>
          <t>Trendline breakout (fractal swing line) + VWAP/S-R distance gate - M15 chart</t>
        </is>
      </c>
      <c r="D579" s="9" t="inlineStr">
        <is>
          <t>Short</t>
        </is>
      </c>
      <c r="E579" s="10" t="n">
        <v>46114.1875</v>
      </c>
      <c r="F579" s="10" t="n">
        <v>46118.16666666666</v>
      </c>
      <c r="G579" s="11" t="n">
        <v>54.84</v>
      </c>
      <c r="H579" s="11">
        <f>H578+G579</f>
        <v/>
      </c>
    </row>
    <row r="580">
      <c r="A580" s="9" t="n">
        <v>576</v>
      </c>
      <c r="B580" s="9" t="inlineStr">
        <is>
          <t>Vanguard_M5</t>
        </is>
      </c>
      <c r="C580" s="9" t="inlineStr">
        <is>
          <t>Trendline breakout (fractal swing line) + VWAP/S-R distance gate</t>
        </is>
      </c>
      <c r="D580" s="9" t="inlineStr">
        <is>
          <t>Short</t>
        </is>
      </c>
      <c r="E580" s="10" t="n">
        <v>46114.19097222222</v>
      </c>
      <c r="F580" s="10" t="n">
        <v>46118.17013888889</v>
      </c>
      <c r="G580" s="11" t="n">
        <v>43.83</v>
      </c>
      <c r="H580" s="11">
        <f>H579+G580</f>
        <v/>
      </c>
    </row>
    <row r="581">
      <c r="A581" s="9" t="n">
        <v>577</v>
      </c>
      <c r="B581" s="9" t="inlineStr">
        <is>
          <t>Meridian</t>
        </is>
      </c>
      <c r="C581" s="9" t="inlineStr">
        <is>
          <t>21/50 MA cross, 250-period confirm filter, VWAP</t>
        </is>
      </c>
      <c r="D581" s="9" t="inlineStr">
        <is>
          <t>Long</t>
        </is>
      </c>
      <c r="E581" s="10" t="n">
        <v>46118.22569444445</v>
      </c>
      <c r="F581" s="10" t="n">
        <v>46118.25</v>
      </c>
      <c r="G581" s="11" t="n">
        <v>-26.62</v>
      </c>
      <c r="H581" s="11">
        <f>H580+G581</f>
        <v/>
      </c>
    </row>
    <row r="582">
      <c r="A582" s="9" t="n">
        <v>578</v>
      </c>
      <c r="B582" s="9" t="inlineStr">
        <is>
          <t>Meridian</t>
        </is>
      </c>
      <c r="C582" s="9" t="inlineStr">
        <is>
          <t>21/50 MA cross, 250-period confirm filter, VWAP</t>
        </is>
      </c>
      <c r="D582" s="9" t="inlineStr">
        <is>
          <t>Long</t>
        </is>
      </c>
      <c r="E582" s="10" t="n">
        <v>46118.29166666666</v>
      </c>
      <c r="F582" s="10" t="n">
        <v>46118.63888888889</v>
      </c>
      <c r="G582" s="11" t="n">
        <v>32.35</v>
      </c>
      <c r="H582" s="11">
        <f>H581+G582</f>
        <v/>
      </c>
    </row>
    <row r="583">
      <c r="A583" s="9" t="n">
        <v>579</v>
      </c>
      <c r="B583" s="9" t="inlineStr">
        <is>
          <t>Aurelius_M5</t>
        </is>
      </c>
      <c r="C583" s="9" t="inlineStr">
        <is>
          <t>MA alignment (EMA21&gt;EMA50&gt;SMA250&gt;SMMA500 vs EMA2400 trend filter)</t>
        </is>
      </c>
      <c r="D583" s="9" t="inlineStr">
        <is>
          <t>Long</t>
        </is>
      </c>
      <c r="E583" s="10" t="n">
        <v>46118.45486111111</v>
      </c>
      <c r="F583" s="10" t="n">
        <v>46118.63888888889</v>
      </c>
      <c r="G583" s="11" t="n">
        <v>-8.02</v>
      </c>
      <c r="H583" s="11">
        <f>H582+G583</f>
        <v/>
      </c>
    </row>
    <row r="584">
      <c r="A584" s="9" t="n">
        <v>580</v>
      </c>
      <c r="B584" s="9" t="inlineStr">
        <is>
          <t>MSG</t>
        </is>
      </c>
      <c r="C584" s="9" t="inlineStr">
        <is>
          <t>Session-range breakout + Fibonacci retracement-zone entry</t>
        </is>
      </c>
      <c r="D584" s="9" t="inlineStr">
        <is>
          <t>Long</t>
        </is>
      </c>
      <c r="E584" s="10" t="n">
        <v>46118.63333333333</v>
      </c>
      <c r="F584" s="10" t="n">
        <v>46118.64236111111</v>
      </c>
      <c r="G584" s="11" t="n">
        <v>-43.46</v>
      </c>
      <c r="H584" s="11">
        <f>H583+G584</f>
        <v/>
      </c>
    </row>
    <row r="585">
      <c r="A585" s="9" t="n">
        <v>581</v>
      </c>
      <c r="B585" s="9" t="inlineStr">
        <is>
          <t>Meridian</t>
        </is>
      </c>
      <c r="C585" s="9" t="inlineStr">
        <is>
          <t>21/50 MA cross, 250-period confirm filter, VWAP</t>
        </is>
      </c>
      <c r="D585" s="9" t="inlineStr">
        <is>
          <t>Long</t>
        </is>
      </c>
      <c r="E585" s="10" t="n">
        <v>46118.74652777778</v>
      </c>
      <c r="F585" s="10" t="n">
        <v>46118.75694444445</v>
      </c>
      <c r="G585" s="11" t="n">
        <v>-17.49</v>
      </c>
      <c r="H585" s="11">
        <f>H584+G585</f>
        <v/>
      </c>
    </row>
    <row r="586">
      <c r="A586" s="9" t="n">
        <v>582</v>
      </c>
      <c r="B586" s="9" t="inlineStr">
        <is>
          <t>Aurelius_M15</t>
        </is>
      </c>
      <c r="C586" s="9" t="inlineStr">
        <is>
          <t>MA alignment (EMA21&gt;EMA50&gt;SMA250&gt;SMMA500 vs EMA2400 trend filter) - M15 chart</t>
        </is>
      </c>
      <c r="D586" s="9" t="inlineStr">
        <is>
          <t>Long</t>
        </is>
      </c>
      <c r="E586" s="10" t="n">
        <v>46118.72916666666</v>
      </c>
      <c r="F586" s="10" t="n">
        <v>46118.76041666666</v>
      </c>
      <c r="G586" s="11" t="n">
        <v>-24.07</v>
      </c>
      <c r="H586" s="11">
        <f>H585+G586</f>
        <v/>
      </c>
    </row>
    <row r="587">
      <c r="A587" s="9" t="n">
        <v>583</v>
      </c>
      <c r="B587" s="9" t="inlineStr">
        <is>
          <t>Vanguard_M15</t>
        </is>
      </c>
      <c r="C587" s="9" t="inlineStr">
        <is>
          <t>Trendline breakout (fractal swing line) + VWAP/S-R distance gate - M15 chart</t>
        </is>
      </c>
      <c r="D587" s="9" t="inlineStr">
        <is>
          <t>Long</t>
        </is>
      </c>
      <c r="E587" s="10" t="n">
        <v>46118.17708333334</v>
      </c>
      <c r="F587" s="10" t="n">
        <v>46118.89583333334</v>
      </c>
      <c r="G587" s="11" t="n">
        <v>8.140000000000001</v>
      </c>
      <c r="H587" s="11">
        <f>H586+G587</f>
        <v/>
      </c>
    </row>
    <row r="588">
      <c r="A588" s="9" t="n">
        <v>584</v>
      </c>
      <c r="B588" s="9" t="inlineStr">
        <is>
          <t>Vanguard_M5</t>
        </is>
      </c>
      <c r="C588" s="9" t="inlineStr">
        <is>
          <t>Trendline breakout (fractal swing line) + VWAP/S-R distance gate</t>
        </is>
      </c>
      <c r="D588" s="9" t="inlineStr">
        <is>
          <t>Long</t>
        </is>
      </c>
      <c r="E588" s="10" t="n">
        <v>46118.17361111111</v>
      </c>
      <c r="F588" s="10" t="n">
        <v>46118.89930555555</v>
      </c>
      <c r="G588" s="11" t="n">
        <v>11.7</v>
      </c>
      <c r="H588" s="11">
        <f>H587+G588</f>
        <v/>
      </c>
    </row>
    <row r="589">
      <c r="A589" s="9" t="n">
        <v>585</v>
      </c>
      <c r="B589" s="9" t="inlineStr">
        <is>
          <t>Meridian</t>
        </is>
      </c>
      <c r="C589" s="9" t="inlineStr">
        <is>
          <t>21/50 MA cross, 250-period confirm filter, VWAP</t>
        </is>
      </c>
      <c r="D589" s="9" t="inlineStr">
        <is>
          <t>Short</t>
        </is>
      </c>
      <c r="E589" s="10" t="n">
        <v>46119.10416666666</v>
      </c>
      <c r="F589" s="10" t="n">
        <v>46119.15277777778</v>
      </c>
      <c r="G589" s="11" t="n">
        <v>-5.8</v>
      </c>
      <c r="H589" s="11">
        <f>H588+G589</f>
        <v/>
      </c>
    </row>
    <row r="590">
      <c r="A590" s="9" t="n">
        <v>586</v>
      </c>
      <c r="B590" s="9" t="inlineStr">
        <is>
          <t>Meridian</t>
        </is>
      </c>
      <c r="C590" s="9" t="inlineStr">
        <is>
          <t>21/50 MA cross, 250-period confirm filter, VWAP</t>
        </is>
      </c>
      <c r="D590" s="9" t="inlineStr">
        <is>
          <t>Short</t>
        </is>
      </c>
      <c r="E590" s="10" t="n">
        <v>46119.16666666666</v>
      </c>
      <c r="F590" s="10" t="n">
        <v>46119.17013888889</v>
      </c>
      <c r="G590" s="11" t="n">
        <v>-6.88</v>
      </c>
      <c r="H590" s="11">
        <f>H589+G590</f>
        <v/>
      </c>
    </row>
    <row r="591">
      <c r="A591" s="9" t="n">
        <v>587</v>
      </c>
      <c r="B591" s="9" t="inlineStr">
        <is>
          <t>Meridian</t>
        </is>
      </c>
      <c r="C591" s="9" t="inlineStr">
        <is>
          <t>21/50 MA cross, 250-period confirm filter, VWAP</t>
        </is>
      </c>
      <c r="D591" s="9" t="inlineStr">
        <is>
          <t>Short</t>
        </is>
      </c>
      <c r="E591" s="10" t="n">
        <v>46119.17361111111</v>
      </c>
      <c r="F591" s="10" t="n">
        <v>46119.1875</v>
      </c>
      <c r="G591" s="11" t="n">
        <v>-18.41</v>
      </c>
      <c r="H591" s="11">
        <f>H590+G591</f>
        <v/>
      </c>
    </row>
    <row r="592">
      <c r="A592" s="9" t="n">
        <v>588</v>
      </c>
      <c r="B592" s="9" t="inlineStr">
        <is>
          <t>Ratchet</t>
        </is>
      </c>
      <c r="C592" s="9" t="inlineStr">
        <is>
          <t>Stochastic scalp with give-back trail exit</t>
        </is>
      </c>
      <c r="D592" s="9" t="inlineStr">
        <is>
          <t>Short</t>
        </is>
      </c>
      <c r="E592" s="10" t="n">
        <v>46119.22569444445</v>
      </c>
      <c r="F592" s="10" t="n">
        <v>46119.23958333334</v>
      </c>
      <c r="G592" s="11" t="n">
        <v>-21.57</v>
      </c>
      <c r="H592" s="11">
        <f>H591+G592</f>
        <v/>
      </c>
    </row>
    <row r="593">
      <c r="A593" s="9" t="n">
        <v>589</v>
      </c>
      <c r="B593" s="9" t="inlineStr">
        <is>
          <t>Meridian</t>
        </is>
      </c>
      <c r="C593" s="9" t="inlineStr">
        <is>
          <t>21/50 MA cross, 250-period confirm filter, VWAP</t>
        </is>
      </c>
      <c r="D593" s="9" t="inlineStr">
        <is>
          <t>Short</t>
        </is>
      </c>
      <c r="E593" s="10" t="n">
        <v>46119.36111111111</v>
      </c>
      <c r="F593" s="10" t="n">
        <v>46119.41319444445</v>
      </c>
      <c r="G593" s="11" t="n">
        <v>-16.91</v>
      </c>
      <c r="H593" s="11">
        <f>H592+G593</f>
        <v/>
      </c>
    </row>
    <row r="594">
      <c r="A594" s="9" t="n">
        <v>590</v>
      </c>
      <c r="B594" s="9" t="inlineStr">
        <is>
          <t>Meridian</t>
        </is>
      </c>
      <c r="C594" s="9" t="inlineStr">
        <is>
          <t>21/50 MA cross, 250-period confirm filter, VWAP</t>
        </is>
      </c>
      <c r="D594" s="9" t="inlineStr">
        <is>
          <t>Short</t>
        </is>
      </c>
      <c r="E594" s="10" t="n">
        <v>46119.44097222222</v>
      </c>
      <c r="F594" s="10" t="n">
        <v>46119.45833333334</v>
      </c>
      <c r="G594" s="11" t="n">
        <v>-16.89</v>
      </c>
      <c r="H594" s="11">
        <f>H593+G594</f>
        <v/>
      </c>
    </row>
    <row r="595">
      <c r="A595" s="9" t="n">
        <v>591</v>
      </c>
      <c r="B595" s="9" t="inlineStr">
        <is>
          <t>Vanguard_M15</t>
        </is>
      </c>
      <c r="C595" s="9" t="inlineStr">
        <is>
          <t>Trendline breakout (fractal swing line) + VWAP/S-R distance gate - M15 chart</t>
        </is>
      </c>
      <c r="D595" s="9" t="inlineStr">
        <is>
          <t>Short</t>
        </is>
      </c>
      <c r="E595" s="10" t="n">
        <v>46118.90625</v>
      </c>
      <c r="F595" s="10" t="n">
        <v>46119.46875</v>
      </c>
      <c r="G595" s="11" t="n">
        <v>-36.33</v>
      </c>
      <c r="H595" s="11">
        <f>H594+G595</f>
        <v/>
      </c>
    </row>
    <row r="596">
      <c r="A596" s="9" t="n">
        <v>592</v>
      </c>
      <c r="B596" s="9" t="inlineStr">
        <is>
          <t>Vanguard_M5</t>
        </is>
      </c>
      <c r="C596" s="9" t="inlineStr">
        <is>
          <t>Trendline breakout (fractal swing line) + VWAP/S-R distance gate</t>
        </is>
      </c>
      <c r="D596" s="9" t="inlineStr">
        <is>
          <t>Short</t>
        </is>
      </c>
      <c r="E596" s="10" t="n">
        <v>46118.90277777778</v>
      </c>
      <c r="F596" s="10" t="n">
        <v>46119.47222222222</v>
      </c>
      <c r="G596" s="11" t="n">
        <v>-24.36</v>
      </c>
      <c r="H596" s="11">
        <f>H595+G596</f>
        <v/>
      </c>
    </row>
    <row r="597">
      <c r="A597" s="9" t="n">
        <v>593</v>
      </c>
      <c r="B597" s="9" t="inlineStr">
        <is>
          <t>Ratchet</t>
        </is>
      </c>
      <c r="C597" s="9" t="inlineStr">
        <is>
          <t>Stochastic scalp with give-back trail exit</t>
        </is>
      </c>
      <c r="D597" s="9" t="inlineStr">
        <is>
          <t>Long</t>
        </is>
      </c>
      <c r="E597" s="10" t="n">
        <v>46119.48958333334</v>
      </c>
      <c r="F597" s="10" t="n">
        <v>46119.51736111111</v>
      </c>
      <c r="G597" s="11" t="n">
        <v>3.2</v>
      </c>
      <c r="H597" s="11">
        <f>H596+G597</f>
        <v/>
      </c>
    </row>
    <row r="598">
      <c r="A598" s="9" t="n">
        <v>594</v>
      </c>
      <c r="B598" s="9" t="inlineStr">
        <is>
          <t>Meridian</t>
        </is>
      </c>
      <c r="C598" s="9" t="inlineStr">
        <is>
          <t>21/50 MA cross, 250-period confirm filter, VWAP</t>
        </is>
      </c>
      <c r="D598" s="9" t="inlineStr">
        <is>
          <t>Long</t>
        </is>
      </c>
      <c r="E598" s="10" t="n">
        <v>46119.46875</v>
      </c>
      <c r="F598" s="10" t="n">
        <v>46119.59027777778</v>
      </c>
      <c r="G598" s="11" t="n">
        <v>-12.49</v>
      </c>
      <c r="H598" s="11">
        <f>H597+G598</f>
        <v/>
      </c>
    </row>
    <row r="599">
      <c r="A599" s="9" t="n">
        <v>595</v>
      </c>
      <c r="B599" s="9" t="inlineStr">
        <is>
          <t>Vanguard_M5</t>
        </is>
      </c>
      <c r="C599" s="9" t="inlineStr">
        <is>
          <t>Trendline breakout (fractal swing line) + VWAP/S-R distance gate</t>
        </is>
      </c>
      <c r="D599" s="9" t="inlineStr">
        <is>
          <t>Short</t>
        </is>
      </c>
      <c r="E599" s="10" t="n">
        <v>46119.71527777778</v>
      </c>
      <c r="F599" s="10" t="n">
        <v>46119.73263888889</v>
      </c>
      <c r="G599" s="11" t="n">
        <v>-44.42</v>
      </c>
      <c r="H599" s="11">
        <f>H598+G599</f>
        <v/>
      </c>
    </row>
    <row r="600">
      <c r="A600" s="9" t="n">
        <v>596</v>
      </c>
      <c r="B600" s="9" t="inlineStr">
        <is>
          <t>Vanguard_M15</t>
        </is>
      </c>
      <c r="C600" s="9" t="inlineStr">
        <is>
          <t>Trendline breakout (fractal swing line) + VWAP/S-R distance gate - M15 chart</t>
        </is>
      </c>
      <c r="D600" s="9" t="inlineStr">
        <is>
          <t>Short</t>
        </is>
      </c>
      <c r="E600" s="10" t="n">
        <v>46119.71875</v>
      </c>
      <c r="F600" s="10" t="n">
        <v>46119.85416666666</v>
      </c>
      <c r="G600" s="11" t="n">
        <v>-52.22</v>
      </c>
      <c r="H600" s="11">
        <f>H599+G600</f>
        <v/>
      </c>
    </row>
    <row r="601">
      <c r="A601" s="9" t="n">
        <v>597</v>
      </c>
      <c r="B601" s="9" t="inlineStr">
        <is>
          <t>Aurelius_M5</t>
        </is>
      </c>
      <c r="C601" s="9" t="inlineStr">
        <is>
          <t>MA alignment (EMA21&gt;EMA50&gt;SMA250&gt;SMMA500 vs EMA2400 trend filter)</t>
        </is>
      </c>
      <c r="D601" s="9" t="inlineStr">
        <is>
          <t>Long</t>
        </is>
      </c>
      <c r="E601" s="10" t="n">
        <v>46119.86111111111</v>
      </c>
      <c r="F601" s="10" t="n">
        <v>46119.91319444445</v>
      </c>
      <c r="G601" s="11" t="n">
        <v>-21.51</v>
      </c>
      <c r="H601" s="11">
        <f>H600+G601</f>
        <v/>
      </c>
    </row>
    <row r="602">
      <c r="A602" s="9" t="n">
        <v>598</v>
      </c>
      <c r="B602" s="9" t="inlineStr">
        <is>
          <t>Ratchet</t>
        </is>
      </c>
      <c r="C602" s="9" t="inlineStr">
        <is>
          <t>Stochastic scalp with give-back trail exit</t>
        </is>
      </c>
      <c r="D602" s="9" t="inlineStr">
        <is>
          <t>Long</t>
        </is>
      </c>
      <c r="E602" s="10" t="n">
        <v>46120.07638888889</v>
      </c>
      <c r="F602" s="10" t="n">
        <v>46120.18055555555</v>
      </c>
      <c r="G602" s="11" t="n">
        <v>21.94</v>
      </c>
      <c r="H602" s="11">
        <f>H601+G602</f>
        <v/>
      </c>
    </row>
    <row r="603">
      <c r="A603" s="9" t="n">
        <v>599</v>
      </c>
      <c r="B603" s="9" t="inlineStr">
        <is>
          <t>Ratchet</t>
        </is>
      </c>
      <c r="C603" s="9" t="inlineStr">
        <is>
          <t>Stochastic scalp with give-back trail exit</t>
        </is>
      </c>
      <c r="D603" s="9" t="inlineStr">
        <is>
          <t>Long</t>
        </is>
      </c>
      <c r="E603" s="10" t="n">
        <v>46120.34722222222</v>
      </c>
      <c r="F603" s="10" t="n">
        <v>46120.41666666666</v>
      </c>
      <c r="G603" s="11" t="n">
        <v>8.02</v>
      </c>
      <c r="H603" s="11">
        <f>H602+G603</f>
        <v/>
      </c>
    </row>
    <row r="604">
      <c r="A604" s="9" t="n">
        <v>600</v>
      </c>
      <c r="B604" s="9" t="inlineStr">
        <is>
          <t>Meridian</t>
        </is>
      </c>
      <c r="C604" s="9" t="inlineStr">
        <is>
          <t>21/50 MA cross, 250-period confirm filter, VWAP</t>
        </is>
      </c>
      <c r="D604" s="9" t="inlineStr">
        <is>
          <t>Long</t>
        </is>
      </c>
      <c r="E604" s="10" t="n">
        <v>46119.80555555555</v>
      </c>
      <c r="F604" s="10" t="n">
        <v>46120.48611111111</v>
      </c>
      <c r="G604" s="11" t="n">
        <v>144.97</v>
      </c>
      <c r="H604" s="11">
        <f>H603+G604</f>
        <v/>
      </c>
    </row>
    <row r="605">
      <c r="A605" s="9" t="n">
        <v>601</v>
      </c>
      <c r="B605" s="9" t="inlineStr">
        <is>
          <t>Aurelius_M15</t>
        </is>
      </c>
      <c r="C605" s="9" t="inlineStr">
        <is>
          <t>MA alignment (EMA21&gt;EMA50&gt;SMA250&gt;SMMA500 vs EMA2400 trend filter) - M15 chart</t>
        </is>
      </c>
      <c r="D605" s="9" t="inlineStr">
        <is>
          <t>Long</t>
        </is>
      </c>
      <c r="E605" s="10" t="n">
        <v>46119.92708333334</v>
      </c>
      <c r="F605" s="10" t="n">
        <v>46120.5625</v>
      </c>
      <c r="G605" s="11" t="n">
        <v>114.63</v>
      </c>
      <c r="H605" s="11">
        <f>H604+G605</f>
        <v/>
      </c>
    </row>
    <row r="606">
      <c r="A606" s="9" t="n">
        <v>602</v>
      </c>
      <c r="B606" s="9" t="inlineStr">
        <is>
          <t>MSG</t>
        </is>
      </c>
      <c r="C606" s="9" t="inlineStr">
        <is>
          <t>Session-range breakout + Fibonacci retracement-zone entry</t>
        </is>
      </c>
      <c r="D606" s="9" t="inlineStr">
        <is>
          <t>Short</t>
        </is>
      </c>
      <c r="E606" s="10" t="n">
        <v>46120.63472222222</v>
      </c>
      <c r="F606" s="10" t="n">
        <v>46120.64583333334</v>
      </c>
      <c r="G606" s="11" t="n">
        <v>76.01000000000001</v>
      </c>
      <c r="H606" s="11">
        <f>H605+G606</f>
        <v/>
      </c>
    </row>
    <row r="607">
      <c r="A607" s="9" t="n">
        <v>603</v>
      </c>
      <c r="B607" s="9" t="inlineStr">
        <is>
          <t>Meridian</t>
        </is>
      </c>
      <c r="C607" s="9" t="inlineStr">
        <is>
          <t>21/50 MA cross, 250-period confirm filter, VWAP</t>
        </is>
      </c>
      <c r="D607" s="9" t="inlineStr">
        <is>
          <t>Short</t>
        </is>
      </c>
      <c r="E607" s="10" t="n">
        <v>46121.26736111111</v>
      </c>
      <c r="F607" s="10" t="n">
        <v>46121.30208333334</v>
      </c>
      <c r="G607" s="11" t="n">
        <v>-14.71</v>
      </c>
      <c r="H607" s="11">
        <f>H606+G607</f>
        <v/>
      </c>
    </row>
    <row r="608">
      <c r="A608" s="9" t="n">
        <v>604</v>
      </c>
      <c r="B608" s="9" t="inlineStr">
        <is>
          <t>Meridian</t>
        </is>
      </c>
      <c r="C608" s="9" t="inlineStr">
        <is>
          <t>21/50 MA cross, 250-period confirm filter, VWAP</t>
        </is>
      </c>
      <c r="D608" s="9" t="inlineStr">
        <is>
          <t>Short</t>
        </is>
      </c>
      <c r="E608" s="10" t="n">
        <v>46121.375</v>
      </c>
      <c r="F608" s="10" t="n">
        <v>46121.38194444445</v>
      </c>
      <c r="G608" s="11" t="n">
        <v>-7.65</v>
      </c>
      <c r="H608" s="11">
        <f>H607+G608</f>
        <v/>
      </c>
    </row>
    <row r="609">
      <c r="A609" s="9" t="n">
        <v>605</v>
      </c>
      <c r="B609" s="9" t="inlineStr">
        <is>
          <t>Meridian</t>
        </is>
      </c>
      <c r="C609" s="9" t="inlineStr">
        <is>
          <t>21/50 MA cross, 250-period confirm filter, VWAP</t>
        </is>
      </c>
      <c r="D609" s="9" t="inlineStr">
        <is>
          <t>Short</t>
        </is>
      </c>
      <c r="E609" s="10" t="n">
        <v>46121.39236111111</v>
      </c>
      <c r="F609" s="10" t="n">
        <v>46121.42361111111</v>
      </c>
      <c r="G609" s="11" t="n">
        <v>-15.48</v>
      </c>
      <c r="H609" s="11">
        <f>H608+G609</f>
        <v/>
      </c>
    </row>
    <row r="610">
      <c r="A610" s="9" t="n">
        <v>606</v>
      </c>
      <c r="B610" s="9" t="inlineStr">
        <is>
          <t>Vanguard_M5</t>
        </is>
      </c>
      <c r="C610" s="9" t="inlineStr">
        <is>
          <t>Trendline breakout (fractal swing line) + VWAP/S-R distance gate</t>
        </is>
      </c>
      <c r="D610" s="9" t="inlineStr">
        <is>
          <t>Long</t>
        </is>
      </c>
      <c r="E610" s="10" t="n">
        <v>46119.93055555555</v>
      </c>
      <c r="F610" s="10" t="n">
        <v>46121.54861111111</v>
      </c>
      <c r="G610" s="11" t="n">
        <v>36.99</v>
      </c>
      <c r="H610" s="11">
        <f>H609+G610</f>
        <v/>
      </c>
    </row>
    <row r="611">
      <c r="A611" s="9" t="n">
        <v>607</v>
      </c>
      <c r="B611" s="9" t="inlineStr">
        <is>
          <t>Ratchet</t>
        </is>
      </c>
      <c r="C611" s="9" t="inlineStr">
        <is>
          <t>Stochastic scalp with give-back trail exit</t>
        </is>
      </c>
      <c r="D611" s="9" t="inlineStr">
        <is>
          <t>Long</t>
        </is>
      </c>
      <c r="E611" s="10" t="n">
        <v>46121.84375</v>
      </c>
      <c r="F611" s="10" t="n">
        <v>46121.84722222222</v>
      </c>
      <c r="G611" s="11" t="n">
        <v>1.27</v>
      </c>
      <c r="H611" s="11">
        <f>H610+G611</f>
        <v/>
      </c>
    </row>
    <row r="612">
      <c r="A612" s="9" t="n">
        <v>608</v>
      </c>
      <c r="B612" s="9" t="inlineStr">
        <is>
          <t>Ratchet</t>
        </is>
      </c>
      <c r="C612" s="9" t="inlineStr">
        <is>
          <t>Stochastic scalp with give-back trail exit</t>
        </is>
      </c>
      <c r="D612" s="9" t="inlineStr">
        <is>
          <t>Long</t>
        </is>
      </c>
      <c r="E612" s="10" t="n">
        <v>46121.85416666666</v>
      </c>
      <c r="F612" s="10" t="n">
        <v>46121.86111111111</v>
      </c>
      <c r="G612" s="11" t="n">
        <v>1.76</v>
      </c>
      <c r="H612" s="11">
        <f>H611+G612</f>
        <v/>
      </c>
    </row>
    <row r="613">
      <c r="A613" s="9" t="n">
        <v>609</v>
      </c>
      <c r="B613" s="9" t="inlineStr">
        <is>
          <t>Vanguard_M15</t>
        </is>
      </c>
      <c r="C613" s="9" t="inlineStr">
        <is>
          <t>Trendline breakout (fractal swing line) + VWAP/S-R distance gate - M15 chart</t>
        </is>
      </c>
      <c r="D613" s="9" t="inlineStr">
        <is>
          <t>Long</t>
        </is>
      </c>
      <c r="E613" s="10" t="n">
        <v>46119.95833333334</v>
      </c>
      <c r="F613" s="10" t="n">
        <v>46122.08333333334</v>
      </c>
      <c r="G613" s="11" t="n">
        <v>58.55</v>
      </c>
      <c r="H613" s="11">
        <f>H612+G613</f>
        <v/>
      </c>
    </row>
    <row r="614">
      <c r="A614" s="9" t="n">
        <v>610</v>
      </c>
      <c r="B614" s="9" t="inlineStr">
        <is>
          <t>Aurelius_M15</t>
        </is>
      </c>
      <c r="C614" s="9" t="inlineStr">
        <is>
          <t>MA alignment (EMA21&gt;EMA50&gt;SMA250&gt;SMMA500 vs EMA2400 trend filter) - M15 chart</t>
        </is>
      </c>
      <c r="D614" s="9" t="inlineStr">
        <is>
          <t>Long</t>
        </is>
      </c>
      <c r="E614" s="10" t="n">
        <v>46121.69791666666</v>
      </c>
      <c r="F614" s="10" t="n">
        <v>46122.21875</v>
      </c>
      <c r="G614" s="11" t="n">
        <v>-29.1</v>
      </c>
      <c r="H614" s="11">
        <f>H613+G614</f>
        <v/>
      </c>
    </row>
    <row r="615">
      <c r="A615" s="9" t="n">
        <v>611</v>
      </c>
      <c r="B615" s="9" t="inlineStr">
        <is>
          <t>Meridian</t>
        </is>
      </c>
      <c r="C615" s="9" t="inlineStr">
        <is>
          <t>21/50 MA cross, 250-period confirm filter, VWAP</t>
        </is>
      </c>
      <c r="D615" s="9" t="inlineStr">
        <is>
          <t>Long</t>
        </is>
      </c>
      <c r="E615" s="10" t="n">
        <v>46122.29166666666</v>
      </c>
      <c r="F615" s="10" t="n">
        <v>46122.38541666666</v>
      </c>
      <c r="G615" s="11" t="n">
        <v>-12.3</v>
      </c>
      <c r="H615" s="11">
        <f>H614+G615</f>
        <v/>
      </c>
    </row>
    <row r="616">
      <c r="A616" s="9" t="n">
        <v>612</v>
      </c>
      <c r="B616" s="9" t="inlineStr">
        <is>
          <t>Aurelius_M5</t>
        </is>
      </c>
      <c r="C616" s="9" t="inlineStr">
        <is>
          <t>MA alignment (EMA21&gt;EMA50&gt;SMA250&gt;SMMA500 vs EMA2400 trend filter)</t>
        </is>
      </c>
      <c r="D616" s="9" t="inlineStr">
        <is>
          <t>Long</t>
        </is>
      </c>
      <c r="E616" s="10" t="n">
        <v>46122.35763888889</v>
      </c>
      <c r="F616" s="10" t="n">
        <v>46122.38541666666</v>
      </c>
      <c r="G616" s="11" t="n">
        <v>-9.710000000000001</v>
      </c>
      <c r="H616" s="11">
        <f>H615+G616</f>
        <v/>
      </c>
    </row>
    <row r="617">
      <c r="A617" s="9" t="n">
        <v>613</v>
      </c>
      <c r="B617" s="9" t="inlineStr">
        <is>
          <t>Vanguard_M5</t>
        </is>
      </c>
      <c r="C617" s="9" t="inlineStr">
        <is>
          <t>Trendline breakout (fractal swing line) + VWAP/S-R distance gate</t>
        </is>
      </c>
      <c r="D617" s="9" t="inlineStr">
        <is>
          <t>Short</t>
        </is>
      </c>
      <c r="E617" s="10" t="n">
        <v>46122.06944444445</v>
      </c>
      <c r="F617" s="10" t="n">
        <v>46122.64583333334</v>
      </c>
      <c r="G617" s="11" t="n">
        <v>-21.04</v>
      </c>
      <c r="H617" s="11">
        <f>H616+G617</f>
        <v/>
      </c>
    </row>
    <row r="618">
      <c r="A618" s="9" t="n">
        <v>614</v>
      </c>
      <c r="B618" s="9" t="inlineStr">
        <is>
          <t>Vanguard_M15</t>
        </is>
      </c>
      <c r="C618" s="9" t="inlineStr">
        <is>
          <t>Trendline breakout (fractal swing line) + VWAP/S-R distance gate - M15 chart</t>
        </is>
      </c>
      <c r="D618" s="9" t="inlineStr">
        <is>
          <t>Short</t>
        </is>
      </c>
      <c r="E618" s="10" t="n">
        <v>46122.09375</v>
      </c>
      <c r="F618" s="10" t="n">
        <v>46122.67708333334</v>
      </c>
      <c r="G618" s="11" t="n">
        <v>-16.4</v>
      </c>
      <c r="H618" s="11">
        <f>H617+G618</f>
        <v/>
      </c>
    </row>
    <row r="619">
      <c r="A619" s="9" t="n">
        <v>615</v>
      </c>
      <c r="B619" s="9" t="inlineStr">
        <is>
          <t>Ratchet</t>
        </is>
      </c>
      <c r="C619" s="9" t="inlineStr">
        <is>
          <t>Stochastic scalp with give-back trail exit</t>
        </is>
      </c>
      <c r="D619" s="9" t="inlineStr">
        <is>
          <t>Long</t>
        </is>
      </c>
      <c r="E619" s="10" t="n">
        <v>46122.71180555555</v>
      </c>
      <c r="F619" s="10" t="n">
        <v>46122.73611111111</v>
      </c>
      <c r="G619" s="11" t="n">
        <v>4.07</v>
      </c>
      <c r="H619" s="11">
        <f>H618+G619</f>
        <v/>
      </c>
    </row>
    <row r="620">
      <c r="A620" s="9" t="n">
        <v>616</v>
      </c>
      <c r="B620" s="9" t="inlineStr">
        <is>
          <t>Vanguard_M5</t>
        </is>
      </c>
      <c r="C620" s="9" t="inlineStr">
        <is>
          <t>Trendline breakout (fractal swing line) + VWAP/S-R distance gate</t>
        </is>
      </c>
      <c r="D620" s="9" t="inlineStr">
        <is>
          <t>Long</t>
        </is>
      </c>
      <c r="E620" s="10" t="n">
        <v>46122.64930555555</v>
      </c>
      <c r="F620" s="10" t="n">
        <v>46122.77430555555</v>
      </c>
      <c r="G620" s="11" t="n">
        <v>-23.13</v>
      </c>
      <c r="H620" s="11">
        <f>H619+G620</f>
        <v/>
      </c>
    </row>
    <row r="621">
      <c r="A621" s="9" t="n">
        <v>617</v>
      </c>
      <c r="B621" s="9" t="inlineStr">
        <is>
          <t>Meridian</t>
        </is>
      </c>
      <c r="C621" s="9" t="inlineStr">
        <is>
          <t>21/50 MA cross, 250-period confirm filter, VWAP</t>
        </is>
      </c>
      <c r="D621" s="9" t="inlineStr">
        <is>
          <t>Short</t>
        </is>
      </c>
      <c r="E621" s="10" t="n">
        <v>46122.79861111111</v>
      </c>
      <c r="F621" s="10" t="n">
        <v>46122.91666666666</v>
      </c>
      <c r="G621" s="11" t="n">
        <v>-9.1</v>
      </c>
      <c r="H621" s="11">
        <f>H620+G621</f>
        <v/>
      </c>
    </row>
    <row r="622">
      <c r="A622" s="9" t="n">
        <v>618</v>
      </c>
      <c r="B622" s="9" t="inlineStr">
        <is>
          <t>Aurelius_M15</t>
        </is>
      </c>
      <c r="C622" s="9" t="inlineStr">
        <is>
          <t>MA alignment (EMA21&gt;EMA50&gt;SMA250&gt;SMMA500 vs EMA2400 trend filter) - M15 chart</t>
        </is>
      </c>
      <c r="D622" s="9" t="inlineStr">
        <is>
          <t>Long</t>
        </is>
      </c>
      <c r="E622" s="10" t="n">
        <v>46122.69791666666</v>
      </c>
      <c r="F622" s="10" t="n">
        <v>46122.92708333334</v>
      </c>
      <c r="G622" s="11" t="n">
        <v>-2.53</v>
      </c>
      <c r="H622" s="11">
        <f>H621+G622</f>
        <v/>
      </c>
    </row>
    <row r="623">
      <c r="A623" s="9" t="n">
        <v>619</v>
      </c>
      <c r="B623" s="9" t="inlineStr">
        <is>
          <t>Vanguard_M15</t>
        </is>
      </c>
      <c r="C623" s="9" t="inlineStr">
        <is>
          <t>Trendline breakout (fractal swing line) + VWAP/S-R distance gate - M15 chart</t>
        </is>
      </c>
      <c r="D623" s="9" t="inlineStr">
        <is>
          <t>Long</t>
        </is>
      </c>
      <c r="E623" s="10" t="n">
        <v>46122.6875</v>
      </c>
      <c r="F623" s="10" t="n">
        <v>46122.96875</v>
      </c>
      <c r="G623" s="11" t="n">
        <v>-28.94</v>
      </c>
      <c r="H623" s="11">
        <f>H622+G623</f>
        <v/>
      </c>
    </row>
    <row r="624">
      <c r="A624" s="9" t="n">
        <v>620</v>
      </c>
      <c r="B624" s="9" t="inlineStr">
        <is>
          <t>Vanguard_M5</t>
        </is>
      </c>
      <c r="C624" s="9" t="inlineStr">
        <is>
          <t>Trendline breakout (fractal swing line) + VWAP/S-R distance gate</t>
        </is>
      </c>
      <c r="D624" s="9" t="inlineStr">
        <is>
          <t>Long</t>
        </is>
      </c>
      <c r="E624" s="10" t="n">
        <v>46122.89930555555</v>
      </c>
      <c r="F624" s="10" t="n">
        <v>46122.97569444445</v>
      </c>
      <c r="G624" s="11" t="n">
        <v>-23.39</v>
      </c>
      <c r="H624" s="11">
        <f>H623+G624</f>
        <v/>
      </c>
    </row>
    <row r="625">
      <c r="A625" s="9" t="n">
        <v>621</v>
      </c>
      <c r="B625" s="9" t="inlineStr">
        <is>
          <t>MSG</t>
        </is>
      </c>
      <c r="C625" s="9" t="inlineStr">
        <is>
          <t>Session-range breakout + Fibonacci retracement-zone entry</t>
        </is>
      </c>
      <c r="D625" s="9" t="inlineStr">
        <is>
          <t>Short</t>
        </is>
      </c>
      <c r="E625" s="10" t="n">
        <v>46125.58611111111</v>
      </c>
      <c r="F625" s="10" t="n">
        <v>46125.61388888889</v>
      </c>
      <c r="G625" s="11" t="n">
        <v>44.06</v>
      </c>
      <c r="H625" s="11">
        <f>H624+G625</f>
        <v/>
      </c>
    </row>
    <row r="626">
      <c r="A626" s="9" t="n">
        <v>622</v>
      </c>
      <c r="B626" s="9" t="inlineStr">
        <is>
          <t>Meridian</t>
        </is>
      </c>
      <c r="C626" s="9" t="inlineStr">
        <is>
          <t>21/50 MA cross, 250-period confirm filter, VWAP</t>
        </is>
      </c>
      <c r="D626" s="9" t="inlineStr">
        <is>
          <t>Long</t>
        </is>
      </c>
      <c r="E626" s="10" t="n">
        <v>46125.67708333334</v>
      </c>
      <c r="F626" s="10" t="n">
        <v>46125.71875</v>
      </c>
      <c r="G626" s="11" t="n">
        <v>-15.24</v>
      </c>
      <c r="H626" s="11">
        <f>H625+G626</f>
        <v/>
      </c>
    </row>
    <row r="627">
      <c r="A627" s="9" t="n">
        <v>623</v>
      </c>
      <c r="B627" s="9" t="inlineStr">
        <is>
          <t>Ratchet</t>
        </is>
      </c>
      <c r="C627" s="9" t="inlineStr">
        <is>
          <t>Stochastic scalp with give-back trail exit</t>
        </is>
      </c>
      <c r="D627" s="9" t="inlineStr">
        <is>
          <t>Long</t>
        </is>
      </c>
      <c r="E627" s="10" t="n">
        <v>46126.17708333334</v>
      </c>
      <c r="F627" s="10" t="n">
        <v>46126.1875</v>
      </c>
      <c r="G627" s="11" t="n">
        <v>-9.720000000000001</v>
      </c>
      <c r="H627" s="11">
        <f>H626+G627</f>
        <v/>
      </c>
    </row>
    <row r="628">
      <c r="A628" s="9" t="n">
        <v>624</v>
      </c>
      <c r="B628" s="9" t="inlineStr">
        <is>
          <t>Ratchet</t>
        </is>
      </c>
      <c r="C628" s="9" t="inlineStr">
        <is>
          <t>Stochastic scalp with give-back trail exit</t>
        </is>
      </c>
      <c r="D628" s="9" t="inlineStr">
        <is>
          <t>Long</t>
        </is>
      </c>
      <c r="E628" s="10" t="n">
        <v>46126.25</v>
      </c>
      <c r="F628" s="10" t="n">
        <v>46126.26041666666</v>
      </c>
      <c r="G628" s="11" t="n">
        <v>-7.28</v>
      </c>
      <c r="H628" s="11">
        <f>H627+G628</f>
        <v/>
      </c>
    </row>
    <row r="629">
      <c r="A629" s="9" t="n">
        <v>625</v>
      </c>
      <c r="B629" s="9" t="inlineStr">
        <is>
          <t>Ratchet</t>
        </is>
      </c>
      <c r="C629" s="9" t="inlineStr">
        <is>
          <t>Stochastic scalp with give-back trail exit</t>
        </is>
      </c>
      <c r="D629" s="9" t="inlineStr">
        <is>
          <t>Long</t>
        </is>
      </c>
      <c r="E629" s="10" t="n">
        <v>46126.28819444445</v>
      </c>
      <c r="F629" s="10" t="n">
        <v>46126.31597222222</v>
      </c>
      <c r="G629" s="11" t="n">
        <v>1.3</v>
      </c>
      <c r="H629" s="11">
        <f>H628+G629</f>
        <v/>
      </c>
    </row>
    <row r="630">
      <c r="A630" s="9" t="n">
        <v>626</v>
      </c>
      <c r="B630" s="9" t="inlineStr">
        <is>
          <t>Ratchet</t>
        </is>
      </c>
      <c r="C630" s="9" t="inlineStr">
        <is>
          <t>Stochastic scalp with give-back trail exit</t>
        </is>
      </c>
      <c r="D630" s="9" t="inlineStr">
        <is>
          <t>Long</t>
        </is>
      </c>
      <c r="E630" s="10" t="n">
        <v>46126.32291666666</v>
      </c>
      <c r="F630" s="10" t="n">
        <v>46126.32638888889</v>
      </c>
      <c r="G630" s="11" t="n">
        <v>0.55</v>
      </c>
      <c r="H630" s="11">
        <f>H629+G630</f>
        <v/>
      </c>
    </row>
    <row r="631">
      <c r="A631" s="9" t="n">
        <v>627</v>
      </c>
      <c r="B631" s="9" t="inlineStr">
        <is>
          <t>Meridian</t>
        </is>
      </c>
      <c r="C631" s="9" t="inlineStr">
        <is>
          <t>21/50 MA cross, 250-period confirm filter, VWAP</t>
        </is>
      </c>
      <c r="D631" s="9" t="inlineStr">
        <is>
          <t>Long</t>
        </is>
      </c>
      <c r="E631" s="10" t="n">
        <v>46125.81597222222</v>
      </c>
      <c r="F631" s="10" t="n">
        <v>46126.36458333334</v>
      </c>
      <c r="G631" s="11" t="n">
        <v>26.9</v>
      </c>
      <c r="H631" s="11">
        <f>H630+G631</f>
        <v/>
      </c>
    </row>
    <row r="632">
      <c r="A632" s="9" t="n">
        <v>628</v>
      </c>
      <c r="B632" s="9" t="inlineStr">
        <is>
          <t>Aurelius_M5</t>
        </is>
      </c>
      <c r="C632" s="9" t="inlineStr">
        <is>
          <t>MA alignment (EMA21&gt;EMA50&gt;SMA250&gt;SMMA500 vs EMA2400 trend filter)</t>
        </is>
      </c>
      <c r="D632" s="9" t="inlineStr">
        <is>
          <t>Long</t>
        </is>
      </c>
      <c r="E632" s="10" t="n">
        <v>46126.42708333334</v>
      </c>
      <c r="F632" s="10" t="n">
        <v>46126.43055555555</v>
      </c>
      <c r="G632" s="11" t="n">
        <v>-13.22</v>
      </c>
      <c r="H632" s="11">
        <f>H631+G632</f>
        <v/>
      </c>
    </row>
    <row r="633">
      <c r="A633" s="9" t="n">
        <v>629</v>
      </c>
      <c r="B633" s="9" t="inlineStr">
        <is>
          <t>Meridian</t>
        </is>
      </c>
      <c r="C633" s="9" t="inlineStr">
        <is>
          <t>21/50 MA cross, 250-period confirm filter, VWAP</t>
        </is>
      </c>
      <c r="D633" s="9" t="inlineStr">
        <is>
          <t>Long</t>
        </is>
      </c>
      <c r="E633" s="10" t="n">
        <v>46126.41319444445</v>
      </c>
      <c r="F633" s="10" t="n">
        <v>46126.43402777778</v>
      </c>
      <c r="G633" s="11" t="n">
        <v>-11.22</v>
      </c>
      <c r="H633" s="11">
        <f>H632+G633</f>
        <v/>
      </c>
    </row>
    <row r="634">
      <c r="A634" s="9" t="n">
        <v>630</v>
      </c>
      <c r="B634" s="9" t="inlineStr">
        <is>
          <t>Vanguard_M5</t>
        </is>
      </c>
      <c r="C634" s="9" t="inlineStr">
        <is>
          <t>Trendline breakout (fractal swing line) + VWAP/S-R distance gate</t>
        </is>
      </c>
      <c r="D634" s="9" t="inlineStr">
        <is>
          <t>Long</t>
        </is>
      </c>
      <c r="E634" s="10" t="n">
        <v>46126.42013888889</v>
      </c>
      <c r="F634" s="10" t="n">
        <v>46126.43402777778</v>
      </c>
      <c r="G634" s="11" t="n">
        <v>-19.17</v>
      </c>
      <c r="H634" s="11">
        <f>H633+G634</f>
        <v/>
      </c>
    </row>
    <row r="635">
      <c r="A635" s="9" t="n">
        <v>631</v>
      </c>
      <c r="B635" s="9" t="inlineStr">
        <is>
          <t>Ratchet</t>
        </is>
      </c>
      <c r="C635" s="9" t="inlineStr">
        <is>
          <t>Stochastic scalp with give-back trail exit</t>
        </is>
      </c>
      <c r="D635" s="9" t="inlineStr">
        <is>
          <t>Long</t>
        </is>
      </c>
      <c r="E635" s="10" t="n">
        <v>46126.46875</v>
      </c>
      <c r="F635" s="10" t="n">
        <v>46126.48611111111</v>
      </c>
      <c r="G635" s="11" t="n">
        <v>2.38</v>
      </c>
      <c r="H635" s="11">
        <f>H634+G635</f>
        <v/>
      </c>
    </row>
    <row r="636">
      <c r="A636" s="9" t="n">
        <v>632</v>
      </c>
      <c r="B636" s="9" t="inlineStr">
        <is>
          <t>Ratchet</t>
        </is>
      </c>
      <c r="C636" s="9" t="inlineStr">
        <is>
          <t>Stochastic scalp with give-back trail exit</t>
        </is>
      </c>
      <c r="D636" s="9" t="inlineStr">
        <is>
          <t>Long</t>
        </is>
      </c>
      <c r="E636" s="10" t="n">
        <v>46126.51041666666</v>
      </c>
      <c r="F636" s="10" t="n">
        <v>46126.52083333334</v>
      </c>
      <c r="G636" s="11" t="n">
        <v>-7.92</v>
      </c>
      <c r="H636" s="11">
        <f>H635+G636</f>
        <v/>
      </c>
    </row>
    <row r="637">
      <c r="A637" s="9" t="n">
        <v>633</v>
      </c>
      <c r="B637" s="9" t="inlineStr">
        <is>
          <t>Vanguard_M15</t>
        </is>
      </c>
      <c r="C637" s="9" t="inlineStr">
        <is>
          <t>Trendline breakout (fractal swing line) + VWAP/S-R distance gate - M15 chart</t>
        </is>
      </c>
      <c r="D637" s="9" t="inlineStr">
        <is>
          <t>Long</t>
        </is>
      </c>
      <c r="E637" s="10" t="n">
        <v>46126.42708333334</v>
      </c>
      <c r="F637" s="10" t="n">
        <v>46126.5625</v>
      </c>
      <c r="G637" s="11" t="n">
        <v>-24.64</v>
      </c>
      <c r="H637" s="11">
        <f>H636+G637</f>
        <v/>
      </c>
    </row>
    <row r="638">
      <c r="A638" s="9" t="n">
        <v>634</v>
      </c>
      <c r="B638" s="9" t="inlineStr">
        <is>
          <t>Aurelius_M5</t>
        </is>
      </c>
      <c r="C638" s="9" t="inlineStr">
        <is>
          <t>MA alignment (EMA21&gt;EMA50&gt;SMA250&gt;SMMA500 vs EMA2400 trend filter)</t>
        </is>
      </c>
      <c r="D638" s="9" t="inlineStr">
        <is>
          <t>Long</t>
        </is>
      </c>
      <c r="E638" s="10" t="n">
        <v>46126.45486111111</v>
      </c>
      <c r="F638" s="10" t="n">
        <v>46126.56597222222</v>
      </c>
      <c r="G638" s="11" t="n">
        <v>-14.21</v>
      </c>
      <c r="H638" s="11">
        <f>H637+G638</f>
        <v/>
      </c>
    </row>
    <row r="639">
      <c r="A639" s="9" t="n">
        <v>635</v>
      </c>
      <c r="B639" s="9" t="inlineStr">
        <is>
          <t>Vanguard_M5</t>
        </is>
      </c>
      <c r="C639" s="9" t="inlineStr">
        <is>
          <t>Trendline breakout (fractal swing line) + VWAP/S-R distance gate</t>
        </is>
      </c>
      <c r="D639" s="9" t="inlineStr">
        <is>
          <t>Long</t>
        </is>
      </c>
      <c r="E639" s="10" t="n">
        <v>46126.47916666666</v>
      </c>
      <c r="F639" s="10" t="n">
        <v>46126.56597222222</v>
      </c>
      <c r="G639" s="11" t="n">
        <v>-22.39</v>
      </c>
      <c r="H639" s="11">
        <f>H638+G639</f>
        <v/>
      </c>
    </row>
    <row r="640">
      <c r="A640" s="9" t="n">
        <v>636</v>
      </c>
      <c r="B640" s="9" t="inlineStr">
        <is>
          <t>Vanguard_M15</t>
        </is>
      </c>
      <c r="C640" s="9" t="inlineStr">
        <is>
          <t>Trendline breakout (fractal swing line) + VWAP/S-R distance gate - M15 chart</t>
        </is>
      </c>
      <c r="D640" s="9" t="inlineStr">
        <is>
          <t>Short</t>
        </is>
      </c>
      <c r="E640" s="10" t="n">
        <v>46126.65625</v>
      </c>
      <c r="F640" s="10" t="n">
        <v>46126.66666666666</v>
      </c>
      <c r="G640" s="11" t="n">
        <v>-13.25</v>
      </c>
      <c r="H640" s="11">
        <f>H639+G640</f>
        <v/>
      </c>
    </row>
    <row r="641">
      <c r="A641" s="9" t="n">
        <v>637</v>
      </c>
      <c r="B641" s="9" t="inlineStr">
        <is>
          <t>Vanguard_M5</t>
        </is>
      </c>
      <c r="C641" s="9" t="inlineStr">
        <is>
          <t>Trendline breakout (fractal swing line) + VWAP/S-R distance gate</t>
        </is>
      </c>
      <c r="D641" s="9" t="inlineStr">
        <is>
          <t>Short</t>
        </is>
      </c>
      <c r="E641" s="10" t="n">
        <v>46126.64236111111</v>
      </c>
      <c r="F641" s="10" t="n">
        <v>46126.67361111111</v>
      </c>
      <c r="G641" s="11" t="n">
        <v>-16.13</v>
      </c>
      <c r="H641" s="11">
        <f>H640+G641</f>
        <v/>
      </c>
    </row>
    <row r="642">
      <c r="A642" s="9" t="n">
        <v>638</v>
      </c>
      <c r="B642" s="9" t="inlineStr">
        <is>
          <t>Ratchet</t>
        </is>
      </c>
      <c r="C642" s="9" t="inlineStr">
        <is>
          <t>Stochastic scalp with give-back trail exit</t>
        </is>
      </c>
      <c r="D642" s="9" t="inlineStr">
        <is>
          <t>Long</t>
        </is>
      </c>
      <c r="E642" s="10" t="n">
        <v>46126.70138888889</v>
      </c>
      <c r="F642" s="10" t="n">
        <v>46126.71527777778</v>
      </c>
      <c r="G642" s="11" t="n">
        <v>2.32</v>
      </c>
      <c r="H642" s="11">
        <f>H641+G642</f>
        <v/>
      </c>
    </row>
    <row r="643">
      <c r="A643" s="9" t="n">
        <v>639</v>
      </c>
      <c r="B643" s="9" t="inlineStr">
        <is>
          <t>Ratchet</t>
        </is>
      </c>
      <c r="C643" s="9" t="inlineStr">
        <is>
          <t>Stochastic scalp with give-back trail exit</t>
        </is>
      </c>
      <c r="D643" s="9" t="inlineStr">
        <is>
          <t>Long</t>
        </is>
      </c>
      <c r="E643" s="10" t="n">
        <v>46126.92361111111</v>
      </c>
      <c r="F643" s="10" t="n">
        <v>46126.95138888889</v>
      </c>
      <c r="G643" s="11" t="n">
        <v>0</v>
      </c>
      <c r="H643" s="11">
        <f>H642+G643</f>
        <v/>
      </c>
    </row>
    <row r="644">
      <c r="A644" s="9" t="n">
        <v>640</v>
      </c>
      <c r="B644" s="9" t="inlineStr">
        <is>
          <t>Ratchet</t>
        </is>
      </c>
      <c r="C644" s="9" t="inlineStr">
        <is>
          <t>Stochastic scalp with give-back trail exit</t>
        </is>
      </c>
      <c r="D644" s="9" t="inlineStr">
        <is>
          <t>Long</t>
        </is>
      </c>
      <c r="E644" s="10" t="n">
        <v>46127.11111111111</v>
      </c>
      <c r="F644" s="10" t="n">
        <v>46127.125</v>
      </c>
      <c r="G644" s="11" t="n">
        <v>-7</v>
      </c>
      <c r="H644" s="11">
        <f>H643+G644</f>
        <v/>
      </c>
    </row>
    <row r="645">
      <c r="A645" s="9" t="n">
        <v>641</v>
      </c>
      <c r="B645" s="9" t="inlineStr">
        <is>
          <t>Meridian</t>
        </is>
      </c>
      <c r="C645" s="9" t="inlineStr">
        <is>
          <t>21/50 MA cross, 250-period confirm filter, VWAP</t>
        </is>
      </c>
      <c r="D645" s="9" t="inlineStr">
        <is>
          <t>Long</t>
        </is>
      </c>
      <c r="E645" s="10" t="n">
        <v>46126.68402777778</v>
      </c>
      <c r="F645" s="10" t="n">
        <v>46127.15277777778</v>
      </c>
      <c r="G645" s="11" t="n">
        <v>37.45</v>
      </c>
      <c r="H645" s="11">
        <f>H644+G645</f>
        <v/>
      </c>
    </row>
    <row r="646">
      <c r="A646" s="9" t="n">
        <v>642</v>
      </c>
      <c r="B646" s="9" t="inlineStr">
        <is>
          <t>Meridian</t>
        </is>
      </c>
      <c r="C646" s="9" t="inlineStr">
        <is>
          <t>21/50 MA cross, 250-period confirm filter, VWAP</t>
        </is>
      </c>
      <c r="D646" s="9" t="inlineStr">
        <is>
          <t>Long</t>
        </is>
      </c>
      <c r="E646" s="10" t="n">
        <v>46127.17708333334</v>
      </c>
      <c r="F646" s="10" t="n">
        <v>46127.22222222222</v>
      </c>
      <c r="G646" s="11" t="n">
        <v>-13.94</v>
      </c>
      <c r="H646" s="11">
        <f>H645+G646</f>
        <v/>
      </c>
    </row>
    <row r="647">
      <c r="A647" s="9" t="n">
        <v>643</v>
      </c>
      <c r="B647" s="9" t="inlineStr">
        <is>
          <t>Aurelius_M15</t>
        </is>
      </c>
      <c r="C647" s="9" t="inlineStr">
        <is>
          <t>MA alignment (EMA21&gt;EMA50&gt;SMA250&gt;SMMA500 vs EMA2400 trend filter) - M15 chart</t>
        </is>
      </c>
      <c r="D647" s="9" t="inlineStr">
        <is>
          <t>Long</t>
        </is>
      </c>
      <c r="E647" s="10" t="n">
        <v>46126.67708333334</v>
      </c>
      <c r="F647" s="10" t="n">
        <v>46127.30208333334</v>
      </c>
      <c r="G647" s="11" t="n">
        <v>43.14</v>
      </c>
      <c r="H647" s="11">
        <f>H646+G647</f>
        <v/>
      </c>
    </row>
    <row r="648">
      <c r="A648" s="9" t="n">
        <v>644</v>
      </c>
      <c r="B648" s="9" t="inlineStr">
        <is>
          <t>Vanguard_M5</t>
        </is>
      </c>
      <c r="C648" s="9" t="inlineStr">
        <is>
          <t>Trendline breakout (fractal swing line) + VWAP/S-R distance gate</t>
        </is>
      </c>
      <c r="D648" s="9" t="inlineStr">
        <is>
          <t>Long</t>
        </is>
      </c>
      <c r="E648" s="10" t="n">
        <v>46126.67708333334</v>
      </c>
      <c r="F648" s="10" t="n">
        <v>46127.44791666666</v>
      </c>
      <c r="G648" s="11" t="n">
        <v>25.67</v>
      </c>
      <c r="H648" s="11">
        <f>H647+G648</f>
        <v/>
      </c>
    </row>
    <row r="649">
      <c r="A649" s="9" t="n">
        <v>645</v>
      </c>
      <c r="B649" s="9" t="inlineStr">
        <is>
          <t>Vanguard_M15</t>
        </is>
      </c>
      <c r="C649" s="9" t="inlineStr">
        <is>
          <t>Trendline breakout (fractal swing line) + VWAP/S-R distance gate - M15 chart</t>
        </is>
      </c>
      <c r="D649" s="9" t="inlineStr">
        <is>
          <t>Long</t>
        </is>
      </c>
      <c r="E649" s="10" t="n">
        <v>46126.67708333334</v>
      </c>
      <c r="F649" s="10" t="n">
        <v>46127.46875</v>
      </c>
      <c r="G649" s="11" t="n">
        <v>27.67</v>
      </c>
      <c r="H649" s="11">
        <f>H648+G649</f>
        <v/>
      </c>
    </row>
    <row r="650">
      <c r="A650" s="9" t="n">
        <v>646</v>
      </c>
      <c r="B650" s="9" t="inlineStr">
        <is>
          <t>MSG</t>
        </is>
      </c>
      <c r="C650" s="9" t="inlineStr">
        <is>
          <t>Session-range breakout + Fibonacci retracement-zone entry</t>
        </is>
      </c>
      <c r="D650" s="9" t="inlineStr">
        <is>
          <t>Short</t>
        </is>
      </c>
      <c r="E650" s="10" t="n">
        <v>46127.6</v>
      </c>
      <c r="F650" s="10" t="n">
        <v>46127.68125</v>
      </c>
      <c r="G650" s="11" t="n">
        <v>-37.47</v>
      </c>
      <c r="H650" s="11">
        <f>H649+G650</f>
        <v/>
      </c>
    </row>
    <row r="651">
      <c r="A651" s="9" t="n">
        <v>647</v>
      </c>
      <c r="B651" s="9" t="inlineStr">
        <is>
          <t>Vanguard_M5</t>
        </is>
      </c>
      <c r="C651" s="9" t="inlineStr">
        <is>
          <t>Trendline breakout (fractal swing line) + VWAP/S-R distance gate</t>
        </is>
      </c>
      <c r="D651" s="9" t="inlineStr">
        <is>
          <t>Short</t>
        </is>
      </c>
      <c r="E651" s="10" t="n">
        <v>46127.45138888889</v>
      </c>
      <c r="F651" s="10" t="n">
        <v>46127.70486111111</v>
      </c>
      <c r="G651" s="11" t="n">
        <v>-21.71</v>
      </c>
      <c r="H651" s="11">
        <f>H650+G651</f>
        <v/>
      </c>
    </row>
    <row r="652">
      <c r="A652" s="9" t="n">
        <v>648</v>
      </c>
      <c r="B652" s="9" t="inlineStr">
        <is>
          <t>Meridian</t>
        </is>
      </c>
      <c r="C652" s="9" t="inlineStr">
        <is>
          <t>21/50 MA cross, 250-period confirm filter, VWAP</t>
        </is>
      </c>
      <c r="D652" s="9" t="inlineStr">
        <is>
          <t>Short</t>
        </is>
      </c>
      <c r="E652" s="10" t="n">
        <v>46127.77083333334</v>
      </c>
      <c r="F652" s="10" t="n">
        <v>46128.07986111111</v>
      </c>
      <c r="G652" s="11" t="n">
        <v>-12.35</v>
      </c>
      <c r="H652" s="11">
        <f>H651+G652</f>
        <v/>
      </c>
    </row>
    <row r="653">
      <c r="A653" s="9" t="n">
        <v>649</v>
      </c>
      <c r="B653" s="9" t="inlineStr">
        <is>
          <t>Vanguard_M5</t>
        </is>
      </c>
      <c r="C653" s="9" t="inlineStr">
        <is>
          <t>Trendline breakout (fractal swing line) + VWAP/S-R distance gate</t>
        </is>
      </c>
      <c r="D653" s="9" t="inlineStr">
        <is>
          <t>Short</t>
        </is>
      </c>
      <c r="E653" s="10" t="n">
        <v>46127.92708333334</v>
      </c>
      <c r="F653" s="10" t="n">
        <v>46128.10416666666</v>
      </c>
      <c r="G653" s="11" t="n">
        <v>-17.66</v>
      </c>
      <c r="H653" s="11">
        <f>H652+G653</f>
        <v/>
      </c>
    </row>
    <row r="654">
      <c r="A654" s="9" t="n">
        <v>650</v>
      </c>
      <c r="B654" s="9" t="inlineStr">
        <is>
          <t>Vanguard_M15</t>
        </is>
      </c>
      <c r="C654" s="9" t="inlineStr">
        <is>
          <t>Trendline breakout (fractal swing line) + VWAP/S-R distance gate - M15 chart</t>
        </is>
      </c>
      <c r="D654" s="9" t="inlineStr">
        <is>
          <t>Short</t>
        </is>
      </c>
      <c r="E654" s="10" t="n">
        <v>46127.47916666666</v>
      </c>
      <c r="F654" s="10" t="n">
        <v>46128.14583333334</v>
      </c>
      <c r="G654" s="11" t="n">
        <v>-25.58</v>
      </c>
      <c r="H654" s="11">
        <f>H653+G654</f>
        <v/>
      </c>
    </row>
    <row r="655">
      <c r="A655" s="9" t="n">
        <v>651</v>
      </c>
      <c r="B655" s="9" t="inlineStr">
        <is>
          <t>Ratchet</t>
        </is>
      </c>
      <c r="C655" s="9" t="inlineStr">
        <is>
          <t>Stochastic scalp with give-back trail exit</t>
        </is>
      </c>
      <c r="D655" s="9" t="inlineStr">
        <is>
          <t>Long</t>
        </is>
      </c>
      <c r="E655" s="10" t="n">
        <v>46128.42361111111</v>
      </c>
      <c r="F655" s="10" t="n">
        <v>46128.43055555555</v>
      </c>
      <c r="G655" s="11" t="n">
        <v>-9.76</v>
      </c>
      <c r="H655" s="11">
        <f>H654+G655</f>
        <v/>
      </c>
    </row>
    <row r="656">
      <c r="A656" s="9" t="n">
        <v>652</v>
      </c>
      <c r="B656" s="9" t="inlineStr">
        <is>
          <t>Aurelius_M15</t>
        </is>
      </c>
      <c r="C656" s="9" t="inlineStr">
        <is>
          <t>MA alignment (EMA21&gt;EMA50&gt;SMA250&gt;SMMA500 vs EMA2400 trend filter) - M15 chart</t>
        </is>
      </c>
      <c r="D656" s="9" t="inlineStr">
        <is>
          <t>Long</t>
        </is>
      </c>
      <c r="E656" s="10" t="n">
        <v>46128.17708333334</v>
      </c>
      <c r="F656" s="10" t="n">
        <v>46128.45833333334</v>
      </c>
      <c r="G656" s="11" t="n">
        <v>-19.3</v>
      </c>
      <c r="H656" s="11">
        <f>H655+G656</f>
        <v/>
      </c>
    </row>
    <row r="657">
      <c r="A657" s="9" t="n">
        <v>653</v>
      </c>
      <c r="B657" s="9" t="inlineStr">
        <is>
          <t>Meridian</t>
        </is>
      </c>
      <c r="C657" s="9" t="inlineStr">
        <is>
          <t>21/50 MA cross, 250-period confirm filter, VWAP</t>
        </is>
      </c>
      <c r="D657" s="9" t="inlineStr">
        <is>
          <t>Long</t>
        </is>
      </c>
      <c r="E657" s="10" t="n">
        <v>46128.41319444445</v>
      </c>
      <c r="F657" s="10" t="n">
        <v>46128.45833333334</v>
      </c>
      <c r="G657" s="11" t="n">
        <v>-11.98</v>
      </c>
      <c r="H657" s="11">
        <f>H656+G657</f>
        <v/>
      </c>
    </row>
    <row r="658">
      <c r="A658" s="9" t="n">
        <v>654</v>
      </c>
      <c r="B658" s="9" t="inlineStr">
        <is>
          <t>Meridian</t>
        </is>
      </c>
      <c r="C658" s="9" t="inlineStr">
        <is>
          <t>21/50 MA cross, 250-period confirm filter, VWAP</t>
        </is>
      </c>
      <c r="D658" s="9" t="inlineStr">
        <is>
          <t>Long</t>
        </is>
      </c>
      <c r="E658" s="10" t="n">
        <v>46128.625</v>
      </c>
      <c r="F658" s="10" t="n">
        <v>46128.63194444445</v>
      </c>
      <c r="G658" s="11" t="n">
        <v>-8.880000000000001</v>
      </c>
      <c r="H658" s="11">
        <f>H657+G658</f>
        <v/>
      </c>
    </row>
    <row r="659">
      <c r="A659" s="9" t="n">
        <v>655</v>
      </c>
      <c r="B659" s="9" t="inlineStr">
        <is>
          <t>Aurelius_M5</t>
        </is>
      </c>
      <c r="C659" s="9" t="inlineStr">
        <is>
          <t>MA alignment (EMA21&gt;EMA50&gt;SMA250&gt;SMMA500 vs EMA2400 trend filter)</t>
        </is>
      </c>
      <c r="D659" s="9" t="inlineStr">
        <is>
          <t>Long</t>
        </is>
      </c>
      <c r="E659" s="10" t="n">
        <v>46128.64930555555</v>
      </c>
      <c r="F659" s="10" t="n">
        <v>46128.70138888889</v>
      </c>
      <c r="G659" s="11" t="n">
        <v>-10.52</v>
      </c>
      <c r="H659" s="11">
        <f>H658+G659</f>
        <v/>
      </c>
    </row>
    <row r="660">
      <c r="A660" s="9" t="n">
        <v>656</v>
      </c>
      <c r="B660" s="9" t="inlineStr">
        <is>
          <t>Meridian</t>
        </is>
      </c>
      <c r="C660" s="9" t="inlineStr">
        <is>
          <t>21/50 MA cross, 250-period confirm filter, VWAP</t>
        </is>
      </c>
      <c r="D660" s="9" t="inlineStr">
        <is>
          <t>Short</t>
        </is>
      </c>
      <c r="E660" s="10" t="n">
        <v>46128.70486111111</v>
      </c>
      <c r="F660" s="10" t="n">
        <v>46128.75694444445</v>
      </c>
      <c r="G660" s="11" t="n">
        <v>-17.75</v>
      </c>
      <c r="H660" s="11">
        <f>H659+G660</f>
        <v/>
      </c>
    </row>
    <row r="661">
      <c r="A661" s="9" t="n">
        <v>657</v>
      </c>
      <c r="B661" s="9" t="inlineStr">
        <is>
          <t>Meridian</t>
        </is>
      </c>
      <c r="C661" s="9" t="inlineStr">
        <is>
          <t>21/50 MA cross, 250-period confirm filter, VWAP</t>
        </is>
      </c>
      <c r="D661" s="9" t="inlineStr">
        <is>
          <t>Short</t>
        </is>
      </c>
      <c r="E661" s="10" t="n">
        <v>46129.13194444445</v>
      </c>
      <c r="F661" s="10" t="n">
        <v>46129.14583333334</v>
      </c>
      <c r="G661" s="11" t="n">
        <v>-7.2</v>
      </c>
      <c r="H661" s="11">
        <f>H660+G661</f>
        <v/>
      </c>
    </row>
    <row r="662">
      <c r="A662" s="9" t="n">
        <v>658</v>
      </c>
      <c r="B662" s="9" t="inlineStr">
        <is>
          <t>Meridian</t>
        </is>
      </c>
      <c r="C662" s="9" t="inlineStr">
        <is>
          <t>21/50 MA cross, 250-period confirm filter, VWAP</t>
        </is>
      </c>
      <c r="D662" s="9" t="inlineStr">
        <is>
          <t>Short</t>
        </is>
      </c>
      <c r="E662" s="10" t="n">
        <v>46129.17361111111</v>
      </c>
      <c r="F662" s="10" t="n">
        <v>46129.21180555555</v>
      </c>
      <c r="G662" s="11" t="n">
        <v>-9.82</v>
      </c>
      <c r="H662" s="11">
        <f>H661+G662</f>
        <v/>
      </c>
    </row>
    <row r="663">
      <c r="A663" s="9" t="n">
        <v>659</v>
      </c>
      <c r="B663" s="9" t="inlineStr">
        <is>
          <t>Meridian</t>
        </is>
      </c>
      <c r="C663" s="9" t="inlineStr">
        <is>
          <t>21/50 MA cross, 250-period confirm filter, VWAP</t>
        </is>
      </c>
      <c r="D663" s="9" t="inlineStr">
        <is>
          <t>Short</t>
        </is>
      </c>
      <c r="E663" s="10" t="n">
        <v>46129.39236111111</v>
      </c>
      <c r="F663" s="10" t="n">
        <v>46129.5</v>
      </c>
      <c r="G663" s="11" t="n">
        <v>-10.14</v>
      </c>
      <c r="H663" s="11">
        <f>H662+G663</f>
        <v/>
      </c>
    </row>
    <row r="664">
      <c r="A664" s="9" t="n">
        <v>660</v>
      </c>
      <c r="B664" s="9" t="inlineStr">
        <is>
          <t>Meridian</t>
        </is>
      </c>
      <c r="C664" s="9" t="inlineStr">
        <is>
          <t>21/50 MA cross, 250-period confirm filter, VWAP</t>
        </is>
      </c>
      <c r="D664" s="9" t="inlineStr">
        <is>
          <t>Long</t>
        </is>
      </c>
      <c r="E664" s="10" t="n">
        <v>46129.50694444445</v>
      </c>
      <c r="F664" s="10" t="n">
        <v>46129.56944444445</v>
      </c>
      <c r="G664" s="11" t="n">
        <v>-10.6</v>
      </c>
      <c r="H664" s="11">
        <f>H663+G664</f>
        <v/>
      </c>
    </row>
    <row r="665">
      <c r="A665" s="9" t="n">
        <v>661</v>
      </c>
      <c r="B665" s="9" t="inlineStr">
        <is>
          <t>MSG</t>
        </is>
      </c>
      <c r="C665" s="9" t="inlineStr">
        <is>
          <t>Session-range breakout + Fibonacci retracement-zone entry</t>
        </is>
      </c>
      <c r="D665" s="9" t="inlineStr">
        <is>
          <t>Long</t>
        </is>
      </c>
      <c r="E665" s="10" t="n">
        <v>46129.54236111111</v>
      </c>
      <c r="F665" s="10" t="n">
        <v>46129.56944444445</v>
      </c>
      <c r="G665" s="11" t="n">
        <v>-17.54</v>
      </c>
      <c r="H665" s="11">
        <f>H664+G665</f>
        <v/>
      </c>
    </row>
    <row r="666">
      <c r="A666" s="9" t="n">
        <v>662</v>
      </c>
      <c r="B666" s="9" t="inlineStr">
        <is>
          <t>Vanguard_M15</t>
        </is>
      </c>
      <c r="C666" s="9" t="inlineStr">
        <is>
          <t>Trendline breakout (fractal swing line) + VWAP/S-R distance gate - M15 chart</t>
        </is>
      </c>
      <c r="D666" s="9" t="inlineStr">
        <is>
          <t>Short</t>
        </is>
      </c>
      <c r="E666" s="10" t="n">
        <v>46128.46875</v>
      </c>
      <c r="F666" s="10" t="n">
        <v>46129.63541666666</v>
      </c>
      <c r="G666" s="11" t="n">
        <v>-5.45</v>
      </c>
      <c r="H666" s="11">
        <f>H665+G666</f>
        <v/>
      </c>
    </row>
    <row r="667">
      <c r="A667" s="9" t="n">
        <v>663</v>
      </c>
      <c r="B667" s="9" t="inlineStr">
        <is>
          <t>Vanguard_M5</t>
        </is>
      </c>
      <c r="C667" s="9" t="inlineStr">
        <is>
          <t>Trendline breakout (fractal swing line) + VWAP/S-R distance gate</t>
        </is>
      </c>
      <c r="D667" s="9" t="inlineStr">
        <is>
          <t>Short</t>
        </is>
      </c>
      <c r="E667" s="10" t="n">
        <v>46128.39583333334</v>
      </c>
      <c r="F667" s="10" t="n">
        <v>46129.64236111111</v>
      </c>
      <c r="G667" s="11" t="n">
        <v>-0.93</v>
      </c>
      <c r="H667" s="11">
        <f>H666+G667</f>
        <v/>
      </c>
    </row>
    <row r="668">
      <c r="A668" s="9" t="n">
        <v>664</v>
      </c>
      <c r="B668" s="9" t="inlineStr">
        <is>
          <t>Meridian</t>
        </is>
      </c>
      <c r="C668" s="9" t="inlineStr">
        <is>
          <t>21/50 MA cross, 250-period confirm filter, VWAP</t>
        </is>
      </c>
      <c r="D668" s="9" t="inlineStr">
        <is>
          <t>Long</t>
        </is>
      </c>
      <c r="E668" s="10" t="n">
        <v>46129.61805555555</v>
      </c>
      <c r="F668" s="10" t="n">
        <v>46129.91666666666</v>
      </c>
      <c r="G668" s="11" t="n">
        <v>52.31</v>
      </c>
      <c r="H668" s="11">
        <f>H667+G668</f>
        <v/>
      </c>
    </row>
    <row r="669">
      <c r="A669" s="9" t="n">
        <v>665</v>
      </c>
      <c r="B669" s="9" t="inlineStr">
        <is>
          <t>MSG</t>
        </is>
      </c>
      <c r="C669" s="9" t="inlineStr">
        <is>
          <t>Session-range breakout + Fibonacci retracement-zone entry</t>
        </is>
      </c>
      <c r="D669" s="9" t="inlineStr">
        <is>
          <t>Long</t>
        </is>
      </c>
      <c r="E669" s="10" t="n">
        <v>46132.65069444444</v>
      </c>
      <c r="F669" s="10" t="n">
        <v>46132.69375</v>
      </c>
      <c r="G669" s="11" t="n">
        <v>49.38</v>
      </c>
      <c r="H669" s="11">
        <f>H668+G669</f>
        <v/>
      </c>
    </row>
    <row r="670">
      <c r="A670" s="9" t="n">
        <v>666</v>
      </c>
      <c r="B670" s="9" t="inlineStr">
        <is>
          <t>Ratchet</t>
        </is>
      </c>
      <c r="C670" s="9" t="inlineStr">
        <is>
          <t>Stochastic scalp with give-back trail exit</t>
        </is>
      </c>
      <c r="D670" s="9" t="inlineStr">
        <is>
          <t>Long</t>
        </is>
      </c>
      <c r="E670" s="10" t="n">
        <v>46133.08333333334</v>
      </c>
      <c r="F670" s="10" t="n">
        <v>46133.11458333334</v>
      </c>
      <c r="G670" s="11" t="n">
        <v>-7.06</v>
      </c>
      <c r="H670" s="11">
        <f>H669+G670</f>
        <v/>
      </c>
    </row>
    <row r="671">
      <c r="A671" s="9" t="n">
        <v>667</v>
      </c>
      <c r="B671" s="9" t="inlineStr">
        <is>
          <t>Aurelius_M5</t>
        </is>
      </c>
      <c r="C671" s="9" t="inlineStr">
        <is>
          <t>MA alignment (EMA21&gt;EMA50&gt;SMA250&gt;SMMA500 vs EMA2400 trend filter)</t>
        </is>
      </c>
      <c r="D671" s="9" t="inlineStr">
        <is>
          <t>Long</t>
        </is>
      </c>
      <c r="E671" s="10" t="n">
        <v>46133.15972222222</v>
      </c>
      <c r="F671" s="10" t="n">
        <v>46133.17361111111</v>
      </c>
      <c r="G671" s="11" t="n">
        <v>-8.949999999999999</v>
      </c>
      <c r="H671" s="11">
        <f>H670+G671</f>
        <v/>
      </c>
    </row>
    <row r="672">
      <c r="A672" s="9" t="n">
        <v>668</v>
      </c>
      <c r="B672" s="9" t="inlineStr">
        <is>
          <t>Meridian</t>
        </is>
      </c>
      <c r="C672" s="9" t="inlineStr">
        <is>
          <t>21/50 MA cross, 250-period confirm filter, VWAP</t>
        </is>
      </c>
      <c r="D672" s="9" t="inlineStr">
        <is>
          <t>Long</t>
        </is>
      </c>
      <c r="E672" s="10" t="n">
        <v>46132.85416666666</v>
      </c>
      <c r="F672" s="10" t="n">
        <v>46133.1875</v>
      </c>
      <c r="G672" s="11" t="n">
        <v>8.27</v>
      </c>
      <c r="H672" s="11">
        <f>H671+G672</f>
        <v/>
      </c>
    </row>
    <row r="673">
      <c r="A673" s="9" t="n">
        <v>669</v>
      </c>
      <c r="B673" s="9" t="inlineStr">
        <is>
          <t>MSG</t>
        </is>
      </c>
      <c r="C673" s="9" t="inlineStr">
        <is>
          <t>Session-range breakout + Fibonacci retracement-zone entry</t>
        </is>
      </c>
      <c r="D673" s="9" t="inlineStr">
        <is>
          <t>Long</t>
        </is>
      </c>
      <c r="E673" s="10" t="n">
        <v>46133.63888888889</v>
      </c>
      <c r="F673" s="10" t="n">
        <v>46133.64583333334</v>
      </c>
      <c r="G673" s="11" t="n">
        <v>-16.08</v>
      </c>
      <c r="H673" s="11">
        <f>H672+G673</f>
        <v/>
      </c>
    </row>
    <row r="674">
      <c r="A674" s="9" t="n">
        <v>670</v>
      </c>
      <c r="B674" s="9" t="inlineStr">
        <is>
          <t>Aurelius_M5</t>
        </is>
      </c>
      <c r="C674" s="9" t="inlineStr">
        <is>
          <t>MA alignment (EMA21&gt;EMA50&gt;SMA250&gt;SMMA500 vs EMA2400 trend filter)</t>
        </is>
      </c>
      <c r="D674" s="9" t="inlineStr">
        <is>
          <t>Short</t>
        </is>
      </c>
      <c r="E674" s="10" t="n">
        <v>46133.69097222222</v>
      </c>
      <c r="F674" s="10" t="n">
        <v>46133.69444444445</v>
      </c>
      <c r="G674" s="11" t="n">
        <v>-8.69</v>
      </c>
      <c r="H674" s="11">
        <f>H673+G674</f>
        <v/>
      </c>
    </row>
    <row r="675">
      <c r="A675" s="9" t="n">
        <v>671</v>
      </c>
      <c r="B675" s="9" t="inlineStr">
        <is>
          <t>Meridian</t>
        </is>
      </c>
      <c r="C675" s="9" t="inlineStr">
        <is>
          <t>21/50 MA cross, 250-period confirm filter, VWAP</t>
        </is>
      </c>
      <c r="D675" s="9" t="inlineStr">
        <is>
          <t>Short</t>
        </is>
      </c>
      <c r="E675" s="10" t="n">
        <v>46133.65625</v>
      </c>
      <c r="F675" s="10" t="n">
        <v>46133.69791666666</v>
      </c>
      <c r="G675" s="11" t="n">
        <v>-15.44</v>
      </c>
      <c r="H675" s="11">
        <f>H674+G675</f>
        <v/>
      </c>
    </row>
    <row r="676">
      <c r="A676" s="9" t="n">
        <v>672</v>
      </c>
      <c r="B676" s="9" t="inlineStr">
        <is>
          <t>Ratchet</t>
        </is>
      </c>
      <c r="C676" s="9" t="inlineStr">
        <is>
          <t>Stochastic scalp with give-back trail exit</t>
        </is>
      </c>
      <c r="D676" s="9" t="inlineStr">
        <is>
          <t>Short</t>
        </is>
      </c>
      <c r="E676" s="10" t="n">
        <v>46133.87847222222</v>
      </c>
      <c r="F676" s="10" t="n">
        <v>46133.90972222222</v>
      </c>
      <c r="G676" s="11" t="n">
        <v>4.64</v>
      </c>
      <c r="H676" s="11">
        <f>H675+G676</f>
        <v/>
      </c>
    </row>
    <row r="677">
      <c r="A677" s="9" t="n">
        <v>673</v>
      </c>
      <c r="B677" s="9" t="inlineStr">
        <is>
          <t>Aurelius_M5</t>
        </is>
      </c>
      <c r="C677" s="9" t="inlineStr">
        <is>
          <t>MA alignment (EMA21&gt;EMA50&gt;SMA250&gt;SMMA500 vs EMA2400 trend filter)</t>
        </is>
      </c>
      <c r="D677" s="9" t="inlineStr">
        <is>
          <t>Short</t>
        </is>
      </c>
      <c r="E677" s="10" t="n">
        <v>46133.72569444445</v>
      </c>
      <c r="F677" s="10" t="n">
        <v>46134.04166666666</v>
      </c>
      <c r="G677" s="11" t="n">
        <v>52.35</v>
      </c>
      <c r="H677" s="11">
        <f>H676+G677</f>
        <v/>
      </c>
    </row>
    <row r="678">
      <c r="A678" s="9" t="n">
        <v>674</v>
      </c>
      <c r="B678" s="9" t="inlineStr">
        <is>
          <t>MSG</t>
        </is>
      </c>
      <c r="C678" s="9" t="inlineStr">
        <is>
          <t>Session-range breakout + Fibonacci retracement-zone entry</t>
        </is>
      </c>
      <c r="D678" s="9" t="inlineStr">
        <is>
          <t>Short</t>
        </is>
      </c>
      <c r="E678" s="10" t="n">
        <v>46134.56666666667</v>
      </c>
      <c r="F678" s="10" t="n">
        <v>46134.64027777778</v>
      </c>
      <c r="G678" s="11" t="n">
        <v>25</v>
      </c>
      <c r="H678" s="11">
        <f>H677+G678</f>
        <v/>
      </c>
    </row>
    <row r="679">
      <c r="A679" s="9" t="n">
        <v>675</v>
      </c>
      <c r="B679" s="9" t="inlineStr">
        <is>
          <t>Ratchet</t>
        </is>
      </c>
      <c r="C679" s="9" t="inlineStr">
        <is>
          <t>Stochastic scalp with give-back trail exit</t>
        </is>
      </c>
      <c r="D679" s="9" t="inlineStr">
        <is>
          <t>Short</t>
        </is>
      </c>
      <c r="E679" s="10" t="n">
        <v>46134.72916666666</v>
      </c>
      <c r="F679" s="10" t="n">
        <v>46134.84027777778</v>
      </c>
      <c r="G679" s="11" t="n">
        <v>5.72</v>
      </c>
      <c r="H679" s="11">
        <f>H678+G679</f>
        <v/>
      </c>
    </row>
    <row r="680">
      <c r="A680" s="9" t="n">
        <v>676</v>
      </c>
      <c r="B680" s="9" t="inlineStr">
        <is>
          <t>Meridian</t>
        </is>
      </c>
      <c r="C680" s="9" t="inlineStr">
        <is>
          <t>21/50 MA cross, 250-period confirm filter, VWAP</t>
        </is>
      </c>
      <c r="D680" s="9" t="inlineStr">
        <is>
          <t>Short</t>
        </is>
      </c>
      <c r="E680" s="10" t="n">
        <v>46135.0625</v>
      </c>
      <c r="F680" s="10" t="n">
        <v>46135.14236111111</v>
      </c>
      <c r="G680" s="11" t="n">
        <v>-8.210000000000001</v>
      </c>
      <c r="H680" s="11">
        <f>H679+G680</f>
        <v/>
      </c>
    </row>
    <row r="681">
      <c r="A681" s="9" t="n">
        <v>677</v>
      </c>
      <c r="B681" s="9" t="inlineStr">
        <is>
          <t>Meridian</t>
        </is>
      </c>
      <c r="C681" s="9" t="inlineStr">
        <is>
          <t>21/50 MA cross, 250-period confirm filter, VWAP</t>
        </is>
      </c>
      <c r="D681" s="9" t="inlineStr">
        <is>
          <t>Long</t>
        </is>
      </c>
      <c r="E681" s="10" t="n">
        <v>46135.15972222222</v>
      </c>
      <c r="F681" s="10" t="n">
        <v>46135.18055555555</v>
      </c>
      <c r="G681" s="11" t="n">
        <v>-18.14</v>
      </c>
      <c r="H681" s="11">
        <f>H680+G681</f>
        <v/>
      </c>
    </row>
    <row r="682">
      <c r="A682" s="9" t="n">
        <v>678</v>
      </c>
      <c r="B682" s="9" t="inlineStr">
        <is>
          <t>Vanguard_M15</t>
        </is>
      </c>
      <c r="C682" s="9" t="inlineStr">
        <is>
          <t>Trendline breakout (fractal swing line) + VWAP/S-R distance gate - M15 chart</t>
        </is>
      </c>
      <c r="D682" s="9" t="inlineStr">
        <is>
          <t>Long</t>
        </is>
      </c>
      <c r="E682" s="10" t="n">
        <v>46135.14583333334</v>
      </c>
      <c r="F682" s="10" t="n">
        <v>46135.20833333334</v>
      </c>
      <c r="G682" s="11" t="n">
        <v>-31.82</v>
      </c>
      <c r="H682" s="11">
        <f>H681+G682</f>
        <v/>
      </c>
    </row>
    <row r="683">
      <c r="A683" s="9" t="n">
        <v>679</v>
      </c>
      <c r="B683" s="9" t="inlineStr">
        <is>
          <t>Vanguard_M5</t>
        </is>
      </c>
      <c r="C683" s="9" t="inlineStr">
        <is>
          <t>Trendline breakout (fractal swing line) + VWAP/S-R distance gate</t>
        </is>
      </c>
      <c r="D683" s="9" t="inlineStr">
        <is>
          <t>Long</t>
        </is>
      </c>
      <c r="E683" s="10" t="n">
        <v>46135.14583333334</v>
      </c>
      <c r="F683" s="10" t="n">
        <v>46135.21180555555</v>
      </c>
      <c r="G683" s="11" t="n">
        <v>-29.7</v>
      </c>
      <c r="H683" s="11">
        <f>H682+G683</f>
        <v/>
      </c>
    </row>
    <row r="684">
      <c r="A684" s="9" t="n">
        <v>680</v>
      </c>
      <c r="B684" s="9" t="inlineStr">
        <is>
          <t>Ratchet</t>
        </is>
      </c>
      <c r="C684" s="9" t="inlineStr">
        <is>
          <t>Stochastic scalp with give-back trail exit</t>
        </is>
      </c>
      <c r="D684" s="9" t="inlineStr">
        <is>
          <t>Short</t>
        </is>
      </c>
      <c r="E684" s="10" t="n">
        <v>46135.20833333334</v>
      </c>
      <c r="F684" s="10" t="n">
        <v>46135.375</v>
      </c>
      <c r="G684" s="11" t="n">
        <v>7.28</v>
      </c>
      <c r="H684" s="11">
        <f>H683+G684</f>
        <v/>
      </c>
    </row>
    <row r="685">
      <c r="A685" s="9" t="n">
        <v>681</v>
      </c>
      <c r="B685" s="9" t="inlineStr">
        <is>
          <t>Meridian</t>
        </is>
      </c>
      <c r="C685" s="9" t="inlineStr">
        <is>
          <t>21/50 MA cross, 250-period confirm filter, VWAP</t>
        </is>
      </c>
      <c r="D685" s="9" t="inlineStr">
        <is>
          <t>Short</t>
        </is>
      </c>
      <c r="E685" s="10" t="n">
        <v>46135.20833333334</v>
      </c>
      <c r="F685" s="10" t="n">
        <v>46135.41666666666</v>
      </c>
      <c r="G685" s="11" t="n">
        <v>10.16</v>
      </c>
      <c r="H685" s="11">
        <f>H684+G685</f>
        <v/>
      </c>
    </row>
    <row r="686">
      <c r="A686" s="9" t="n">
        <v>682</v>
      </c>
      <c r="B686" s="9" t="inlineStr">
        <is>
          <t>Aurelius_M5</t>
        </is>
      </c>
      <c r="C686" s="9" t="inlineStr">
        <is>
          <t>MA alignment (EMA21&gt;EMA50&gt;SMA250&gt;SMMA500 vs EMA2400 trend filter)</t>
        </is>
      </c>
      <c r="D686" s="9" t="inlineStr">
        <is>
          <t>Short</t>
        </is>
      </c>
      <c r="E686" s="10" t="n">
        <v>46135.23263888889</v>
      </c>
      <c r="F686" s="10" t="n">
        <v>46135.41666666666</v>
      </c>
      <c r="G686" s="11" t="n">
        <v>-0.57</v>
      </c>
      <c r="H686" s="11">
        <f>H685+G686</f>
        <v/>
      </c>
    </row>
    <row r="687">
      <c r="A687" s="9" t="n">
        <v>683</v>
      </c>
      <c r="B687" s="9" t="inlineStr">
        <is>
          <t>Meridian</t>
        </is>
      </c>
      <c r="C687" s="9" t="inlineStr">
        <is>
          <t>21/50 MA cross, 250-period confirm filter, VWAP</t>
        </is>
      </c>
      <c r="D687" s="9" t="inlineStr">
        <is>
          <t>Short</t>
        </is>
      </c>
      <c r="E687" s="10" t="n">
        <v>46135.43402777778</v>
      </c>
      <c r="F687" s="10" t="n">
        <v>46135.44791666666</v>
      </c>
      <c r="G687" s="11" t="n">
        <v>-13.59</v>
      </c>
      <c r="H687" s="11">
        <f>H686+G687</f>
        <v/>
      </c>
    </row>
    <row r="688">
      <c r="A688" s="9" t="n">
        <v>684</v>
      </c>
      <c r="B688" s="9" t="inlineStr">
        <is>
          <t>Ratchet</t>
        </is>
      </c>
      <c r="C688" s="9" t="inlineStr">
        <is>
          <t>Stochastic scalp with give-back trail exit</t>
        </is>
      </c>
      <c r="D688" s="9" t="inlineStr">
        <is>
          <t>Short</t>
        </is>
      </c>
      <c r="E688" s="10" t="n">
        <v>46135.57638888889</v>
      </c>
      <c r="F688" s="10" t="n">
        <v>46135.59027777778</v>
      </c>
      <c r="G688" s="11" t="n">
        <v>-10.14</v>
      </c>
      <c r="H688" s="11">
        <f>H687+G688</f>
        <v/>
      </c>
    </row>
    <row r="689">
      <c r="A689" s="9" t="n">
        <v>685</v>
      </c>
      <c r="B689" s="9" t="inlineStr">
        <is>
          <t>Meridian</t>
        </is>
      </c>
      <c r="C689" s="9" t="inlineStr">
        <is>
          <t>21/50 MA cross, 250-period confirm filter, VWAP</t>
        </is>
      </c>
      <c r="D689" s="9" t="inlineStr">
        <is>
          <t>Short</t>
        </is>
      </c>
      <c r="E689" s="10" t="n">
        <v>46135.49652777778</v>
      </c>
      <c r="F689" s="10" t="n">
        <v>46135.62152777778</v>
      </c>
      <c r="G689" s="11" t="n">
        <v>-13.19</v>
      </c>
      <c r="H689" s="11">
        <f>H688+G689</f>
        <v/>
      </c>
    </row>
    <row r="690">
      <c r="A690" s="9" t="n">
        <v>686</v>
      </c>
      <c r="B690" s="9" t="inlineStr">
        <is>
          <t>MSG</t>
        </is>
      </c>
      <c r="C690" s="9" t="inlineStr">
        <is>
          <t>Session-range breakout + Fibonacci retracement-zone entry</t>
        </is>
      </c>
      <c r="D690" s="9" t="inlineStr">
        <is>
          <t>Short</t>
        </is>
      </c>
      <c r="E690" s="10" t="n">
        <v>46135.61319444444</v>
      </c>
      <c r="F690" s="10" t="n">
        <v>46135.62152777778</v>
      </c>
      <c r="G690" s="11" t="n">
        <v>-36.32</v>
      </c>
      <c r="H690" s="11">
        <f>H689+G690</f>
        <v/>
      </c>
    </row>
    <row r="691">
      <c r="A691" s="9" t="n">
        <v>687</v>
      </c>
      <c r="B691" s="9" t="inlineStr">
        <is>
          <t>Aurelius_M15</t>
        </is>
      </c>
      <c r="C691" s="9" t="inlineStr">
        <is>
          <t>MA alignment (EMA21&gt;EMA50&gt;SMA250&gt;SMMA500 vs EMA2400 trend filter) - M15 chart</t>
        </is>
      </c>
      <c r="D691" s="9" t="inlineStr">
        <is>
          <t>Short</t>
        </is>
      </c>
      <c r="E691" s="10" t="n">
        <v>46134.73958333334</v>
      </c>
      <c r="F691" s="10" t="n">
        <v>46135.69791666666</v>
      </c>
      <c r="G691" s="11" t="n">
        <v>-1.65</v>
      </c>
      <c r="H691" s="11">
        <f>H690+G691</f>
        <v/>
      </c>
    </row>
    <row r="692">
      <c r="A692" s="9" t="n">
        <v>688</v>
      </c>
      <c r="B692" s="9" t="inlineStr">
        <is>
          <t>Meridian</t>
        </is>
      </c>
      <c r="C692" s="9" t="inlineStr">
        <is>
          <t>21/50 MA cross, 250-period confirm filter, VWAP</t>
        </is>
      </c>
      <c r="D692" s="9" t="inlineStr">
        <is>
          <t>Long</t>
        </is>
      </c>
      <c r="E692" s="10" t="n">
        <v>46135.62847222222</v>
      </c>
      <c r="F692" s="10" t="n">
        <v>46135.83680555555</v>
      </c>
      <c r="G692" s="11" t="n">
        <v>-15.14</v>
      </c>
      <c r="H692" s="11">
        <f>H691+G692</f>
        <v/>
      </c>
    </row>
    <row r="693">
      <c r="A693" s="9" t="n">
        <v>689</v>
      </c>
      <c r="B693" s="9" t="inlineStr">
        <is>
          <t>Vanguard_M5</t>
        </is>
      </c>
      <c r="C693" s="9" t="inlineStr">
        <is>
          <t>Trendline breakout (fractal swing line) + VWAP/S-R distance gate</t>
        </is>
      </c>
      <c r="D693" s="9" t="inlineStr">
        <is>
          <t>Long</t>
        </is>
      </c>
      <c r="E693" s="10" t="n">
        <v>46135.66666666666</v>
      </c>
      <c r="F693" s="10" t="n">
        <v>46135.83680555555</v>
      </c>
      <c r="G693" s="11" t="n">
        <v>-25.96</v>
      </c>
      <c r="H693" s="11">
        <f>H692+G693</f>
        <v/>
      </c>
    </row>
    <row r="694">
      <c r="A694" s="9" t="n">
        <v>690</v>
      </c>
      <c r="B694" s="9" t="inlineStr">
        <is>
          <t>Aurelius_M5</t>
        </is>
      </c>
      <c r="C694" s="9" t="inlineStr">
        <is>
          <t>MA alignment (EMA21&gt;EMA50&gt;SMA250&gt;SMMA500 vs EMA2400 trend filter)</t>
        </is>
      </c>
      <c r="D694" s="9" t="inlineStr">
        <is>
          <t>Short</t>
        </is>
      </c>
      <c r="E694" s="10" t="n">
        <v>46135.87847222222</v>
      </c>
      <c r="F694" s="10" t="n">
        <v>46136.04166666666</v>
      </c>
      <c r="G694" s="11" t="n">
        <v>19.63</v>
      </c>
      <c r="H694" s="11">
        <f>H693+G694</f>
        <v/>
      </c>
    </row>
    <row r="695">
      <c r="A695" s="9" t="n">
        <v>691</v>
      </c>
      <c r="B695" s="9" t="inlineStr">
        <is>
          <t>Ratchet</t>
        </is>
      </c>
      <c r="C695" s="9" t="inlineStr">
        <is>
          <t>Stochastic scalp with give-back trail exit</t>
        </is>
      </c>
      <c r="D695" s="9" t="inlineStr">
        <is>
          <t>Short</t>
        </is>
      </c>
      <c r="E695" s="10" t="n">
        <v>46136.06944444445</v>
      </c>
      <c r="F695" s="10" t="n">
        <v>46136.09027777778</v>
      </c>
      <c r="G695" s="11" t="n">
        <v>-0</v>
      </c>
      <c r="H695" s="11">
        <f>H694+G695</f>
        <v/>
      </c>
    </row>
    <row r="696">
      <c r="A696" s="9" t="n">
        <v>692</v>
      </c>
      <c r="B696" s="9" t="inlineStr">
        <is>
          <t>Ratchet</t>
        </is>
      </c>
      <c r="C696" s="9" t="inlineStr">
        <is>
          <t>Stochastic scalp with give-back trail exit</t>
        </is>
      </c>
      <c r="D696" s="9" t="inlineStr">
        <is>
          <t>Short</t>
        </is>
      </c>
      <c r="E696" s="10" t="n">
        <v>46136.09375</v>
      </c>
      <c r="F696" s="10" t="n">
        <v>46136.10416666666</v>
      </c>
      <c r="G696" s="11" t="n">
        <v>-6.02</v>
      </c>
      <c r="H696" s="11">
        <f>H695+G696</f>
        <v/>
      </c>
    </row>
    <row r="697">
      <c r="A697" s="9" t="n">
        <v>693</v>
      </c>
      <c r="B697" s="9" t="inlineStr">
        <is>
          <t>Meridian</t>
        </is>
      </c>
      <c r="C697" s="9" t="inlineStr">
        <is>
          <t>21/50 MA cross, 250-period confirm filter, VWAP</t>
        </is>
      </c>
      <c r="D697" s="9" t="inlineStr">
        <is>
          <t>Short</t>
        </is>
      </c>
      <c r="E697" s="10" t="n">
        <v>46135.84722222222</v>
      </c>
      <c r="F697" s="10" t="n">
        <v>46136.15625</v>
      </c>
      <c r="G697" s="11" t="n">
        <v>7.12</v>
      </c>
      <c r="H697" s="11">
        <f>H696+G697</f>
        <v/>
      </c>
    </row>
    <row r="698">
      <c r="A698" s="9" t="n">
        <v>694</v>
      </c>
      <c r="B698" s="9" t="inlineStr">
        <is>
          <t>Ratchet</t>
        </is>
      </c>
      <c r="C698" s="9" t="inlineStr">
        <is>
          <t>Stochastic scalp with give-back trail exit</t>
        </is>
      </c>
      <c r="D698" s="9" t="inlineStr">
        <is>
          <t>Short</t>
        </is>
      </c>
      <c r="E698" s="10" t="n">
        <v>46136.22222222222</v>
      </c>
      <c r="F698" s="10" t="n">
        <v>46136.22916666666</v>
      </c>
      <c r="G698" s="11" t="n">
        <v>2.38</v>
      </c>
      <c r="H698" s="11">
        <f>H697+G698</f>
        <v/>
      </c>
    </row>
    <row r="699">
      <c r="A699" s="9" t="n">
        <v>695</v>
      </c>
      <c r="B699" s="9" t="inlineStr">
        <is>
          <t>Meridian</t>
        </is>
      </c>
      <c r="C699" s="9" t="inlineStr">
        <is>
          <t>21/50 MA cross, 250-period confirm filter, VWAP</t>
        </is>
      </c>
      <c r="D699" s="9" t="inlineStr">
        <is>
          <t>Short</t>
        </is>
      </c>
      <c r="E699" s="10" t="n">
        <v>46136.20486111111</v>
      </c>
      <c r="F699" s="10" t="n">
        <v>46136.44791666666</v>
      </c>
      <c r="G699" s="11" t="n">
        <v>9.710000000000001</v>
      </c>
      <c r="H699" s="11">
        <f>H698+G699</f>
        <v/>
      </c>
    </row>
    <row r="700">
      <c r="A700" s="9" t="n">
        <v>696</v>
      </c>
      <c r="B700" s="9" t="inlineStr">
        <is>
          <t>Meridian</t>
        </is>
      </c>
      <c r="C700" s="9" t="inlineStr">
        <is>
          <t>21/50 MA cross, 250-period confirm filter, VWAP</t>
        </is>
      </c>
      <c r="D700" s="9" t="inlineStr">
        <is>
          <t>Short</t>
        </is>
      </c>
      <c r="E700" s="10" t="n">
        <v>46136.56597222222</v>
      </c>
      <c r="F700" s="10" t="n">
        <v>46136.58333333334</v>
      </c>
      <c r="G700" s="11" t="n">
        <v>-10.8</v>
      </c>
      <c r="H700" s="11">
        <f>H699+G700</f>
        <v/>
      </c>
    </row>
    <row r="701">
      <c r="A701" s="9" t="n">
        <v>697</v>
      </c>
      <c r="B701" s="9" t="inlineStr">
        <is>
          <t>Aurelius_M15</t>
        </is>
      </c>
      <c r="C701" s="9" t="inlineStr">
        <is>
          <t>MA alignment (EMA21&gt;EMA50&gt;SMA250&gt;SMMA500 vs EMA2400 trend filter) - M15 chart</t>
        </is>
      </c>
      <c r="D701" s="9" t="inlineStr">
        <is>
          <t>Short</t>
        </is>
      </c>
      <c r="E701" s="10" t="n">
        <v>46135.94791666666</v>
      </c>
      <c r="F701" s="10" t="n">
        <v>46136.64583333334</v>
      </c>
      <c r="G701" s="11" t="n">
        <v>-18.18</v>
      </c>
      <c r="H701" s="11">
        <f>H700+G701</f>
        <v/>
      </c>
    </row>
    <row r="702">
      <c r="A702" s="9" t="n">
        <v>698</v>
      </c>
      <c r="B702" s="9" t="inlineStr">
        <is>
          <t>Meridian</t>
        </is>
      </c>
      <c r="C702" s="9" t="inlineStr">
        <is>
          <t>21/50 MA cross, 250-period confirm filter, VWAP</t>
        </is>
      </c>
      <c r="D702" s="9" t="inlineStr">
        <is>
          <t>Long</t>
        </is>
      </c>
      <c r="E702" s="10" t="n">
        <v>46136.59375</v>
      </c>
      <c r="F702" s="10" t="n">
        <v>46136.91666666666</v>
      </c>
      <c r="G702" s="11" t="n">
        <v>25.39</v>
      </c>
      <c r="H702" s="11">
        <f>H701+G702</f>
        <v/>
      </c>
    </row>
    <row r="703">
      <c r="A703" s="9" t="n">
        <v>699</v>
      </c>
      <c r="B703" s="9" t="inlineStr">
        <is>
          <t>Vanguard_M5</t>
        </is>
      </c>
      <c r="C703" s="9" t="inlineStr">
        <is>
          <t>Trendline breakout (fractal swing line) + VWAP/S-R distance gate</t>
        </is>
      </c>
      <c r="D703" s="9" t="inlineStr">
        <is>
          <t>Long</t>
        </is>
      </c>
      <c r="E703" s="10" t="n">
        <v>46136.71527777778</v>
      </c>
      <c r="F703" s="10" t="n">
        <v>46139.04166666666</v>
      </c>
      <c r="G703" s="11" t="n">
        <v>-32.88</v>
      </c>
      <c r="H703" s="11">
        <f>H702+G703</f>
        <v/>
      </c>
    </row>
    <row r="704">
      <c r="A704" s="9" t="n">
        <v>700</v>
      </c>
      <c r="B704" s="9" t="inlineStr">
        <is>
          <t>Vanguard_M15</t>
        </is>
      </c>
      <c r="C704" s="9" t="inlineStr">
        <is>
          <t>Trendline breakout (fractal swing line) + VWAP/S-R distance gate - M15 chart</t>
        </is>
      </c>
      <c r="D704" s="9" t="inlineStr">
        <is>
          <t>Long</t>
        </is>
      </c>
      <c r="E704" s="10" t="n">
        <v>46136.71875</v>
      </c>
      <c r="F704" s="10" t="n">
        <v>46139.04166666666</v>
      </c>
      <c r="G704" s="11" t="n">
        <v>-37.59</v>
      </c>
      <c r="H704" s="11">
        <f>H703+G704</f>
        <v/>
      </c>
    </row>
    <row r="705">
      <c r="A705" s="9" t="n">
        <v>701</v>
      </c>
      <c r="B705" s="9" t="inlineStr">
        <is>
          <t>Meridian</t>
        </is>
      </c>
      <c r="C705" s="9" t="inlineStr">
        <is>
          <t>21/50 MA cross, 250-period confirm filter, VWAP</t>
        </is>
      </c>
      <c r="D705" s="9" t="inlineStr">
        <is>
          <t>Long</t>
        </is>
      </c>
      <c r="E705" s="10" t="n">
        <v>46139.20486111111</v>
      </c>
      <c r="F705" s="10" t="n">
        <v>46139.46527777778</v>
      </c>
      <c r="G705" s="11" t="n">
        <v>8.640000000000001</v>
      </c>
      <c r="H705" s="11">
        <f>H704+G705</f>
        <v/>
      </c>
    </row>
    <row r="706">
      <c r="A706" s="9" t="n">
        <v>702</v>
      </c>
      <c r="B706" s="9" t="inlineStr">
        <is>
          <t>MSG</t>
        </is>
      </c>
      <c r="C706" s="9" t="inlineStr">
        <is>
          <t>Session-range breakout + Fibonacci retracement-zone entry</t>
        </is>
      </c>
      <c r="D706" s="9" t="inlineStr">
        <is>
          <t>Short</t>
        </is>
      </c>
      <c r="E706" s="10" t="n">
        <v>46139.56805555556</v>
      </c>
      <c r="F706" s="10" t="n">
        <v>46139.60625</v>
      </c>
      <c r="G706" s="11" t="n">
        <v>5.52</v>
      </c>
      <c r="H706" s="11">
        <f>H705+G706</f>
        <v/>
      </c>
    </row>
    <row r="707">
      <c r="A707" s="9" t="n">
        <v>703</v>
      </c>
      <c r="B707" s="9" t="inlineStr">
        <is>
          <t>Ratchet</t>
        </is>
      </c>
      <c r="C707" s="9" t="inlineStr">
        <is>
          <t>Stochastic scalp with give-back trail exit</t>
        </is>
      </c>
      <c r="D707" s="9" t="inlineStr">
        <is>
          <t>Short</t>
        </is>
      </c>
      <c r="E707" s="10" t="n">
        <v>46139.84027777778</v>
      </c>
      <c r="F707" s="10" t="n">
        <v>46139.84722222222</v>
      </c>
      <c r="G707" s="11" t="n">
        <v>0.5600000000000001</v>
      </c>
      <c r="H707" s="11">
        <f>H706+G707</f>
        <v/>
      </c>
    </row>
    <row r="708">
      <c r="A708" s="9" t="n">
        <v>704</v>
      </c>
      <c r="B708" s="9" t="inlineStr">
        <is>
          <t>Ratchet</t>
        </is>
      </c>
      <c r="C708" s="9" t="inlineStr">
        <is>
          <t>Stochastic scalp with give-back trail exit</t>
        </is>
      </c>
      <c r="D708" s="9" t="inlineStr">
        <is>
          <t>Short</t>
        </is>
      </c>
      <c r="E708" s="10" t="n">
        <v>46139.96527777778</v>
      </c>
      <c r="F708" s="10" t="n">
        <v>46139.99652777778</v>
      </c>
      <c r="G708" s="11" t="n">
        <v>-0.24</v>
      </c>
      <c r="H708" s="11">
        <f>H707+G708</f>
        <v/>
      </c>
    </row>
    <row r="709">
      <c r="A709" s="9" t="n">
        <v>705</v>
      </c>
      <c r="B709" s="9" t="inlineStr">
        <is>
          <t>Aurelius_M5</t>
        </is>
      </c>
      <c r="C709" s="9" t="inlineStr">
        <is>
          <t>MA alignment (EMA21&gt;EMA50&gt;SMA250&gt;SMMA500 vs EMA2400 trend filter)</t>
        </is>
      </c>
      <c r="D709" s="9" t="inlineStr">
        <is>
          <t>Short</t>
        </is>
      </c>
      <c r="E709" s="10" t="n">
        <v>46139.65625</v>
      </c>
      <c r="F709" s="10" t="n">
        <v>46140.04166666666</v>
      </c>
      <c r="G709" s="11" t="n">
        <v>16.73</v>
      </c>
      <c r="H709" s="11">
        <f>H708+G709</f>
        <v/>
      </c>
    </row>
    <row r="710">
      <c r="A710" s="9" t="n">
        <v>706</v>
      </c>
      <c r="B710" s="9" t="inlineStr">
        <is>
          <t>Ratchet</t>
        </is>
      </c>
      <c r="C710" s="9" t="inlineStr">
        <is>
          <t>Stochastic scalp with give-back trail exit</t>
        </is>
      </c>
      <c r="D710" s="9" t="inlineStr">
        <is>
          <t>Short</t>
        </is>
      </c>
      <c r="E710" s="10" t="n">
        <v>46140.22916666666</v>
      </c>
      <c r="F710" s="10" t="n">
        <v>46140.25694444445</v>
      </c>
      <c r="G710" s="11" t="n">
        <v>1.85</v>
      </c>
      <c r="H710" s="11">
        <f>H709+G710</f>
        <v/>
      </c>
    </row>
    <row r="711">
      <c r="A711" s="9" t="n">
        <v>707</v>
      </c>
      <c r="B711" s="9" t="inlineStr">
        <is>
          <t>Ratchet</t>
        </is>
      </c>
      <c r="C711" s="9" t="inlineStr">
        <is>
          <t>Stochastic scalp with give-back trail exit</t>
        </is>
      </c>
      <c r="D711" s="9" t="inlineStr">
        <is>
          <t>Short</t>
        </is>
      </c>
      <c r="E711" s="10" t="n">
        <v>46140.26736111111</v>
      </c>
      <c r="F711" s="10" t="n">
        <v>46140.28819444445</v>
      </c>
      <c r="G711" s="11" t="n">
        <v>0.8100000000000001</v>
      </c>
      <c r="H711" s="11">
        <f>H710+G711</f>
        <v/>
      </c>
    </row>
    <row r="712">
      <c r="A712" s="9" t="n">
        <v>708</v>
      </c>
      <c r="B712" s="9" t="inlineStr">
        <is>
          <t>Ratchet</t>
        </is>
      </c>
      <c r="C712" s="9" t="inlineStr">
        <is>
          <t>Stochastic scalp with give-back trail exit</t>
        </is>
      </c>
      <c r="D712" s="9" t="inlineStr">
        <is>
          <t>Short</t>
        </is>
      </c>
      <c r="E712" s="10" t="n">
        <v>46140.4375</v>
      </c>
      <c r="F712" s="10" t="n">
        <v>46140.44097222222</v>
      </c>
      <c r="G712" s="11" t="n">
        <v>-0</v>
      </c>
      <c r="H712" s="11">
        <f>H711+G712</f>
        <v/>
      </c>
    </row>
    <row r="713">
      <c r="A713" s="9" t="n">
        <v>709</v>
      </c>
      <c r="B713" s="9" t="inlineStr">
        <is>
          <t>Ratchet</t>
        </is>
      </c>
      <c r="C713" s="9" t="inlineStr">
        <is>
          <t>Stochastic scalp with give-back trail exit</t>
        </is>
      </c>
      <c r="D713" s="9" t="inlineStr">
        <is>
          <t>Short</t>
        </is>
      </c>
      <c r="E713" s="10" t="n">
        <v>46140.63888888889</v>
      </c>
      <c r="F713" s="10" t="n">
        <v>46140.63888888889</v>
      </c>
      <c r="G713" s="11" t="n">
        <v>-17.03</v>
      </c>
      <c r="H713" s="11">
        <f>H712+G713</f>
        <v/>
      </c>
    </row>
    <row r="714">
      <c r="A714" s="9" t="n">
        <v>710</v>
      </c>
      <c r="B714" s="9" t="inlineStr">
        <is>
          <t>Ratchet</t>
        </is>
      </c>
      <c r="C714" s="9" t="inlineStr">
        <is>
          <t>Stochastic scalp with give-back trail exit</t>
        </is>
      </c>
      <c r="D714" s="9" t="inlineStr">
        <is>
          <t>Short</t>
        </is>
      </c>
      <c r="E714" s="10" t="n">
        <v>46140.64236111111</v>
      </c>
      <c r="F714" s="10" t="n">
        <v>46140.65625</v>
      </c>
      <c r="G714" s="11" t="n">
        <v>-19.16</v>
      </c>
      <c r="H714" s="11">
        <f>H713+G714</f>
        <v/>
      </c>
    </row>
    <row r="715">
      <c r="A715" s="9" t="n">
        <v>711</v>
      </c>
      <c r="B715" s="9" t="inlineStr">
        <is>
          <t>Ratchet</t>
        </is>
      </c>
      <c r="C715" s="9" t="inlineStr">
        <is>
          <t>Stochastic scalp with give-back trail exit</t>
        </is>
      </c>
      <c r="D715" s="9" t="inlineStr">
        <is>
          <t>Short</t>
        </is>
      </c>
      <c r="E715" s="10" t="n">
        <v>46140.68402777778</v>
      </c>
      <c r="F715" s="10" t="n">
        <v>46140.71180555555</v>
      </c>
      <c r="G715" s="11" t="n">
        <v>3.02</v>
      </c>
      <c r="H715" s="11">
        <f>H714+G715</f>
        <v/>
      </c>
    </row>
    <row r="716">
      <c r="A716" s="9" t="n">
        <v>712</v>
      </c>
      <c r="B716" s="9" t="inlineStr">
        <is>
          <t>Ratchet</t>
        </is>
      </c>
      <c r="C716" s="9" t="inlineStr">
        <is>
          <t>Stochastic scalp with give-back trail exit</t>
        </is>
      </c>
      <c r="D716" s="9" t="inlineStr">
        <is>
          <t>Short</t>
        </is>
      </c>
      <c r="E716" s="10" t="n">
        <v>46140.71875</v>
      </c>
      <c r="F716" s="10" t="n">
        <v>46140.73611111111</v>
      </c>
      <c r="G716" s="11" t="n">
        <v>2.3</v>
      </c>
      <c r="H716" s="11">
        <f>H715+G716</f>
        <v/>
      </c>
    </row>
    <row r="717">
      <c r="A717" s="9" t="n">
        <v>713</v>
      </c>
      <c r="B717" s="9" t="inlineStr">
        <is>
          <t>Ratchet</t>
        </is>
      </c>
      <c r="C717" s="9" t="inlineStr">
        <is>
          <t>Stochastic scalp with give-back trail exit</t>
        </is>
      </c>
      <c r="D717" s="9" t="inlineStr">
        <is>
          <t>Short</t>
        </is>
      </c>
      <c r="E717" s="10" t="n">
        <v>46140.74305555555</v>
      </c>
      <c r="F717" s="10" t="n">
        <v>46140.75</v>
      </c>
      <c r="G717" s="11" t="n">
        <v>-17.81</v>
      </c>
      <c r="H717" s="11">
        <f>H716+G717</f>
        <v/>
      </c>
    </row>
    <row r="718">
      <c r="A718" s="9" t="n">
        <v>714</v>
      </c>
      <c r="B718" s="9" t="inlineStr">
        <is>
          <t>Meridian</t>
        </is>
      </c>
      <c r="C718" s="9" t="inlineStr">
        <is>
          <t>21/50 MA cross, 250-period confirm filter, VWAP</t>
        </is>
      </c>
      <c r="D718" s="9" t="inlineStr">
        <is>
          <t>Short</t>
        </is>
      </c>
      <c r="E718" s="10" t="n">
        <v>46140.20833333334</v>
      </c>
      <c r="F718" s="10" t="n">
        <v>46140.82986111111</v>
      </c>
      <c r="G718" s="11" t="n">
        <v>77.13</v>
      </c>
      <c r="H718" s="11">
        <f>H717+G718</f>
        <v/>
      </c>
    </row>
    <row r="719">
      <c r="A719" s="9" t="n">
        <v>715</v>
      </c>
      <c r="B719" s="9" t="inlineStr">
        <is>
          <t>Aurelius_M5</t>
        </is>
      </c>
      <c r="C719" s="9" t="inlineStr">
        <is>
          <t>MA alignment (EMA21&gt;EMA50&gt;SMA250&gt;SMMA500 vs EMA2400 trend filter)</t>
        </is>
      </c>
      <c r="D719" s="9" t="inlineStr">
        <is>
          <t>Short</t>
        </is>
      </c>
      <c r="E719" s="10" t="n">
        <v>46140.21527777778</v>
      </c>
      <c r="F719" s="10" t="n">
        <v>46140.82986111111</v>
      </c>
      <c r="G719" s="11" t="n">
        <v>81.53</v>
      </c>
      <c r="H719" s="11">
        <f>H718+G719</f>
        <v/>
      </c>
    </row>
    <row r="720">
      <c r="A720" s="9" t="n">
        <v>716</v>
      </c>
      <c r="B720" s="9" t="inlineStr">
        <is>
          <t>MSG</t>
        </is>
      </c>
      <c r="C720" s="9" t="inlineStr">
        <is>
          <t>Session-range breakout + Fibonacci retracement-zone entry</t>
        </is>
      </c>
      <c r="D720" s="9" t="inlineStr">
        <is>
          <t>Short</t>
        </is>
      </c>
      <c r="E720" s="10" t="n">
        <v>46140.65972222222</v>
      </c>
      <c r="F720" s="10" t="n">
        <v>46140.85833333333</v>
      </c>
      <c r="G720" s="11" t="n">
        <v>38.13</v>
      </c>
      <c r="H720" s="11">
        <f>H719+G720</f>
        <v/>
      </c>
    </row>
    <row r="721">
      <c r="A721" s="9" t="n">
        <v>717</v>
      </c>
      <c r="B721" s="9" t="inlineStr">
        <is>
          <t>Ratchet</t>
        </is>
      </c>
      <c r="C721" s="9" t="inlineStr">
        <is>
          <t>Stochastic scalp with give-back trail exit</t>
        </is>
      </c>
      <c r="D721" s="9" t="inlineStr">
        <is>
          <t>Short</t>
        </is>
      </c>
      <c r="E721" s="10" t="n">
        <v>46141.11805555555</v>
      </c>
      <c r="F721" s="10" t="n">
        <v>46141.12152777778</v>
      </c>
      <c r="G721" s="11" t="n">
        <v>-4.41</v>
      </c>
      <c r="H721" s="11">
        <f>H720+G721</f>
        <v/>
      </c>
    </row>
    <row r="722">
      <c r="A722" s="9" t="n">
        <v>718</v>
      </c>
      <c r="B722" s="9" t="inlineStr">
        <is>
          <t>Meridian</t>
        </is>
      </c>
      <c r="C722" s="9" t="inlineStr">
        <is>
          <t>21/50 MA cross, 250-period confirm filter, VWAP</t>
        </is>
      </c>
      <c r="D722" s="9" t="inlineStr">
        <is>
          <t>Short</t>
        </is>
      </c>
      <c r="E722" s="10" t="n">
        <v>46141.10416666666</v>
      </c>
      <c r="F722" s="10" t="n">
        <v>46141.125</v>
      </c>
      <c r="G722" s="11" t="n">
        <v>-5.87</v>
      </c>
      <c r="H722" s="11">
        <f>H721+G722</f>
        <v/>
      </c>
    </row>
    <row r="723">
      <c r="A723" s="9" t="n">
        <v>719</v>
      </c>
      <c r="B723" s="9" t="inlineStr">
        <is>
          <t>Ratchet</t>
        </is>
      </c>
      <c r="C723" s="9" t="inlineStr">
        <is>
          <t>Stochastic scalp with give-back trail exit</t>
        </is>
      </c>
      <c r="D723" s="9" t="inlineStr">
        <is>
          <t>Short</t>
        </is>
      </c>
      <c r="E723" s="10" t="n">
        <v>46141.19444444445</v>
      </c>
      <c r="F723" s="10" t="n">
        <v>46141.20486111111</v>
      </c>
      <c r="G723" s="11" t="n">
        <v>-0</v>
      </c>
      <c r="H723" s="11">
        <f>H722+G723</f>
        <v/>
      </c>
    </row>
    <row r="724">
      <c r="A724" s="9" t="n">
        <v>720</v>
      </c>
      <c r="B724" s="9" t="inlineStr">
        <is>
          <t>Meridian</t>
        </is>
      </c>
      <c r="C724" s="9" t="inlineStr">
        <is>
          <t>21/50 MA cross, 250-period confirm filter, VWAP</t>
        </is>
      </c>
      <c r="D724" s="9" t="inlineStr">
        <is>
          <t>Short</t>
        </is>
      </c>
      <c r="E724" s="10" t="n">
        <v>46141.17708333334</v>
      </c>
      <c r="F724" s="10" t="n">
        <v>46141.20833333334</v>
      </c>
      <c r="G724" s="11" t="n">
        <v>-13.15</v>
      </c>
      <c r="H724" s="11">
        <f>H723+G724</f>
        <v/>
      </c>
    </row>
    <row r="725">
      <c r="A725" s="9" t="n">
        <v>721</v>
      </c>
      <c r="B725" s="9" t="inlineStr">
        <is>
          <t>Aurelius_M5</t>
        </is>
      </c>
      <c r="C725" s="9" t="inlineStr">
        <is>
          <t>MA alignment (EMA21&gt;EMA50&gt;SMA250&gt;SMMA500 vs EMA2400 trend filter)</t>
        </is>
      </c>
      <c r="D725" s="9" t="inlineStr">
        <is>
          <t>Short</t>
        </is>
      </c>
      <c r="E725" s="10" t="n">
        <v>46141.20486111111</v>
      </c>
      <c r="F725" s="10" t="n">
        <v>46141.21180555555</v>
      </c>
      <c r="G725" s="11" t="n">
        <v>-14.56</v>
      </c>
      <c r="H725" s="11">
        <f>H724+G725</f>
        <v/>
      </c>
    </row>
    <row r="726">
      <c r="A726" s="9" t="n">
        <v>722</v>
      </c>
      <c r="B726" s="9" t="inlineStr">
        <is>
          <t>Vanguard_M5</t>
        </is>
      </c>
      <c r="C726" s="9" t="inlineStr">
        <is>
          <t>Trendline breakout (fractal swing line) + VWAP/S-R distance gate</t>
        </is>
      </c>
      <c r="D726" s="9" t="inlineStr">
        <is>
          <t>Short</t>
        </is>
      </c>
      <c r="E726" s="10" t="n">
        <v>46139.74652777778</v>
      </c>
      <c r="F726" s="10" t="n">
        <v>46141.51041666666</v>
      </c>
      <c r="G726" s="11" t="n">
        <v>100.9</v>
      </c>
      <c r="H726" s="11">
        <f>H725+G726</f>
        <v/>
      </c>
    </row>
    <row r="727">
      <c r="A727" s="9" t="n">
        <v>723</v>
      </c>
      <c r="B727" s="9" t="inlineStr">
        <is>
          <t>Ratchet</t>
        </is>
      </c>
      <c r="C727" s="9" t="inlineStr">
        <is>
          <t>Stochastic scalp with give-back trail exit</t>
        </is>
      </c>
      <c r="D727" s="9" t="inlineStr">
        <is>
          <t>Short</t>
        </is>
      </c>
      <c r="E727" s="10" t="n">
        <v>46141.40625</v>
      </c>
      <c r="F727" s="10" t="n">
        <v>46141.51041666666</v>
      </c>
      <c r="G727" s="11" t="n">
        <v>6.82</v>
      </c>
      <c r="H727" s="11">
        <f>H726+G727</f>
        <v/>
      </c>
    </row>
    <row r="728">
      <c r="A728" s="9" t="n">
        <v>724</v>
      </c>
      <c r="B728" s="9" t="inlineStr">
        <is>
          <t>Vanguard_M15</t>
        </is>
      </c>
      <c r="C728" s="9" t="inlineStr">
        <is>
          <t>Trendline breakout (fractal swing line) + VWAP/S-R distance gate - M15 chart</t>
        </is>
      </c>
      <c r="D728" s="9" t="inlineStr">
        <is>
          <t>Short</t>
        </is>
      </c>
      <c r="E728" s="10" t="n">
        <v>46139.75</v>
      </c>
      <c r="F728" s="10" t="n">
        <v>46141.55208333334</v>
      </c>
      <c r="G728" s="11" t="n">
        <v>106.15</v>
      </c>
      <c r="H728" s="11">
        <f>H727+G728</f>
        <v/>
      </c>
    </row>
    <row r="729">
      <c r="A729" s="9" t="n">
        <v>725</v>
      </c>
      <c r="B729" s="9" t="inlineStr">
        <is>
          <t>Ratchet</t>
        </is>
      </c>
      <c r="C729" s="9" t="inlineStr">
        <is>
          <t>Stochastic scalp with give-back trail exit</t>
        </is>
      </c>
      <c r="D729" s="9" t="inlineStr">
        <is>
          <t>Short</t>
        </is>
      </c>
      <c r="E729" s="10" t="n">
        <v>46141.60416666666</v>
      </c>
      <c r="F729" s="10" t="n">
        <v>46141.62152777778</v>
      </c>
      <c r="G729" s="11" t="n">
        <v>1.13</v>
      </c>
      <c r="H729" s="11">
        <f>H728+G729</f>
        <v/>
      </c>
    </row>
    <row r="730">
      <c r="A730" s="9" t="n">
        <v>726</v>
      </c>
      <c r="B730" s="9" t="inlineStr">
        <is>
          <t>MSG</t>
        </is>
      </c>
      <c r="C730" s="9" t="inlineStr">
        <is>
          <t>Session-range breakout + Fibonacci retracement-zone entry</t>
        </is>
      </c>
      <c r="D730" s="9" t="inlineStr">
        <is>
          <t>Short</t>
        </is>
      </c>
      <c r="E730" s="10" t="n">
        <v>46141.56319444445</v>
      </c>
      <c r="F730" s="10" t="n">
        <v>46141.64583333334</v>
      </c>
      <c r="G730" s="11" t="n">
        <v>46.82</v>
      </c>
      <c r="H730" s="11">
        <f>H729+G730</f>
        <v/>
      </c>
    </row>
    <row r="731">
      <c r="A731" s="9" t="n">
        <v>727</v>
      </c>
      <c r="B731" s="9" t="inlineStr">
        <is>
          <t>Ratchet</t>
        </is>
      </c>
      <c r="C731" s="9" t="inlineStr">
        <is>
          <t>Stochastic scalp with give-back trail exit</t>
        </is>
      </c>
      <c r="D731" s="9" t="inlineStr">
        <is>
          <t>Short</t>
        </is>
      </c>
      <c r="E731" s="10" t="n">
        <v>46141.63194444445</v>
      </c>
      <c r="F731" s="10" t="n">
        <v>46141.77430555555</v>
      </c>
      <c r="G731" s="11" t="n">
        <v>14.46</v>
      </c>
      <c r="H731" s="11">
        <f>H730+G731</f>
        <v/>
      </c>
    </row>
    <row r="732">
      <c r="A732" s="9" t="n">
        <v>728</v>
      </c>
      <c r="B732" s="9" t="inlineStr">
        <is>
          <t>Meridian</t>
        </is>
      </c>
      <c r="C732" s="9" t="inlineStr">
        <is>
          <t>21/50 MA cross, 250-period confirm filter, VWAP</t>
        </is>
      </c>
      <c r="D732" s="9" t="inlineStr">
        <is>
          <t>Short</t>
        </is>
      </c>
      <c r="E732" s="10" t="n">
        <v>46141.38541666666</v>
      </c>
      <c r="F732" s="10" t="n">
        <v>46141.80208333334</v>
      </c>
      <c r="G732" s="11" t="n">
        <v>29.12</v>
      </c>
      <c r="H732" s="11">
        <f>H731+G732</f>
        <v/>
      </c>
    </row>
    <row r="733">
      <c r="A733" s="9" t="n">
        <v>729</v>
      </c>
      <c r="B733" s="9" t="inlineStr">
        <is>
          <t>Aurelius_M5</t>
        </is>
      </c>
      <c r="C733" s="9" t="inlineStr">
        <is>
          <t>MA alignment (EMA21&gt;EMA50&gt;SMA250&gt;SMMA500 vs EMA2400 trend filter)</t>
        </is>
      </c>
      <c r="D733" s="9" t="inlineStr">
        <is>
          <t>Short</t>
        </is>
      </c>
      <c r="E733" s="10" t="n">
        <v>46141.88541666666</v>
      </c>
      <c r="F733" s="10" t="n">
        <v>46141.91666666666</v>
      </c>
      <c r="G733" s="11" t="n">
        <v>-16.19</v>
      </c>
      <c r="H733" s="11">
        <f>H732+G733</f>
        <v/>
      </c>
    </row>
    <row r="734">
      <c r="A734" s="9" t="n">
        <v>730</v>
      </c>
      <c r="B734" s="9" t="inlineStr">
        <is>
          <t>Meridian</t>
        </is>
      </c>
      <c r="C734" s="9" t="inlineStr">
        <is>
          <t>21/50 MA cross, 250-period confirm filter, VWAP</t>
        </is>
      </c>
      <c r="D734" s="9" t="inlineStr">
        <is>
          <t>Short</t>
        </is>
      </c>
      <c r="E734" s="10" t="n">
        <v>46141.86458333334</v>
      </c>
      <c r="F734" s="10" t="n">
        <v>46141.96527777778</v>
      </c>
      <c r="G734" s="11" t="n">
        <v>-7.74</v>
      </c>
      <c r="H734" s="11">
        <f>H733+G734</f>
        <v/>
      </c>
    </row>
    <row r="735">
      <c r="A735" s="9" t="n">
        <v>731</v>
      </c>
      <c r="B735" s="9" t="inlineStr">
        <is>
          <t>Aurelius_M15</t>
        </is>
      </c>
      <c r="C735" s="9" t="inlineStr">
        <is>
          <t>MA alignment (EMA21&gt;EMA50&gt;SMA250&gt;SMMA500 vs EMA2400 trend filter) - M15 chart</t>
        </is>
      </c>
      <c r="D735" s="9" t="inlineStr">
        <is>
          <t>Short</t>
        </is>
      </c>
      <c r="E735" s="10" t="n">
        <v>46139.67708333334</v>
      </c>
      <c r="F735" s="10" t="n">
        <v>46142.1875</v>
      </c>
      <c r="G735" s="11" t="n">
        <v>115.93</v>
      </c>
      <c r="H735" s="11">
        <f>H734+G735</f>
        <v/>
      </c>
    </row>
    <row r="736">
      <c r="A736" s="9" t="n">
        <v>732</v>
      </c>
      <c r="B736" s="9" t="inlineStr">
        <is>
          <t>Meridian</t>
        </is>
      </c>
      <c r="C736" s="9" t="inlineStr">
        <is>
          <t>21/50 MA cross, 250-period confirm filter, VWAP</t>
        </is>
      </c>
      <c r="D736" s="9" t="inlineStr">
        <is>
          <t>Short</t>
        </is>
      </c>
      <c r="E736" s="10" t="n">
        <v>46142.29166666666</v>
      </c>
      <c r="F736" s="10" t="n">
        <v>46142.35763888889</v>
      </c>
      <c r="G736" s="11" t="n">
        <v>-9.949999999999999</v>
      </c>
      <c r="H736" s="11">
        <f>H735+G736</f>
        <v/>
      </c>
    </row>
    <row r="737">
      <c r="A737" s="9" t="n">
        <v>733</v>
      </c>
      <c r="B737" s="9" t="inlineStr">
        <is>
          <t>Meridian</t>
        </is>
      </c>
      <c r="C737" s="9" t="inlineStr">
        <is>
          <t>21/50 MA cross, 250-period confirm filter, VWAP</t>
        </is>
      </c>
      <c r="D737" s="9" t="inlineStr">
        <is>
          <t>Long</t>
        </is>
      </c>
      <c r="E737" s="10" t="n">
        <v>46142.38194444445</v>
      </c>
      <c r="F737" s="10" t="n">
        <v>46142.72222222222</v>
      </c>
      <c r="G737" s="11" t="n">
        <v>56.6</v>
      </c>
      <c r="H737" s="11">
        <f>H736+G737</f>
        <v/>
      </c>
    </row>
    <row r="738">
      <c r="A738" s="9" t="n">
        <v>734</v>
      </c>
      <c r="B738" s="9" t="inlineStr">
        <is>
          <t>Meridian</t>
        </is>
      </c>
      <c r="C738" s="9" t="inlineStr">
        <is>
          <t>21/50 MA cross, 250-period confirm filter, VWAP</t>
        </is>
      </c>
      <c r="D738" s="9" t="inlineStr">
        <is>
          <t>Long</t>
        </is>
      </c>
      <c r="E738" s="10" t="n">
        <v>46142.89583333334</v>
      </c>
      <c r="F738" s="10" t="n">
        <v>46142.96875</v>
      </c>
      <c r="G738" s="11" t="n">
        <v>-5</v>
      </c>
      <c r="H738" s="11">
        <f>H737+G738</f>
        <v/>
      </c>
    </row>
    <row r="739">
      <c r="A739" s="9" t="n">
        <v>735</v>
      </c>
      <c r="B739" s="9" t="inlineStr">
        <is>
          <t>Meridian</t>
        </is>
      </c>
      <c r="C739" s="9" t="inlineStr">
        <is>
          <t>21/50 MA cross, 250-period confirm filter, VWAP</t>
        </is>
      </c>
      <c r="D739" s="9" t="inlineStr">
        <is>
          <t>Long</t>
        </is>
      </c>
      <c r="E739" s="10" t="n">
        <v>46143.22569444445</v>
      </c>
      <c r="F739" s="10" t="n">
        <v>46143.23958333334</v>
      </c>
      <c r="G739" s="11" t="n">
        <v>-10.14</v>
      </c>
      <c r="H739" s="11">
        <f>H738+G739</f>
        <v/>
      </c>
    </row>
    <row r="740">
      <c r="A740" s="9" t="n">
        <v>736</v>
      </c>
      <c r="B740" s="9" t="inlineStr">
        <is>
          <t>Meridian</t>
        </is>
      </c>
      <c r="C740" s="9" t="inlineStr">
        <is>
          <t>21/50 MA cross, 250-period confirm filter, VWAP</t>
        </is>
      </c>
      <c r="D740" s="9" t="inlineStr">
        <is>
          <t>Long</t>
        </is>
      </c>
      <c r="E740" s="10" t="n">
        <v>46143.27430555555</v>
      </c>
      <c r="F740" s="10" t="n">
        <v>46143.29513888889</v>
      </c>
      <c r="G740" s="11" t="n">
        <v>-8.74</v>
      </c>
      <c r="H740" s="11">
        <f>H739+G740</f>
        <v/>
      </c>
    </row>
    <row r="741">
      <c r="A741" s="9" t="n">
        <v>737</v>
      </c>
      <c r="B741" s="9" t="inlineStr">
        <is>
          <t>MSG</t>
        </is>
      </c>
      <c r="C741" s="9" t="inlineStr">
        <is>
          <t>Session-range breakout + Fibonacci retracement-zone entry</t>
        </is>
      </c>
      <c r="D741" s="9" t="inlineStr">
        <is>
          <t>Short</t>
        </is>
      </c>
      <c r="E741" s="10" t="n">
        <v>46143.63541666666</v>
      </c>
      <c r="F741" s="10" t="n">
        <v>46143.64027777778</v>
      </c>
      <c r="G741" s="11" t="n">
        <v>-29.97</v>
      </c>
      <c r="H741" s="11">
        <f>H740+G741</f>
        <v/>
      </c>
    </row>
    <row r="742">
      <c r="A742" s="9" t="n">
        <v>738</v>
      </c>
      <c r="B742" s="9" t="inlineStr">
        <is>
          <t>Meridian</t>
        </is>
      </c>
      <c r="C742" s="9" t="inlineStr">
        <is>
          <t>21/50 MA cross, 250-period confirm filter, VWAP</t>
        </is>
      </c>
      <c r="D742" s="9" t="inlineStr">
        <is>
          <t>Short</t>
        </is>
      </c>
      <c r="E742" s="10" t="n">
        <v>46143.3125</v>
      </c>
      <c r="F742" s="10" t="n">
        <v>46143.64236111111</v>
      </c>
      <c r="G742" s="11" t="n">
        <v>19.99</v>
      </c>
      <c r="H742" s="11">
        <f>H741+G742</f>
        <v/>
      </c>
    </row>
    <row r="743">
      <c r="A743" s="9" t="n">
        <v>739</v>
      </c>
      <c r="B743" s="9" t="inlineStr">
        <is>
          <t>Meridian</t>
        </is>
      </c>
      <c r="C743" s="9" t="inlineStr">
        <is>
          <t>21/50 MA cross, 250-period confirm filter, VWAP</t>
        </is>
      </c>
      <c r="D743" s="9" t="inlineStr">
        <is>
          <t>Long</t>
        </is>
      </c>
      <c r="E743" s="10" t="n">
        <v>46146.30208333334</v>
      </c>
      <c r="F743" s="10" t="n">
        <v>46146.33680555555</v>
      </c>
      <c r="G743" s="11" t="n">
        <v>-7.03</v>
      </c>
      <c r="H743" s="11">
        <f>H742+G743</f>
        <v/>
      </c>
    </row>
    <row r="744">
      <c r="A744" s="9" t="n">
        <v>740</v>
      </c>
      <c r="B744" s="9" t="inlineStr">
        <is>
          <t>Ratchet</t>
        </is>
      </c>
      <c r="C744" s="9" t="inlineStr">
        <is>
          <t>Stochastic scalp with give-back trail exit</t>
        </is>
      </c>
      <c r="D744" s="9" t="inlineStr">
        <is>
          <t>Short</t>
        </is>
      </c>
      <c r="E744" s="10" t="n">
        <v>46146.40625</v>
      </c>
      <c r="F744" s="10" t="n">
        <v>46146.50694444445</v>
      </c>
      <c r="G744" s="11" t="n">
        <v>3.08</v>
      </c>
      <c r="H744" s="11">
        <f>H743+G744</f>
        <v/>
      </c>
    </row>
    <row r="745">
      <c r="A745" s="9" t="n">
        <v>741</v>
      </c>
      <c r="B745" s="9" t="inlineStr">
        <is>
          <t>Ratchet</t>
        </is>
      </c>
      <c r="C745" s="9" t="inlineStr">
        <is>
          <t>Stochastic scalp with give-back trail exit</t>
        </is>
      </c>
      <c r="D745" s="9" t="inlineStr">
        <is>
          <t>Short</t>
        </is>
      </c>
      <c r="E745" s="10" t="n">
        <v>46146.61458333334</v>
      </c>
      <c r="F745" s="10" t="n">
        <v>46146.625</v>
      </c>
      <c r="G745" s="11" t="n">
        <v>-10.15</v>
      </c>
      <c r="H745" s="11">
        <f>H744+G745</f>
        <v/>
      </c>
    </row>
    <row r="746">
      <c r="A746" s="9" t="n">
        <v>742</v>
      </c>
      <c r="B746" s="9" t="inlineStr">
        <is>
          <t>Ratchet</t>
        </is>
      </c>
      <c r="C746" s="9" t="inlineStr">
        <is>
          <t>Stochastic scalp with give-back trail exit</t>
        </is>
      </c>
      <c r="D746" s="9" t="inlineStr">
        <is>
          <t>Short</t>
        </is>
      </c>
      <c r="E746" s="10" t="n">
        <v>46146.6875</v>
      </c>
      <c r="F746" s="10" t="n">
        <v>46146.71527777778</v>
      </c>
      <c r="G746" s="11" t="n">
        <v>1.75</v>
      </c>
      <c r="H746" s="11">
        <f>H745+G746</f>
        <v/>
      </c>
    </row>
    <row r="747">
      <c r="A747" s="9" t="n">
        <v>743</v>
      </c>
      <c r="B747" s="9" t="inlineStr">
        <is>
          <t>Aurelius_M5</t>
        </is>
      </c>
      <c r="C747" s="9" t="inlineStr">
        <is>
          <t>MA alignment (EMA21&gt;EMA50&gt;SMA250&gt;SMMA500 vs EMA2400 trend filter)</t>
        </is>
      </c>
      <c r="D747" s="9" t="inlineStr">
        <is>
          <t>Short</t>
        </is>
      </c>
      <c r="E747" s="10" t="n">
        <v>46146.37847222222</v>
      </c>
      <c r="F747" s="10" t="n">
        <v>46146.73611111111</v>
      </c>
      <c r="G747" s="11" t="n">
        <v>14.25</v>
      </c>
      <c r="H747" s="11">
        <f>H746+G747</f>
        <v/>
      </c>
    </row>
    <row r="748">
      <c r="A748" s="9" t="n">
        <v>744</v>
      </c>
      <c r="B748" s="9" t="inlineStr">
        <is>
          <t>MSG</t>
        </is>
      </c>
      <c r="C748" s="9" t="inlineStr">
        <is>
          <t>Session-range breakout + Fibonacci retracement-zone entry</t>
        </is>
      </c>
      <c r="D748" s="9" t="inlineStr">
        <is>
          <t>Short</t>
        </is>
      </c>
      <c r="E748" s="10" t="n">
        <v>46146.57430555556</v>
      </c>
      <c r="F748" s="10" t="n">
        <v>46146.76944444444</v>
      </c>
      <c r="G748" s="11" t="n">
        <v>123.79</v>
      </c>
      <c r="H748" s="11">
        <f>H747+G748</f>
        <v/>
      </c>
    </row>
    <row r="749">
      <c r="A749" s="9" t="n">
        <v>745</v>
      </c>
      <c r="B749" s="9" t="inlineStr">
        <is>
          <t>Ratchet</t>
        </is>
      </c>
      <c r="C749" s="9" t="inlineStr">
        <is>
          <t>Stochastic scalp with give-back trail exit</t>
        </is>
      </c>
      <c r="D749" s="9" t="inlineStr">
        <is>
          <t>Short</t>
        </is>
      </c>
      <c r="E749" s="10" t="n">
        <v>46146.75347222222</v>
      </c>
      <c r="F749" s="10" t="n">
        <v>46146.99652777778</v>
      </c>
      <c r="G749" s="11" t="n">
        <v>39.57</v>
      </c>
      <c r="H749" s="11">
        <f>H748+G749</f>
        <v/>
      </c>
    </row>
    <row r="750">
      <c r="A750" s="9" t="n">
        <v>746</v>
      </c>
      <c r="B750" s="9" t="inlineStr">
        <is>
          <t>Aurelius_M5</t>
        </is>
      </c>
      <c r="C750" s="9" t="inlineStr">
        <is>
          <t>MA alignment (EMA21&gt;EMA50&gt;SMA250&gt;SMMA500 vs EMA2400 trend filter)</t>
        </is>
      </c>
      <c r="D750" s="9" t="inlineStr">
        <is>
          <t>Short</t>
        </is>
      </c>
      <c r="E750" s="10" t="n">
        <v>46146.77083333334</v>
      </c>
      <c r="F750" s="10" t="n">
        <v>46147.04166666666</v>
      </c>
      <c r="G750" s="11" t="n">
        <v>14.02</v>
      </c>
      <c r="H750" s="11">
        <f>H749+G750</f>
        <v/>
      </c>
    </row>
    <row r="751">
      <c r="A751" s="9" t="n">
        <v>747</v>
      </c>
      <c r="B751" s="9" t="inlineStr">
        <is>
          <t>Meridian</t>
        </is>
      </c>
      <c r="C751" s="9" t="inlineStr">
        <is>
          <t>21/50 MA cross, 250-period confirm filter, VWAP</t>
        </is>
      </c>
      <c r="D751" s="9" t="inlineStr">
        <is>
          <t>Short</t>
        </is>
      </c>
      <c r="E751" s="10" t="n">
        <v>46146.75347222222</v>
      </c>
      <c r="F751" s="10" t="n">
        <v>46147.13541666666</v>
      </c>
      <c r="G751" s="11" t="n">
        <v>33.16</v>
      </c>
      <c r="H751" s="11">
        <f>H750+G751</f>
        <v/>
      </c>
    </row>
    <row r="752">
      <c r="A752" s="9" t="n">
        <v>748</v>
      </c>
      <c r="B752" s="9" t="inlineStr">
        <is>
          <t>Meridian</t>
        </is>
      </c>
      <c r="C752" s="9" t="inlineStr">
        <is>
          <t>21/50 MA cross, 250-period confirm filter, VWAP</t>
        </is>
      </c>
      <c r="D752" s="9" t="inlineStr">
        <is>
          <t>Short</t>
        </is>
      </c>
      <c r="E752" s="10" t="n">
        <v>46147.14583333334</v>
      </c>
      <c r="F752" s="10" t="n">
        <v>46147.15625</v>
      </c>
      <c r="G752" s="11" t="n">
        <v>-8.98</v>
      </c>
      <c r="H752" s="11">
        <f>H751+G752</f>
        <v/>
      </c>
    </row>
    <row r="753">
      <c r="A753" s="9" t="n">
        <v>749</v>
      </c>
      <c r="B753" s="9" t="inlineStr">
        <is>
          <t>Aurelius_M15</t>
        </is>
      </c>
      <c r="C753" s="9" t="inlineStr">
        <is>
          <t>MA alignment (EMA21&gt;EMA50&gt;SMA250&gt;SMMA500 vs EMA2400 trend filter) - M15 chart</t>
        </is>
      </c>
      <c r="D753" s="9" t="inlineStr">
        <is>
          <t>Short</t>
        </is>
      </c>
      <c r="E753" s="10" t="n">
        <v>46146.77083333334</v>
      </c>
      <c r="F753" s="10" t="n">
        <v>46147.22916666666</v>
      </c>
      <c r="G753" s="11" t="n">
        <v>-3.71</v>
      </c>
      <c r="H753" s="11">
        <f>H752+G753</f>
        <v/>
      </c>
    </row>
    <row r="754">
      <c r="A754" s="9" t="n">
        <v>750</v>
      </c>
      <c r="B754" s="9" t="inlineStr">
        <is>
          <t>Meridian</t>
        </is>
      </c>
      <c r="C754" s="9" t="inlineStr">
        <is>
          <t>21/50 MA cross, 250-period confirm filter, VWAP</t>
        </is>
      </c>
      <c r="D754" s="9" t="inlineStr">
        <is>
          <t>Long</t>
        </is>
      </c>
      <c r="E754" s="10" t="n">
        <v>46147.59375</v>
      </c>
      <c r="F754" s="10" t="n">
        <v>46147.8125</v>
      </c>
      <c r="G754" s="11" t="n">
        <v>7.04</v>
      </c>
      <c r="H754" s="11">
        <f>H753+G754</f>
        <v/>
      </c>
    </row>
    <row r="755">
      <c r="A755" s="9" t="n">
        <v>751</v>
      </c>
      <c r="B755" s="9" t="inlineStr">
        <is>
          <t>Ratchet</t>
        </is>
      </c>
      <c r="C755" s="9" t="inlineStr">
        <is>
          <t>Stochastic scalp with give-back trail exit</t>
        </is>
      </c>
      <c r="D755" s="9" t="inlineStr">
        <is>
          <t>Long</t>
        </is>
      </c>
      <c r="E755" s="10" t="n">
        <v>46148.55555555555</v>
      </c>
      <c r="F755" s="10" t="n">
        <v>46148.60069444445</v>
      </c>
      <c r="G755" s="11" t="n">
        <v>6.86</v>
      </c>
      <c r="H755" s="11">
        <f>H754+G755</f>
        <v/>
      </c>
    </row>
    <row r="756">
      <c r="A756" s="9" t="n">
        <v>752</v>
      </c>
      <c r="B756" s="9" t="inlineStr">
        <is>
          <t>MSG</t>
        </is>
      </c>
      <c r="C756" s="9" t="inlineStr">
        <is>
          <t>Session-range breakout + Fibonacci retracement-zone entry</t>
        </is>
      </c>
      <c r="D756" s="9" t="inlineStr">
        <is>
          <t>Long</t>
        </is>
      </c>
      <c r="E756" s="10" t="n">
        <v>46148.62638888889</v>
      </c>
      <c r="F756" s="10" t="n">
        <v>46148.63472222222</v>
      </c>
      <c r="G756" s="11" t="n">
        <v>-55</v>
      </c>
      <c r="H756" s="11">
        <f>H755+G756</f>
        <v/>
      </c>
    </row>
    <row r="757">
      <c r="A757" s="9" t="n">
        <v>753</v>
      </c>
      <c r="B757" s="9" t="inlineStr">
        <is>
          <t>Meridian</t>
        </is>
      </c>
      <c r="C757" s="9" t="inlineStr">
        <is>
          <t>21/50 MA cross, 250-period confirm filter, VWAP</t>
        </is>
      </c>
      <c r="D757" s="9" t="inlineStr">
        <is>
          <t>Long</t>
        </is>
      </c>
      <c r="E757" s="10" t="n">
        <v>46148.09027777778</v>
      </c>
      <c r="F757" s="10" t="n">
        <v>46148.65277777778</v>
      </c>
      <c r="G757" s="11" t="n">
        <v>100.62</v>
      </c>
      <c r="H757" s="11">
        <f>H756+G757</f>
        <v/>
      </c>
    </row>
    <row r="758">
      <c r="A758" s="9" t="n">
        <v>754</v>
      </c>
      <c r="B758" s="9" t="inlineStr">
        <is>
          <t>Ratchet</t>
        </is>
      </c>
      <c r="C758" s="9" t="inlineStr">
        <is>
          <t>Stochastic scalp with give-back trail exit</t>
        </is>
      </c>
      <c r="D758" s="9" t="inlineStr">
        <is>
          <t>Long</t>
        </is>
      </c>
      <c r="E758" s="10" t="n">
        <v>46148.71527777778</v>
      </c>
      <c r="F758" s="10" t="n">
        <v>46148.72569444445</v>
      </c>
      <c r="G758" s="11" t="n">
        <v>0</v>
      </c>
      <c r="H758" s="11">
        <f>H757+G758</f>
        <v/>
      </c>
    </row>
    <row r="759">
      <c r="A759" s="9" t="n">
        <v>755</v>
      </c>
      <c r="B759" s="9" t="inlineStr">
        <is>
          <t>Meridian</t>
        </is>
      </c>
      <c r="C759" s="9" t="inlineStr">
        <is>
          <t>21/50 MA cross, 250-period confirm filter, VWAP</t>
        </is>
      </c>
      <c r="D759" s="9" t="inlineStr">
        <is>
          <t>Long</t>
        </is>
      </c>
      <c r="E759" s="10" t="n">
        <v>46148.70486111111</v>
      </c>
      <c r="F759" s="10" t="n">
        <v>46148.79513888889</v>
      </c>
      <c r="G759" s="11" t="n">
        <v>-17.88</v>
      </c>
      <c r="H759" s="11">
        <f>H758+G759</f>
        <v/>
      </c>
    </row>
    <row r="760">
      <c r="A760" s="9" t="n">
        <v>756</v>
      </c>
      <c r="B760" s="9" t="inlineStr">
        <is>
          <t>Ratchet</t>
        </is>
      </c>
      <c r="C760" s="9" t="inlineStr">
        <is>
          <t>Stochastic scalp with give-back trail exit</t>
        </is>
      </c>
      <c r="D760" s="9" t="inlineStr">
        <is>
          <t>Long</t>
        </is>
      </c>
      <c r="E760" s="10" t="n">
        <v>46148.94444444445</v>
      </c>
      <c r="F760" s="10" t="n">
        <v>46148.95486111111</v>
      </c>
      <c r="G760" s="11" t="n">
        <v>-5.33</v>
      </c>
      <c r="H760" s="11">
        <f>H759+G760</f>
        <v/>
      </c>
    </row>
    <row r="761">
      <c r="A761" s="9" t="n">
        <v>757</v>
      </c>
      <c r="B761" s="9" t="inlineStr">
        <is>
          <t>Meridian</t>
        </is>
      </c>
      <c r="C761" s="9" t="inlineStr">
        <is>
          <t>21/50 MA cross, 250-period confirm filter, VWAP</t>
        </is>
      </c>
      <c r="D761" s="9" t="inlineStr">
        <is>
          <t>Long</t>
        </is>
      </c>
      <c r="E761" s="10" t="n">
        <v>46148.93402777778</v>
      </c>
      <c r="F761" s="10" t="n">
        <v>46148.97916666666</v>
      </c>
      <c r="G761" s="11" t="n">
        <v>-8.359999999999999</v>
      </c>
      <c r="H761" s="11">
        <f>H760+G761</f>
        <v/>
      </c>
    </row>
    <row r="762">
      <c r="A762" s="9" t="n">
        <v>758</v>
      </c>
      <c r="B762" s="9" t="inlineStr">
        <is>
          <t>Ratchet</t>
        </is>
      </c>
      <c r="C762" s="9" t="inlineStr">
        <is>
          <t>Stochastic scalp with give-back trail exit</t>
        </is>
      </c>
      <c r="D762" s="9" t="inlineStr">
        <is>
          <t>Long</t>
        </is>
      </c>
      <c r="E762" s="10" t="n">
        <v>46149.14236111111</v>
      </c>
      <c r="F762" s="10" t="n">
        <v>46149.14583333334</v>
      </c>
      <c r="G762" s="11" t="n">
        <v>-7.12</v>
      </c>
      <c r="H762" s="11">
        <f>H761+G762</f>
        <v/>
      </c>
    </row>
    <row r="763">
      <c r="A763" s="9" t="n">
        <v>759</v>
      </c>
      <c r="B763" s="9" t="inlineStr">
        <is>
          <t>Aurelius_M5</t>
        </is>
      </c>
      <c r="C763" s="9" t="inlineStr">
        <is>
          <t>MA alignment (EMA21&gt;EMA50&gt;SMA250&gt;SMMA500 vs EMA2400 trend filter)</t>
        </is>
      </c>
      <c r="D763" s="9" t="inlineStr">
        <is>
          <t>Long</t>
        </is>
      </c>
      <c r="E763" s="10" t="n">
        <v>46149.13194444445</v>
      </c>
      <c r="F763" s="10" t="n">
        <v>46149.15972222222</v>
      </c>
      <c r="G763" s="11" t="n">
        <v>-9.109999999999999</v>
      </c>
      <c r="H763" s="11">
        <f>H762+G763</f>
        <v/>
      </c>
    </row>
    <row r="764">
      <c r="A764" s="9" t="n">
        <v>760</v>
      </c>
      <c r="B764" s="9" t="inlineStr">
        <is>
          <t>Aurelius_M5</t>
        </is>
      </c>
      <c r="C764" s="9" t="inlineStr">
        <is>
          <t>MA alignment (EMA21&gt;EMA50&gt;SMA250&gt;SMMA500 vs EMA2400 trend filter)</t>
        </is>
      </c>
      <c r="D764" s="9" t="inlineStr">
        <is>
          <t>Long</t>
        </is>
      </c>
      <c r="E764" s="10" t="n">
        <v>46149.19791666666</v>
      </c>
      <c r="F764" s="10" t="n">
        <v>46149.29166666666</v>
      </c>
      <c r="G764" s="11" t="n">
        <v>-14.67</v>
      </c>
      <c r="H764" s="11">
        <f>H763+G764</f>
        <v/>
      </c>
    </row>
    <row r="765">
      <c r="A765" s="9" t="n">
        <v>761</v>
      </c>
      <c r="B765" s="9" t="inlineStr">
        <is>
          <t>Meridian</t>
        </is>
      </c>
      <c r="C765" s="9" t="inlineStr">
        <is>
          <t>21/50 MA cross, 250-period confirm filter, VWAP</t>
        </is>
      </c>
      <c r="D765" s="9" t="inlineStr">
        <is>
          <t>Long</t>
        </is>
      </c>
      <c r="E765" s="10" t="n">
        <v>46149.17708333334</v>
      </c>
      <c r="F765" s="10" t="n">
        <v>46149.30208333334</v>
      </c>
      <c r="G765" s="11" t="n">
        <v>-13.57</v>
      </c>
      <c r="H765" s="11">
        <f>H764+G765</f>
        <v/>
      </c>
    </row>
    <row r="766">
      <c r="A766" s="9" t="n">
        <v>762</v>
      </c>
      <c r="B766" s="9" t="inlineStr">
        <is>
          <t>Ratchet</t>
        </is>
      </c>
      <c r="C766" s="9" t="inlineStr">
        <is>
          <t>Stochastic scalp with give-back trail exit</t>
        </is>
      </c>
      <c r="D766" s="9" t="inlineStr">
        <is>
          <t>Long</t>
        </is>
      </c>
      <c r="E766" s="10" t="n">
        <v>46149.38541666666</v>
      </c>
      <c r="F766" s="10" t="n">
        <v>46149.40277777778</v>
      </c>
      <c r="G766" s="11" t="n">
        <v>34.33</v>
      </c>
      <c r="H766" s="11">
        <f>H765+G766</f>
        <v/>
      </c>
    </row>
    <row r="767">
      <c r="A767" s="9" t="n">
        <v>763</v>
      </c>
      <c r="B767" s="9" t="inlineStr">
        <is>
          <t>Ratchet</t>
        </is>
      </c>
      <c r="C767" s="9" t="inlineStr">
        <is>
          <t>Stochastic scalp with give-back trail exit</t>
        </is>
      </c>
      <c r="D767" s="9" t="inlineStr">
        <is>
          <t>Long</t>
        </is>
      </c>
      <c r="E767" s="10" t="n">
        <v>46149.65972222222</v>
      </c>
      <c r="F767" s="10" t="n">
        <v>46149.66666666666</v>
      </c>
      <c r="G767" s="11" t="n">
        <v>-10.4</v>
      </c>
      <c r="H767" s="11">
        <f>H766+G767</f>
        <v/>
      </c>
    </row>
    <row r="768">
      <c r="A768" s="9" t="n">
        <v>764</v>
      </c>
      <c r="B768" s="9" t="inlineStr">
        <is>
          <t>Meridian</t>
        </is>
      </c>
      <c r="C768" s="9" t="inlineStr">
        <is>
          <t>21/50 MA cross, 250-period confirm filter, VWAP</t>
        </is>
      </c>
      <c r="D768" s="9" t="inlineStr">
        <is>
          <t>Long</t>
        </is>
      </c>
      <c r="E768" s="10" t="n">
        <v>46149.37847222222</v>
      </c>
      <c r="F768" s="10" t="n">
        <v>46149.79166666666</v>
      </c>
      <c r="G768" s="11" t="n">
        <v>22.88</v>
      </c>
      <c r="H768" s="11">
        <f>H767+G768</f>
        <v/>
      </c>
    </row>
    <row r="769">
      <c r="A769" s="9" t="n">
        <v>765</v>
      </c>
      <c r="B769" s="9" t="inlineStr">
        <is>
          <t>Aurelius_M5</t>
        </is>
      </c>
      <c r="C769" s="9" t="inlineStr">
        <is>
          <t>MA alignment (EMA21&gt;EMA50&gt;SMA250&gt;SMMA500 vs EMA2400 trend filter)</t>
        </is>
      </c>
      <c r="D769" s="9" t="inlineStr">
        <is>
          <t>Long</t>
        </is>
      </c>
      <c r="E769" s="10" t="n">
        <v>46149.39930555555</v>
      </c>
      <c r="F769" s="10" t="n">
        <v>46149.79166666666</v>
      </c>
      <c r="G769" s="11" t="n">
        <v>-4.05</v>
      </c>
      <c r="H769" s="11">
        <f>H768+G769</f>
        <v/>
      </c>
    </row>
    <row r="770">
      <c r="A770" s="9" t="n">
        <v>766</v>
      </c>
      <c r="B770" s="9" t="inlineStr">
        <is>
          <t>Aurelius_M15</t>
        </is>
      </c>
      <c r="C770" s="9" t="inlineStr">
        <is>
          <t>MA alignment (EMA21&gt;EMA50&gt;SMA250&gt;SMMA500 vs EMA2400 trend filter) - M15 chart</t>
        </is>
      </c>
      <c r="D770" s="9" t="inlineStr">
        <is>
          <t>Long</t>
        </is>
      </c>
      <c r="E770" s="10" t="n">
        <v>46149.17708333334</v>
      </c>
      <c r="F770" s="10" t="n">
        <v>46149.84375</v>
      </c>
      <c r="G770" s="11" t="n">
        <v>-20.89</v>
      </c>
      <c r="H770" s="11">
        <f>H769+G770</f>
        <v/>
      </c>
    </row>
    <row r="771">
      <c r="A771" s="9" t="n">
        <v>767</v>
      </c>
      <c r="B771" s="9" t="inlineStr">
        <is>
          <t>Ratchet</t>
        </is>
      </c>
      <c r="C771" s="9" t="inlineStr">
        <is>
          <t>Stochastic scalp with give-back trail exit</t>
        </is>
      </c>
      <c r="D771" s="9" t="inlineStr">
        <is>
          <t>Long</t>
        </is>
      </c>
      <c r="E771" s="10" t="n">
        <v>46150.37847222222</v>
      </c>
      <c r="F771" s="10" t="n">
        <v>46150.39583333334</v>
      </c>
      <c r="G771" s="11" t="n">
        <v>1.4</v>
      </c>
      <c r="H771" s="11">
        <f>H770+G771</f>
        <v/>
      </c>
    </row>
    <row r="772">
      <c r="A772" s="9" t="n">
        <v>768</v>
      </c>
      <c r="B772" s="9" t="inlineStr">
        <is>
          <t>Meridian</t>
        </is>
      </c>
      <c r="C772" s="9" t="inlineStr">
        <is>
          <t>21/50 MA cross, 250-period confirm filter, VWAP</t>
        </is>
      </c>
      <c r="D772" s="9" t="inlineStr">
        <is>
          <t>Short</t>
        </is>
      </c>
      <c r="E772" s="10" t="n">
        <v>46150.44097222222</v>
      </c>
      <c r="F772" s="10" t="n">
        <v>46150.56597222222</v>
      </c>
      <c r="G772" s="11" t="n">
        <v>-13.11</v>
      </c>
      <c r="H772" s="11">
        <f>H771+G772</f>
        <v/>
      </c>
    </row>
    <row r="773">
      <c r="A773" s="9" t="n">
        <v>769</v>
      </c>
      <c r="B773" s="9" t="inlineStr">
        <is>
          <t>Ratchet</t>
        </is>
      </c>
      <c r="C773" s="9" t="inlineStr">
        <is>
          <t>Stochastic scalp with give-back trail exit</t>
        </is>
      </c>
      <c r="D773" s="9" t="inlineStr">
        <is>
          <t>Long</t>
        </is>
      </c>
      <c r="E773" s="10" t="n">
        <v>46150.60069444445</v>
      </c>
      <c r="F773" s="10" t="n">
        <v>46150.61805555555</v>
      </c>
      <c r="G773" s="11" t="n">
        <v>-7.88</v>
      </c>
      <c r="H773" s="11">
        <f>H772+G773</f>
        <v/>
      </c>
    </row>
    <row r="774">
      <c r="A774" s="9" t="n">
        <v>770</v>
      </c>
      <c r="B774" s="9" t="inlineStr">
        <is>
          <t>Meridian</t>
        </is>
      </c>
      <c r="C774" s="9" t="inlineStr">
        <is>
          <t>21/50 MA cross, 250-period confirm filter, VWAP</t>
        </is>
      </c>
      <c r="D774" s="9" t="inlineStr">
        <is>
          <t>Short</t>
        </is>
      </c>
      <c r="E774" s="10" t="n">
        <v>46150.63541666666</v>
      </c>
      <c r="F774" s="10" t="n">
        <v>46150.64583333334</v>
      </c>
      <c r="G774" s="11" t="n">
        <v>-11.57</v>
      </c>
      <c r="H774" s="11">
        <f>H773+G774</f>
        <v/>
      </c>
    </row>
    <row r="775">
      <c r="A775" s="9" t="n">
        <v>771</v>
      </c>
      <c r="B775" s="9" t="inlineStr">
        <is>
          <t>Vanguard_M15</t>
        </is>
      </c>
      <c r="C775" s="9" t="inlineStr">
        <is>
          <t>Trendline breakout (fractal swing line) + VWAP/S-R distance gate - M15 chart</t>
        </is>
      </c>
      <c r="D775" s="9" t="inlineStr">
        <is>
          <t>Short</t>
        </is>
      </c>
      <c r="E775" s="10" t="n">
        <v>46150.63541666666</v>
      </c>
      <c r="F775" s="10" t="n">
        <v>46150.64583333334</v>
      </c>
      <c r="G775" s="11" t="n">
        <v>-26.2</v>
      </c>
      <c r="H775" s="11">
        <f>H774+G775</f>
        <v/>
      </c>
    </row>
    <row r="776">
      <c r="A776" s="9" t="n">
        <v>772</v>
      </c>
      <c r="B776" s="9" t="inlineStr">
        <is>
          <t>Vanguard_M5</t>
        </is>
      </c>
      <c r="C776" s="9" t="inlineStr">
        <is>
          <t>Trendline breakout (fractal swing line) + VWAP/S-R distance gate</t>
        </is>
      </c>
      <c r="D776" s="9" t="inlineStr">
        <is>
          <t>Short</t>
        </is>
      </c>
      <c r="E776" s="10" t="n">
        <v>46150.53472222222</v>
      </c>
      <c r="F776" s="10" t="n">
        <v>46150.65277777778</v>
      </c>
      <c r="G776" s="11" t="n">
        <v>-19.96</v>
      </c>
      <c r="H776" s="11">
        <f>H775+G776</f>
        <v/>
      </c>
    </row>
    <row r="777">
      <c r="A777" s="9" t="n">
        <v>773</v>
      </c>
      <c r="B777" s="9" t="inlineStr">
        <is>
          <t>Ratchet</t>
        </is>
      </c>
      <c r="C777" s="9" t="inlineStr">
        <is>
          <t>Stochastic scalp with give-back trail exit</t>
        </is>
      </c>
      <c r="D777" s="9" t="inlineStr">
        <is>
          <t>Long</t>
        </is>
      </c>
      <c r="E777" s="10" t="n">
        <v>46150.65972222222</v>
      </c>
      <c r="F777" s="10" t="n">
        <v>46150.66319444445</v>
      </c>
      <c r="G777" s="11" t="n">
        <v>1.9</v>
      </c>
      <c r="H777" s="11">
        <f>H776+G777</f>
        <v/>
      </c>
    </row>
    <row r="778">
      <c r="A778" s="9" t="n">
        <v>774</v>
      </c>
      <c r="B778" s="9" t="inlineStr">
        <is>
          <t>Aurelius_M5</t>
        </is>
      </c>
      <c r="C778" s="9" t="inlineStr">
        <is>
          <t>MA alignment (EMA21&gt;EMA50&gt;SMA250&gt;SMMA500 vs EMA2400 trend filter)</t>
        </is>
      </c>
      <c r="D778" s="9" t="inlineStr">
        <is>
          <t>Long</t>
        </is>
      </c>
      <c r="E778" s="10" t="n">
        <v>46150.69791666666</v>
      </c>
      <c r="F778" s="10" t="n">
        <v>46150.71527777778</v>
      </c>
      <c r="G778" s="11" t="n">
        <v>-17.99</v>
      </c>
      <c r="H778" s="11">
        <f>H777+G778</f>
        <v/>
      </c>
    </row>
    <row r="779">
      <c r="A779" s="9" t="n">
        <v>775</v>
      </c>
      <c r="B779" s="9" t="inlineStr">
        <is>
          <t>Aurelius_M15</t>
        </is>
      </c>
      <c r="C779" s="9" t="inlineStr">
        <is>
          <t>MA alignment (EMA21&gt;EMA50&gt;SMA250&gt;SMMA500 vs EMA2400 trend filter) - M15 chart</t>
        </is>
      </c>
      <c r="D779" s="9" t="inlineStr">
        <is>
          <t>Long</t>
        </is>
      </c>
      <c r="E779" s="10" t="n">
        <v>46150.69791666666</v>
      </c>
      <c r="F779" s="10" t="n">
        <v>46150.75</v>
      </c>
      <c r="G779" s="11" t="n">
        <v>-26.93</v>
      </c>
      <c r="H779" s="11">
        <f>H778+G779</f>
        <v/>
      </c>
    </row>
    <row r="780">
      <c r="A780" s="9" t="n">
        <v>776</v>
      </c>
      <c r="B780" s="9" t="inlineStr">
        <is>
          <t>Meridian</t>
        </is>
      </c>
      <c r="C780" s="9" t="inlineStr">
        <is>
          <t>21/50 MA cross, 250-period confirm filter, VWAP</t>
        </is>
      </c>
      <c r="D780" s="9" t="inlineStr">
        <is>
          <t>Long</t>
        </is>
      </c>
      <c r="E780" s="10" t="n">
        <v>46150.65972222222</v>
      </c>
      <c r="F780" s="10" t="n">
        <v>46150.75694444445</v>
      </c>
      <c r="G780" s="11" t="n">
        <v>-7.76</v>
      </c>
      <c r="H780" s="11">
        <f>H779+G780</f>
        <v/>
      </c>
    </row>
    <row r="781">
      <c r="A781" s="9" t="n">
        <v>777</v>
      </c>
      <c r="B781" s="9" t="inlineStr">
        <is>
          <t>Meridian</t>
        </is>
      </c>
      <c r="C781" s="9" t="inlineStr">
        <is>
          <t>21/50 MA cross, 250-period confirm filter, VWAP</t>
        </is>
      </c>
      <c r="D781" s="9" t="inlineStr">
        <is>
          <t>Long</t>
        </is>
      </c>
      <c r="E781" s="10" t="n">
        <v>46150.875</v>
      </c>
      <c r="F781" s="10" t="n">
        <v>46150.91666666666</v>
      </c>
      <c r="G781" s="11" t="n">
        <v>0.63</v>
      </c>
      <c r="H781" s="11">
        <f>H780+G781</f>
        <v/>
      </c>
    </row>
    <row r="782">
      <c r="A782" s="9" t="n">
        <v>778</v>
      </c>
      <c r="B782" s="9" t="inlineStr">
        <is>
          <t>Ratchet</t>
        </is>
      </c>
      <c r="C782" s="9" t="inlineStr">
        <is>
          <t>Stochastic scalp with give-back trail exit</t>
        </is>
      </c>
      <c r="D782" s="9" t="inlineStr">
        <is>
          <t>Short</t>
        </is>
      </c>
      <c r="E782" s="10" t="n">
        <v>46153.53472222222</v>
      </c>
      <c r="F782" s="10" t="n">
        <v>46153.54166666666</v>
      </c>
      <c r="G782" s="11" t="n">
        <v>1.49</v>
      </c>
      <c r="H782" s="11">
        <f>H781+G782</f>
        <v/>
      </c>
    </row>
    <row r="783">
      <c r="A783" s="9" t="n">
        <v>779</v>
      </c>
      <c r="B783" s="9" t="inlineStr">
        <is>
          <t>Vanguard_M15</t>
        </is>
      </c>
      <c r="C783" s="9" t="inlineStr">
        <is>
          <t>Trendline breakout (fractal swing line) + VWAP/S-R distance gate - M15 chart</t>
        </is>
      </c>
      <c r="D783" s="9" t="inlineStr">
        <is>
          <t>Long</t>
        </is>
      </c>
      <c r="E783" s="10" t="n">
        <v>46153.69791666666</v>
      </c>
      <c r="F783" s="10" t="n">
        <v>46153.8125</v>
      </c>
      <c r="G783" s="11" t="n">
        <v>-33.98</v>
      </c>
      <c r="H783" s="11">
        <f>H782+G783</f>
        <v/>
      </c>
    </row>
    <row r="784">
      <c r="A784" s="9" t="n">
        <v>780</v>
      </c>
      <c r="B784" s="9" t="inlineStr">
        <is>
          <t>Ratchet</t>
        </is>
      </c>
      <c r="C784" s="9" t="inlineStr">
        <is>
          <t>Stochastic scalp with give-back trail exit</t>
        </is>
      </c>
      <c r="D784" s="9" t="inlineStr">
        <is>
          <t>Long</t>
        </is>
      </c>
      <c r="E784" s="10" t="n">
        <v>46153.90277777778</v>
      </c>
      <c r="F784" s="10" t="n">
        <v>46153.96527777778</v>
      </c>
      <c r="G784" s="11" t="n">
        <v>2.97</v>
      </c>
      <c r="H784" s="11">
        <f>H783+G784</f>
        <v/>
      </c>
    </row>
    <row r="785">
      <c r="A785" s="9" t="n">
        <v>781</v>
      </c>
      <c r="B785" s="9" t="inlineStr">
        <is>
          <t>Ratchet</t>
        </is>
      </c>
      <c r="C785" s="9" t="inlineStr">
        <is>
          <t>Stochastic scalp with give-back trail exit</t>
        </is>
      </c>
      <c r="D785" s="9" t="inlineStr">
        <is>
          <t>Long</t>
        </is>
      </c>
      <c r="E785" s="10" t="n">
        <v>46154.04861111111</v>
      </c>
      <c r="F785" s="10" t="n">
        <v>46154.16319444445</v>
      </c>
      <c r="G785" s="11" t="n">
        <v>8.76</v>
      </c>
      <c r="H785" s="11">
        <f>H784+G785</f>
        <v/>
      </c>
    </row>
    <row r="786">
      <c r="A786" s="9" t="n">
        <v>782</v>
      </c>
      <c r="B786" s="9" t="inlineStr">
        <is>
          <t>Vanguard_M15</t>
        </is>
      </c>
      <c r="C786" s="9" t="inlineStr">
        <is>
          <t>Trendline breakout (fractal swing line) + VWAP/S-R distance gate - M15 chart</t>
        </is>
      </c>
      <c r="D786" s="9" t="inlineStr">
        <is>
          <t>Long</t>
        </is>
      </c>
      <c r="E786" s="10" t="n">
        <v>46153.95833333334</v>
      </c>
      <c r="F786" s="10" t="n">
        <v>46154.33333333334</v>
      </c>
      <c r="G786" s="11" t="n">
        <v>-22.62</v>
      </c>
      <c r="H786" s="11">
        <f>H785+G786</f>
        <v/>
      </c>
    </row>
    <row r="787">
      <c r="A787" s="9" t="n">
        <v>783</v>
      </c>
      <c r="B787" s="9" t="inlineStr">
        <is>
          <t>Vanguard_M5</t>
        </is>
      </c>
      <c r="C787" s="9" t="inlineStr">
        <is>
          <t>Trendline breakout (fractal swing line) + VWAP/S-R distance gate</t>
        </is>
      </c>
      <c r="D787" s="9" t="inlineStr">
        <is>
          <t>Long</t>
        </is>
      </c>
      <c r="E787" s="10" t="n">
        <v>46153.69097222222</v>
      </c>
      <c r="F787" s="10" t="n">
        <v>46154.375</v>
      </c>
      <c r="G787" s="11" t="n">
        <v>-29.05</v>
      </c>
      <c r="H787" s="11">
        <f>H786+G787</f>
        <v/>
      </c>
    </row>
    <row r="788">
      <c r="A788" s="9" t="n">
        <v>784</v>
      </c>
      <c r="B788" s="9" t="inlineStr">
        <is>
          <t>Meridian</t>
        </is>
      </c>
      <c r="C788" s="9" t="inlineStr">
        <is>
          <t>21/50 MA cross, 250-period confirm filter, VWAP</t>
        </is>
      </c>
      <c r="D788" s="9" t="inlineStr">
        <is>
          <t>Short</t>
        </is>
      </c>
      <c r="E788" s="10" t="n">
        <v>46154.64236111111</v>
      </c>
      <c r="F788" s="10" t="n">
        <v>46154.65625</v>
      </c>
      <c r="G788" s="11" t="n">
        <v>-14.09</v>
      </c>
      <c r="H788" s="11">
        <f>H787+G788</f>
        <v/>
      </c>
    </row>
    <row r="789">
      <c r="A789" s="9" t="n">
        <v>785</v>
      </c>
      <c r="B789" s="9" t="inlineStr">
        <is>
          <t>Meridian</t>
        </is>
      </c>
      <c r="C789" s="9" t="inlineStr">
        <is>
          <t>21/50 MA cross, 250-period confirm filter, VWAP</t>
        </is>
      </c>
      <c r="D789" s="9" t="inlineStr">
        <is>
          <t>Short</t>
        </is>
      </c>
      <c r="E789" s="10" t="n">
        <v>46154.67361111111</v>
      </c>
      <c r="F789" s="10" t="n">
        <v>46154.89583333334</v>
      </c>
      <c r="G789" s="11" t="n">
        <v>9.960000000000001</v>
      </c>
      <c r="H789" s="11">
        <f>H788+G789</f>
        <v/>
      </c>
    </row>
    <row r="790">
      <c r="A790" s="9" t="n">
        <v>786</v>
      </c>
      <c r="B790" s="9" t="inlineStr">
        <is>
          <t>Ratchet</t>
        </is>
      </c>
      <c r="C790" s="9" t="inlineStr">
        <is>
          <t>Stochastic scalp with give-back trail exit</t>
        </is>
      </c>
      <c r="D790" s="9" t="inlineStr">
        <is>
          <t>Long</t>
        </is>
      </c>
      <c r="E790" s="10" t="n">
        <v>46155.14236111111</v>
      </c>
      <c r="F790" s="10" t="n">
        <v>46155.15972222222</v>
      </c>
      <c r="G790" s="11" t="n">
        <v>-8.57</v>
      </c>
      <c r="H790" s="11">
        <f>H789+G790</f>
        <v/>
      </c>
    </row>
    <row r="791">
      <c r="A791" s="9" t="n">
        <v>787</v>
      </c>
      <c r="B791" s="9" t="inlineStr">
        <is>
          <t>Meridian</t>
        </is>
      </c>
      <c r="C791" s="9" t="inlineStr">
        <is>
          <t>21/50 MA cross, 250-period confirm filter, VWAP</t>
        </is>
      </c>
      <c r="D791" s="9" t="inlineStr">
        <is>
          <t>Long</t>
        </is>
      </c>
      <c r="E791" s="10" t="n">
        <v>46155.38541666666</v>
      </c>
      <c r="F791" s="10" t="n">
        <v>46155.41319444445</v>
      </c>
      <c r="G791" s="11" t="n">
        <v>-11.21</v>
      </c>
      <c r="H791" s="11">
        <f>H790+G791</f>
        <v/>
      </c>
    </row>
    <row r="792">
      <c r="A792" s="9" t="n">
        <v>788</v>
      </c>
      <c r="B792" s="9" t="inlineStr">
        <is>
          <t>MSG</t>
        </is>
      </c>
      <c r="C792" s="9" t="inlineStr">
        <is>
          <t>Session-range breakout + Fibonacci retracement-zone entry</t>
        </is>
      </c>
      <c r="D792" s="9" t="inlineStr">
        <is>
          <t>Short</t>
        </is>
      </c>
      <c r="E792" s="10" t="n">
        <v>46155.54166666666</v>
      </c>
      <c r="F792" s="10" t="n">
        <v>46155.54791666667</v>
      </c>
      <c r="G792" s="11" t="n">
        <v>-24.11</v>
      </c>
      <c r="H792" s="11">
        <f>H791+G792</f>
        <v/>
      </c>
    </row>
    <row r="793">
      <c r="A793" s="9" t="n">
        <v>789</v>
      </c>
      <c r="B793" s="9" t="inlineStr">
        <is>
          <t>Vanguard_M5</t>
        </is>
      </c>
      <c r="C793" s="9" t="inlineStr">
        <is>
          <t>Trendline breakout (fractal swing line) + VWAP/S-R distance gate</t>
        </is>
      </c>
      <c r="D793" s="9" t="inlineStr">
        <is>
          <t>Long</t>
        </is>
      </c>
      <c r="E793" s="10" t="n">
        <v>46155.54861111111</v>
      </c>
      <c r="F793" s="10" t="n">
        <v>46155.63541666666</v>
      </c>
      <c r="G793" s="11" t="n">
        <v>-17.84</v>
      </c>
      <c r="H793" s="11">
        <f>H792+G793</f>
        <v/>
      </c>
    </row>
    <row r="794">
      <c r="A794" s="9" t="n">
        <v>790</v>
      </c>
      <c r="B794" s="9" t="inlineStr">
        <is>
          <t>Meridian</t>
        </is>
      </c>
      <c r="C794" s="9" t="inlineStr">
        <is>
          <t>21/50 MA cross, 250-period confirm filter, VWAP</t>
        </is>
      </c>
      <c r="D794" s="9" t="inlineStr">
        <is>
          <t>Short</t>
        </is>
      </c>
      <c r="E794" s="10" t="n">
        <v>46155.63541666666</v>
      </c>
      <c r="F794" s="10" t="n">
        <v>46155.78472222222</v>
      </c>
      <c r="G794" s="11" t="n">
        <v>-4.74</v>
      </c>
      <c r="H794" s="11">
        <f>H793+G794</f>
        <v/>
      </c>
    </row>
    <row r="795">
      <c r="A795" s="9" t="n">
        <v>791</v>
      </c>
      <c r="B795" s="9" t="inlineStr">
        <is>
          <t>Meridian</t>
        </is>
      </c>
      <c r="C795" s="9" t="inlineStr">
        <is>
          <t>21/50 MA cross, 250-period confirm filter, VWAP</t>
        </is>
      </c>
      <c r="D795" s="9" t="inlineStr">
        <is>
          <t>Short</t>
        </is>
      </c>
      <c r="E795" s="10" t="n">
        <v>46155.88541666666</v>
      </c>
      <c r="F795" s="10" t="n">
        <v>46156.05902777778</v>
      </c>
      <c r="G795" s="11" t="n">
        <v>-3.51</v>
      </c>
      <c r="H795" s="11">
        <f>H794+G795</f>
        <v/>
      </c>
    </row>
    <row r="796">
      <c r="A796" s="9" t="n">
        <v>792</v>
      </c>
      <c r="B796" s="9" t="inlineStr">
        <is>
          <t>Vanguard_M5</t>
        </is>
      </c>
      <c r="C796" s="9" t="inlineStr">
        <is>
          <t>Trendline breakout (fractal swing line) + VWAP/S-R distance gate</t>
        </is>
      </c>
      <c r="D796" s="9" t="inlineStr">
        <is>
          <t>Long</t>
        </is>
      </c>
      <c r="E796" s="10" t="n">
        <v>46155.77777777778</v>
      </c>
      <c r="F796" s="10" t="n">
        <v>46156.23958333334</v>
      </c>
      <c r="G796" s="11" t="n">
        <v>-16.51</v>
      </c>
      <c r="H796" s="11">
        <f>H795+G796</f>
        <v/>
      </c>
    </row>
    <row r="797">
      <c r="A797" s="9" t="n">
        <v>793</v>
      </c>
      <c r="B797" s="9" t="inlineStr">
        <is>
          <t>Vanguard_M15</t>
        </is>
      </c>
      <c r="C797" s="9" t="inlineStr">
        <is>
          <t>Trendline breakout (fractal swing line) + VWAP/S-R distance gate - M15 chart</t>
        </is>
      </c>
      <c r="D797" s="9" t="inlineStr">
        <is>
          <t>Long</t>
        </is>
      </c>
      <c r="E797" s="10" t="n">
        <v>46155.78125</v>
      </c>
      <c r="F797" s="10" t="n">
        <v>46156.23958333334</v>
      </c>
      <c r="G797" s="11" t="n">
        <v>-13.32</v>
      </c>
      <c r="H797" s="11">
        <f>H796+G797</f>
        <v/>
      </c>
    </row>
    <row r="798">
      <c r="A798" s="9" t="n">
        <v>794</v>
      </c>
      <c r="B798" s="9" t="inlineStr">
        <is>
          <t>Ratchet</t>
        </is>
      </c>
      <c r="C798" s="9" t="inlineStr">
        <is>
          <t>Stochastic scalp with give-back trail exit</t>
        </is>
      </c>
      <c r="D798" s="9" t="inlineStr">
        <is>
          <t>Short</t>
        </is>
      </c>
      <c r="E798" s="10" t="n">
        <v>46156.29166666666</v>
      </c>
      <c r="F798" s="10" t="n">
        <v>46156.29513888889</v>
      </c>
      <c r="G798" s="11" t="n">
        <v>-0</v>
      </c>
      <c r="H798" s="11">
        <f>H797+G798</f>
        <v/>
      </c>
    </row>
    <row r="799">
      <c r="A799" s="9" t="n">
        <v>795</v>
      </c>
      <c r="B799" s="9" t="inlineStr">
        <is>
          <t>Aurelius_M5</t>
        </is>
      </c>
      <c r="C799" s="9" t="inlineStr">
        <is>
          <t>MA alignment (EMA21&gt;EMA50&gt;SMA250&gt;SMMA500 vs EMA2400 trend filter)</t>
        </is>
      </c>
      <c r="D799" s="9" t="inlineStr">
        <is>
          <t>Short</t>
        </is>
      </c>
      <c r="E799" s="10" t="n">
        <v>46156.28125</v>
      </c>
      <c r="F799" s="10" t="n">
        <v>46156.30208333334</v>
      </c>
      <c r="G799" s="11" t="n">
        <v>-6.12</v>
      </c>
      <c r="H799" s="11">
        <f>H798+G799</f>
        <v/>
      </c>
    </row>
    <row r="800">
      <c r="A800" s="9" t="n">
        <v>796</v>
      </c>
      <c r="B800" s="9" t="inlineStr">
        <is>
          <t>Meridian</t>
        </is>
      </c>
      <c r="C800" s="9" t="inlineStr">
        <is>
          <t>21/50 MA cross, 250-period confirm filter, VWAP</t>
        </is>
      </c>
      <c r="D800" s="9" t="inlineStr">
        <is>
          <t>Short</t>
        </is>
      </c>
      <c r="E800" s="10" t="n">
        <v>46156.19444444445</v>
      </c>
      <c r="F800" s="10" t="n">
        <v>46156.30902777778</v>
      </c>
      <c r="G800" s="11" t="n">
        <v>-13.93</v>
      </c>
      <c r="H800" s="11">
        <f>H799+G800</f>
        <v/>
      </c>
    </row>
    <row r="801">
      <c r="A801" s="9" t="n">
        <v>797</v>
      </c>
      <c r="B801" s="9" t="inlineStr">
        <is>
          <t>Vanguard_M5</t>
        </is>
      </c>
      <c r="C801" s="9" t="inlineStr">
        <is>
          <t>Trendline breakout (fractal swing line) + VWAP/S-R distance gate</t>
        </is>
      </c>
      <c r="D801" s="9" t="inlineStr">
        <is>
          <t>Short</t>
        </is>
      </c>
      <c r="E801" s="10" t="n">
        <v>46156.24305555555</v>
      </c>
      <c r="F801" s="10" t="n">
        <v>46156.30902777778</v>
      </c>
      <c r="G801" s="11" t="n">
        <v>-24.32</v>
      </c>
      <c r="H801" s="11">
        <f>H800+G801</f>
        <v/>
      </c>
    </row>
    <row r="802">
      <c r="A802" s="9" t="n">
        <v>798</v>
      </c>
      <c r="B802" s="9" t="inlineStr">
        <is>
          <t>Vanguard_M15</t>
        </is>
      </c>
      <c r="C802" s="9" t="inlineStr">
        <is>
          <t>Trendline breakout (fractal swing line) + VWAP/S-R distance gate - M15 chart</t>
        </is>
      </c>
      <c r="D802" s="9" t="inlineStr">
        <is>
          <t>Short</t>
        </is>
      </c>
      <c r="E802" s="10" t="n">
        <v>46156.25</v>
      </c>
      <c r="F802" s="10" t="n">
        <v>46156.3125</v>
      </c>
      <c r="G802" s="11" t="n">
        <v>-25.45</v>
      </c>
      <c r="H802" s="11">
        <f>H801+G802</f>
        <v/>
      </c>
    </row>
    <row r="803">
      <c r="A803" s="9" t="n">
        <v>799</v>
      </c>
      <c r="B803" s="9" t="inlineStr">
        <is>
          <t>Meridian</t>
        </is>
      </c>
      <c r="C803" s="9" t="inlineStr">
        <is>
          <t>21/50 MA cross, 250-period confirm filter, VWAP</t>
        </is>
      </c>
      <c r="D803" s="9" t="inlineStr">
        <is>
          <t>Long</t>
        </is>
      </c>
      <c r="E803" s="10" t="n">
        <v>46156.32291666666</v>
      </c>
      <c r="F803" s="10" t="n">
        <v>46156.37152777778</v>
      </c>
      <c r="G803" s="11" t="n">
        <v>-16.02</v>
      </c>
      <c r="H803" s="11">
        <f>H802+G803</f>
        <v/>
      </c>
    </row>
    <row r="804">
      <c r="A804" s="9" t="n">
        <v>800</v>
      </c>
      <c r="B804" s="9" t="inlineStr">
        <is>
          <t>Vanguard_M15</t>
        </is>
      </c>
      <c r="C804" s="9" t="inlineStr">
        <is>
          <t>Trendline breakout (fractal swing line) + VWAP/S-R distance gate - M15 chart</t>
        </is>
      </c>
      <c r="D804" s="9" t="inlineStr">
        <is>
          <t>Short</t>
        </is>
      </c>
      <c r="E804" s="10" t="n">
        <v>46156.375</v>
      </c>
      <c r="F804" s="10" t="n">
        <v>46156.4375</v>
      </c>
      <c r="G804" s="11" t="n">
        <v>-29.02</v>
      </c>
      <c r="H804" s="11">
        <f>H803+G804</f>
        <v/>
      </c>
    </row>
    <row r="805">
      <c r="A805" s="9" t="n">
        <v>801</v>
      </c>
      <c r="B805" s="9" t="inlineStr">
        <is>
          <t>Vanguard_M5</t>
        </is>
      </c>
      <c r="C805" s="9" t="inlineStr">
        <is>
          <t>Trendline breakout (fractal swing line) + VWAP/S-R distance gate</t>
        </is>
      </c>
      <c r="D805" s="9" t="inlineStr">
        <is>
          <t>Short</t>
        </is>
      </c>
      <c r="E805" s="10" t="n">
        <v>46156.375</v>
      </c>
      <c r="F805" s="10" t="n">
        <v>46156.4375</v>
      </c>
      <c r="G805" s="11" t="n">
        <v>-20.93</v>
      </c>
      <c r="H805" s="11">
        <f>H804+G805</f>
        <v/>
      </c>
    </row>
    <row r="806">
      <c r="A806" s="9" t="n">
        <v>802</v>
      </c>
      <c r="B806" s="9" t="inlineStr">
        <is>
          <t>Meridian</t>
        </is>
      </c>
      <c r="C806" s="9" t="inlineStr">
        <is>
          <t>21/50 MA cross, 250-period confirm filter, VWAP</t>
        </is>
      </c>
      <c r="D806" s="9" t="inlineStr">
        <is>
          <t>Short</t>
        </is>
      </c>
      <c r="E806" s="10" t="n">
        <v>46156.52083333334</v>
      </c>
      <c r="F806" s="10" t="n">
        <v>46156.53472222222</v>
      </c>
      <c r="G806" s="11" t="n">
        <v>-11.72</v>
      </c>
      <c r="H806" s="11">
        <f>H805+G806</f>
        <v/>
      </c>
    </row>
    <row r="807">
      <c r="A807" s="9" t="n">
        <v>803</v>
      </c>
      <c r="B807" s="9" t="inlineStr">
        <is>
          <t>Meridian</t>
        </is>
      </c>
      <c r="C807" s="9" t="inlineStr">
        <is>
          <t>21/50 MA cross, 250-period confirm filter, VWAP</t>
        </is>
      </c>
      <c r="D807" s="9" t="inlineStr">
        <is>
          <t>Long</t>
        </is>
      </c>
      <c r="E807" s="10" t="n">
        <v>46156.54513888889</v>
      </c>
      <c r="F807" s="10" t="n">
        <v>46156.55902777778</v>
      </c>
      <c r="G807" s="11" t="n">
        <v>-5.2</v>
      </c>
      <c r="H807" s="11">
        <f>H806+G807</f>
        <v/>
      </c>
    </row>
    <row r="808">
      <c r="A808" s="9" t="n">
        <v>804</v>
      </c>
      <c r="B808" s="9" t="inlineStr">
        <is>
          <t>Meridian</t>
        </is>
      </c>
      <c r="C808" s="9" t="inlineStr">
        <is>
          <t>21/50 MA cross, 250-period confirm filter, VWAP</t>
        </is>
      </c>
      <c r="D808" s="9" t="inlineStr">
        <is>
          <t>Long</t>
        </is>
      </c>
      <c r="E808" s="10" t="n">
        <v>46156.5625</v>
      </c>
      <c r="F808" s="10" t="n">
        <v>46156.56944444445</v>
      </c>
      <c r="G808" s="11" t="n">
        <v>-1.7</v>
      </c>
      <c r="H808" s="11">
        <f>H807+G808</f>
        <v/>
      </c>
    </row>
    <row r="809">
      <c r="A809" s="9" t="n">
        <v>805</v>
      </c>
      <c r="B809" s="9" t="inlineStr">
        <is>
          <t>Ratchet</t>
        </is>
      </c>
      <c r="C809" s="9" t="inlineStr">
        <is>
          <t>Stochastic scalp with give-back trail exit</t>
        </is>
      </c>
      <c r="D809" s="9" t="inlineStr">
        <is>
          <t>Long</t>
        </is>
      </c>
      <c r="E809" s="10" t="n">
        <v>46156.65277777778</v>
      </c>
      <c r="F809" s="10" t="n">
        <v>46156.65625</v>
      </c>
      <c r="G809" s="11" t="n">
        <v>-9.76</v>
      </c>
      <c r="H809" s="11">
        <f>H808+G809</f>
        <v/>
      </c>
    </row>
    <row r="810">
      <c r="A810" s="9" t="n">
        <v>806</v>
      </c>
      <c r="B810" s="9" t="inlineStr">
        <is>
          <t>Meridian</t>
        </is>
      </c>
      <c r="C810" s="9" t="inlineStr">
        <is>
          <t>21/50 MA cross, 250-period confirm filter, VWAP</t>
        </is>
      </c>
      <c r="D810" s="9" t="inlineStr">
        <is>
          <t>Long</t>
        </is>
      </c>
      <c r="E810" s="10" t="n">
        <v>46156.63541666666</v>
      </c>
      <c r="F810" s="10" t="n">
        <v>46156.67708333334</v>
      </c>
      <c r="G810" s="11" t="n">
        <v>-12.14</v>
      </c>
      <c r="H810" s="11">
        <f>H809+G810</f>
        <v/>
      </c>
    </row>
    <row r="811">
      <c r="A811" s="9" t="n">
        <v>807</v>
      </c>
      <c r="B811" s="9" t="inlineStr">
        <is>
          <t>Meridian</t>
        </is>
      </c>
      <c r="C811" s="9" t="inlineStr">
        <is>
          <t>21/50 MA cross, 250-period confirm filter, VWAP</t>
        </is>
      </c>
      <c r="D811" s="9" t="inlineStr">
        <is>
          <t>Short</t>
        </is>
      </c>
      <c r="E811" s="10" t="n">
        <v>46156.69097222222</v>
      </c>
      <c r="F811" s="10" t="n">
        <v>46156.72222222222</v>
      </c>
      <c r="G811" s="11" t="n">
        <v>-15.96</v>
      </c>
      <c r="H811" s="11">
        <f>H810+G811</f>
        <v/>
      </c>
    </row>
    <row r="812">
      <c r="A812" s="9" t="n">
        <v>808</v>
      </c>
      <c r="B812" s="9" t="inlineStr">
        <is>
          <t>Aurelius_M5</t>
        </is>
      </c>
      <c r="C812" s="9" t="inlineStr">
        <is>
          <t>MA alignment (EMA21&gt;EMA50&gt;SMA250&gt;SMMA500 vs EMA2400 trend filter)</t>
        </is>
      </c>
      <c r="D812" s="9" t="inlineStr">
        <is>
          <t>Short</t>
        </is>
      </c>
      <c r="E812" s="10" t="n">
        <v>46156.75</v>
      </c>
      <c r="F812" s="10" t="n">
        <v>46156.75694444445</v>
      </c>
      <c r="G812" s="11" t="n">
        <v>-4.39</v>
      </c>
      <c r="H812" s="11">
        <f>H811+G812</f>
        <v/>
      </c>
    </row>
    <row r="813">
      <c r="A813" s="9" t="n">
        <v>809</v>
      </c>
      <c r="B813" s="9" t="inlineStr">
        <is>
          <t>Ratchet</t>
        </is>
      </c>
      <c r="C813" s="9" t="inlineStr">
        <is>
          <t>Stochastic scalp with give-back trail exit</t>
        </is>
      </c>
      <c r="D813" s="9" t="inlineStr">
        <is>
          <t>Short</t>
        </is>
      </c>
      <c r="E813" s="10" t="n">
        <v>46156.75347222222</v>
      </c>
      <c r="F813" s="10" t="n">
        <v>46156.82291666666</v>
      </c>
      <c r="G813" s="11" t="n">
        <v>1.56</v>
      </c>
      <c r="H813" s="11">
        <f>H812+G813</f>
        <v/>
      </c>
    </row>
    <row r="814">
      <c r="A814" s="9" t="n">
        <v>810</v>
      </c>
      <c r="B814" s="9" t="inlineStr">
        <is>
          <t>Ratchet</t>
        </is>
      </c>
      <c r="C814" s="9" t="inlineStr">
        <is>
          <t>Stochastic scalp with give-back trail exit</t>
        </is>
      </c>
      <c r="D814" s="9" t="inlineStr">
        <is>
          <t>Short</t>
        </is>
      </c>
      <c r="E814" s="10" t="n">
        <v>46157.32986111111</v>
      </c>
      <c r="F814" s="10" t="n">
        <v>46157.60763888889</v>
      </c>
      <c r="G814" s="11" t="n">
        <v>48.57</v>
      </c>
      <c r="H814" s="11">
        <f>H813+G814</f>
        <v/>
      </c>
    </row>
    <row r="815">
      <c r="A815" s="9" t="n">
        <v>811</v>
      </c>
      <c r="B815" s="9" t="inlineStr">
        <is>
          <t>Ratchet</t>
        </is>
      </c>
      <c r="C815" s="9" t="inlineStr">
        <is>
          <t>Stochastic scalp with give-back trail exit</t>
        </is>
      </c>
      <c r="D815" s="9" t="inlineStr">
        <is>
          <t>Short</t>
        </is>
      </c>
      <c r="E815" s="10" t="n">
        <v>46157.65277777778</v>
      </c>
      <c r="F815" s="10" t="n">
        <v>46157.65625</v>
      </c>
      <c r="G815" s="11" t="n">
        <v>-0</v>
      </c>
      <c r="H815" s="11">
        <f>H814+G815</f>
        <v/>
      </c>
    </row>
    <row r="816">
      <c r="A816" s="9" t="n">
        <v>812</v>
      </c>
      <c r="B816" s="9" t="inlineStr">
        <is>
          <t>Ratchet</t>
        </is>
      </c>
      <c r="C816" s="9" t="inlineStr">
        <is>
          <t>Stochastic scalp with give-back trail exit</t>
        </is>
      </c>
      <c r="D816" s="9" t="inlineStr">
        <is>
          <t>Short</t>
        </is>
      </c>
      <c r="E816" s="10" t="n">
        <v>46157.67013888889</v>
      </c>
      <c r="F816" s="10" t="n">
        <v>46157.67361111111</v>
      </c>
      <c r="G816" s="11" t="n">
        <v>1.75</v>
      </c>
      <c r="H816" s="11">
        <f>H815+G816</f>
        <v/>
      </c>
    </row>
    <row r="817">
      <c r="A817" s="9" t="n">
        <v>813</v>
      </c>
      <c r="B817" s="9" t="inlineStr">
        <is>
          <t>MSG</t>
        </is>
      </c>
      <c r="C817" s="9" t="inlineStr">
        <is>
          <t>Session-range breakout + Fibonacci retracement-zone entry</t>
        </is>
      </c>
      <c r="D817" s="9" t="inlineStr">
        <is>
          <t>Short</t>
        </is>
      </c>
      <c r="E817" s="10" t="n">
        <v>46157.55069444444</v>
      </c>
      <c r="F817" s="10" t="n">
        <v>46157.67638888889</v>
      </c>
      <c r="G817" s="11" t="n">
        <v>53.5</v>
      </c>
      <c r="H817" s="11">
        <f>H816+G817</f>
        <v/>
      </c>
    </row>
    <row r="818">
      <c r="A818" s="9" t="n">
        <v>814</v>
      </c>
      <c r="B818" s="9" t="inlineStr">
        <is>
          <t>Ratchet</t>
        </is>
      </c>
      <c r="C818" s="9" t="inlineStr">
        <is>
          <t>Stochastic scalp with give-back trail exit</t>
        </is>
      </c>
      <c r="D818" s="9" t="inlineStr">
        <is>
          <t>Short</t>
        </is>
      </c>
      <c r="E818" s="10" t="n">
        <v>46157.70833333334</v>
      </c>
      <c r="F818" s="10" t="n">
        <v>46157.71875</v>
      </c>
      <c r="G818" s="11" t="n">
        <v>-19.32</v>
      </c>
      <c r="H818" s="11">
        <f>H817+G818</f>
        <v/>
      </c>
    </row>
    <row r="819">
      <c r="A819" s="9" t="n">
        <v>815</v>
      </c>
      <c r="B819" s="9" t="inlineStr">
        <is>
          <t>Ratchet</t>
        </is>
      </c>
      <c r="C819" s="9" t="inlineStr">
        <is>
          <t>Stochastic scalp with give-back trail exit</t>
        </is>
      </c>
      <c r="D819" s="9" t="inlineStr">
        <is>
          <t>Short</t>
        </is>
      </c>
      <c r="E819" s="10" t="n">
        <v>46157.76736111111</v>
      </c>
      <c r="F819" s="10" t="n">
        <v>46157.80902777778</v>
      </c>
      <c r="G819" s="11" t="n">
        <v>4.34</v>
      </c>
      <c r="H819" s="11">
        <f>H818+G819</f>
        <v/>
      </c>
    </row>
    <row r="820">
      <c r="A820" s="9" t="n">
        <v>816</v>
      </c>
      <c r="B820" s="9" t="inlineStr">
        <is>
          <t>Aurelius_M5</t>
        </is>
      </c>
      <c r="C820" s="9" t="inlineStr">
        <is>
          <t>MA alignment (EMA21&gt;EMA50&gt;SMA250&gt;SMMA500 vs EMA2400 trend filter)</t>
        </is>
      </c>
      <c r="D820" s="9" t="inlineStr">
        <is>
          <t>Short</t>
        </is>
      </c>
      <c r="E820" s="10" t="n">
        <v>46157.11805555555</v>
      </c>
      <c r="F820" s="10" t="n">
        <v>46157.85069444445</v>
      </c>
      <c r="G820" s="11" t="n">
        <v>92.19</v>
      </c>
      <c r="H820" s="11">
        <f>H819+G820</f>
        <v/>
      </c>
    </row>
    <row r="821">
      <c r="A821" s="9" t="n">
        <v>817</v>
      </c>
      <c r="B821" s="9" t="inlineStr">
        <is>
          <t>Ratchet</t>
        </is>
      </c>
      <c r="C821" s="9" t="inlineStr">
        <is>
          <t>Stochastic scalp with give-back trail exit</t>
        </is>
      </c>
      <c r="D821" s="9" t="inlineStr">
        <is>
          <t>Short</t>
        </is>
      </c>
      <c r="E821" s="10" t="n">
        <v>46160.11458333334</v>
      </c>
      <c r="F821" s="10" t="n">
        <v>46160.125</v>
      </c>
      <c r="G821" s="11" t="n">
        <v>-0</v>
      </c>
      <c r="H821" s="11">
        <f>H820+G821</f>
        <v/>
      </c>
    </row>
    <row r="822">
      <c r="A822" s="9" t="n">
        <v>818</v>
      </c>
      <c r="B822" s="9" t="inlineStr">
        <is>
          <t>Aurelius_M15</t>
        </is>
      </c>
      <c r="C822" s="9" t="inlineStr">
        <is>
          <t>MA alignment (EMA21&gt;EMA50&gt;SMA250&gt;SMMA500 vs EMA2400 trend filter) - M15 chart</t>
        </is>
      </c>
      <c r="D822" s="9" t="inlineStr">
        <is>
          <t>Short</t>
        </is>
      </c>
      <c r="E822" s="10" t="n">
        <v>46160.15625</v>
      </c>
      <c r="F822" s="10" t="n">
        <v>46160.15625</v>
      </c>
      <c r="G822" s="11" t="n">
        <v>-33.65</v>
      </c>
      <c r="H822" s="11">
        <f>H821+G822</f>
        <v/>
      </c>
    </row>
    <row r="823">
      <c r="A823" s="9" t="n">
        <v>819</v>
      </c>
      <c r="B823" s="9" t="inlineStr">
        <is>
          <t>Aurelius_M5</t>
        </is>
      </c>
      <c r="C823" s="9" t="inlineStr">
        <is>
          <t>MA alignment (EMA21&gt;EMA50&gt;SMA250&gt;SMMA500 vs EMA2400 trend filter)</t>
        </is>
      </c>
      <c r="D823" s="9" t="inlineStr">
        <is>
          <t>Short</t>
        </is>
      </c>
      <c r="E823" s="10" t="n">
        <v>46160.12847222222</v>
      </c>
      <c r="F823" s="10" t="n">
        <v>46160.22569444445</v>
      </c>
      <c r="G823" s="11" t="n">
        <v>-6.91</v>
      </c>
      <c r="H823" s="11">
        <f>H822+G823</f>
        <v/>
      </c>
    </row>
    <row r="824">
      <c r="A824" s="9" t="n">
        <v>820</v>
      </c>
      <c r="B824" s="9" t="inlineStr">
        <is>
          <t>MSG</t>
        </is>
      </c>
      <c r="C824" s="9" t="inlineStr">
        <is>
          <t>Session-range breakout + Fibonacci retracement-zone entry</t>
        </is>
      </c>
      <c r="D824" s="9" t="inlineStr">
        <is>
          <t>Long</t>
        </is>
      </c>
      <c r="E824" s="10" t="n">
        <v>46160.63819444444</v>
      </c>
      <c r="F824" s="10" t="n">
        <v>46160.65416666667</v>
      </c>
      <c r="G824" s="11" t="n">
        <v>46.38</v>
      </c>
      <c r="H824" s="11">
        <f>H823+G824</f>
        <v/>
      </c>
    </row>
    <row r="825">
      <c r="A825" s="9" t="n">
        <v>821</v>
      </c>
      <c r="B825" s="9" t="inlineStr">
        <is>
          <t>Meridian</t>
        </is>
      </c>
      <c r="C825" s="9" t="inlineStr">
        <is>
          <t>21/50 MA cross, 250-period confirm filter, VWAP</t>
        </is>
      </c>
      <c r="D825" s="9" t="inlineStr">
        <is>
          <t>Long</t>
        </is>
      </c>
      <c r="E825" s="10" t="n">
        <v>46160.61458333334</v>
      </c>
      <c r="F825" s="10" t="n">
        <v>46160.72916666666</v>
      </c>
      <c r="G825" s="11" t="n">
        <v>-17.22</v>
      </c>
      <c r="H825" s="11">
        <f>H824+G825</f>
        <v/>
      </c>
    </row>
    <row r="826">
      <c r="A826" s="9" t="n">
        <v>822</v>
      </c>
      <c r="B826" s="9" t="inlineStr">
        <is>
          <t>Meridian</t>
        </is>
      </c>
      <c r="C826" s="9" t="inlineStr">
        <is>
          <t>21/50 MA cross, 250-period confirm filter, VWAP</t>
        </is>
      </c>
      <c r="D826" s="9" t="inlineStr">
        <is>
          <t>Short</t>
        </is>
      </c>
      <c r="E826" s="10" t="n">
        <v>46160.75347222222</v>
      </c>
      <c r="F826" s="10" t="n">
        <v>46160.91666666666</v>
      </c>
      <c r="G826" s="11" t="n">
        <v>-23.62</v>
      </c>
      <c r="H826" s="11">
        <f>H825+G826</f>
        <v/>
      </c>
    </row>
    <row r="827">
      <c r="A827" s="9" t="n">
        <v>823</v>
      </c>
      <c r="B827" s="9" t="inlineStr">
        <is>
          <t>Meridian</t>
        </is>
      </c>
      <c r="C827" s="9" t="inlineStr">
        <is>
          <t>21/50 MA cross, 250-period confirm filter, VWAP</t>
        </is>
      </c>
      <c r="D827" s="9" t="inlineStr">
        <is>
          <t>Long</t>
        </is>
      </c>
      <c r="E827" s="10" t="n">
        <v>46160.94097222222</v>
      </c>
      <c r="F827" s="10" t="n">
        <v>46161.18402777778</v>
      </c>
      <c r="G827" s="11" t="n">
        <v>-0.77</v>
      </c>
      <c r="H827" s="11">
        <f>H826+G827</f>
        <v/>
      </c>
    </row>
    <row r="828">
      <c r="A828" s="9" t="n">
        <v>824</v>
      </c>
      <c r="B828" s="9" t="inlineStr">
        <is>
          <t>Ratchet</t>
        </is>
      </c>
      <c r="C828" s="9" t="inlineStr">
        <is>
          <t>Stochastic scalp with give-back trail exit</t>
        </is>
      </c>
      <c r="D828" s="9" t="inlineStr">
        <is>
          <t>Short</t>
        </is>
      </c>
      <c r="E828" s="10" t="n">
        <v>46161.36458333334</v>
      </c>
      <c r="F828" s="10" t="n">
        <v>46161.36805555555</v>
      </c>
      <c r="G828" s="11" t="n">
        <v>1.39</v>
      </c>
      <c r="H828" s="11">
        <f>H827+G828</f>
        <v/>
      </c>
    </row>
    <row r="829">
      <c r="A829" s="9" t="n">
        <v>825</v>
      </c>
      <c r="B829" s="9" t="inlineStr">
        <is>
          <t>Meridian</t>
        </is>
      </c>
      <c r="C829" s="9" t="inlineStr">
        <is>
          <t>21/50 MA cross, 250-period confirm filter, VWAP</t>
        </is>
      </c>
      <c r="D829" s="9" t="inlineStr">
        <is>
          <t>Long</t>
        </is>
      </c>
      <c r="E829" s="10" t="n">
        <v>46161.45833333334</v>
      </c>
      <c r="F829" s="10" t="n">
        <v>46161.46527777778</v>
      </c>
      <c r="G829" s="11" t="n">
        <v>-15.07</v>
      </c>
      <c r="H829" s="11">
        <f>H828+G829</f>
        <v/>
      </c>
    </row>
    <row r="830">
      <c r="A830" s="9" t="n">
        <v>826</v>
      </c>
      <c r="B830" s="9" t="inlineStr">
        <is>
          <t>Aurelius_M5</t>
        </is>
      </c>
      <c r="C830" s="9" t="inlineStr">
        <is>
          <t>MA alignment (EMA21&gt;EMA50&gt;SMA250&gt;SMMA500 vs EMA2400 trend filter)</t>
        </is>
      </c>
      <c r="D830" s="9" t="inlineStr">
        <is>
          <t>Short</t>
        </is>
      </c>
      <c r="E830" s="10" t="n">
        <v>46161.57291666666</v>
      </c>
      <c r="F830" s="10" t="n">
        <v>46161.57986111111</v>
      </c>
      <c r="G830" s="11" t="n">
        <v>-13.7</v>
      </c>
      <c r="H830" s="11">
        <f>H829+G830</f>
        <v/>
      </c>
    </row>
    <row r="831">
      <c r="A831" s="9" t="n">
        <v>827</v>
      </c>
      <c r="B831" s="9" t="inlineStr">
        <is>
          <t>MSG</t>
        </is>
      </c>
      <c r="C831" s="9" t="inlineStr">
        <is>
          <t>Session-range breakout + Fibonacci retracement-zone entry</t>
        </is>
      </c>
      <c r="D831" s="9" t="inlineStr">
        <is>
          <t>Short</t>
        </is>
      </c>
      <c r="E831" s="10" t="n">
        <v>46161.58333333334</v>
      </c>
      <c r="F831" s="10" t="n">
        <v>46161.62430555555</v>
      </c>
      <c r="G831" s="11" t="n">
        <v>31.13</v>
      </c>
      <c r="H831" s="11">
        <f>H830+G831</f>
        <v/>
      </c>
    </row>
    <row r="832">
      <c r="A832" s="9" t="n">
        <v>828</v>
      </c>
      <c r="B832" s="9" t="inlineStr">
        <is>
          <t>Ratchet</t>
        </is>
      </c>
      <c r="C832" s="9" t="inlineStr">
        <is>
          <t>Stochastic scalp with give-back trail exit</t>
        </is>
      </c>
      <c r="D832" s="9" t="inlineStr">
        <is>
          <t>Short</t>
        </is>
      </c>
      <c r="E832" s="10" t="n">
        <v>46161.70833333334</v>
      </c>
      <c r="F832" s="10" t="n">
        <v>46161.71875</v>
      </c>
      <c r="G832" s="11" t="n">
        <v>3.47</v>
      </c>
      <c r="H832" s="11">
        <f>H831+G832</f>
        <v/>
      </c>
    </row>
    <row r="833">
      <c r="A833" s="9" t="n">
        <v>829</v>
      </c>
      <c r="B833" s="9" t="inlineStr">
        <is>
          <t>Ratchet</t>
        </is>
      </c>
      <c r="C833" s="9" t="inlineStr">
        <is>
          <t>Stochastic scalp with give-back trail exit</t>
        </is>
      </c>
      <c r="D833" s="9" t="inlineStr">
        <is>
          <t>Short</t>
        </is>
      </c>
      <c r="E833" s="10" t="n">
        <v>46161.91666666666</v>
      </c>
      <c r="F833" s="10" t="n">
        <v>46161.99652777778</v>
      </c>
      <c r="G833" s="11" t="n">
        <v>10.61</v>
      </c>
      <c r="H833" s="11">
        <f>H832+G833</f>
        <v/>
      </c>
    </row>
    <row r="834">
      <c r="A834" s="9" t="n">
        <v>830</v>
      </c>
      <c r="B834" s="9" t="inlineStr">
        <is>
          <t>Aurelius_M5</t>
        </is>
      </c>
      <c r="C834" s="9" t="inlineStr">
        <is>
          <t>MA alignment (EMA21&gt;EMA50&gt;SMA250&gt;SMMA500 vs EMA2400 trend filter)</t>
        </is>
      </c>
      <c r="D834" s="9" t="inlineStr">
        <is>
          <t>Short</t>
        </is>
      </c>
      <c r="E834" s="10" t="n">
        <v>46161.67708333334</v>
      </c>
      <c r="F834" s="10" t="n">
        <v>46162.04166666666</v>
      </c>
      <c r="G834" s="11" t="n">
        <v>42.22</v>
      </c>
      <c r="H834" s="11">
        <f>H833+G834</f>
        <v/>
      </c>
    </row>
    <row r="835">
      <c r="A835" s="9" t="n">
        <v>831</v>
      </c>
      <c r="B835" s="9" t="inlineStr">
        <is>
          <t>Meridian</t>
        </is>
      </c>
      <c r="C835" s="9" t="inlineStr">
        <is>
          <t>21/50 MA cross, 250-period confirm filter, VWAP</t>
        </is>
      </c>
      <c r="D835" s="9" t="inlineStr">
        <is>
          <t>Short</t>
        </is>
      </c>
      <c r="E835" s="10" t="n">
        <v>46161.47222222222</v>
      </c>
      <c r="F835" s="10" t="n">
        <v>46162.14930555555</v>
      </c>
      <c r="G835" s="11" t="n">
        <v>40.95</v>
      </c>
      <c r="H835" s="11">
        <f>H834+G835</f>
        <v/>
      </c>
    </row>
    <row r="836">
      <c r="A836" s="9" t="n">
        <v>832</v>
      </c>
      <c r="B836" s="9" t="inlineStr">
        <is>
          <t>Aurelius_M15</t>
        </is>
      </c>
      <c r="C836" s="9" t="inlineStr">
        <is>
          <t>MA alignment (EMA21&gt;EMA50&gt;SMA250&gt;SMMA500 vs EMA2400 trend filter) - M15 chart</t>
        </is>
      </c>
      <c r="D836" s="9" t="inlineStr">
        <is>
          <t>Short</t>
        </is>
      </c>
      <c r="E836" s="10" t="n">
        <v>46161.67708333334</v>
      </c>
      <c r="F836" s="10" t="n">
        <v>46162.15625</v>
      </c>
      <c r="G836" s="11" t="n">
        <v>19.05</v>
      </c>
      <c r="H836" s="11">
        <f>H835+G836</f>
        <v/>
      </c>
    </row>
    <row r="837">
      <c r="A837" s="9" t="n">
        <v>833</v>
      </c>
      <c r="B837" s="9" t="inlineStr">
        <is>
          <t>Meridian</t>
        </is>
      </c>
      <c r="C837" s="9" t="inlineStr">
        <is>
          <t>21/50 MA cross, 250-period confirm filter, VWAP</t>
        </is>
      </c>
      <c r="D837" s="9" t="inlineStr">
        <is>
          <t>Short</t>
        </is>
      </c>
      <c r="E837" s="10" t="n">
        <v>46162.19097222222</v>
      </c>
      <c r="F837" s="10" t="n">
        <v>46162.42013888889</v>
      </c>
      <c r="G837" s="11" t="n">
        <v>-4.04</v>
      </c>
      <c r="H837" s="11">
        <f>H836+G837</f>
        <v/>
      </c>
    </row>
    <row r="838">
      <c r="A838" s="9" t="n">
        <v>834</v>
      </c>
      <c r="B838" s="9" t="inlineStr">
        <is>
          <t>Meridian</t>
        </is>
      </c>
      <c r="C838" s="9" t="inlineStr">
        <is>
          <t>21/50 MA cross, 250-period confirm filter, VWAP</t>
        </is>
      </c>
      <c r="D838" s="9" t="inlineStr">
        <is>
          <t>Short</t>
        </is>
      </c>
      <c r="E838" s="10" t="n">
        <v>46162.71180555555</v>
      </c>
      <c r="F838" s="10" t="n">
        <v>46162.71875</v>
      </c>
      <c r="G838" s="11" t="n">
        <v>-13.05</v>
      </c>
      <c r="H838" s="11">
        <f>H837+G838</f>
        <v/>
      </c>
    </row>
    <row r="839">
      <c r="A839" s="9" t="n">
        <v>835</v>
      </c>
      <c r="B839" s="9" t="inlineStr">
        <is>
          <t>Vanguard_M15</t>
        </is>
      </c>
      <c r="C839" s="9" t="inlineStr">
        <is>
          <t>Trendline breakout (fractal swing line) + VWAP/S-R distance gate - M15 chart</t>
        </is>
      </c>
      <c r="D839" s="9" t="inlineStr">
        <is>
          <t>Short</t>
        </is>
      </c>
      <c r="E839" s="10" t="n">
        <v>46156.45833333334</v>
      </c>
      <c r="F839" s="10" t="n">
        <v>46162.72916666666</v>
      </c>
      <c r="G839" s="11" t="n">
        <v>172.32</v>
      </c>
      <c r="H839" s="11">
        <f>H838+G839</f>
        <v/>
      </c>
    </row>
    <row r="840">
      <c r="A840" s="9" t="n">
        <v>836</v>
      </c>
      <c r="B840" s="9" t="inlineStr">
        <is>
          <t>Vanguard_M5</t>
        </is>
      </c>
      <c r="C840" s="9" t="inlineStr">
        <is>
          <t>Trendline breakout (fractal swing line) + VWAP/S-R distance gate</t>
        </is>
      </c>
      <c r="D840" s="9" t="inlineStr">
        <is>
          <t>Short</t>
        </is>
      </c>
      <c r="E840" s="10" t="n">
        <v>46156.45833333334</v>
      </c>
      <c r="F840" s="10" t="n">
        <v>46162.72916666666</v>
      </c>
      <c r="G840" s="11" t="n">
        <v>168.24</v>
      </c>
      <c r="H840" s="11">
        <f>H839+G840</f>
        <v/>
      </c>
    </row>
    <row r="841">
      <c r="A841" s="9" t="n">
        <v>837</v>
      </c>
      <c r="B841" s="9" t="inlineStr">
        <is>
          <t>Meridian</t>
        </is>
      </c>
      <c r="C841" s="9" t="inlineStr">
        <is>
          <t>21/50 MA cross, 250-period confirm filter, VWAP</t>
        </is>
      </c>
      <c r="D841" s="9" t="inlineStr">
        <is>
          <t>Long</t>
        </is>
      </c>
      <c r="E841" s="10" t="n">
        <v>46162.72916666666</v>
      </c>
      <c r="F841" s="10" t="n">
        <v>46163.24652777778</v>
      </c>
      <c r="G841" s="11" t="n">
        <v>26.76</v>
      </c>
      <c r="H841" s="11">
        <f>H840+G841</f>
        <v/>
      </c>
    </row>
    <row r="842">
      <c r="A842" s="9" t="n">
        <v>838</v>
      </c>
      <c r="B842" s="9" t="inlineStr">
        <is>
          <t>Vanguard_M5</t>
        </is>
      </c>
      <c r="C842" s="9" t="inlineStr">
        <is>
          <t>Trendline breakout (fractal swing line) + VWAP/S-R distance gate</t>
        </is>
      </c>
      <c r="D842" s="9" t="inlineStr">
        <is>
          <t>Long</t>
        </is>
      </c>
      <c r="E842" s="10" t="n">
        <v>46162.73263888889</v>
      </c>
      <c r="F842" s="10" t="n">
        <v>46163.55902777778</v>
      </c>
      <c r="G842" s="11" t="n">
        <v>-6.83</v>
      </c>
      <c r="H842" s="11">
        <f>H841+G842</f>
        <v/>
      </c>
    </row>
    <row r="843">
      <c r="A843" s="9" t="n">
        <v>839</v>
      </c>
      <c r="B843" s="9" t="inlineStr">
        <is>
          <t>Meridian</t>
        </is>
      </c>
      <c r="C843" s="9" t="inlineStr">
        <is>
          <t>21/50 MA cross, 250-period confirm filter, VWAP</t>
        </is>
      </c>
      <c r="D843" s="9" t="inlineStr">
        <is>
          <t>Long</t>
        </is>
      </c>
      <c r="E843" s="10" t="n">
        <v>46163.51041666666</v>
      </c>
      <c r="F843" s="10" t="n">
        <v>46163.55902777778</v>
      </c>
      <c r="G843" s="11" t="n">
        <v>-12.14</v>
      </c>
      <c r="H843" s="11">
        <f>H842+G843</f>
        <v/>
      </c>
    </row>
    <row r="844">
      <c r="A844" s="9" t="n">
        <v>840</v>
      </c>
      <c r="B844" s="9" t="inlineStr">
        <is>
          <t>MSG</t>
        </is>
      </c>
      <c r="C844" s="9" t="inlineStr">
        <is>
          <t>Session-range breakout + Fibonacci retracement-zone entry</t>
        </is>
      </c>
      <c r="D844" s="9" t="inlineStr">
        <is>
          <t>Long</t>
        </is>
      </c>
      <c r="E844" s="10" t="n">
        <v>46163.55972222222</v>
      </c>
      <c r="F844" s="10" t="n">
        <v>46163.55972222222</v>
      </c>
      <c r="G844" s="11" t="n">
        <v>-13.03</v>
      </c>
      <c r="H844" s="11">
        <f>H843+G844</f>
        <v/>
      </c>
    </row>
    <row r="845">
      <c r="A845" s="9" t="n">
        <v>841</v>
      </c>
      <c r="B845" s="9" t="inlineStr">
        <is>
          <t>Vanguard_M15</t>
        </is>
      </c>
      <c r="C845" s="9" t="inlineStr">
        <is>
          <t>Trendline breakout (fractal swing line) + VWAP/S-R distance gate - M15 chart</t>
        </is>
      </c>
      <c r="D845" s="9" t="inlineStr">
        <is>
          <t>Long</t>
        </is>
      </c>
      <c r="E845" s="10" t="n">
        <v>46162.73958333334</v>
      </c>
      <c r="F845" s="10" t="n">
        <v>46163.5625</v>
      </c>
      <c r="G845" s="11" t="n">
        <v>-3.78</v>
      </c>
      <c r="H845" s="11">
        <f>H844+G845</f>
        <v/>
      </c>
    </row>
    <row r="846">
      <c r="A846" s="9" t="n">
        <v>842</v>
      </c>
      <c r="B846" s="9" t="inlineStr">
        <is>
          <t>Meridian</t>
        </is>
      </c>
      <c r="C846" s="9" t="inlineStr">
        <is>
          <t>21/50 MA cross, 250-period confirm filter, VWAP</t>
        </is>
      </c>
      <c r="D846" s="9" t="inlineStr">
        <is>
          <t>Short</t>
        </is>
      </c>
      <c r="E846" s="10" t="n">
        <v>46163.56597222222</v>
      </c>
      <c r="F846" s="10" t="n">
        <v>46163.80208333334</v>
      </c>
      <c r="G846" s="11" t="n">
        <v>-2.98</v>
      </c>
      <c r="H846" s="11">
        <f>H845+G846</f>
        <v/>
      </c>
    </row>
    <row r="847">
      <c r="A847" s="9" t="n">
        <v>843</v>
      </c>
      <c r="B847" s="9" t="inlineStr">
        <is>
          <t>Aurelius_M5</t>
        </is>
      </c>
      <c r="C847" s="9" t="inlineStr">
        <is>
          <t>MA alignment (EMA21&gt;EMA50&gt;SMA250&gt;SMMA500 vs EMA2400 trend filter)</t>
        </is>
      </c>
      <c r="D847" s="9" t="inlineStr">
        <is>
          <t>Short</t>
        </is>
      </c>
      <c r="E847" s="10" t="n">
        <v>46163.58680555555</v>
      </c>
      <c r="F847" s="10" t="n">
        <v>46163.80208333334</v>
      </c>
      <c r="G847" s="11" t="n">
        <v>-1.26</v>
      </c>
      <c r="H847" s="11">
        <f>H846+G847</f>
        <v/>
      </c>
    </row>
    <row r="848">
      <c r="A848" s="9" t="n">
        <v>844</v>
      </c>
      <c r="B848" s="9" t="inlineStr">
        <is>
          <t>Aurelius_M15</t>
        </is>
      </c>
      <c r="C848" s="9" t="inlineStr">
        <is>
          <t>MA alignment (EMA21&gt;EMA50&gt;SMA250&gt;SMMA500 vs EMA2400 trend filter) - M15 chart</t>
        </is>
      </c>
      <c r="D848" s="9" t="inlineStr">
        <is>
          <t>Short</t>
        </is>
      </c>
      <c r="E848" s="10" t="n">
        <v>46163.70833333334</v>
      </c>
      <c r="F848" s="10" t="n">
        <v>46163.84375</v>
      </c>
      <c r="G848" s="11" t="n">
        <v>-28.58</v>
      </c>
      <c r="H848" s="11">
        <f>H847+G848</f>
        <v/>
      </c>
    </row>
    <row r="849">
      <c r="A849" s="9" t="n">
        <v>845</v>
      </c>
      <c r="B849" s="9" t="inlineStr">
        <is>
          <t>Meridian</t>
        </is>
      </c>
      <c r="C849" s="9" t="inlineStr">
        <is>
          <t>21/50 MA cross, 250-period confirm filter, VWAP</t>
        </is>
      </c>
      <c r="D849" s="9" t="inlineStr">
        <is>
          <t>Long</t>
        </is>
      </c>
      <c r="E849" s="10" t="n">
        <v>46164.36458333334</v>
      </c>
      <c r="F849" s="10" t="n">
        <v>46164.37152777778</v>
      </c>
      <c r="G849" s="11" t="n">
        <v>-8.49</v>
      </c>
      <c r="H849" s="11">
        <f>H848+G849</f>
        <v/>
      </c>
    </row>
    <row r="850">
      <c r="A850" s="9" t="n">
        <v>846</v>
      </c>
      <c r="B850" s="9" t="inlineStr">
        <is>
          <t>Aurelius_M5</t>
        </is>
      </c>
      <c r="C850" s="9" t="inlineStr">
        <is>
          <t>MA alignment (EMA21&gt;EMA50&gt;SMA250&gt;SMMA500 vs EMA2400 trend filter)</t>
        </is>
      </c>
      <c r="D850" s="9" t="inlineStr">
        <is>
          <t>Short</t>
        </is>
      </c>
      <c r="E850" s="10" t="n">
        <v>46164.44444444445</v>
      </c>
      <c r="F850" s="10" t="n">
        <v>46164.46527777778</v>
      </c>
      <c r="G850" s="11" t="n">
        <v>-11.19</v>
      </c>
      <c r="H850" s="11">
        <f>H849+G850</f>
        <v/>
      </c>
    </row>
    <row r="851">
      <c r="A851" s="9" t="n">
        <v>847</v>
      </c>
      <c r="B851" s="9" t="inlineStr">
        <is>
          <t>Meridian</t>
        </is>
      </c>
      <c r="C851" s="9" t="inlineStr">
        <is>
          <t>21/50 MA cross, 250-period confirm filter, VWAP</t>
        </is>
      </c>
      <c r="D851" s="9" t="inlineStr">
        <is>
          <t>Long</t>
        </is>
      </c>
      <c r="E851" s="10" t="n">
        <v>46164.54166666666</v>
      </c>
      <c r="F851" s="10" t="n">
        <v>46164.5625</v>
      </c>
      <c r="G851" s="11" t="n">
        <v>-10.96</v>
      </c>
      <c r="H851" s="11">
        <f>H850+G851</f>
        <v/>
      </c>
    </row>
    <row r="852">
      <c r="A852" s="9" t="n">
        <v>848</v>
      </c>
      <c r="B852" s="9" t="inlineStr">
        <is>
          <t>MSG</t>
        </is>
      </c>
      <c r="C852" s="9" t="inlineStr">
        <is>
          <t>Session-range breakout + Fibonacci retracement-zone entry</t>
        </is>
      </c>
      <c r="D852" s="9" t="inlineStr">
        <is>
          <t>Long</t>
        </is>
      </c>
      <c r="E852" s="10" t="n">
        <v>46164.56388888889</v>
      </c>
      <c r="F852" s="10" t="n">
        <v>46164.56736111111</v>
      </c>
      <c r="G852" s="11" t="n">
        <v>-21.49</v>
      </c>
      <c r="H852" s="11">
        <f>H851+G852</f>
        <v/>
      </c>
    </row>
    <row r="853">
      <c r="A853" s="9" t="n">
        <v>849</v>
      </c>
      <c r="B853" s="9" t="inlineStr">
        <is>
          <t>Meridian</t>
        </is>
      </c>
      <c r="C853" s="9" t="inlineStr">
        <is>
          <t>21/50 MA cross, 250-period confirm filter, VWAP</t>
        </is>
      </c>
      <c r="D853" s="9" t="inlineStr">
        <is>
          <t>Short</t>
        </is>
      </c>
      <c r="E853" s="10" t="n">
        <v>46164.57291666666</v>
      </c>
      <c r="F853" s="10" t="n">
        <v>46164.61458333334</v>
      </c>
      <c r="G853" s="11" t="n">
        <v>-11.84</v>
      </c>
      <c r="H853" s="11">
        <f>H852+G853</f>
        <v/>
      </c>
    </row>
    <row r="854">
      <c r="A854" s="9" t="n">
        <v>850</v>
      </c>
      <c r="B854" s="9" t="inlineStr">
        <is>
          <t>Ratchet</t>
        </is>
      </c>
      <c r="C854" s="9" t="inlineStr">
        <is>
          <t>Stochastic scalp with give-back trail exit</t>
        </is>
      </c>
      <c r="D854" s="9" t="inlineStr">
        <is>
          <t>Short</t>
        </is>
      </c>
      <c r="E854" s="10" t="n">
        <v>46164.65277777778</v>
      </c>
      <c r="F854" s="10" t="n">
        <v>46164.66319444445</v>
      </c>
      <c r="G854" s="11" t="n">
        <v>-9.9</v>
      </c>
      <c r="H854" s="11">
        <f>H853+G854</f>
        <v/>
      </c>
    </row>
    <row r="855">
      <c r="A855" s="9" t="n">
        <v>851</v>
      </c>
      <c r="B855" s="9" t="inlineStr">
        <is>
          <t>Meridian</t>
        </is>
      </c>
      <c r="C855" s="9" t="inlineStr">
        <is>
          <t>21/50 MA cross, 250-period confirm filter, VWAP</t>
        </is>
      </c>
      <c r="D855" s="9" t="inlineStr">
        <is>
          <t>Long</t>
        </is>
      </c>
      <c r="E855" s="10" t="n">
        <v>46164.67361111111</v>
      </c>
      <c r="F855" s="10" t="n">
        <v>46164.69444444445</v>
      </c>
      <c r="G855" s="11" t="n">
        <v>-14.26</v>
      </c>
      <c r="H855" s="11">
        <f>H854+G855</f>
        <v/>
      </c>
    </row>
    <row r="856">
      <c r="A856" s="9" t="n">
        <v>852</v>
      </c>
      <c r="B856" s="9" t="inlineStr">
        <is>
          <t>Aurelius_M5</t>
        </is>
      </c>
      <c r="C856" s="9" t="inlineStr">
        <is>
          <t>MA alignment (EMA21&gt;EMA50&gt;SMA250&gt;SMMA500 vs EMA2400 trend filter)</t>
        </is>
      </c>
      <c r="D856" s="9" t="inlineStr">
        <is>
          <t>Short</t>
        </is>
      </c>
      <c r="E856" s="10" t="n">
        <v>46164.72222222222</v>
      </c>
      <c r="F856" s="10" t="n">
        <v>46164.76041666666</v>
      </c>
      <c r="G856" s="11" t="n">
        <v>-18.15</v>
      </c>
      <c r="H856" s="11">
        <f>H855+G856</f>
        <v/>
      </c>
    </row>
    <row r="857">
      <c r="A857" s="9" t="n">
        <v>853</v>
      </c>
      <c r="B857" s="9" t="inlineStr">
        <is>
          <t>Meridian</t>
        </is>
      </c>
      <c r="C857" s="9" t="inlineStr">
        <is>
          <t>21/50 MA cross, 250-period confirm filter, VWAP</t>
        </is>
      </c>
      <c r="D857" s="9" t="inlineStr">
        <is>
          <t>Short</t>
        </is>
      </c>
      <c r="E857" s="10" t="n">
        <v>46164.70138888889</v>
      </c>
      <c r="F857" s="10" t="n">
        <v>46164.80902777778</v>
      </c>
      <c r="G857" s="11" t="n">
        <v>-9.73</v>
      </c>
      <c r="H857" s="11">
        <f>H856+G857</f>
        <v/>
      </c>
    </row>
    <row r="858">
      <c r="A858" s="9" t="n">
        <v>854</v>
      </c>
      <c r="B858" s="9" t="inlineStr">
        <is>
          <t>Vanguard_M15</t>
        </is>
      </c>
      <c r="C858" s="9" t="inlineStr">
        <is>
          <t>Trendline breakout (fractal swing line) + VWAP/S-R distance gate - M15 chart</t>
        </is>
      </c>
      <c r="D858" s="9" t="inlineStr">
        <is>
          <t>Short</t>
        </is>
      </c>
      <c r="E858" s="10" t="n">
        <v>46164.71875</v>
      </c>
      <c r="F858" s="10" t="n">
        <v>46164.85416666666</v>
      </c>
      <c r="G858" s="11" t="n">
        <v>-30.4</v>
      </c>
      <c r="H858" s="11">
        <f>H857+G858</f>
        <v/>
      </c>
    </row>
    <row r="859">
      <c r="A859" s="9" t="n">
        <v>855</v>
      </c>
      <c r="B859" s="9" t="inlineStr">
        <is>
          <t>Meridian</t>
        </is>
      </c>
      <c r="C859" s="9" t="inlineStr">
        <is>
          <t>21/50 MA cross, 250-period confirm filter, VWAP</t>
        </is>
      </c>
      <c r="D859" s="9" t="inlineStr">
        <is>
          <t>Short</t>
        </is>
      </c>
      <c r="E859" s="10" t="n">
        <v>46164.90972222222</v>
      </c>
      <c r="F859" s="10" t="n">
        <v>46164.91666666666</v>
      </c>
      <c r="G859" s="11" t="n">
        <v>-2.31</v>
      </c>
      <c r="H859" s="11">
        <f>H858+G859</f>
        <v/>
      </c>
    </row>
    <row r="860">
      <c r="A860" s="9" t="n">
        <v>856</v>
      </c>
      <c r="B860" s="9" t="inlineStr">
        <is>
          <t>Aurelius_M15</t>
        </is>
      </c>
      <c r="C860" s="9" t="inlineStr">
        <is>
          <t>MA alignment (EMA21&gt;EMA50&gt;SMA250&gt;SMMA500 vs EMA2400 trend filter) - M15 chart</t>
        </is>
      </c>
      <c r="D860" s="9" t="inlineStr">
        <is>
          <t>Short</t>
        </is>
      </c>
      <c r="E860" s="10" t="n">
        <v>46164.64583333334</v>
      </c>
      <c r="F860" s="10" t="n">
        <v>46164.92708333334</v>
      </c>
      <c r="G860" s="11" t="n">
        <v>14.12</v>
      </c>
      <c r="H860" s="11">
        <f>H859+G860</f>
        <v/>
      </c>
    </row>
    <row r="861">
      <c r="A861" s="9" t="n">
        <v>857</v>
      </c>
      <c r="B861" s="9" t="inlineStr">
        <is>
          <t>Vanguard_M5</t>
        </is>
      </c>
      <c r="C861" s="9" t="inlineStr">
        <is>
          <t>Trendline breakout (fractal swing line) + VWAP/S-R distance gate</t>
        </is>
      </c>
      <c r="D861" s="9" t="inlineStr">
        <is>
          <t>Short</t>
        </is>
      </c>
      <c r="E861" s="10" t="n">
        <v>46164.70138888889</v>
      </c>
      <c r="F861" s="10" t="n">
        <v>46167.04166666666</v>
      </c>
      <c r="G861" s="11" t="n">
        <v>-24.03</v>
      </c>
      <c r="H861" s="11">
        <f>H860+G861</f>
        <v/>
      </c>
    </row>
    <row r="862">
      <c r="A862" s="9" t="n">
        <v>858</v>
      </c>
      <c r="B862" s="9" t="inlineStr">
        <is>
          <t>Vanguard_M15</t>
        </is>
      </c>
      <c r="C862" s="9" t="inlineStr">
        <is>
          <t>Trendline breakout (fractal swing line) + VWAP/S-R distance gate - M15 chart</t>
        </is>
      </c>
      <c r="D862" s="9" t="inlineStr">
        <is>
          <t>Short</t>
        </is>
      </c>
      <c r="E862" s="10" t="n">
        <v>46164.88541666666</v>
      </c>
      <c r="F862" s="10" t="n">
        <v>46167.04166666666</v>
      </c>
      <c r="G862" s="11" t="n">
        <v>-25.41</v>
      </c>
      <c r="H862" s="11">
        <f>H861+G862</f>
        <v/>
      </c>
    </row>
    <row r="863">
      <c r="A863" s="9" t="n">
        <v>859</v>
      </c>
      <c r="B863" s="9" t="inlineStr">
        <is>
          <t>Meridian</t>
        </is>
      </c>
      <c r="C863" s="9" t="inlineStr">
        <is>
          <t>21/50 MA cross, 250-period confirm filter, VWAP</t>
        </is>
      </c>
      <c r="D863" s="9" t="inlineStr">
        <is>
          <t>Long</t>
        </is>
      </c>
      <c r="E863" s="10" t="n">
        <v>46167.45833333334</v>
      </c>
      <c r="F863" s="10" t="n">
        <v>46167.47222222222</v>
      </c>
      <c r="G863" s="11" t="n">
        <v>-8.82</v>
      </c>
      <c r="H863" s="11">
        <f>H862+G863</f>
        <v/>
      </c>
    </row>
    <row r="864">
      <c r="A864" s="9" t="n">
        <v>860</v>
      </c>
      <c r="B864" s="9" t="inlineStr">
        <is>
          <t>Meridian</t>
        </is>
      </c>
      <c r="C864" s="9" t="inlineStr">
        <is>
          <t>21/50 MA cross, 250-period confirm filter, VWAP</t>
        </is>
      </c>
      <c r="D864" s="9" t="inlineStr">
        <is>
          <t>Long</t>
        </is>
      </c>
      <c r="E864" s="10" t="n">
        <v>46167.53125</v>
      </c>
      <c r="F864" s="10" t="n">
        <v>46167.62847222222</v>
      </c>
      <c r="G864" s="11" t="n">
        <v>-7.39</v>
      </c>
      <c r="H864" s="11">
        <f>H863+G864</f>
        <v/>
      </c>
    </row>
    <row r="865">
      <c r="A865" s="9" t="n">
        <v>861</v>
      </c>
      <c r="B865" s="9" t="inlineStr">
        <is>
          <t>MSG</t>
        </is>
      </c>
      <c r="C865" s="9" t="inlineStr">
        <is>
          <t>Session-range breakout + Fibonacci retracement-zone entry</t>
        </is>
      </c>
      <c r="D865" s="9" t="inlineStr">
        <is>
          <t>Long</t>
        </is>
      </c>
      <c r="E865" s="10" t="n">
        <v>46167.62986111111</v>
      </c>
      <c r="F865" s="10" t="n">
        <v>46167.63611111111</v>
      </c>
      <c r="G865" s="11" t="n">
        <v>-24.23</v>
      </c>
      <c r="H865" s="11">
        <f>H864+G865</f>
        <v/>
      </c>
    </row>
    <row r="866">
      <c r="A866" s="9" t="n">
        <v>862</v>
      </c>
      <c r="B866" s="9" t="inlineStr">
        <is>
          <t>Meridian</t>
        </is>
      </c>
      <c r="C866" s="9" t="inlineStr">
        <is>
          <t>21/50 MA cross, 250-period confirm filter, VWAP</t>
        </is>
      </c>
      <c r="D866" s="9" t="inlineStr">
        <is>
          <t>Long</t>
        </is>
      </c>
      <c r="E866" s="10" t="n">
        <v>46167.65277777778</v>
      </c>
      <c r="F866" s="10" t="n">
        <v>46167.6875</v>
      </c>
      <c r="G866" s="11" t="n">
        <v>-7.53</v>
      </c>
      <c r="H866" s="11">
        <f>H865+G866</f>
        <v/>
      </c>
    </row>
    <row r="867">
      <c r="A867" s="9" t="n">
        <v>863</v>
      </c>
      <c r="B867" s="9" t="inlineStr">
        <is>
          <t>Aurelius_M5</t>
        </is>
      </c>
      <c r="C867" s="9" t="inlineStr">
        <is>
          <t>MA alignment (EMA21&gt;EMA50&gt;SMA250&gt;SMMA500 vs EMA2400 trend filter)</t>
        </is>
      </c>
      <c r="D867" s="9" t="inlineStr">
        <is>
          <t>Long</t>
        </is>
      </c>
      <c r="E867" s="10" t="n">
        <v>46168.08333333334</v>
      </c>
      <c r="F867" s="10" t="n">
        <v>46168.10069444445</v>
      </c>
      <c r="G867" s="11" t="n">
        <v>-6.45</v>
      </c>
      <c r="H867" s="11">
        <f>H866+G867</f>
        <v/>
      </c>
    </row>
    <row r="868">
      <c r="A868" s="9" t="n">
        <v>864</v>
      </c>
      <c r="B868" s="9" t="inlineStr">
        <is>
          <t>Meridian</t>
        </is>
      </c>
      <c r="C868" s="9" t="inlineStr">
        <is>
          <t>21/50 MA cross, 250-period confirm filter, VWAP</t>
        </is>
      </c>
      <c r="D868" s="9" t="inlineStr">
        <is>
          <t>Long</t>
        </is>
      </c>
      <c r="E868" s="10" t="n">
        <v>46167.71875</v>
      </c>
      <c r="F868" s="10" t="n">
        <v>46168.10763888889</v>
      </c>
      <c r="G868" s="11" t="n">
        <v>-8.789999999999999</v>
      </c>
      <c r="H868" s="11">
        <f>H867+G868</f>
        <v/>
      </c>
    </row>
    <row r="869">
      <c r="A869" s="9" t="n">
        <v>865</v>
      </c>
      <c r="B869" s="9" t="inlineStr">
        <is>
          <t>Vanguard_M15</t>
        </is>
      </c>
      <c r="C869" s="9" t="inlineStr">
        <is>
          <t>Trendline breakout (fractal swing line) + VWAP/S-R distance gate - M15 chart</t>
        </is>
      </c>
      <c r="D869" s="9" t="inlineStr">
        <is>
          <t>Long</t>
        </is>
      </c>
      <c r="E869" s="10" t="n">
        <v>46167.05208333334</v>
      </c>
      <c r="F869" s="10" t="n">
        <v>46168.125</v>
      </c>
      <c r="G869" s="11" t="n">
        <v>-3.31</v>
      </c>
      <c r="H869" s="11">
        <f>H868+G869</f>
        <v/>
      </c>
    </row>
    <row r="870">
      <c r="A870" s="9" t="n">
        <v>866</v>
      </c>
      <c r="B870" s="9" t="inlineStr">
        <is>
          <t>Vanguard_M5</t>
        </is>
      </c>
      <c r="C870" s="9" t="inlineStr">
        <is>
          <t>Trendline breakout (fractal swing line) + VWAP/S-R distance gate</t>
        </is>
      </c>
      <c r="D870" s="9" t="inlineStr">
        <is>
          <t>Long</t>
        </is>
      </c>
      <c r="E870" s="10" t="n">
        <v>46167.04513888889</v>
      </c>
      <c r="F870" s="10" t="n">
        <v>46168.12847222222</v>
      </c>
      <c r="G870" s="11" t="n">
        <v>-0.79</v>
      </c>
      <c r="H870" s="11">
        <f>H869+G870</f>
        <v/>
      </c>
    </row>
    <row r="871">
      <c r="A871" s="9" t="n">
        <v>867</v>
      </c>
      <c r="B871" s="9" t="inlineStr">
        <is>
          <t>MSG</t>
        </is>
      </c>
      <c r="C871" s="9" t="inlineStr">
        <is>
          <t>Session-range breakout + Fibonacci retracement-zone entry</t>
        </is>
      </c>
      <c r="D871" s="9" t="inlineStr">
        <is>
          <t>Short</t>
        </is>
      </c>
      <c r="E871" s="10" t="n">
        <v>46168.54930555556</v>
      </c>
      <c r="F871" s="10" t="n">
        <v>46168.55208333334</v>
      </c>
      <c r="G871" s="11" t="n">
        <v>-18.95</v>
      </c>
      <c r="H871" s="11">
        <f>H870+G871</f>
        <v/>
      </c>
    </row>
    <row r="872">
      <c r="A872" s="9" t="n">
        <v>868</v>
      </c>
      <c r="B872" s="9" t="inlineStr">
        <is>
          <t>Meridian</t>
        </is>
      </c>
      <c r="C872" s="9" t="inlineStr">
        <is>
          <t>21/50 MA cross, 250-period confirm filter, VWAP</t>
        </is>
      </c>
      <c r="D872" s="9" t="inlineStr">
        <is>
          <t>Short</t>
        </is>
      </c>
      <c r="E872" s="10" t="n">
        <v>46168.11458333334</v>
      </c>
      <c r="F872" s="10" t="n">
        <v>46168.57638888889</v>
      </c>
      <c r="G872" s="11" t="n">
        <v>18.87</v>
      </c>
      <c r="H872" s="11">
        <f>H871+G872</f>
        <v/>
      </c>
    </row>
    <row r="873">
      <c r="A873" s="9" t="n">
        <v>869</v>
      </c>
      <c r="B873" s="9" t="inlineStr">
        <is>
          <t>Ratchet</t>
        </is>
      </c>
      <c r="C873" s="9" t="inlineStr">
        <is>
          <t>Stochastic scalp with give-back trail exit</t>
        </is>
      </c>
      <c r="D873" s="9" t="inlineStr">
        <is>
          <t>Short</t>
        </is>
      </c>
      <c r="E873" s="10" t="n">
        <v>46168.62152777778</v>
      </c>
      <c r="F873" s="10" t="n">
        <v>46168.62847222222</v>
      </c>
      <c r="G873" s="11" t="n">
        <v>1.23</v>
      </c>
      <c r="H873" s="11">
        <f>H872+G873</f>
        <v/>
      </c>
    </row>
    <row r="874">
      <c r="A874" s="9" t="n">
        <v>870</v>
      </c>
      <c r="B874" s="9" t="inlineStr">
        <is>
          <t>Ratchet</t>
        </is>
      </c>
      <c r="C874" s="9" t="inlineStr">
        <is>
          <t>Stochastic scalp with give-back trail exit</t>
        </is>
      </c>
      <c r="D874" s="9" t="inlineStr">
        <is>
          <t>Short</t>
        </is>
      </c>
      <c r="E874" s="10" t="n">
        <v>46168.63541666666</v>
      </c>
      <c r="F874" s="10" t="n">
        <v>46168.64583333334</v>
      </c>
      <c r="G874" s="11" t="n">
        <v>1.17</v>
      </c>
      <c r="H874" s="11">
        <f>H873+G874</f>
        <v/>
      </c>
    </row>
    <row r="875">
      <c r="A875" s="9" t="n">
        <v>871</v>
      </c>
      <c r="B875" s="9" t="inlineStr">
        <is>
          <t>Meridian</t>
        </is>
      </c>
      <c r="C875" s="9" t="inlineStr">
        <is>
          <t>21/50 MA cross, 250-period confirm filter, VWAP</t>
        </is>
      </c>
      <c r="D875" s="9" t="inlineStr">
        <is>
          <t>Short</t>
        </is>
      </c>
      <c r="E875" s="10" t="n">
        <v>46168.61111111111</v>
      </c>
      <c r="F875" s="10" t="n">
        <v>46168.65972222222</v>
      </c>
      <c r="G875" s="11" t="n">
        <v>-12.4</v>
      </c>
      <c r="H875" s="11">
        <f>H874+G875</f>
        <v/>
      </c>
    </row>
    <row r="876">
      <c r="A876" s="9" t="n">
        <v>872</v>
      </c>
      <c r="B876" s="9" t="inlineStr">
        <is>
          <t>Ratchet</t>
        </is>
      </c>
      <c r="C876" s="9" t="inlineStr">
        <is>
          <t>Stochastic scalp with give-back trail exit</t>
        </is>
      </c>
      <c r="D876" s="9" t="inlineStr">
        <is>
          <t>Short</t>
        </is>
      </c>
      <c r="E876" s="10" t="n">
        <v>46168.71527777778</v>
      </c>
      <c r="F876" s="10" t="n">
        <v>46168.71875</v>
      </c>
      <c r="G876" s="11" t="n">
        <v>1.3</v>
      </c>
      <c r="H876" s="11">
        <f>H875+G876</f>
        <v/>
      </c>
    </row>
    <row r="877">
      <c r="A877" s="9" t="n">
        <v>873</v>
      </c>
      <c r="B877" s="9" t="inlineStr">
        <is>
          <t>Ratchet</t>
        </is>
      </c>
      <c r="C877" s="9" t="inlineStr">
        <is>
          <t>Stochastic scalp with give-back trail exit</t>
        </is>
      </c>
      <c r="D877" s="9" t="inlineStr">
        <is>
          <t>Short</t>
        </is>
      </c>
      <c r="E877" s="10" t="n">
        <v>46168.75694444445</v>
      </c>
      <c r="F877" s="10" t="n">
        <v>46168.77777777778</v>
      </c>
      <c r="G877" s="11" t="n">
        <v>1.39</v>
      </c>
      <c r="H877" s="11">
        <f>H876+G877</f>
        <v/>
      </c>
    </row>
    <row r="878">
      <c r="A878" s="9" t="n">
        <v>874</v>
      </c>
      <c r="B878" s="9" t="inlineStr">
        <is>
          <t>Ratchet</t>
        </is>
      </c>
      <c r="C878" s="9" t="inlineStr">
        <is>
          <t>Stochastic scalp with give-back trail exit</t>
        </is>
      </c>
      <c r="D878" s="9" t="inlineStr">
        <is>
          <t>Short</t>
        </is>
      </c>
      <c r="E878" s="10" t="n">
        <v>46168.79513888889</v>
      </c>
      <c r="F878" s="10" t="n">
        <v>46168.80208333334</v>
      </c>
      <c r="G878" s="11" t="n">
        <v>1.31</v>
      </c>
      <c r="H878" s="11">
        <f>H877+G878</f>
        <v/>
      </c>
    </row>
    <row r="879">
      <c r="A879" s="9" t="n">
        <v>875</v>
      </c>
      <c r="B879" s="9" t="inlineStr">
        <is>
          <t>Ratchet</t>
        </is>
      </c>
      <c r="C879" s="9" t="inlineStr">
        <is>
          <t>Stochastic scalp with give-back trail exit</t>
        </is>
      </c>
      <c r="D879" s="9" t="inlineStr">
        <is>
          <t>Short</t>
        </is>
      </c>
      <c r="E879" s="10" t="n">
        <v>46168.83333333334</v>
      </c>
      <c r="F879" s="10" t="n">
        <v>46168.90972222222</v>
      </c>
      <c r="G879" s="11" t="n">
        <v>5.19</v>
      </c>
      <c r="H879" s="11">
        <f>H878+G879</f>
        <v/>
      </c>
    </row>
    <row r="880">
      <c r="A880" s="9" t="n">
        <v>876</v>
      </c>
      <c r="B880" s="9" t="inlineStr">
        <is>
          <t>Aurelius_M5</t>
        </is>
      </c>
      <c r="C880" s="9" t="inlineStr">
        <is>
          <t>MA alignment (EMA21&gt;EMA50&gt;SMA250&gt;SMMA500 vs EMA2400 trend filter)</t>
        </is>
      </c>
      <c r="D880" s="9" t="inlineStr">
        <is>
          <t>Short</t>
        </is>
      </c>
      <c r="E880" s="10" t="n">
        <v>46168.77430555555</v>
      </c>
      <c r="F880" s="10" t="n">
        <v>46168.95486111111</v>
      </c>
      <c r="G880" s="11" t="n">
        <v>-0.68</v>
      </c>
      <c r="H880" s="11">
        <f>H879+G880</f>
        <v/>
      </c>
    </row>
    <row r="881">
      <c r="A881" s="9" t="n">
        <v>877</v>
      </c>
      <c r="B881" s="9" t="inlineStr">
        <is>
          <t>Aurelius_M15</t>
        </is>
      </c>
      <c r="C881" s="9" t="inlineStr">
        <is>
          <t>MA alignment (EMA21&gt;EMA50&gt;SMA250&gt;SMMA500 vs EMA2400 trend filter) - M15 chart</t>
        </is>
      </c>
      <c r="D881" s="9" t="inlineStr">
        <is>
          <t>Short</t>
        </is>
      </c>
      <c r="E881" s="10" t="n">
        <v>46168.61458333334</v>
      </c>
      <c r="F881" s="10" t="n">
        <v>46169.04166666666</v>
      </c>
      <c r="G881" s="11" t="n">
        <v>-22.16</v>
      </c>
      <c r="H881" s="11">
        <f>H880+G881</f>
        <v/>
      </c>
    </row>
    <row r="882">
      <c r="A882" s="9" t="n">
        <v>878</v>
      </c>
      <c r="B882" s="9" t="inlineStr">
        <is>
          <t>Vanguard_M5</t>
        </is>
      </c>
      <c r="C882" s="9" t="inlineStr">
        <is>
          <t>Trendline breakout (fractal swing line) + VWAP/S-R distance gate</t>
        </is>
      </c>
      <c r="D882" s="9" t="inlineStr">
        <is>
          <t>Short</t>
        </is>
      </c>
      <c r="E882" s="10" t="n">
        <v>46168.87152777778</v>
      </c>
      <c r="F882" s="10" t="n">
        <v>46169.04166666666</v>
      </c>
      <c r="G882" s="11" t="n">
        <v>-14.39</v>
      </c>
      <c r="H882" s="11">
        <f>H881+G882</f>
        <v/>
      </c>
    </row>
    <row r="883">
      <c r="A883" s="9" t="n">
        <v>879</v>
      </c>
      <c r="B883" s="9" t="inlineStr">
        <is>
          <t>Meridian</t>
        </is>
      </c>
      <c r="C883" s="9" t="inlineStr">
        <is>
          <t>21/50 MA cross, 250-period confirm filter, VWAP</t>
        </is>
      </c>
      <c r="D883" s="9" t="inlineStr">
        <is>
          <t>Short</t>
        </is>
      </c>
      <c r="E883" s="10" t="n">
        <v>46169.07291666666</v>
      </c>
      <c r="F883" s="10" t="n">
        <v>46169.07986111111</v>
      </c>
      <c r="G883" s="11" t="n">
        <v>-6.68</v>
      </c>
      <c r="H883" s="11">
        <f>H882+G883</f>
        <v/>
      </c>
    </row>
    <row r="884">
      <c r="A884" s="9" t="n">
        <v>880</v>
      </c>
      <c r="B884" s="9" t="inlineStr">
        <is>
          <t>Ratchet</t>
        </is>
      </c>
      <c r="C884" s="9" t="inlineStr">
        <is>
          <t>Stochastic scalp with give-back trail exit</t>
        </is>
      </c>
      <c r="D884" s="9" t="inlineStr">
        <is>
          <t>Short</t>
        </is>
      </c>
      <c r="E884" s="10" t="n">
        <v>46169.23958333334</v>
      </c>
      <c r="F884" s="10" t="n">
        <v>46169.24652777778</v>
      </c>
      <c r="G884" s="11" t="n">
        <v>-6.9</v>
      </c>
      <c r="H884" s="11">
        <f>H883+G884</f>
        <v/>
      </c>
    </row>
    <row r="885">
      <c r="A885" s="9" t="n">
        <v>881</v>
      </c>
      <c r="B885" s="9" t="inlineStr">
        <is>
          <t>Ratchet</t>
        </is>
      </c>
      <c r="C885" s="9" t="inlineStr">
        <is>
          <t>Stochastic scalp with give-back trail exit</t>
        </is>
      </c>
      <c r="D885" s="9" t="inlineStr">
        <is>
          <t>Short</t>
        </is>
      </c>
      <c r="E885" s="10" t="n">
        <v>46169.28472222222</v>
      </c>
      <c r="F885" s="10" t="n">
        <v>46169.29513888889</v>
      </c>
      <c r="G885" s="11" t="n">
        <v>2.04</v>
      </c>
      <c r="H885" s="11">
        <f>H884+G885</f>
        <v/>
      </c>
    </row>
    <row r="886">
      <c r="A886" s="9" t="n">
        <v>882</v>
      </c>
      <c r="B886" s="9" t="inlineStr">
        <is>
          <t>Meridian</t>
        </is>
      </c>
      <c r="C886" s="9" t="inlineStr">
        <is>
          <t>21/50 MA cross, 250-period confirm filter, VWAP</t>
        </is>
      </c>
      <c r="D886" s="9" t="inlineStr">
        <is>
          <t>Short</t>
        </is>
      </c>
      <c r="E886" s="10" t="n">
        <v>46169.21875</v>
      </c>
      <c r="F886" s="10" t="n">
        <v>46169.32291666666</v>
      </c>
      <c r="G886" s="11" t="n">
        <v>-10.3</v>
      </c>
      <c r="H886" s="11">
        <f>H885+G886</f>
        <v/>
      </c>
    </row>
    <row r="887">
      <c r="A887" s="9" t="n">
        <v>883</v>
      </c>
      <c r="B887" s="9" t="inlineStr">
        <is>
          <t>Ratchet</t>
        </is>
      </c>
      <c r="C887" s="9" t="inlineStr">
        <is>
          <t>Stochastic scalp with give-back trail exit</t>
        </is>
      </c>
      <c r="D887" s="9" t="inlineStr">
        <is>
          <t>Short</t>
        </is>
      </c>
      <c r="E887" s="10" t="n">
        <v>46169.4375</v>
      </c>
      <c r="F887" s="10" t="n">
        <v>46169.45833333334</v>
      </c>
      <c r="G887" s="11" t="n">
        <v>2.01</v>
      </c>
      <c r="H887" s="11">
        <f>H886+G887</f>
        <v/>
      </c>
    </row>
    <row r="888">
      <c r="A888" s="9" t="n">
        <v>884</v>
      </c>
      <c r="B888" s="9" t="inlineStr">
        <is>
          <t>MSG</t>
        </is>
      </c>
      <c r="C888" s="9" t="inlineStr">
        <is>
          <t>Session-range breakout + Fibonacci retracement-zone entry</t>
        </is>
      </c>
      <c r="D888" s="9" t="inlineStr">
        <is>
          <t>Short</t>
        </is>
      </c>
      <c r="E888" s="10" t="n">
        <v>46169.64097222222</v>
      </c>
      <c r="F888" s="10" t="n">
        <v>46169.67916666667</v>
      </c>
      <c r="G888" s="11" t="n">
        <v>131.23</v>
      </c>
      <c r="H888" s="11">
        <f>H887+G888</f>
        <v/>
      </c>
    </row>
    <row r="889">
      <c r="A889" s="9" t="n">
        <v>885</v>
      </c>
      <c r="B889" s="9" t="inlineStr">
        <is>
          <t>Ratchet</t>
        </is>
      </c>
      <c r="C889" s="9" t="inlineStr">
        <is>
          <t>Stochastic scalp with give-back trail exit</t>
        </is>
      </c>
      <c r="D889" s="9" t="inlineStr">
        <is>
          <t>Short</t>
        </is>
      </c>
      <c r="E889" s="10" t="n">
        <v>46169.78472222222</v>
      </c>
      <c r="F889" s="10" t="n">
        <v>46169.80208333334</v>
      </c>
      <c r="G889" s="11" t="n">
        <v>-9.83</v>
      </c>
      <c r="H889" s="11">
        <f>H888+G889</f>
        <v/>
      </c>
    </row>
    <row r="890">
      <c r="A890" s="9" t="n">
        <v>886</v>
      </c>
      <c r="B890" s="9" t="inlineStr">
        <is>
          <t>Aurelius_M5</t>
        </is>
      </c>
      <c r="C890" s="9" t="inlineStr">
        <is>
          <t>MA alignment (EMA21&gt;EMA50&gt;SMA250&gt;SMMA500 vs EMA2400 trend filter)</t>
        </is>
      </c>
      <c r="D890" s="9" t="inlineStr">
        <is>
          <t>Short</t>
        </is>
      </c>
      <c r="E890" s="10" t="n">
        <v>46169.50347222222</v>
      </c>
      <c r="F890" s="10" t="n">
        <v>46169.82638888889</v>
      </c>
      <c r="G890" s="11" t="n">
        <v>39.51</v>
      </c>
      <c r="H890" s="11">
        <f>H889+G890</f>
        <v/>
      </c>
    </row>
    <row r="891">
      <c r="A891" s="9" t="n">
        <v>887</v>
      </c>
      <c r="B891" s="9" t="inlineStr">
        <is>
          <t>Ratchet</t>
        </is>
      </c>
      <c r="C891" s="9" t="inlineStr">
        <is>
          <t>Stochastic scalp with give-back trail exit</t>
        </is>
      </c>
      <c r="D891" s="9" t="inlineStr">
        <is>
          <t>Short</t>
        </is>
      </c>
      <c r="E891" s="10" t="n">
        <v>46170.13194444445</v>
      </c>
      <c r="F891" s="10" t="n">
        <v>46170.13541666666</v>
      </c>
      <c r="G891" s="11" t="n">
        <v>1.28</v>
      </c>
      <c r="H891" s="11">
        <f>H890+G891</f>
        <v/>
      </c>
    </row>
    <row r="892">
      <c r="A892" s="9" t="n">
        <v>888</v>
      </c>
      <c r="B892" s="9" t="inlineStr">
        <is>
          <t>Meridian</t>
        </is>
      </c>
      <c r="C892" s="9" t="inlineStr">
        <is>
          <t>21/50 MA cross, 250-period confirm filter, VWAP</t>
        </is>
      </c>
      <c r="D892" s="9" t="inlineStr">
        <is>
          <t>Short</t>
        </is>
      </c>
      <c r="E892" s="10" t="n">
        <v>46170.12152777778</v>
      </c>
      <c r="F892" s="10" t="n">
        <v>46170.15625</v>
      </c>
      <c r="G892" s="11" t="n">
        <v>-8.960000000000001</v>
      </c>
      <c r="H892" s="11">
        <f>H891+G892</f>
        <v/>
      </c>
    </row>
    <row r="893">
      <c r="A893" s="9" t="n">
        <v>889</v>
      </c>
      <c r="B893" s="9" t="inlineStr">
        <is>
          <t>Aurelius_M5</t>
        </is>
      </c>
      <c r="C893" s="9" t="inlineStr">
        <is>
          <t>MA alignment (EMA21&gt;EMA50&gt;SMA250&gt;SMMA500 vs EMA2400 trend filter)</t>
        </is>
      </c>
      <c r="D893" s="9" t="inlineStr">
        <is>
          <t>Short</t>
        </is>
      </c>
      <c r="E893" s="10" t="n">
        <v>46170.14583333334</v>
      </c>
      <c r="F893" s="10" t="n">
        <v>46170.16319444445</v>
      </c>
      <c r="G893" s="11" t="n">
        <v>-11.81</v>
      </c>
      <c r="H893" s="11">
        <f>H892+G893</f>
        <v/>
      </c>
    </row>
    <row r="894">
      <c r="A894" s="9" t="n">
        <v>890</v>
      </c>
      <c r="B894" s="9" t="inlineStr">
        <is>
          <t>Ratchet</t>
        </is>
      </c>
      <c r="C894" s="9" t="inlineStr">
        <is>
          <t>Stochastic scalp with give-back trail exit</t>
        </is>
      </c>
      <c r="D894" s="9" t="inlineStr">
        <is>
          <t>Short</t>
        </is>
      </c>
      <c r="E894" s="10" t="n">
        <v>46170.17361111111</v>
      </c>
      <c r="F894" s="10" t="n">
        <v>46170.45138888889</v>
      </c>
      <c r="G894" s="11" t="n">
        <v>56.24</v>
      </c>
      <c r="H894" s="11">
        <f>H893+G894</f>
        <v/>
      </c>
    </row>
    <row r="895">
      <c r="A895" s="9" t="n">
        <v>891</v>
      </c>
      <c r="B895" s="9" t="inlineStr">
        <is>
          <t>Aurelius_M5</t>
        </is>
      </c>
      <c r="C895" s="9" t="inlineStr">
        <is>
          <t>MA alignment (EMA21&gt;EMA50&gt;SMA250&gt;SMMA500 vs EMA2400 trend filter)</t>
        </is>
      </c>
      <c r="D895" s="9" t="inlineStr">
        <is>
          <t>Short</t>
        </is>
      </c>
      <c r="E895" s="10" t="n">
        <v>46170.18055555555</v>
      </c>
      <c r="F895" s="10" t="n">
        <v>46170.47916666666</v>
      </c>
      <c r="G895" s="11" t="n">
        <v>43.36</v>
      </c>
      <c r="H895" s="11">
        <f>H894+G895</f>
        <v/>
      </c>
    </row>
    <row r="896">
      <c r="A896" s="9" t="n">
        <v>892</v>
      </c>
      <c r="B896" s="9" t="inlineStr">
        <is>
          <t>MSG</t>
        </is>
      </c>
      <c r="C896" s="9" t="inlineStr">
        <is>
          <t>Session-range breakout + Fibonacci retracement-zone entry</t>
        </is>
      </c>
      <c r="D896" s="9" t="inlineStr">
        <is>
          <t>Long</t>
        </is>
      </c>
      <c r="E896" s="10" t="n">
        <v>46170.57291666666</v>
      </c>
      <c r="F896" s="10" t="n">
        <v>46170.57569444444</v>
      </c>
      <c r="G896" s="11" t="n">
        <v>-25.45</v>
      </c>
      <c r="H896" s="11">
        <f>H895+G896</f>
        <v/>
      </c>
    </row>
    <row r="897">
      <c r="A897" s="9" t="n">
        <v>893</v>
      </c>
      <c r="B897" s="9" t="inlineStr">
        <is>
          <t>Aurelius_M5</t>
        </is>
      </c>
      <c r="C897" s="9" t="inlineStr">
        <is>
          <t>MA alignment (EMA21&gt;EMA50&gt;SMA250&gt;SMMA500 vs EMA2400 trend filter)</t>
        </is>
      </c>
      <c r="D897" s="9" t="inlineStr">
        <is>
          <t>Short</t>
        </is>
      </c>
      <c r="E897" s="10" t="n">
        <v>46170.64236111111</v>
      </c>
      <c r="F897" s="10" t="n">
        <v>46170.64583333334</v>
      </c>
      <c r="G897" s="11" t="n">
        <v>-12.71</v>
      </c>
      <c r="H897" s="11">
        <f>H896+G897</f>
        <v/>
      </c>
    </row>
    <row r="898">
      <c r="A898" s="9" t="n">
        <v>894</v>
      </c>
      <c r="B898" s="9" t="inlineStr">
        <is>
          <t>Meridian</t>
        </is>
      </c>
      <c r="C898" s="9" t="inlineStr">
        <is>
          <t>21/50 MA cross, 250-period confirm filter, VWAP</t>
        </is>
      </c>
      <c r="D898" s="9" t="inlineStr">
        <is>
          <t>Short</t>
        </is>
      </c>
      <c r="E898" s="10" t="n">
        <v>46170.59027777778</v>
      </c>
      <c r="F898" s="10" t="n">
        <v>46170.64930555555</v>
      </c>
      <c r="G898" s="11" t="n">
        <v>-13.81</v>
      </c>
      <c r="H898" s="11">
        <f>H897+G898</f>
        <v/>
      </c>
    </row>
    <row r="899">
      <c r="A899" s="9" t="n">
        <v>895</v>
      </c>
      <c r="B899" s="9" t="inlineStr">
        <is>
          <t>Aurelius_M15</t>
        </is>
      </c>
      <c r="C899" s="9" t="inlineStr">
        <is>
          <t>MA alignment (EMA21&gt;EMA50&gt;SMA250&gt;SMMA500 vs EMA2400 trend filter) - M15 chart</t>
        </is>
      </c>
      <c r="D899" s="9" t="inlineStr">
        <is>
          <t>Short</t>
        </is>
      </c>
      <c r="E899" s="10" t="n">
        <v>46169.375</v>
      </c>
      <c r="F899" s="10" t="n">
        <v>46170.72916666666</v>
      </c>
      <c r="G899" s="11" t="n">
        <v>36.43</v>
      </c>
      <c r="H899" s="11">
        <f>H898+G899</f>
        <v/>
      </c>
    </row>
    <row r="900">
      <c r="A900" s="9" t="n">
        <v>896</v>
      </c>
      <c r="B900" s="9" t="inlineStr">
        <is>
          <t>Meridian</t>
        </is>
      </c>
      <c r="C900" s="9" t="inlineStr">
        <is>
          <t>21/50 MA cross, 250-period confirm filter, VWAP</t>
        </is>
      </c>
      <c r="D900" s="9" t="inlineStr">
        <is>
          <t>Long</t>
        </is>
      </c>
      <c r="E900" s="10" t="n">
        <v>46171.13888888889</v>
      </c>
      <c r="F900" s="10" t="n">
        <v>46171.28125</v>
      </c>
      <c r="G900" s="11" t="n">
        <v>-1.3</v>
      </c>
      <c r="H900" s="11">
        <f>H899+G900</f>
        <v/>
      </c>
    </row>
    <row r="901">
      <c r="A901" s="9" t="n">
        <v>897</v>
      </c>
      <c r="B901" s="9" t="inlineStr">
        <is>
          <t>Ratchet</t>
        </is>
      </c>
      <c r="C901" s="9" t="inlineStr">
        <is>
          <t>Stochastic scalp with give-back trail exit</t>
        </is>
      </c>
      <c r="D901" s="9" t="inlineStr">
        <is>
          <t>Long</t>
        </is>
      </c>
      <c r="E901" s="10" t="n">
        <v>46171.42361111111</v>
      </c>
      <c r="F901" s="10" t="n">
        <v>46171.45833333334</v>
      </c>
      <c r="G901" s="11" t="n">
        <v>1.73</v>
      </c>
      <c r="H901" s="11">
        <f>H900+G901</f>
        <v/>
      </c>
    </row>
    <row r="902">
      <c r="A902" s="9" t="n">
        <v>898</v>
      </c>
      <c r="B902" s="9" t="inlineStr">
        <is>
          <t>Ratchet</t>
        </is>
      </c>
      <c r="C902" s="9" t="inlineStr">
        <is>
          <t>Stochastic scalp with give-back trail exit</t>
        </is>
      </c>
      <c r="D902" s="9" t="inlineStr">
        <is>
          <t>Long</t>
        </is>
      </c>
      <c r="E902" s="10" t="n">
        <v>46171.52777777778</v>
      </c>
      <c r="F902" s="10" t="n">
        <v>46171.53472222222</v>
      </c>
      <c r="G902" s="11" t="n">
        <v>2.46</v>
      </c>
      <c r="H902" s="11">
        <f>H901+G902</f>
        <v/>
      </c>
    </row>
    <row r="903">
      <c r="A903" s="9" t="n">
        <v>899</v>
      </c>
      <c r="B903" s="9" t="inlineStr">
        <is>
          <t>Aurelius_M5</t>
        </is>
      </c>
      <c r="C903" s="9" t="inlineStr">
        <is>
          <t>MA alignment (EMA21&gt;EMA50&gt;SMA250&gt;SMMA500 vs EMA2400 trend filter)</t>
        </is>
      </c>
      <c r="D903" s="9" t="inlineStr">
        <is>
          <t>Long</t>
        </is>
      </c>
      <c r="E903" s="10" t="n">
        <v>46171.51041666666</v>
      </c>
      <c r="F903" s="10" t="n">
        <v>46171.64583333334</v>
      </c>
      <c r="G903" s="11" t="n">
        <v>-11.42</v>
      </c>
      <c r="H903" s="11">
        <f>H902+G903</f>
        <v/>
      </c>
    </row>
    <row r="904">
      <c r="A904" s="9" t="n">
        <v>900</v>
      </c>
      <c r="B904" s="9" t="inlineStr">
        <is>
          <t>MSG</t>
        </is>
      </c>
      <c r="C904" s="9" t="inlineStr">
        <is>
          <t>Session-range breakout + Fibonacci retracement-zone entry</t>
        </is>
      </c>
      <c r="D904" s="9" t="inlineStr">
        <is>
          <t>Long</t>
        </is>
      </c>
      <c r="E904" s="10" t="n">
        <v>46171.60486111111</v>
      </c>
      <c r="F904" s="10" t="n">
        <v>46171.65416666667</v>
      </c>
      <c r="G904" s="11" t="n">
        <v>-35.48</v>
      </c>
      <c r="H904" s="11">
        <f>H903+G904</f>
        <v/>
      </c>
    </row>
    <row r="905">
      <c r="A905" s="9" t="n">
        <v>901</v>
      </c>
      <c r="B905" s="9" t="inlineStr">
        <is>
          <t>Meridian</t>
        </is>
      </c>
      <c r="C905" s="9" t="inlineStr">
        <is>
          <t>21/50 MA cross, 250-period confirm filter, VWAP</t>
        </is>
      </c>
      <c r="D905" s="9" t="inlineStr">
        <is>
          <t>Long</t>
        </is>
      </c>
      <c r="E905" s="10" t="n">
        <v>46171.29513888889</v>
      </c>
      <c r="F905" s="10" t="n">
        <v>46171.65972222222</v>
      </c>
      <c r="G905" s="11" t="n">
        <v>12.57</v>
      </c>
      <c r="H905" s="11">
        <f>H904+G905</f>
        <v/>
      </c>
    </row>
    <row r="906">
      <c r="A906" s="9" t="n">
        <v>902</v>
      </c>
      <c r="B906" s="9" t="inlineStr">
        <is>
          <t>Meridian</t>
        </is>
      </c>
      <c r="C906" s="9" t="inlineStr">
        <is>
          <t>21/50 MA cross, 250-period confirm filter, VWAP</t>
        </is>
      </c>
      <c r="D906" s="9" t="inlineStr">
        <is>
          <t>Long</t>
        </is>
      </c>
      <c r="E906" s="10" t="n">
        <v>46171.69791666666</v>
      </c>
      <c r="F906" s="10" t="n">
        <v>46171.91666666666</v>
      </c>
      <c r="G906" s="11" t="n">
        <v>19.99</v>
      </c>
      <c r="H906" s="11">
        <f>H905+G906</f>
        <v/>
      </c>
    </row>
    <row r="907">
      <c r="A907" s="9" t="n">
        <v>903</v>
      </c>
      <c r="B907" s="9" t="inlineStr">
        <is>
          <t>Aurelius_M5</t>
        </is>
      </c>
      <c r="C907" s="9" t="inlineStr">
        <is>
          <t>MA alignment (EMA21&gt;EMA50&gt;SMA250&gt;SMMA500 vs EMA2400 trend filter)</t>
        </is>
      </c>
      <c r="D907" s="9" t="inlineStr">
        <is>
          <t>Long</t>
        </is>
      </c>
      <c r="E907" s="10" t="n">
        <v>46171.72222222222</v>
      </c>
      <c r="F907" s="10" t="n">
        <v>46171.92013888889</v>
      </c>
      <c r="G907" s="11" t="n">
        <v>16.29</v>
      </c>
      <c r="H907" s="11">
        <f>H906+G907</f>
        <v/>
      </c>
    </row>
    <row r="908">
      <c r="A908" s="9" t="n">
        <v>904</v>
      </c>
      <c r="B908" s="9" t="inlineStr">
        <is>
          <t>Ratchet</t>
        </is>
      </c>
      <c r="C908" s="9" t="inlineStr">
        <is>
          <t>Stochastic scalp with give-back trail exit</t>
        </is>
      </c>
      <c r="D908" s="9" t="inlineStr">
        <is>
          <t>Short</t>
        </is>
      </c>
      <c r="E908" s="10" t="n">
        <v>46174.72569444445</v>
      </c>
      <c r="F908" s="10" t="n">
        <v>46174.77083333334</v>
      </c>
      <c r="G908" s="11" t="n">
        <v>-17.5</v>
      </c>
      <c r="H908" s="11">
        <f>H907+G908</f>
        <v/>
      </c>
    </row>
    <row r="909">
      <c r="A909" s="9" t="n">
        <v>905</v>
      </c>
      <c r="B909" s="9" t="inlineStr">
        <is>
          <t>Meridian</t>
        </is>
      </c>
      <c r="C909" s="9" t="inlineStr">
        <is>
          <t>21/50 MA cross, 250-period confirm filter, VWAP</t>
        </is>
      </c>
      <c r="D909" s="9" t="inlineStr">
        <is>
          <t>Short</t>
        </is>
      </c>
      <c r="E909" s="10" t="n">
        <v>46174.67361111111</v>
      </c>
      <c r="F909" s="10" t="n">
        <v>46174.86458333334</v>
      </c>
      <c r="G909" s="11" t="n">
        <v>9.220000000000001</v>
      </c>
      <c r="H909" s="11">
        <f>H908+G909</f>
        <v/>
      </c>
    </row>
    <row r="910">
      <c r="A910" s="9" t="n">
        <v>906</v>
      </c>
      <c r="B910" s="9" t="inlineStr">
        <is>
          <t>Meridian</t>
        </is>
      </c>
      <c r="C910" s="9" t="inlineStr">
        <is>
          <t>21/50 MA cross, 250-period confirm filter, VWAP</t>
        </is>
      </c>
      <c r="D910" s="9" t="inlineStr">
        <is>
          <t>Short</t>
        </is>
      </c>
      <c r="E910" s="10" t="n">
        <v>46175.20138888889</v>
      </c>
      <c r="F910" s="10" t="n">
        <v>46175.25</v>
      </c>
      <c r="G910" s="11" t="n">
        <v>-15.68</v>
      </c>
      <c r="H910" s="11">
        <f>H909+G910</f>
        <v/>
      </c>
    </row>
    <row r="911">
      <c r="A911" s="9" t="n">
        <v>907</v>
      </c>
      <c r="B911" s="9" t="inlineStr">
        <is>
          <t>Ratchet</t>
        </is>
      </c>
      <c r="C911" s="9" t="inlineStr">
        <is>
          <t>Stochastic scalp with give-back trail exit</t>
        </is>
      </c>
      <c r="D911" s="9" t="inlineStr">
        <is>
          <t>Short</t>
        </is>
      </c>
      <c r="E911" s="10" t="n">
        <v>46175.21180555555</v>
      </c>
      <c r="F911" s="10" t="n">
        <v>46175.25</v>
      </c>
      <c r="G911" s="11" t="n">
        <v>-14.52</v>
      </c>
      <c r="H911" s="11">
        <f>H910+G911</f>
        <v/>
      </c>
    </row>
    <row r="912">
      <c r="A912" s="9" t="n">
        <v>908</v>
      </c>
      <c r="B912" s="9" t="inlineStr">
        <is>
          <t>Aurelius_M15</t>
        </is>
      </c>
      <c r="C912" s="9" t="inlineStr">
        <is>
          <t>MA alignment (EMA21&gt;EMA50&gt;SMA250&gt;SMMA500 vs EMA2400 trend filter) - M15 chart</t>
        </is>
      </c>
      <c r="D912" s="9" t="inlineStr">
        <is>
          <t>Short</t>
        </is>
      </c>
      <c r="E912" s="10" t="n">
        <v>46175.19791666666</v>
      </c>
      <c r="F912" s="10" t="n">
        <v>46175.29166666666</v>
      </c>
      <c r="G912" s="11" t="n">
        <v>-20.22</v>
      </c>
      <c r="H912" s="11">
        <f>H911+G912</f>
        <v/>
      </c>
    </row>
    <row r="913">
      <c r="A913" s="9" t="n">
        <v>909</v>
      </c>
      <c r="B913" s="9" t="inlineStr">
        <is>
          <t>Meridian</t>
        </is>
      </c>
      <c r="C913" s="9" t="inlineStr">
        <is>
          <t>21/50 MA cross, 250-period confirm filter, VWAP</t>
        </is>
      </c>
      <c r="D913" s="9" t="inlineStr">
        <is>
          <t>Long</t>
        </is>
      </c>
      <c r="E913" s="10" t="n">
        <v>46175.26388888889</v>
      </c>
      <c r="F913" s="10" t="n">
        <v>46175.65972222222</v>
      </c>
      <c r="G913" s="11" t="n">
        <v>30.26</v>
      </c>
      <c r="H913" s="11">
        <f>H912+G913</f>
        <v/>
      </c>
    </row>
    <row r="914">
      <c r="A914" s="9" t="n">
        <v>910</v>
      </c>
      <c r="B914" s="9" t="inlineStr">
        <is>
          <t>Vanguard_M15</t>
        </is>
      </c>
      <c r="C914" s="9" t="inlineStr">
        <is>
          <t>Trendline breakout (fractal swing line) + VWAP/S-R distance gate - M15 chart</t>
        </is>
      </c>
      <c r="D914" s="9" t="inlineStr">
        <is>
          <t>Long</t>
        </is>
      </c>
      <c r="E914" s="10" t="n">
        <v>46170.66666666666</v>
      </c>
      <c r="F914" s="10" t="n">
        <v>46175.85416666666</v>
      </c>
      <c r="G914" s="11" t="n">
        <v>52.15</v>
      </c>
      <c r="H914" s="11">
        <f>H913+G914</f>
        <v/>
      </c>
    </row>
    <row r="915">
      <c r="A915" s="9" t="n">
        <v>911</v>
      </c>
      <c r="B915" s="9" t="inlineStr">
        <is>
          <t>Vanguard_M5</t>
        </is>
      </c>
      <c r="C915" s="9" t="inlineStr">
        <is>
          <t>Trendline breakout (fractal swing line) + VWAP/S-R distance gate</t>
        </is>
      </c>
      <c r="D915" s="9" t="inlineStr">
        <is>
          <t>Long</t>
        </is>
      </c>
      <c r="E915" s="10" t="n">
        <v>46170.66319444445</v>
      </c>
      <c r="F915" s="10" t="n">
        <v>46175.85763888889</v>
      </c>
      <c r="G915" s="11" t="n">
        <v>62.02</v>
      </c>
      <c r="H915" s="11">
        <f>H914+G915</f>
        <v/>
      </c>
    </row>
    <row r="916">
      <c r="A916" s="9" t="n">
        <v>912</v>
      </c>
      <c r="B916" s="9" t="inlineStr">
        <is>
          <t>Ratchet</t>
        </is>
      </c>
      <c r="C916" s="9" t="inlineStr">
        <is>
          <t>Stochastic scalp with give-back trail exit</t>
        </is>
      </c>
      <c r="D916" s="9" t="inlineStr">
        <is>
          <t>Short</t>
        </is>
      </c>
      <c r="E916" s="10" t="n">
        <v>46175.88888888889</v>
      </c>
      <c r="F916" s="10" t="n">
        <v>46175.89236111111</v>
      </c>
      <c r="G916" s="11" t="n">
        <v>-5.59</v>
      </c>
      <c r="H916" s="11">
        <f>H915+G916</f>
        <v/>
      </c>
    </row>
    <row r="917">
      <c r="A917" s="9" t="n">
        <v>913</v>
      </c>
      <c r="B917" s="9" t="inlineStr">
        <is>
          <t>Ratchet</t>
        </is>
      </c>
      <c r="C917" s="9" t="inlineStr">
        <is>
          <t>Stochastic scalp with give-back trail exit</t>
        </is>
      </c>
      <c r="D917" s="9" t="inlineStr">
        <is>
          <t>Short</t>
        </is>
      </c>
      <c r="E917" s="10" t="n">
        <v>46176.34027777778</v>
      </c>
      <c r="F917" s="10" t="n">
        <v>46176.35763888889</v>
      </c>
      <c r="G917" s="11" t="n">
        <v>1.67</v>
      </c>
      <c r="H917" s="11">
        <f>H916+G917</f>
        <v/>
      </c>
    </row>
    <row r="918">
      <c r="A918" s="9" t="n">
        <v>914</v>
      </c>
      <c r="B918" s="9" t="inlineStr">
        <is>
          <t>Meridian</t>
        </is>
      </c>
      <c r="C918" s="9" t="inlineStr">
        <is>
          <t>21/50 MA cross, 250-period confirm filter, VWAP</t>
        </is>
      </c>
      <c r="D918" s="9" t="inlineStr">
        <is>
          <t>Short</t>
        </is>
      </c>
      <c r="E918" s="10" t="n">
        <v>46176.31944444445</v>
      </c>
      <c r="F918" s="10" t="n">
        <v>46176.59722222222</v>
      </c>
      <c r="G918" s="11" t="n">
        <v>10.27</v>
      </c>
      <c r="H918" s="11">
        <f>H917+G918</f>
        <v/>
      </c>
    </row>
    <row r="919">
      <c r="A919" s="9" t="n">
        <v>915</v>
      </c>
      <c r="B919" s="9" t="inlineStr">
        <is>
          <t>Meridian</t>
        </is>
      </c>
      <c r="C919" s="9" t="inlineStr">
        <is>
          <t>21/50 MA cross, 250-period confirm filter, VWAP</t>
        </is>
      </c>
      <c r="D919" s="9" t="inlineStr">
        <is>
          <t>Short</t>
        </is>
      </c>
      <c r="E919" s="10" t="n">
        <v>46176.64930555555</v>
      </c>
      <c r="F919" s="10" t="n">
        <v>46176.65972222222</v>
      </c>
      <c r="G919" s="11" t="n">
        <v>-12.02</v>
      </c>
      <c r="H919" s="11">
        <f>H918+G919</f>
        <v/>
      </c>
    </row>
    <row r="920">
      <c r="A920" s="9" t="n">
        <v>916</v>
      </c>
      <c r="B920" s="9" t="inlineStr">
        <is>
          <t>Ratchet</t>
        </is>
      </c>
      <c r="C920" s="9" t="inlineStr">
        <is>
          <t>Stochastic scalp with give-back trail exit</t>
        </is>
      </c>
      <c r="D920" s="9" t="inlineStr">
        <is>
          <t>Short</t>
        </is>
      </c>
      <c r="E920" s="10" t="n">
        <v>46176.69097222222</v>
      </c>
      <c r="F920" s="10" t="n">
        <v>46176.70138888889</v>
      </c>
      <c r="G920" s="11" t="n">
        <v>6.39</v>
      </c>
      <c r="H920" s="11">
        <f>H919+G920</f>
        <v/>
      </c>
    </row>
    <row r="921">
      <c r="A921" s="9" t="n">
        <v>917</v>
      </c>
      <c r="B921" s="9" t="inlineStr">
        <is>
          <t>Ratchet</t>
        </is>
      </c>
      <c r="C921" s="9" t="inlineStr">
        <is>
          <t>Stochastic scalp with give-back trail exit</t>
        </is>
      </c>
      <c r="D921" s="9" t="inlineStr">
        <is>
          <t>Short</t>
        </is>
      </c>
      <c r="E921" s="10" t="n">
        <v>46176.76388888889</v>
      </c>
      <c r="F921" s="10" t="n">
        <v>46176.77083333334</v>
      </c>
      <c r="G921" s="11" t="n">
        <v>-0</v>
      </c>
      <c r="H921" s="11">
        <f>H920+G921</f>
        <v/>
      </c>
    </row>
    <row r="922">
      <c r="A922" s="9" t="n">
        <v>918</v>
      </c>
      <c r="B922" s="9" t="inlineStr">
        <is>
          <t>Ratchet</t>
        </is>
      </c>
      <c r="C922" s="9" t="inlineStr">
        <is>
          <t>Stochastic scalp with give-back trail exit</t>
        </is>
      </c>
      <c r="D922" s="9" t="inlineStr">
        <is>
          <t>Short</t>
        </is>
      </c>
      <c r="E922" s="10" t="n">
        <v>46176.87152777778</v>
      </c>
      <c r="F922" s="10" t="n">
        <v>46176.91666666666</v>
      </c>
      <c r="G922" s="11" t="n">
        <v>-6.32</v>
      </c>
      <c r="H922" s="11">
        <f>H921+G922</f>
        <v/>
      </c>
    </row>
    <row r="923">
      <c r="A923" s="9" t="n">
        <v>919</v>
      </c>
      <c r="B923" s="9" t="inlineStr">
        <is>
          <t>Meridian</t>
        </is>
      </c>
      <c r="C923" s="9" t="inlineStr">
        <is>
          <t>21/50 MA cross, 250-period confirm filter, VWAP</t>
        </is>
      </c>
      <c r="D923" s="9" t="inlineStr">
        <is>
          <t>Short</t>
        </is>
      </c>
      <c r="E923" s="10" t="n">
        <v>46176.97222222222</v>
      </c>
      <c r="F923" s="10" t="n">
        <v>46177.07986111111</v>
      </c>
      <c r="G923" s="11" t="n">
        <v>-7.42</v>
      </c>
      <c r="H923" s="11">
        <f>H922+G923</f>
        <v/>
      </c>
    </row>
    <row r="924">
      <c r="A924" s="9" t="n">
        <v>920</v>
      </c>
      <c r="B924" s="9" t="inlineStr">
        <is>
          <t>Aurelius_M15</t>
        </is>
      </c>
      <c r="C924" s="9" t="inlineStr">
        <is>
          <t>MA alignment (EMA21&gt;EMA50&gt;SMA250&gt;SMMA500 vs EMA2400 trend filter) - M15 chart</t>
        </is>
      </c>
      <c r="D924" s="9" t="inlineStr">
        <is>
          <t>Short</t>
        </is>
      </c>
      <c r="E924" s="10" t="n">
        <v>46176.17708333334</v>
      </c>
      <c r="F924" s="10" t="n">
        <v>46177.13541666666</v>
      </c>
      <c r="G924" s="11" t="n">
        <v>17.5</v>
      </c>
      <c r="H924" s="11">
        <f>H923+G924</f>
        <v/>
      </c>
    </row>
    <row r="925">
      <c r="A925" s="9" t="n">
        <v>921</v>
      </c>
      <c r="B925" s="9" t="inlineStr">
        <is>
          <t>Vanguard_M5</t>
        </is>
      </c>
      <c r="C925" s="9" t="inlineStr">
        <is>
          <t>Trendline breakout (fractal swing line) + VWAP/S-R distance gate</t>
        </is>
      </c>
      <c r="D925" s="9" t="inlineStr">
        <is>
          <t>Short</t>
        </is>
      </c>
      <c r="E925" s="10" t="n">
        <v>46175.86111111111</v>
      </c>
      <c r="F925" s="10" t="n">
        <v>46177.3125</v>
      </c>
      <c r="G925" s="11" t="n">
        <v>2.34</v>
      </c>
      <c r="H925" s="11">
        <f>H924+G925</f>
        <v/>
      </c>
    </row>
    <row r="926">
      <c r="A926" s="9" t="n">
        <v>922</v>
      </c>
      <c r="B926" s="9" t="inlineStr">
        <is>
          <t>Vanguard_M15</t>
        </is>
      </c>
      <c r="C926" s="9" t="inlineStr">
        <is>
          <t>Trendline breakout (fractal swing line) + VWAP/S-R distance gate - M15 chart</t>
        </is>
      </c>
      <c r="D926" s="9" t="inlineStr">
        <is>
          <t>Short</t>
        </is>
      </c>
      <c r="E926" s="10" t="n">
        <v>46175.86458333334</v>
      </c>
      <c r="F926" s="10" t="n">
        <v>46177.3125</v>
      </c>
      <c r="G926" s="11" t="n">
        <v>1.4</v>
      </c>
      <c r="H926" s="11">
        <f>H925+G926</f>
        <v/>
      </c>
    </row>
    <row r="927">
      <c r="A927" s="9" t="n">
        <v>923</v>
      </c>
      <c r="B927" s="9" t="inlineStr">
        <is>
          <t>Vanguard_M5</t>
        </is>
      </c>
      <c r="C927" s="9" t="inlineStr">
        <is>
          <t>Trendline breakout (fractal swing line) + VWAP/S-R distance gate</t>
        </is>
      </c>
      <c r="D927" s="9" t="inlineStr">
        <is>
          <t>Long</t>
        </is>
      </c>
      <c r="E927" s="10" t="n">
        <v>46177.31597222222</v>
      </c>
      <c r="F927" s="10" t="n">
        <v>46177.44444444445</v>
      </c>
      <c r="G927" s="11" t="n">
        <v>-19.13</v>
      </c>
      <c r="H927" s="11">
        <f>H926+G927</f>
        <v/>
      </c>
    </row>
    <row r="928">
      <c r="A928" s="9" t="n">
        <v>924</v>
      </c>
      <c r="B928" s="9" t="inlineStr">
        <is>
          <t>Ratchet</t>
        </is>
      </c>
      <c r="C928" s="9" t="inlineStr">
        <is>
          <t>Stochastic scalp with give-back trail exit</t>
        </is>
      </c>
      <c r="D928" s="9" t="inlineStr">
        <is>
          <t>Long</t>
        </is>
      </c>
      <c r="E928" s="10" t="n">
        <v>46177.69097222222</v>
      </c>
      <c r="F928" s="10" t="n">
        <v>46177.69444444445</v>
      </c>
      <c r="G928" s="11" t="n">
        <v>0.88</v>
      </c>
      <c r="H928" s="11">
        <f>H927+G928</f>
        <v/>
      </c>
    </row>
    <row r="929">
      <c r="A929" s="9" t="n">
        <v>925</v>
      </c>
      <c r="B929" s="9" t="inlineStr">
        <is>
          <t>Meridian</t>
        </is>
      </c>
      <c r="C929" s="9" t="inlineStr">
        <is>
          <t>21/50 MA cross, 250-period confirm filter, VWAP</t>
        </is>
      </c>
      <c r="D929" s="9" t="inlineStr">
        <is>
          <t>Long</t>
        </is>
      </c>
      <c r="E929" s="10" t="n">
        <v>46177.53819444445</v>
      </c>
      <c r="F929" s="10" t="n">
        <v>46177.74305555555</v>
      </c>
      <c r="G929" s="11" t="n">
        <v>-8.720000000000001</v>
      </c>
      <c r="H929" s="11">
        <f>H928+G929</f>
        <v/>
      </c>
    </row>
    <row r="930">
      <c r="A930" s="9" t="n">
        <v>926</v>
      </c>
      <c r="B930" s="9" t="inlineStr">
        <is>
          <t>Vanguard_M15</t>
        </is>
      </c>
      <c r="C930" s="9" t="inlineStr">
        <is>
          <t>Trendline breakout (fractal swing line) + VWAP/S-R distance gate - M15 chart</t>
        </is>
      </c>
      <c r="D930" s="9" t="inlineStr">
        <is>
          <t>Long</t>
        </is>
      </c>
      <c r="E930" s="10" t="n">
        <v>46177.32291666666</v>
      </c>
      <c r="F930" s="10" t="n">
        <v>46178.125</v>
      </c>
      <c r="G930" s="11" t="n">
        <v>-26.94</v>
      </c>
      <c r="H930" s="11">
        <f>H929+G930</f>
        <v/>
      </c>
    </row>
    <row r="931">
      <c r="A931" s="9" t="n">
        <v>927</v>
      </c>
      <c r="B931" s="9" t="inlineStr">
        <is>
          <t>Vanguard_M5</t>
        </is>
      </c>
      <c r="C931" s="9" t="inlineStr">
        <is>
          <t>Trendline breakout (fractal swing line) + VWAP/S-R distance gate</t>
        </is>
      </c>
      <c r="D931" s="9" t="inlineStr">
        <is>
          <t>Long</t>
        </is>
      </c>
      <c r="E931" s="10" t="n">
        <v>46177.53819444445</v>
      </c>
      <c r="F931" s="10" t="n">
        <v>46178.13194444445</v>
      </c>
      <c r="G931" s="11" t="n">
        <v>-18.53</v>
      </c>
      <c r="H931" s="11">
        <f>H930+G931</f>
        <v/>
      </c>
    </row>
    <row r="932">
      <c r="A932" s="9" t="n">
        <v>928</v>
      </c>
      <c r="B932" s="9" t="inlineStr">
        <is>
          <t>Ratchet</t>
        </is>
      </c>
      <c r="C932" s="9" t="inlineStr">
        <is>
          <t>Stochastic scalp with give-back trail exit</t>
        </is>
      </c>
      <c r="D932" s="9" t="inlineStr">
        <is>
          <t>Short</t>
        </is>
      </c>
      <c r="E932" s="10" t="n">
        <v>46178.28819444445</v>
      </c>
      <c r="F932" s="10" t="n">
        <v>46178.33333333334</v>
      </c>
      <c r="G932" s="11" t="n">
        <v>-7.01</v>
      </c>
      <c r="H932" s="11">
        <f>H931+G932</f>
        <v/>
      </c>
    </row>
    <row r="933">
      <c r="A933" s="9" t="n">
        <v>929</v>
      </c>
      <c r="B933" s="9" t="inlineStr">
        <is>
          <t>Aurelius_M5</t>
        </is>
      </c>
      <c r="C933" s="9" t="inlineStr">
        <is>
          <t>MA alignment (EMA21&gt;EMA50&gt;SMA250&gt;SMMA500 vs EMA2400 trend filter)</t>
        </is>
      </c>
      <c r="D933" s="9" t="inlineStr">
        <is>
          <t>Short</t>
        </is>
      </c>
      <c r="E933" s="10" t="n">
        <v>46178.35763888889</v>
      </c>
      <c r="F933" s="10" t="n">
        <v>46178.40625</v>
      </c>
      <c r="G933" s="11" t="n">
        <v>-10.07</v>
      </c>
      <c r="H933" s="11">
        <f>H932+G933</f>
        <v/>
      </c>
    </row>
    <row r="934">
      <c r="A934" s="9" t="n">
        <v>930</v>
      </c>
      <c r="B934" s="9" t="inlineStr">
        <is>
          <t>Aurelius_M15</t>
        </is>
      </c>
      <c r="C934" s="9" t="inlineStr">
        <is>
          <t>MA alignment (EMA21&gt;EMA50&gt;SMA250&gt;SMMA500 vs EMA2400 trend filter) - M15 chart</t>
        </is>
      </c>
      <c r="D934" s="9" t="inlineStr">
        <is>
          <t>Short</t>
        </is>
      </c>
      <c r="E934" s="10" t="n">
        <v>46178.19791666666</v>
      </c>
      <c r="F934" s="10" t="n">
        <v>46178.42708333334</v>
      </c>
      <c r="G934" s="11" t="n">
        <v>-21.54</v>
      </c>
      <c r="H934" s="11">
        <f>H933+G934</f>
        <v/>
      </c>
    </row>
    <row r="935">
      <c r="A935" s="9" t="n">
        <v>931</v>
      </c>
      <c r="B935" s="9" t="inlineStr">
        <is>
          <t>MSG</t>
        </is>
      </c>
      <c r="C935" s="9" t="inlineStr">
        <is>
          <t>Session-range breakout + Fibonacci retracement-zone entry</t>
        </is>
      </c>
      <c r="D935" s="9" t="inlineStr">
        <is>
          <t>Long</t>
        </is>
      </c>
      <c r="E935" s="10" t="n">
        <v>46178.64652777778</v>
      </c>
      <c r="F935" s="10" t="n">
        <v>46178.65</v>
      </c>
      <c r="G935" s="11" t="n">
        <v>-31.63</v>
      </c>
      <c r="H935" s="11">
        <f>H934+G935</f>
        <v/>
      </c>
    </row>
    <row r="936">
      <c r="A936" s="9" t="n">
        <v>932</v>
      </c>
      <c r="B936" s="9" t="inlineStr">
        <is>
          <t>Meridian</t>
        </is>
      </c>
      <c r="C936" s="9" t="inlineStr">
        <is>
          <t>21/50 MA cross, 250-period confirm filter, VWAP</t>
        </is>
      </c>
      <c r="D936" s="9" t="inlineStr">
        <is>
          <t>Short</t>
        </is>
      </c>
      <c r="E936" s="10" t="n">
        <v>46178.65625</v>
      </c>
      <c r="F936" s="10" t="n">
        <v>46178.91666666666</v>
      </c>
      <c r="G936" s="11" t="n">
        <v>123.4</v>
      </c>
      <c r="H936" s="11">
        <f>H935+G936</f>
        <v/>
      </c>
    </row>
    <row r="937">
      <c r="A937" s="9" t="n">
        <v>933</v>
      </c>
      <c r="B937" s="9" t="inlineStr">
        <is>
          <t>Ratchet</t>
        </is>
      </c>
      <c r="C937" s="9" t="inlineStr">
        <is>
          <t>Stochastic scalp with give-back trail exit</t>
        </is>
      </c>
      <c r="D937" s="9" t="inlineStr">
        <is>
          <t>Short</t>
        </is>
      </c>
      <c r="E937" s="10" t="n">
        <v>46178.68055555555</v>
      </c>
      <c r="F937" s="10" t="n">
        <v>46178.91666666666</v>
      </c>
      <c r="G937" s="11" t="n">
        <v>95.02</v>
      </c>
      <c r="H937" s="11">
        <f>H936+G937</f>
        <v/>
      </c>
    </row>
    <row r="938">
      <c r="A938" s="9" t="n">
        <v>934</v>
      </c>
      <c r="B938" s="9" t="inlineStr">
        <is>
          <t>Aurelius_M5</t>
        </is>
      </c>
      <c r="C938" s="9" t="inlineStr">
        <is>
          <t>MA alignment (EMA21&gt;EMA50&gt;SMA250&gt;SMMA500 vs EMA2400 trend filter)</t>
        </is>
      </c>
      <c r="D938" s="9" t="inlineStr">
        <is>
          <t>Short</t>
        </is>
      </c>
      <c r="E938" s="10" t="n">
        <v>46178.66666666666</v>
      </c>
      <c r="F938" s="10" t="n">
        <v>46178.92013888889</v>
      </c>
      <c r="G938" s="11" t="n">
        <v>85.03</v>
      </c>
      <c r="H938" s="11">
        <f>H937+G938</f>
        <v/>
      </c>
    </row>
    <row r="939">
      <c r="A939" s="9" t="n">
        <v>935</v>
      </c>
      <c r="B939" s="9" t="inlineStr">
        <is>
          <t>Aurelius_M15</t>
        </is>
      </c>
      <c r="C939" s="9" t="inlineStr">
        <is>
          <t>MA alignment (EMA21&gt;EMA50&gt;SMA250&gt;SMMA500 vs EMA2400 trend filter) - M15 chart</t>
        </is>
      </c>
      <c r="D939" s="9" t="inlineStr">
        <is>
          <t>Short</t>
        </is>
      </c>
      <c r="E939" s="10" t="n">
        <v>46178.71875</v>
      </c>
      <c r="F939" s="10" t="n">
        <v>46178.92708333334</v>
      </c>
      <c r="G939" s="11" t="n">
        <v>50.63</v>
      </c>
      <c r="H939" s="11">
        <f>H938+G939</f>
        <v/>
      </c>
    </row>
    <row r="940">
      <c r="A940" s="9" t="n">
        <v>936</v>
      </c>
      <c r="B940" s="9" t="inlineStr">
        <is>
          <t>Ratchet</t>
        </is>
      </c>
      <c r="C940" s="9" t="inlineStr">
        <is>
          <t>Stochastic scalp with give-back trail exit</t>
        </is>
      </c>
      <c r="D940" s="9" t="inlineStr">
        <is>
          <t>Short</t>
        </is>
      </c>
      <c r="E940" s="10" t="n">
        <v>46181.21180555555</v>
      </c>
      <c r="F940" s="10" t="n">
        <v>46181.23958333334</v>
      </c>
      <c r="G940" s="11" t="n">
        <v>3.89</v>
      </c>
      <c r="H940" s="11">
        <f>H939+G940</f>
        <v/>
      </c>
    </row>
    <row r="941">
      <c r="A941" s="9" t="n">
        <v>937</v>
      </c>
      <c r="B941" s="9" t="inlineStr">
        <is>
          <t>Ratchet</t>
        </is>
      </c>
      <c r="C941" s="9" t="inlineStr">
        <is>
          <t>Stochastic scalp with give-back trail exit</t>
        </is>
      </c>
      <c r="D941" s="9" t="inlineStr">
        <is>
          <t>Short</t>
        </is>
      </c>
      <c r="E941" s="10" t="n">
        <v>46181.25</v>
      </c>
      <c r="F941" s="10" t="n">
        <v>46181.26388888889</v>
      </c>
      <c r="G941" s="11" t="n">
        <v>1.66</v>
      </c>
      <c r="H941" s="11">
        <f>H940+G941</f>
        <v/>
      </c>
    </row>
    <row r="942">
      <c r="A942" s="9" t="n">
        <v>938</v>
      </c>
      <c r="B942" s="9" t="inlineStr">
        <is>
          <t>Aurelius_M5</t>
        </is>
      </c>
      <c r="C942" s="9" t="inlineStr">
        <is>
          <t>MA alignment (EMA21&gt;EMA50&gt;SMA250&gt;SMMA500 vs EMA2400 trend filter)</t>
        </is>
      </c>
      <c r="D942" s="9" t="inlineStr">
        <is>
          <t>Short</t>
        </is>
      </c>
      <c r="E942" s="10" t="n">
        <v>46181.35763888889</v>
      </c>
      <c r="F942" s="10" t="n">
        <v>46181.375</v>
      </c>
      <c r="G942" s="11" t="n">
        <v>-16.74</v>
      </c>
      <c r="H942" s="11">
        <f>H941+G942</f>
        <v/>
      </c>
    </row>
    <row r="943">
      <c r="A943" s="9" t="n">
        <v>939</v>
      </c>
      <c r="B943" s="9" t="inlineStr">
        <is>
          <t>Ratchet</t>
        </is>
      </c>
      <c r="C943" s="9" t="inlineStr">
        <is>
          <t>Stochastic scalp with give-back trail exit</t>
        </is>
      </c>
      <c r="D943" s="9" t="inlineStr">
        <is>
          <t>Short</t>
        </is>
      </c>
      <c r="E943" s="10" t="n">
        <v>46181.36805555555</v>
      </c>
      <c r="F943" s="10" t="n">
        <v>46181.375</v>
      </c>
      <c r="G943" s="11" t="n">
        <v>-14.63</v>
      </c>
      <c r="H943" s="11">
        <f>H942+G943</f>
        <v/>
      </c>
    </row>
    <row r="944">
      <c r="A944" s="9" t="n">
        <v>940</v>
      </c>
      <c r="B944" s="9" t="inlineStr">
        <is>
          <t>Ratchet</t>
        </is>
      </c>
      <c r="C944" s="9" t="inlineStr">
        <is>
          <t>Stochastic scalp with give-back trail exit</t>
        </is>
      </c>
      <c r="D944" s="9" t="inlineStr">
        <is>
          <t>Short</t>
        </is>
      </c>
      <c r="E944" s="10" t="n">
        <v>46181.40972222222</v>
      </c>
      <c r="F944" s="10" t="n">
        <v>46181.43055555555</v>
      </c>
      <c r="G944" s="11" t="n">
        <v>-13.86</v>
      </c>
      <c r="H944" s="11">
        <f>H943+G944</f>
        <v/>
      </c>
    </row>
    <row r="945">
      <c r="A945" s="9" t="n">
        <v>941</v>
      </c>
      <c r="B945" s="9" t="inlineStr">
        <is>
          <t>Ratchet</t>
        </is>
      </c>
      <c r="C945" s="9" t="inlineStr">
        <is>
          <t>Stochastic scalp with give-back trail exit</t>
        </is>
      </c>
      <c r="D945" s="9" t="inlineStr">
        <is>
          <t>Short</t>
        </is>
      </c>
      <c r="E945" s="10" t="n">
        <v>46181.46180555555</v>
      </c>
      <c r="F945" s="10" t="n">
        <v>46181.47916666666</v>
      </c>
      <c r="G945" s="11" t="n">
        <v>1.43</v>
      </c>
      <c r="H945" s="11">
        <f>H944+G945</f>
        <v/>
      </c>
    </row>
    <row r="946">
      <c r="A946" s="9" t="n">
        <v>942</v>
      </c>
      <c r="B946" s="9" t="inlineStr">
        <is>
          <t>Ratchet</t>
        </is>
      </c>
      <c r="C946" s="9" t="inlineStr">
        <is>
          <t>Stochastic scalp with give-back trail exit</t>
        </is>
      </c>
      <c r="D946" s="9" t="inlineStr">
        <is>
          <t>Short</t>
        </is>
      </c>
      <c r="E946" s="10" t="n">
        <v>46181.51736111111</v>
      </c>
      <c r="F946" s="10" t="n">
        <v>46181.52430555555</v>
      </c>
      <c r="G946" s="11" t="n">
        <v>3.76</v>
      </c>
      <c r="H946" s="11">
        <f>H945+G946</f>
        <v/>
      </c>
    </row>
    <row r="947">
      <c r="A947" s="9" t="n">
        <v>943</v>
      </c>
      <c r="B947" s="9" t="inlineStr">
        <is>
          <t>MSG</t>
        </is>
      </c>
      <c r="C947" s="9" t="inlineStr">
        <is>
          <t>Session-range breakout + Fibonacci retracement-zone entry</t>
        </is>
      </c>
      <c r="D947" s="9" t="inlineStr">
        <is>
          <t>Short</t>
        </is>
      </c>
      <c r="E947" s="10" t="n">
        <v>46181.52986111111</v>
      </c>
      <c r="F947" s="10" t="n">
        <v>46181.59027777778</v>
      </c>
      <c r="G947" s="11" t="n">
        <v>-34.64</v>
      </c>
      <c r="H947" s="11">
        <f>H946+G947</f>
        <v/>
      </c>
    </row>
    <row r="948">
      <c r="A948" s="9" t="n">
        <v>944</v>
      </c>
      <c r="B948" s="9" t="inlineStr">
        <is>
          <t>Vanguard_M5</t>
        </is>
      </c>
      <c r="C948" s="9" t="inlineStr">
        <is>
          <t>Trendline breakout (fractal swing line) + VWAP/S-R distance gate</t>
        </is>
      </c>
      <c r="D948" s="9" t="inlineStr">
        <is>
          <t>Long</t>
        </is>
      </c>
      <c r="E948" s="10" t="n">
        <v>46182.08333333334</v>
      </c>
      <c r="F948" s="10" t="n">
        <v>46182.10416666666</v>
      </c>
      <c r="G948" s="11" t="n">
        <v>-10.41</v>
      </c>
      <c r="H948" s="11">
        <f>H947+G948</f>
        <v/>
      </c>
    </row>
    <row r="949">
      <c r="A949" s="9" t="n">
        <v>945</v>
      </c>
      <c r="B949" s="9" t="inlineStr">
        <is>
          <t>Ratchet</t>
        </is>
      </c>
      <c r="C949" s="9" t="inlineStr">
        <is>
          <t>Stochastic scalp with give-back trail exit</t>
        </is>
      </c>
      <c r="D949" s="9" t="inlineStr">
        <is>
          <t>Short</t>
        </is>
      </c>
      <c r="E949" s="10" t="n">
        <v>46182.12847222222</v>
      </c>
      <c r="F949" s="10" t="n">
        <v>46182.13194444445</v>
      </c>
      <c r="G949" s="11" t="n">
        <v>-6.32</v>
      </c>
      <c r="H949" s="11">
        <f>H948+G949</f>
        <v/>
      </c>
    </row>
    <row r="950">
      <c r="A950" s="9" t="n">
        <v>946</v>
      </c>
      <c r="B950" s="9" t="inlineStr">
        <is>
          <t>Ratchet</t>
        </is>
      </c>
      <c r="C950" s="9" t="inlineStr">
        <is>
          <t>Stochastic scalp with give-back trail exit</t>
        </is>
      </c>
      <c r="D950" s="9" t="inlineStr">
        <is>
          <t>Short</t>
        </is>
      </c>
      <c r="E950" s="10" t="n">
        <v>46182.16319444445</v>
      </c>
      <c r="F950" s="10" t="n">
        <v>46182.16666666666</v>
      </c>
      <c r="G950" s="11" t="n">
        <v>-7.68</v>
      </c>
      <c r="H950" s="11">
        <f>H949+G950</f>
        <v/>
      </c>
    </row>
    <row r="951">
      <c r="A951" s="9" t="n">
        <v>947</v>
      </c>
      <c r="B951" s="9" t="inlineStr">
        <is>
          <t>Aurelius_M15</t>
        </is>
      </c>
      <c r="C951" s="9" t="inlineStr">
        <is>
          <t>MA alignment (EMA21&gt;EMA50&gt;SMA250&gt;SMMA500 vs EMA2400 trend filter) - M15 chart</t>
        </is>
      </c>
      <c r="D951" s="9" t="inlineStr">
        <is>
          <t>Short</t>
        </is>
      </c>
      <c r="E951" s="10" t="n">
        <v>46182.17708333334</v>
      </c>
      <c r="F951" s="10" t="n">
        <v>46182.19791666666</v>
      </c>
      <c r="G951" s="11" t="n">
        <v>-11.87</v>
      </c>
      <c r="H951" s="11">
        <f>H950+G951</f>
        <v/>
      </c>
    </row>
    <row r="952">
      <c r="A952" s="9" t="n">
        <v>948</v>
      </c>
      <c r="B952" s="9" t="inlineStr">
        <is>
          <t>Meridian</t>
        </is>
      </c>
      <c r="C952" s="9" t="inlineStr">
        <is>
          <t>21/50 MA cross, 250-period confirm filter, VWAP</t>
        </is>
      </c>
      <c r="D952" s="9" t="inlineStr">
        <is>
          <t>Long</t>
        </is>
      </c>
      <c r="E952" s="10" t="n">
        <v>46182.19444444445</v>
      </c>
      <c r="F952" s="10" t="n">
        <v>46182.43402777778</v>
      </c>
      <c r="G952" s="11" t="n">
        <v>-5.06</v>
      </c>
      <c r="H952" s="11">
        <f>H951+G952</f>
        <v/>
      </c>
    </row>
    <row r="953">
      <c r="A953" s="9" t="n">
        <v>949</v>
      </c>
      <c r="B953" s="9" t="inlineStr">
        <is>
          <t>Meridian</t>
        </is>
      </c>
      <c r="C953" s="9" t="inlineStr">
        <is>
          <t>21/50 MA cross, 250-period confirm filter, VWAP</t>
        </is>
      </c>
      <c r="D953" s="9" t="inlineStr">
        <is>
          <t>Long</t>
        </is>
      </c>
      <c r="E953" s="10" t="n">
        <v>46182.57986111111</v>
      </c>
      <c r="F953" s="10" t="n">
        <v>46182.71180555555</v>
      </c>
      <c r="G953" s="11" t="n">
        <v>-6.15</v>
      </c>
      <c r="H953" s="11">
        <f>H952+G953</f>
        <v/>
      </c>
    </row>
    <row r="954">
      <c r="A954" s="9" t="n">
        <v>950</v>
      </c>
      <c r="B954" s="9" t="inlineStr">
        <is>
          <t>Vanguard_M15</t>
        </is>
      </c>
      <c r="C954" s="9" t="inlineStr">
        <is>
          <t>Trendline breakout (fractal swing line) + VWAP/S-R distance gate - M15 chart</t>
        </is>
      </c>
      <c r="D954" s="9" t="inlineStr">
        <is>
          <t>Long</t>
        </is>
      </c>
      <c r="E954" s="10" t="n">
        <v>46182.08333333334</v>
      </c>
      <c r="F954" s="10" t="n">
        <v>46182.71875</v>
      </c>
      <c r="G954" s="11" t="n">
        <v>-19.05</v>
      </c>
      <c r="H954" s="11">
        <f>H953+G954</f>
        <v/>
      </c>
    </row>
    <row r="955">
      <c r="A955" s="9" t="n">
        <v>951</v>
      </c>
      <c r="B955" s="9" t="inlineStr">
        <is>
          <t>Aurelius_M5</t>
        </is>
      </c>
      <c r="C955" s="9" t="inlineStr">
        <is>
          <t>MA alignment (EMA21&gt;EMA50&gt;SMA250&gt;SMMA500 vs EMA2400 trend filter)</t>
        </is>
      </c>
      <c r="D955" s="9" t="inlineStr">
        <is>
          <t>Short</t>
        </is>
      </c>
      <c r="E955" s="10" t="n">
        <v>46182.73611111111</v>
      </c>
      <c r="F955" s="10" t="n">
        <v>46183.04166666666</v>
      </c>
      <c r="G955" s="11" t="n">
        <v>45.59</v>
      </c>
      <c r="H955" s="11">
        <f>H954+G955</f>
        <v/>
      </c>
    </row>
    <row r="956">
      <c r="A956" s="9" t="n">
        <v>952</v>
      </c>
      <c r="B956" s="9" t="inlineStr">
        <is>
          <t>Ratchet</t>
        </is>
      </c>
      <c r="C956" s="9" t="inlineStr">
        <is>
          <t>Stochastic scalp with give-back trail exit</t>
        </is>
      </c>
      <c r="D956" s="9" t="inlineStr">
        <is>
          <t>Short</t>
        </is>
      </c>
      <c r="E956" s="10" t="n">
        <v>46183.06944444445</v>
      </c>
      <c r="F956" s="10" t="n">
        <v>46183.34722222222</v>
      </c>
      <c r="G956" s="11" t="n">
        <v>75.97</v>
      </c>
      <c r="H956" s="11">
        <f>H955+G956</f>
        <v/>
      </c>
    </row>
    <row r="957">
      <c r="A957" s="9" t="n">
        <v>953</v>
      </c>
      <c r="B957" s="9" t="inlineStr">
        <is>
          <t>Ratchet</t>
        </is>
      </c>
      <c r="C957" s="9" t="inlineStr">
        <is>
          <t>Stochastic scalp with give-back trail exit</t>
        </is>
      </c>
      <c r="D957" s="9" t="inlineStr">
        <is>
          <t>Short</t>
        </is>
      </c>
      <c r="E957" s="10" t="n">
        <v>46183.46875</v>
      </c>
      <c r="F957" s="10" t="n">
        <v>46183.55208333334</v>
      </c>
      <c r="G957" s="11" t="n">
        <v>2.07</v>
      </c>
      <c r="H957" s="11">
        <f>H956+G957</f>
        <v/>
      </c>
    </row>
    <row r="958">
      <c r="A958" s="9" t="n">
        <v>954</v>
      </c>
      <c r="B958" s="9" t="inlineStr">
        <is>
          <t>Ratchet</t>
        </is>
      </c>
      <c r="C958" s="9" t="inlineStr">
        <is>
          <t>Stochastic scalp with give-back trail exit</t>
        </is>
      </c>
      <c r="D958" s="9" t="inlineStr">
        <is>
          <t>Short</t>
        </is>
      </c>
      <c r="E958" s="10" t="n">
        <v>46183.5625</v>
      </c>
      <c r="F958" s="10" t="n">
        <v>46183.57291666666</v>
      </c>
      <c r="G958" s="11" t="n">
        <v>-12.29</v>
      </c>
      <c r="H958" s="11">
        <f>H957+G958</f>
        <v/>
      </c>
    </row>
    <row r="959">
      <c r="A959" s="9" t="n">
        <v>955</v>
      </c>
      <c r="B959" s="9" t="inlineStr">
        <is>
          <t>Ratchet</t>
        </is>
      </c>
      <c r="C959" s="9" t="inlineStr">
        <is>
          <t>Stochastic scalp with give-back trail exit</t>
        </is>
      </c>
      <c r="D959" s="9" t="inlineStr">
        <is>
          <t>Short</t>
        </is>
      </c>
      <c r="E959" s="10" t="n">
        <v>46183.59027777778</v>
      </c>
      <c r="F959" s="10" t="n">
        <v>46183.61111111111</v>
      </c>
      <c r="G959" s="11" t="n">
        <v>1.33</v>
      </c>
      <c r="H959" s="11">
        <f>H958+G959</f>
        <v/>
      </c>
    </row>
    <row r="960">
      <c r="A960" s="9" t="n">
        <v>956</v>
      </c>
      <c r="B960" s="9" t="inlineStr">
        <is>
          <t>Ratchet</t>
        </is>
      </c>
      <c r="C960" s="9" t="inlineStr">
        <is>
          <t>Stochastic scalp with give-back trail exit</t>
        </is>
      </c>
      <c r="D960" s="9" t="inlineStr">
        <is>
          <t>Short</t>
        </is>
      </c>
      <c r="E960" s="10" t="n">
        <v>46183.61458333334</v>
      </c>
      <c r="F960" s="10" t="n">
        <v>46183.625</v>
      </c>
      <c r="G960" s="11" t="n">
        <v>1.98</v>
      </c>
      <c r="H960" s="11">
        <f>H959+G960</f>
        <v/>
      </c>
    </row>
    <row r="961">
      <c r="A961" s="9" t="n">
        <v>957</v>
      </c>
      <c r="B961" s="9" t="inlineStr">
        <is>
          <t>Ratchet</t>
        </is>
      </c>
      <c r="C961" s="9" t="inlineStr">
        <is>
          <t>Stochastic scalp with give-back trail exit</t>
        </is>
      </c>
      <c r="D961" s="9" t="inlineStr">
        <is>
          <t>Short</t>
        </is>
      </c>
      <c r="E961" s="10" t="n">
        <v>46183.62847222222</v>
      </c>
      <c r="F961" s="10" t="n">
        <v>46183.64583333334</v>
      </c>
      <c r="G961" s="11" t="n">
        <v>3.66</v>
      </c>
      <c r="H961" s="11">
        <f>H960+G961</f>
        <v/>
      </c>
    </row>
    <row r="962">
      <c r="A962" s="9" t="n">
        <v>958</v>
      </c>
      <c r="B962" s="9" t="inlineStr">
        <is>
          <t>Aurelius_M5</t>
        </is>
      </c>
      <c r="C962" s="9" t="inlineStr">
        <is>
          <t>MA alignment (EMA21&gt;EMA50&gt;SMA250&gt;SMMA500 vs EMA2400 trend filter)</t>
        </is>
      </c>
      <c r="D962" s="9" t="inlineStr">
        <is>
          <t>Short</t>
        </is>
      </c>
      <c r="E962" s="10" t="n">
        <v>46183.60416666666</v>
      </c>
      <c r="F962" s="10" t="n">
        <v>46183.70138888889</v>
      </c>
      <c r="G962" s="11" t="n">
        <v>-19.63</v>
      </c>
      <c r="H962" s="11">
        <f>H961+G962</f>
        <v/>
      </c>
    </row>
    <row r="963">
      <c r="A963" s="9" t="n">
        <v>959</v>
      </c>
      <c r="B963" s="9" t="inlineStr">
        <is>
          <t>Meridian</t>
        </is>
      </c>
      <c r="C963" s="9" t="inlineStr">
        <is>
          <t>21/50 MA cross, 250-period confirm filter, VWAP</t>
        </is>
      </c>
      <c r="D963" s="9" t="inlineStr">
        <is>
          <t>Short</t>
        </is>
      </c>
      <c r="E963" s="10" t="n">
        <v>46183.45833333334</v>
      </c>
      <c r="F963" s="10" t="n">
        <v>46183.71527777778</v>
      </c>
      <c r="G963" s="11" t="n">
        <v>12.24</v>
      </c>
      <c r="H963" s="11">
        <f>H962+G963</f>
        <v/>
      </c>
    </row>
    <row r="964">
      <c r="A964" s="9" t="n">
        <v>960</v>
      </c>
      <c r="B964" s="9" t="inlineStr">
        <is>
          <t>Ratchet</t>
        </is>
      </c>
      <c r="C964" s="9" t="inlineStr">
        <is>
          <t>Stochastic scalp with give-back trail exit</t>
        </is>
      </c>
      <c r="D964" s="9" t="inlineStr">
        <is>
          <t>Short</t>
        </is>
      </c>
      <c r="E964" s="10" t="n">
        <v>46183.82986111111</v>
      </c>
      <c r="F964" s="10" t="n">
        <v>46183.875</v>
      </c>
      <c r="G964" s="11" t="n">
        <v>5.24</v>
      </c>
      <c r="H964" s="11">
        <f>H963+G964</f>
        <v/>
      </c>
    </row>
    <row r="965">
      <c r="A965" s="9" t="n">
        <v>961</v>
      </c>
      <c r="B965" s="9" t="inlineStr">
        <is>
          <t>Ratchet</t>
        </is>
      </c>
      <c r="C965" s="9" t="inlineStr">
        <is>
          <t>Stochastic scalp with give-back trail exit</t>
        </is>
      </c>
      <c r="D965" s="9" t="inlineStr">
        <is>
          <t>Short</t>
        </is>
      </c>
      <c r="E965" s="10" t="n">
        <v>46183.89583333334</v>
      </c>
      <c r="F965" s="10" t="n">
        <v>46183.99652777778</v>
      </c>
      <c r="G965" s="11" t="n">
        <v>42.95</v>
      </c>
      <c r="H965" s="11">
        <f>H964+G965</f>
        <v/>
      </c>
    </row>
    <row r="966">
      <c r="A966" s="9" t="n">
        <v>962</v>
      </c>
      <c r="B966" s="9" t="inlineStr">
        <is>
          <t>Aurelius_M5</t>
        </is>
      </c>
      <c r="C966" s="9" t="inlineStr">
        <is>
          <t>MA alignment (EMA21&gt;EMA50&gt;SMA250&gt;SMMA500 vs EMA2400 trend filter)</t>
        </is>
      </c>
      <c r="D966" s="9" t="inlineStr">
        <is>
          <t>Short</t>
        </is>
      </c>
      <c r="E966" s="10" t="n">
        <v>46183.76736111111</v>
      </c>
      <c r="F966" s="10" t="n">
        <v>46184.04166666666</v>
      </c>
      <c r="G966" s="11" t="n">
        <v>58.84</v>
      </c>
      <c r="H966" s="11">
        <f>H965+G966</f>
        <v/>
      </c>
    </row>
    <row r="967">
      <c r="A967" s="9" t="n">
        <v>963</v>
      </c>
      <c r="B967" s="9" t="inlineStr">
        <is>
          <t>Ratchet</t>
        </is>
      </c>
      <c r="C967" s="9" t="inlineStr">
        <is>
          <t>Stochastic scalp with give-back trail exit</t>
        </is>
      </c>
      <c r="D967" s="9" t="inlineStr">
        <is>
          <t>Short</t>
        </is>
      </c>
      <c r="E967" s="10" t="n">
        <v>46184.12847222222</v>
      </c>
      <c r="F967" s="10" t="n">
        <v>46184.13541666666</v>
      </c>
      <c r="G967" s="11" t="n">
        <v>-19.94</v>
      </c>
      <c r="H967" s="11">
        <f>H966+G967</f>
        <v/>
      </c>
    </row>
    <row r="968">
      <c r="A968" s="9" t="n">
        <v>964</v>
      </c>
      <c r="B968" s="9" t="inlineStr">
        <is>
          <t>Meridian</t>
        </is>
      </c>
      <c r="C968" s="9" t="inlineStr">
        <is>
          <t>21/50 MA cross, 250-period confirm filter, VWAP</t>
        </is>
      </c>
      <c r="D968" s="9" t="inlineStr">
        <is>
          <t>Short</t>
        </is>
      </c>
      <c r="E968" s="10" t="n">
        <v>46183.73958333334</v>
      </c>
      <c r="F968" s="10" t="n">
        <v>46184.18402777778</v>
      </c>
      <c r="G968" s="11" t="n">
        <v>47.09</v>
      </c>
      <c r="H968" s="11">
        <f>H967+G968</f>
        <v/>
      </c>
    </row>
    <row r="969">
      <c r="A969" s="9" t="n">
        <v>965</v>
      </c>
      <c r="B969" s="9" t="inlineStr">
        <is>
          <t>Aurelius_M15</t>
        </is>
      </c>
      <c r="C969" s="9" t="inlineStr">
        <is>
          <t>MA alignment (EMA21&gt;EMA50&gt;SMA250&gt;SMMA500 vs EMA2400 trend filter) - M15 chart</t>
        </is>
      </c>
      <c r="D969" s="9" t="inlineStr">
        <is>
          <t>Short</t>
        </is>
      </c>
      <c r="E969" s="10" t="n">
        <v>46182.76041666666</v>
      </c>
      <c r="F969" s="10" t="n">
        <v>46184.21875</v>
      </c>
      <c r="G969" s="11" t="n">
        <v>205.01</v>
      </c>
      <c r="H969" s="11">
        <f>H968+G969</f>
        <v/>
      </c>
    </row>
    <row r="970">
      <c r="A970" s="9" t="n">
        <v>966</v>
      </c>
      <c r="B970" s="9" t="inlineStr">
        <is>
          <t>Ratchet</t>
        </is>
      </c>
      <c r="C970" s="9" t="inlineStr">
        <is>
          <t>Stochastic scalp with give-back trail exit</t>
        </is>
      </c>
      <c r="D970" s="9" t="inlineStr">
        <is>
          <t>Short</t>
        </is>
      </c>
      <c r="E970" s="10" t="n">
        <v>46184.26388888889</v>
      </c>
      <c r="F970" s="10" t="n">
        <v>46184.29861111111</v>
      </c>
      <c r="G970" s="11" t="n">
        <v>-16.31</v>
      </c>
      <c r="H970" s="11">
        <f>H969+G970</f>
        <v/>
      </c>
    </row>
    <row r="971">
      <c r="A971" s="9" t="n">
        <v>967</v>
      </c>
      <c r="B971" s="9" t="inlineStr">
        <is>
          <t>Ratchet</t>
        </is>
      </c>
      <c r="C971" s="9" t="inlineStr">
        <is>
          <t>Stochastic scalp with give-back trail exit</t>
        </is>
      </c>
      <c r="D971" s="9" t="inlineStr">
        <is>
          <t>Short</t>
        </is>
      </c>
      <c r="E971" s="10" t="n">
        <v>46184.60069444445</v>
      </c>
      <c r="F971" s="10" t="n">
        <v>46184.60416666666</v>
      </c>
      <c r="G971" s="11" t="n">
        <v>-9.24</v>
      </c>
      <c r="H971" s="11">
        <f>H970+G971</f>
        <v/>
      </c>
    </row>
    <row r="972">
      <c r="A972" s="9" t="n">
        <v>968</v>
      </c>
      <c r="B972" s="9" t="inlineStr">
        <is>
          <t>MSG</t>
        </is>
      </c>
      <c r="C972" s="9" t="inlineStr">
        <is>
          <t>Session-range breakout + Fibonacci retracement-zone entry</t>
        </is>
      </c>
      <c r="D972" s="9" t="inlineStr">
        <is>
          <t>Short</t>
        </is>
      </c>
      <c r="E972" s="10" t="n">
        <v>46184.66944444444</v>
      </c>
      <c r="F972" s="10" t="n">
        <v>46184.69791666666</v>
      </c>
      <c r="G972" s="11" t="n">
        <v>16.52</v>
      </c>
      <c r="H972" s="11">
        <f>H971+G972</f>
        <v/>
      </c>
    </row>
    <row r="973">
      <c r="A973" s="9" t="n">
        <v>969</v>
      </c>
      <c r="B973" s="9" t="inlineStr">
        <is>
          <t>Aurelius_M5</t>
        </is>
      </c>
      <c r="C973" s="9" t="inlineStr">
        <is>
          <t>MA alignment (EMA21&gt;EMA50&gt;SMA250&gt;SMMA500 vs EMA2400 trend filter)</t>
        </is>
      </c>
      <c r="D973" s="9" t="inlineStr">
        <is>
          <t>Short</t>
        </is>
      </c>
      <c r="E973" s="10" t="n">
        <v>46184.66319444445</v>
      </c>
      <c r="F973" s="10" t="n">
        <v>46184.78472222222</v>
      </c>
      <c r="G973" s="11" t="n">
        <v>-9.720000000000001</v>
      </c>
      <c r="H973" s="11">
        <f>H972+G973</f>
        <v/>
      </c>
    </row>
    <row r="974">
      <c r="A974" s="9" t="n">
        <v>970</v>
      </c>
      <c r="B974" s="9" t="inlineStr">
        <is>
          <t>Meridian</t>
        </is>
      </c>
      <c r="C974" s="9" t="inlineStr">
        <is>
          <t>21/50 MA cross, 250-period confirm filter, VWAP</t>
        </is>
      </c>
      <c r="D974" s="9" t="inlineStr">
        <is>
          <t>Long</t>
        </is>
      </c>
      <c r="E974" s="10" t="n">
        <v>46184.78472222222</v>
      </c>
      <c r="F974" s="10" t="n">
        <v>46184.84722222222</v>
      </c>
      <c r="G974" s="11" t="n">
        <v>-11.67</v>
      </c>
      <c r="H974" s="11">
        <f>H973+G974</f>
        <v/>
      </c>
    </row>
    <row r="975">
      <c r="A975" s="9" t="n">
        <v>971</v>
      </c>
      <c r="B975" s="9" t="inlineStr">
        <is>
          <t>Meridian</t>
        </is>
      </c>
      <c r="C975" s="9" t="inlineStr">
        <is>
          <t>21/50 MA cross, 250-period confirm filter, VWAP</t>
        </is>
      </c>
      <c r="D975" s="9" t="inlineStr">
        <is>
          <t>Long</t>
        </is>
      </c>
      <c r="E975" s="10" t="n">
        <v>46184.85416666666</v>
      </c>
      <c r="F975" s="10" t="n">
        <v>46185.1875</v>
      </c>
      <c r="G975" s="11" t="n">
        <v>79.05</v>
      </c>
      <c r="H975" s="11">
        <f>H974+G975</f>
        <v/>
      </c>
    </row>
    <row r="976">
      <c r="A976" s="9" t="n">
        <v>972</v>
      </c>
      <c r="B976" s="9" t="inlineStr">
        <is>
          <t>Meridian</t>
        </is>
      </c>
      <c r="C976" s="9" t="inlineStr">
        <is>
          <t>21/50 MA cross, 250-period confirm filter, VWAP</t>
        </is>
      </c>
      <c r="D976" s="9" t="inlineStr">
        <is>
          <t>Long</t>
        </is>
      </c>
      <c r="E976" s="10" t="n">
        <v>46185.47222222222</v>
      </c>
      <c r="F976" s="10" t="n">
        <v>46185.60416666666</v>
      </c>
      <c r="G976" s="11" t="n">
        <v>-19.39</v>
      </c>
      <c r="H976" s="11">
        <f>H975+G976</f>
        <v/>
      </c>
    </row>
    <row r="977">
      <c r="A977" s="9" t="n">
        <v>973</v>
      </c>
      <c r="B977" s="9" t="inlineStr">
        <is>
          <t>Vanguard_M5</t>
        </is>
      </c>
      <c r="C977" s="9" t="inlineStr">
        <is>
          <t>Trendline breakout (fractal swing line) + VWAP/S-R distance gate</t>
        </is>
      </c>
      <c r="D977" s="9" t="inlineStr">
        <is>
          <t>Long</t>
        </is>
      </c>
      <c r="E977" s="10" t="n">
        <v>46185.52430555555</v>
      </c>
      <c r="F977" s="10" t="n">
        <v>46185.60416666666</v>
      </c>
      <c r="G977" s="11" t="n">
        <v>-26.95</v>
      </c>
      <c r="H977" s="11">
        <f>H976+G977</f>
        <v/>
      </c>
    </row>
    <row r="978">
      <c r="A978" s="9" t="n">
        <v>974</v>
      </c>
      <c r="B978" s="9" t="inlineStr">
        <is>
          <t>Vanguard_M15</t>
        </is>
      </c>
      <c r="C978" s="9" t="inlineStr">
        <is>
          <t>Trendline breakout (fractal swing line) + VWAP/S-R distance gate - M15 chart</t>
        </is>
      </c>
      <c r="D978" s="9" t="inlineStr">
        <is>
          <t>Long</t>
        </is>
      </c>
      <c r="E978" s="10" t="n">
        <v>46185.51041666666</v>
      </c>
      <c r="F978" s="10" t="n">
        <v>46185.65625</v>
      </c>
      <c r="G978" s="11" t="n">
        <v>-34.57</v>
      </c>
      <c r="H978" s="11">
        <f>H977+G978</f>
        <v/>
      </c>
    </row>
    <row r="979">
      <c r="A979" s="9" t="n">
        <v>975</v>
      </c>
      <c r="B979" s="9" t="inlineStr">
        <is>
          <t>Vanguard_M15</t>
        </is>
      </c>
      <c r="C979" s="9" t="inlineStr">
        <is>
          <t>Trendline breakout (fractal swing line) + VWAP/S-R distance gate - M15 chart</t>
        </is>
      </c>
      <c r="D979" s="9" t="inlineStr">
        <is>
          <t>Long</t>
        </is>
      </c>
      <c r="E979" s="10" t="n">
        <v>46185.76041666666</v>
      </c>
      <c r="F979" s="10" t="n">
        <v>46185.78125</v>
      </c>
      <c r="G979" s="11" t="n">
        <v>-2.36</v>
      </c>
      <c r="H979" s="11">
        <f>H978+G979</f>
        <v/>
      </c>
    </row>
    <row r="980">
      <c r="A980" s="9" t="n">
        <v>976</v>
      </c>
      <c r="B980" s="9" t="inlineStr">
        <is>
          <t>Vanguard_M5</t>
        </is>
      </c>
      <c r="C980" s="9" t="inlineStr">
        <is>
          <t>Trendline breakout (fractal swing line) + VWAP/S-R distance gate</t>
        </is>
      </c>
      <c r="D980" s="9" t="inlineStr">
        <is>
          <t>Long</t>
        </is>
      </c>
      <c r="E980" s="10" t="n">
        <v>46185.76041666666</v>
      </c>
      <c r="F980" s="10" t="n">
        <v>46185.78472222222</v>
      </c>
      <c r="G980" s="11" t="n">
        <v>1.16</v>
      </c>
      <c r="H980" s="11">
        <f>H979+G980</f>
        <v/>
      </c>
    </row>
    <row r="981">
      <c r="A981" s="9" t="n">
        <v>977</v>
      </c>
      <c r="B981" s="9" t="inlineStr">
        <is>
          <t>Vanguard_M5</t>
        </is>
      </c>
      <c r="C981" s="9" t="inlineStr">
        <is>
          <t>Trendline breakout (fractal swing line) + VWAP/S-R distance gate</t>
        </is>
      </c>
      <c r="D981" s="9" t="inlineStr">
        <is>
          <t>Long</t>
        </is>
      </c>
      <c r="E981" s="10" t="n">
        <v>46185.78819444445</v>
      </c>
      <c r="F981" s="10" t="n">
        <v>46185.78819444445</v>
      </c>
      <c r="G981" s="11" t="n">
        <v>-3.76</v>
      </c>
      <c r="H981" s="11">
        <f>H980+G981</f>
        <v/>
      </c>
    </row>
    <row r="982">
      <c r="A982" s="9" t="n">
        <v>978</v>
      </c>
      <c r="B982" s="9" t="inlineStr">
        <is>
          <t>Meridian</t>
        </is>
      </c>
      <c r="C982" s="9" t="inlineStr">
        <is>
          <t>21/50 MA cross, 250-period confirm filter, VWAP</t>
        </is>
      </c>
      <c r="D982" s="9" t="inlineStr">
        <is>
          <t>Long</t>
        </is>
      </c>
      <c r="E982" s="10" t="n">
        <v>46185.76736111111</v>
      </c>
      <c r="F982" s="10" t="n">
        <v>46185.91666666666</v>
      </c>
      <c r="G982" s="11" t="n">
        <v>-12.93</v>
      </c>
      <c r="H982" s="11">
        <f>H981+G982</f>
        <v/>
      </c>
    </row>
    <row r="983">
      <c r="A983" s="9" t="n">
        <v>979</v>
      </c>
      <c r="B983" s="9" t="inlineStr">
        <is>
          <t>Ratchet</t>
        </is>
      </c>
      <c r="C983" s="9" t="inlineStr">
        <is>
          <t>Stochastic scalp with give-back trail exit</t>
        </is>
      </c>
      <c r="D983" s="9" t="inlineStr">
        <is>
          <t>Long</t>
        </is>
      </c>
      <c r="E983" s="10" t="n">
        <v>46188.12847222222</v>
      </c>
      <c r="F983" s="10" t="n">
        <v>46188.14583333334</v>
      </c>
      <c r="G983" s="11" t="n">
        <v>3.43</v>
      </c>
      <c r="H983" s="11">
        <f>H982+G983</f>
        <v/>
      </c>
    </row>
    <row r="984">
      <c r="A984" s="9" t="n">
        <v>980</v>
      </c>
      <c r="B984" s="9" t="inlineStr">
        <is>
          <t>Vanguard_M5</t>
        </is>
      </c>
      <c r="C984" s="9" t="inlineStr">
        <is>
          <t>Trendline breakout (fractal swing line) + VWAP/S-R distance gate</t>
        </is>
      </c>
      <c r="D984" s="9" t="inlineStr">
        <is>
          <t>Short</t>
        </is>
      </c>
      <c r="E984" s="10" t="n">
        <v>46188.17361111111</v>
      </c>
      <c r="F984" s="10" t="n">
        <v>46188.1875</v>
      </c>
      <c r="G984" s="11" t="n">
        <v>-25.08</v>
      </c>
      <c r="H984" s="11">
        <f>H983+G984</f>
        <v/>
      </c>
    </row>
    <row r="985">
      <c r="A985" s="9" t="n">
        <v>981</v>
      </c>
      <c r="B985" s="9" t="inlineStr">
        <is>
          <t>Ratchet</t>
        </is>
      </c>
      <c r="C985" s="9" t="inlineStr">
        <is>
          <t>Stochastic scalp with give-back trail exit</t>
        </is>
      </c>
      <c r="D985" s="9" t="inlineStr">
        <is>
          <t>Long</t>
        </is>
      </c>
      <c r="E985" s="10" t="n">
        <v>46188.1875</v>
      </c>
      <c r="F985" s="10" t="n">
        <v>46188.36111111111</v>
      </c>
      <c r="G985" s="11" t="n">
        <v>9.220000000000001</v>
      </c>
      <c r="H985" s="11">
        <f>H984+G985</f>
        <v/>
      </c>
    </row>
    <row r="986">
      <c r="A986" s="9" t="n">
        <v>982</v>
      </c>
      <c r="B986" s="9" t="inlineStr">
        <is>
          <t>Ratchet</t>
        </is>
      </c>
      <c r="C986" s="9" t="inlineStr">
        <is>
          <t>Stochastic scalp with give-back trail exit</t>
        </is>
      </c>
      <c r="D986" s="9" t="inlineStr">
        <is>
          <t>Long</t>
        </is>
      </c>
      <c r="E986" s="10" t="n">
        <v>46188.47222222222</v>
      </c>
      <c r="F986" s="10" t="n">
        <v>46188.61458333334</v>
      </c>
      <c r="G986" s="11" t="n">
        <v>5.09</v>
      </c>
      <c r="H986" s="11">
        <f>H985+G986</f>
        <v/>
      </c>
    </row>
    <row r="987">
      <c r="A987" s="9" t="n">
        <v>983</v>
      </c>
      <c r="B987" s="9" t="inlineStr">
        <is>
          <t>Aurelius_M5</t>
        </is>
      </c>
      <c r="C987" s="9" t="inlineStr">
        <is>
          <t>MA alignment (EMA21&gt;EMA50&gt;SMA250&gt;SMMA500 vs EMA2400 trend filter)</t>
        </is>
      </c>
      <c r="D987" s="9" t="inlineStr">
        <is>
          <t>Long</t>
        </is>
      </c>
      <c r="E987" s="10" t="n">
        <v>46188.48263888889</v>
      </c>
      <c r="F987" s="10" t="n">
        <v>46188.63541666666</v>
      </c>
      <c r="G987" s="11" t="n">
        <v>-13.76</v>
      </c>
      <c r="H987" s="11">
        <f>H986+G987</f>
        <v/>
      </c>
    </row>
    <row r="988">
      <c r="A988" s="9" t="n">
        <v>984</v>
      </c>
      <c r="B988" s="9" t="inlineStr">
        <is>
          <t>Ratchet</t>
        </is>
      </c>
      <c r="C988" s="9" t="inlineStr">
        <is>
          <t>Stochastic scalp with give-back trail exit</t>
        </is>
      </c>
      <c r="D988" s="9" t="inlineStr">
        <is>
          <t>Long</t>
        </is>
      </c>
      <c r="E988" s="10" t="n">
        <v>46188.65972222222</v>
      </c>
      <c r="F988" s="10" t="n">
        <v>46188.66666666666</v>
      </c>
      <c r="G988" s="11" t="n">
        <v>0</v>
      </c>
      <c r="H988" s="11">
        <f>H987+G988</f>
        <v/>
      </c>
    </row>
    <row r="989">
      <c r="A989" s="9" t="n">
        <v>985</v>
      </c>
      <c r="B989" s="9" t="inlineStr">
        <is>
          <t>Ratchet</t>
        </is>
      </c>
      <c r="C989" s="9" t="inlineStr">
        <is>
          <t>Stochastic scalp with give-back trail exit</t>
        </is>
      </c>
      <c r="D989" s="9" t="inlineStr">
        <is>
          <t>Long</t>
        </is>
      </c>
      <c r="E989" s="10" t="n">
        <v>46188.68402777778</v>
      </c>
      <c r="F989" s="10" t="n">
        <v>46188.70138888889</v>
      </c>
      <c r="G989" s="11" t="n">
        <v>2.8</v>
      </c>
      <c r="H989" s="11">
        <f>H988+G989</f>
        <v/>
      </c>
    </row>
    <row r="990">
      <c r="A990" s="9" t="n">
        <v>986</v>
      </c>
      <c r="B990" s="9" t="inlineStr">
        <is>
          <t>Meridian</t>
        </is>
      </c>
      <c r="C990" s="9" t="inlineStr">
        <is>
          <t>21/50 MA cross, 250-period confirm filter, VWAP</t>
        </is>
      </c>
      <c r="D990" s="9" t="inlineStr">
        <is>
          <t>Long</t>
        </is>
      </c>
      <c r="E990" s="10" t="n">
        <v>46188.45833333334</v>
      </c>
      <c r="F990" s="10" t="n">
        <v>46188.81944444445</v>
      </c>
      <c r="G990" s="11" t="n">
        <v>15.65</v>
      </c>
      <c r="H990" s="11">
        <f>H989+G990</f>
        <v/>
      </c>
    </row>
    <row r="991">
      <c r="A991" s="9" t="n">
        <v>987</v>
      </c>
      <c r="B991" s="9" t="inlineStr">
        <is>
          <t>Aurelius_M5</t>
        </is>
      </c>
      <c r="C991" s="9" t="inlineStr">
        <is>
          <t>MA alignment (EMA21&gt;EMA50&gt;SMA250&gt;SMMA500 vs EMA2400 trend filter)</t>
        </is>
      </c>
      <c r="D991" s="9" t="inlineStr">
        <is>
          <t>Long</t>
        </is>
      </c>
      <c r="E991" s="10" t="n">
        <v>46188.65277777778</v>
      </c>
      <c r="F991" s="10" t="n">
        <v>46188.81944444445</v>
      </c>
      <c r="G991" s="11" t="n">
        <v>-5.3</v>
      </c>
      <c r="H991" s="11">
        <f>H990+G991</f>
        <v/>
      </c>
    </row>
    <row r="992">
      <c r="A992" s="9" t="n">
        <v>988</v>
      </c>
      <c r="B992" s="9" t="inlineStr">
        <is>
          <t>Ratchet</t>
        </is>
      </c>
      <c r="C992" s="9" t="inlineStr">
        <is>
          <t>Stochastic scalp with give-back trail exit</t>
        </is>
      </c>
      <c r="D992" s="9" t="inlineStr">
        <is>
          <t>Long</t>
        </is>
      </c>
      <c r="E992" s="10" t="n">
        <v>46189.45138888889</v>
      </c>
      <c r="F992" s="10" t="n">
        <v>46189.68055555555</v>
      </c>
      <c r="G992" s="11" t="n">
        <v>7.96</v>
      </c>
      <c r="H992" s="11">
        <f>H991+G992</f>
        <v/>
      </c>
    </row>
    <row r="993">
      <c r="A993" s="9" t="n">
        <v>989</v>
      </c>
      <c r="B993" s="9" t="inlineStr">
        <is>
          <t>Aurelius_M5</t>
        </is>
      </c>
      <c r="C993" s="9" t="inlineStr">
        <is>
          <t>MA alignment (EMA21&gt;EMA50&gt;SMA250&gt;SMMA500 vs EMA2400 trend filter)</t>
        </is>
      </c>
      <c r="D993" s="9" t="inlineStr">
        <is>
          <t>Long</t>
        </is>
      </c>
      <c r="E993" s="10" t="n">
        <v>46189.63194444445</v>
      </c>
      <c r="F993" s="10" t="n">
        <v>46189.68055555555</v>
      </c>
      <c r="G993" s="11" t="n">
        <v>-9.35</v>
      </c>
      <c r="H993" s="11">
        <f>H992+G993</f>
        <v/>
      </c>
    </row>
    <row r="994">
      <c r="A994" s="9" t="n">
        <v>990</v>
      </c>
      <c r="B994" s="9" t="inlineStr">
        <is>
          <t>Aurelius_M15</t>
        </is>
      </c>
      <c r="C994" s="9" t="inlineStr">
        <is>
          <t>MA alignment (EMA21&gt;EMA50&gt;SMA250&gt;SMMA500 vs EMA2400 trend filter) - M15 chart</t>
        </is>
      </c>
      <c r="D994" s="9" t="inlineStr">
        <is>
          <t>Long</t>
        </is>
      </c>
      <c r="E994" s="10" t="n">
        <v>46189.80208333334</v>
      </c>
      <c r="F994" s="10" t="n">
        <v>46189.84375</v>
      </c>
      <c r="G994" s="11" t="n">
        <v>-10.51</v>
      </c>
      <c r="H994" s="11">
        <f>H993+G994</f>
        <v/>
      </c>
    </row>
    <row r="995">
      <c r="A995" s="9" t="n">
        <v>991</v>
      </c>
      <c r="B995" s="9" t="inlineStr">
        <is>
          <t>Meridian</t>
        </is>
      </c>
      <c r="C995" s="9" t="inlineStr">
        <is>
          <t>21/50 MA cross, 250-period confirm filter, VWAP</t>
        </is>
      </c>
      <c r="D995" s="9" t="inlineStr">
        <is>
          <t>Long</t>
        </is>
      </c>
      <c r="E995" s="10" t="n">
        <v>46189.80902777778</v>
      </c>
      <c r="F995" s="10" t="n">
        <v>46189.84722222222</v>
      </c>
      <c r="G995" s="11" t="n">
        <v>-13.77</v>
      </c>
      <c r="H995" s="11">
        <f>H994+G995</f>
        <v/>
      </c>
    </row>
    <row r="996">
      <c r="A996" s="9" t="n">
        <v>992</v>
      </c>
      <c r="B996" s="9" t="inlineStr">
        <is>
          <t>Meridian</t>
        </is>
      </c>
      <c r="C996" s="9" t="inlineStr">
        <is>
          <t>21/50 MA cross, 250-period confirm filter, VWAP</t>
        </is>
      </c>
      <c r="D996" s="9" t="inlineStr">
        <is>
          <t>Long</t>
        </is>
      </c>
      <c r="E996" s="10" t="n">
        <v>46190.13888888889</v>
      </c>
      <c r="F996" s="10" t="n">
        <v>46190.15625</v>
      </c>
      <c r="G996" s="11" t="n">
        <v>-7</v>
      </c>
      <c r="H996" s="11">
        <f>H995+G996</f>
        <v/>
      </c>
    </row>
    <row r="997">
      <c r="A997" s="9" t="n">
        <v>993</v>
      </c>
      <c r="B997" s="9" t="inlineStr">
        <is>
          <t>Aurelius_M5</t>
        </is>
      </c>
      <c r="C997" s="9" t="inlineStr">
        <is>
          <t>MA alignment (EMA21&gt;EMA50&gt;SMA250&gt;SMMA500 vs EMA2400 trend filter)</t>
        </is>
      </c>
      <c r="D997" s="9" t="inlineStr">
        <is>
          <t>Long</t>
        </is>
      </c>
      <c r="E997" s="10" t="n">
        <v>46190.17708333334</v>
      </c>
      <c r="F997" s="10" t="n">
        <v>46190.1875</v>
      </c>
      <c r="G997" s="11" t="n">
        <v>-9.34</v>
      </c>
      <c r="H997" s="11">
        <f>H996+G997</f>
        <v/>
      </c>
    </row>
    <row r="998">
      <c r="A998" s="9" t="n">
        <v>994</v>
      </c>
      <c r="B998" s="9" t="inlineStr">
        <is>
          <t>Ratchet</t>
        </is>
      </c>
      <c r="C998" s="9" t="inlineStr">
        <is>
          <t>Stochastic scalp with give-back trail exit</t>
        </is>
      </c>
      <c r="D998" s="9" t="inlineStr">
        <is>
          <t>Long</t>
        </is>
      </c>
      <c r="E998" s="10" t="n">
        <v>46190.21875</v>
      </c>
      <c r="F998" s="10" t="n">
        <v>46190.23958333334</v>
      </c>
      <c r="G998" s="11" t="n">
        <v>-7.29</v>
      </c>
      <c r="H998" s="11">
        <f>H997+G998</f>
        <v/>
      </c>
    </row>
    <row r="999">
      <c r="A999" s="9" t="n">
        <v>995</v>
      </c>
      <c r="B999" s="9" t="inlineStr">
        <is>
          <t>Aurelius_M5</t>
        </is>
      </c>
      <c r="C999" s="9" t="inlineStr">
        <is>
          <t>MA alignment (EMA21&gt;EMA50&gt;SMA250&gt;SMMA500 vs EMA2400 trend filter)</t>
        </is>
      </c>
      <c r="D999" s="9" t="inlineStr">
        <is>
          <t>Long</t>
        </is>
      </c>
      <c r="E999" s="10" t="n">
        <v>46190.20486111111</v>
      </c>
      <c r="F999" s="10" t="n">
        <v>46190.24305555555</v>
      </c>
      <c r="G999" s="11" t="n">
        <v>-9.73</v>
      </c>
      <c r="H999" s="11">
        <f>H998+G999</f>
        <v/>
      </c>
    </row>
    <row r="1000">
      <c r="A1000" s="9" t="n">
        <v>996</v>
      </c>
      <c r="B1000" s="9" t="inlineStr">
        <is>
          <t>Vanguard_M5</t>
        </is>
      </c>
      <c r="C1000" s="9" t="inlineStr">
        <is>
          <t>Trendline breakout (fractal swing line) + VWAP/S-R distance gate</t>
        </is>
      </c>
      <c r="D1000" s="9" t="inlineStr">
        <is>
          <t>Short</t>
        </is>
      </c>
      <c r="E1000" s="10" t="n">
        <v>46190.31597222222</v>
      </c>
      <c r="F1000" s="10" t="n">
        <v>46190.35416666666</v>
      </c>
      <c r="G1000" s="11" t="n">
        <v>-14.92</v>
      </c>
      <c r="H1000" s="11">
        <f>H999+G1000</f>
        <v/>
      </c>
    </row>
    <row r="1001">
      <c r="A1001" s="9" t="n">
        <v>997</v>
      </c>
      <c r="B1001" s="9" t="inlineStr">
        <is>
          <t>Vanguard_M5</t>
        </is>
      </c>
      <c r="C1001" s="9" t="inlineStr">
        <is>
          <t>Trendline breakout (fractal swing line) + VWAP/S-R distance gate</t>
        </is>
      </c>
      <c r="D1001" s="9" t="inlineStr">
        <is>
          <t>Short</t>
        </is>
      </c>
      <c r="E1001" s="10" t="n">
        <v>46190.48611111111</v>
      </c>
      <c r="F1001" s="10" t="n">
        <v>46190.52083333334</v>
      </c>
      <c r="G1001" s="11" t="n">
        <v>-14.82</v>
      </c>
      <c r="H1001" s="11">
        <f>H1000+G1001</f>
        <v/>
      </c>
    </row>
    <row r="1002">
      <c r="A1002" s="9" t="n">
        <v>998</v>
      </c>
      <c r="B1002" s="9" t="inlineStr">
        <is>
          <t>Meridian</t>
        </is>
      </c>
      <c r="C1002" s="9" t="inlineStr">
        <is>
          <t>21/50 MA cross, 250-period confirm filter, VWAP</t>
        </is>
      </c>
      <c r="D1002" s="9" t="inlineStr">
        <is>
          <t>Short</t>
        </is>
      </c>
      <c r="E1002" s="10" t="n">
        <v>46190.25347222222</v>
      </c>
      <c r="F1002" s="10" t="n">
        <v>46190.54861111111</v>
      </c>
      <c r="G1002" s="11" t="n">
        <v>1.94</v>
      </c>
      <c r="H1002" s="11">
        <f>H1001+G1002</f>
        <v/>
      </c>
    </row>
    <row r="1003">
      <c r="A1003" s="9" t="n">
        <v>999</v>
      </c>
      <c r="B1003" s="9" t="inlineStr">
        <is>
          <t>MSG</t>
        </is>
      </c>
      <c r="C1003" s="9" t="inlineStr">
        <is>
          <t>Session-range breakout + Fibonacci retracement-zone entry</t>
        </is>
      </c>
      <c r="D1003" s="9" t="inlineStr">
        <is>
          <t>Long</t>
        </is>
      </c>
      <c r="E1003" s="10" t="n">
        <v>46190.60763888889</v>
      </c>
      <c r="F1003" s="10" t="n">
        <v>46190.62222222222</v>
      </c>
      <c r="G1003" s="11" t="n">
        <v>-13.17</v>
      </c>
      <c r="H1003" s="11">
        <f>H1002+G1003</f>
        <v/>
      </c>
    </row>
    <row r="1004">
      <c r="A1004" s="9" t="n">
        <v>1000</v>
      </c>
      <c r="B1004" s="9" t="inlineStr">
        <is>
          <t>Meridian</t>
        </is>
      </c>
      <c r="C1004" s="9" t="inlineStr">
        <is>
          <t>21/50 MA cross, 250-period confirm filter, VWAP</t>
        </is>
      </c>
      <c r="D1004" s="9" t="inlineStr">
        <is>
          <t>Short</t>
        </is>
      </c>
      <c r="E1004" s="10" t="n">
        <v>46190.625</v>
      </c>
      <c r="F1004" s="10" t="n">
        <v>46190.64930555555</v>
      </c>
      <c r="G1004" s="11" t="n">
        <v>-7.75</v>
      </c>
      <c r="H1004" s="11">
        <f>H1003+G1004</f>
        <v/>
      </c>
    </row>
    <row r="1005">
      <c r="A1005" s="9" t="n">
        <v>1001</v>
      </c>
      <c r="B1005" s="9" t="inlineStr">
        <is>
          <t>Vanguard_M5</t>
        </is>
      </c>
      <c r="C1005" s="9" t="inlineStr">
        <is>
          <t>Trendline breakout (fractal swing line) + VWAP/S-R distance gate</t>
        </is>
      </c>
      <c r="D1005" s="9" t="inlineStr">
        <is>
          <t>Short</t>
        </is>
      </c>
      <c r="E1005" s="10" t="n">
        <v>46190.62847222222</v>
      </c>
      <c r="F1005" s="10" t="n">
        <v>46190.65625</v>
      </c>
      <c r="G1005" s="11" t="n">
        <v>-12.48</v>
      </c>
      <c r="H1005" s="11">
        <f>H1004+G1005</f>
        <v/>
      </c>
    </row>
    <row r="1006">
      <c r="A1006" s="9" t="n">
        <v>1002</v>
      </c>
      <c r="B1006" s="9" t="inlineStr">
        <is>
          <t>Meridian</t>
        </is>
      </c>
      <c r="C1006" s="9" t="inlineStr">
        <is>
          <t>21/50 MA cross, 250-period confirm filter, VWAP</t>
        </is>
      </c>
      <c r="D1006" s="9" t="inlineStr">
        <is>
          <t>Long</t>
        </is>
      </c>
      <c r="E1006" s="10" t="n">
        <v>46190.65972222222</v>
      </c>
      <c r="F1006" s="10" t="n">
        <v>46190.67013888889</v>
      </c>
      <c r="G1006" s="11" t="n">
        <v>-8.949999999999999</v>
      </c>
      <c r="H1006" s="11">
        <f>H1005+G1006</f>
        <v/>
      </c>
    </row>
    <row r="1007">
      <c r="A1007" s="9" t="n">
        <v>1003</v>
      </c>
      <c r="B1007" s="9" t="inlineStr">
        <is>
          <t>Vanguard_M15</t>
        </is>
      </c>
      <c r="C1007" s="9" t="inlineStr">
        <is>
          <t>Trendline breakout (fractal swing line) + VWAP/S-R distance gate - M15 chart</t>
        </is>
      </c>
      <c r="D1007" s="9" t="inlineStr">
        <is>
          <t>Short</t>
        </is>
      </c>
      <c r="E1007" s="10" t="n">
        <v>46190.48958333334</v>
      </c>
      <c r="F1007" s="10" t="n">
        <v>46190.67708333334</v>
      </c>
      <c r="G1007" s="11" t="n">
        <v>-17.99</v>
      </c>
      <c r="H1007" s="11">
        <f>H1006+G1007</f>
        <v/>
      </c>
    </row>
    <row r="1008">
      <c r="A1008" s="9" t="n">
        <v>1004</v>
      </c>
      <c r="B1008" s="9" t="inlineStr">
        <is>
          <t>Vanguard_M5</t>
        </is>
      </c>
      <c r="C1008" s="9" t="inlineStr">
        <is>
          <t>Trendline breakout (fractal swing line) + VWAP/S-R distance gate</t>
        </is>
      </c>
      <c r="D1008" s="9" t="inlineStr">
        <is>
          <t>Long</t>
        </is>
      </c>
      <c r="E1008" s="10" t="n">
        <v>46190.72569444445</v>
      </c>
      <c r="F1008" s="10" t="n">
        <v>46190.73958333334</v>
      </c>
      <c r="G1008" s="11" t="n">
        <v>-22.6</v>
      </c>
      <c r="H1008" s="11">
        <f>H1007+G1008</f>
        <v/>
      </c>
    </row>
    <row r="1009">
      <c r="A1009" s="9" t="n">
        <v>1005</v>
      </c>
      <c r="B1009" s="9" t="inlineStr">
        <is>
          <t>Vanguard_M15</t>
        </is>
      </c>
      <c r="C1009" s="9" t="inlineStr">
        <is>
          <t>Trendline breakout (fractal swing line) + VWAP/S-R distance gate - M15 chart</t>
        </is>
      </c>
      <c r="D1009" s="9" t="inlineStr">
        <is>
          <t>Long</t>
        </is>
      </c>
      <c r="E1009" s="10" t="n">
        <v>46190.72916666666</v>
      </c>
      <c r="F1009" s="10" t="n">
        <v>46190.73958333334</v>
      </c>
      <c r="G1009" s="11" t="n">
        <v>-22.63</v>
      </c>
      <c r="H1009" s="11">
        <f>H1008+G1009</f>
        <v/>
      </c>
    </row>
    <row r="1010">
      <c r="A1010" s="9" t="n">
        <v>1006</v>
      </c>
      <c r="B1010" s="9" t="inlineStr">
        <is>
          <t>Aurelius_M15</t>
        </is>
      </c>
      <c r="C1010" s="9" t="inlineStr">
        <is>
          <t>MA alignment (EMA21&gt;EMA50&gt;SMA250&gt;SMMA500 vs EMA2400 trend filter) - M15 chart</t>
        </is>
      </c>
      <c r="D1010" s="9" t="inlineStr">
        <is>
          <t>Long</t>
        </is>
      </c>
      <c r="E1010" s="10" t="n">
        <v>46190.73958333334</v>
      </c>
      <c r="F1010" s="10" t="n">
        <v>46190.73958333334</v>
      </c>
      <c r="G1010" s="11" t="n">
        <v>-20.46</v>
      </c>
      <c r="H1010" s="11">
        <f>H1009+G1010</f>
        <v/>
      </c>
    </row>
    <row r="1011">
      <c r="A1011" s="9" t="n">
        <v>1007</v>
      </c>
      <c r="B1011" s="9" t="inlineStr">
        <is>
          <t>Meridian</t>
        </is>
      </c>
      <c r="C1011" s="9" t="inlineStr">
        <is>
          <t>21/50 MA cross, 250-period confirm filter, VWAP</t>
        </is>
      </c>
      <c r="D1011" s="9" t="inlineStr">
        <is>
          <t>Short</t>
        </is>
      </c>
      <c r="E1011" s="10" t="n">
        <v>46190.88541666666</v>
      </c>
      <c r="F1011" s="10" t="n">
        <v>46190.90277777778</v>
      </c>
      <c r="G1011" s="11" t="n">
        <v>-30.02</v>
      </c>
      <c r="H1011" s="11">
        <f>H1010+G1011</f>
        <v/>
      </c>
    </row>
    <row r="1012">
      <c r="A1012" s="9" t="n">
        <v>1008</v>
      </c>
      <c r="B1012" s="9" t="inlineStr">
        <is>
          <t>Vanguard_M15</t>
        </is>
      </c>
      <c r="C1012" s="9" t="inlineStr">
        <is>
          <t>Trendline breakout (fractal swing line) + VWAP/S-R distance gate - M15 chart</t>
        </is>
      </c>
      <c r="D1012" s="9" t="inlineStr">
        <is>
          <t>Short</t>
        </is>
      </c>
      <c r="E1012" s="10" t="n">
        <v>46190.88541666666</v>
      </c>
      <c r="F1012" s="10" t="n">
        <v>46190.90625</v>
      </c>
      <c r="G1012" s="11" t="n">
        <v>-46.58</v>
      </c>
      <c r="H1012" s="11">
        <f>H1011+G1012</f>
        <v/>
      </c>
    </row>
    <row r="1013">
      <c r="A1013" s="9" t="n">
        <v>1009</v>
      </c>
      <c r="B1013" s="9" t="inlineStr">
        <is>
          <t>Ratchet</t>
        </is>
      </c>
      <c r="C1013" s="9" t="inlineStr">
        <is>
          <t>Stochastic scalp with give-back trail exit</t>
        </is>
      </c>
      <c r="D1013" s="9" t="inlineStr">
        <is>
          <t>Short</t>
        </is>
      </c>
      <c r="E1013" s="10" t="n">
        <v>46190.94097222222</v>
      </c>
      <c r="F1013" s="10" t="n">
        <v>46190.94444444445</v>
      </c>
      <c r="G1013" s="11" t="n">
        <v>5.18</v>
      </c>
      <c r="H1013" s="11">
        <f>H1012+G1013</f>
        <v/>
      </c>
    </row>
    <row r="1014">
      <c r="A1014" s="9" t="n">
        <v>1010</v>
      </c>
      <c r="B1014" s="9" t="inlineStr">
        <is>
          <t>Ratchet</t>
        </is>
      </c>
      <c r="C1014" s="9" t="inlineStr">
        <is>
          <t>Stochastic scalp with give-back trail exit</t>
        </is>
      </c>
      <c r="D1014" s="9" t="inlineStr">
        <is>
          <t>Short</t>
        </is>
      </c>
      <c r="E1014" s="10" t="n">
        <v>46190.95486111111</v>
      </c>
      <c r="F1014" s="10" t="n">
        <v>46190.97222222222</v>
      </c>
      <c r="G1014" s="11" t="n">
        <v>-30.08</v>
      </c>
      <c r="H1014" s="11">
        <f>H1013+G1014</f>
        <v/>
      </c>
    </row>
    <row r="1015">
      <c r="A1015" s="9" t="n">
        <v>1011</v>
      </c>
      <c r="B1015" s="9" t="inlineStr">
        <is>
          <t>Ratchet</t>
        </is>
      </c>
      <c r="C1015" s="9" t="inlineStr">
        <is>
          <t>Stochastic scalp with give-back trail exit</t>
        </is>
      </c>
      <c r="D1015" s="9" t="inlineStr">
        <is>
          <t>Short</t>
        </is>
      </c>
      <c r="E1015" s="10" t="n">
        <v>46191.66319444445</v>
      </c>
      <c r="F1015" s="10" t="n">
        <v>46191.67361111111</v>
      </c>
      <c r="G1015" s="11" t="n">
        <v>-12.76</v>
      </c>
      <c r="H1015" s="11">
        <f>H1014+G1015</f>
        <v/>
      </c>
    </row>
    <row r="1016">
      <c r="A1016" s="9" t="n">
        <v>1012</v>
      </c>
      <c r="B1016" s="9" t="inlineStr">
        <is>
          <t>Aurelius_M5</t>
        </is>
      </c>
      <c r="C1016" s="9" t="inlineStr">
        <is>
          <t>MA alignment (EMA21&gt;EMA50&gt;SMA250&gt;SMMA500 vs EMA2400 trend filter)</t>
        </is>
      </c>
      <c r="D1016" s="9" t="inlineStr">
        <is>
          <t>Short</t>
        </is>
      </c>
      <c r="E1016" s="10" t="n">
        <v>46191.70833333334</v>
      </c>
      <c r="F1016" s="10" t="n">
        <v>46192.04166666666</v>
      </c>
      <c r="G1016" s="11" t="n">
        <v>47.4</v>
      </c>
      <c r="H1016" s="11">
        <f>H1015+G1016</f>
        <v/>
      </c>
    </row>
    <row r="1017">
      <c r="A1017" s="9" t="n">
        <v>1013</v>
      </c>
      <c r="B1017" s="9" t="inlineStr">
        <is>
          <t>Meridian</t>
        </is>
      </c>
      <c r="C1017" s="9" t="inlineStr">
        <is>
          <t>21/50 MA cross, 250-period confirm filter, VWAP</t>
        </is>
      </c>
      <c r="D1017" s="9" t="inlineStr">
        <is>
          <t>Short</t>
        </is>
      </c>
      <c r="E1017" s="10" t="n">
        <v>46191.38194444445</v>
      </c>
      <c r="F1017" s="10" t="n">
        <v>46192.46180555555</v>
      </c>
      <c r="G1017" s="11" t="n">
        <v>140.76</v>
      </c>
      <c r="H1017" s="11">
        <f>H1016+G1017</f>
        <v/>
      </c>
    </row>
    <row r="1018">
      <c r="A1018" s="9" t="n">
        <v>1014</v>
      </c>
      <c r="B1018" s="9" t="inlineStr">
        <is>
          <t>Meridian</t>
        </is>
      </c>
      <c r="C1018" s="9" t="inlineStr">
        <is>
          <t>21/50 MA cross, 250-period confirm filter, VWAP</t>
        </is>
      </c>
      <c r="D1018" s="9" t="inlineStr">
        <is>
          <t>Short</t>
        </is>
      </c>
      <c r="E1018" s="10" t="n">
        <v>46192.57291666666</v>
      </c>
      <c r="F1018" s="10" t="n">
        <v>46192.65972222222</v>
      </c>
      <c r="G1018" s="11" t="n">
        <v>-10.53</v>
      </c>
      <c r="H1018" s="11">
        <f>H1017+G1018</f>
        <v/>
      </c>
    </row>
    <row r="1019">
      <c r="A1019" s="9" t="n">
        <v>1015</v>
      </c>
      <c r="B1019" s="9" t="inlineStr">
        <is>
          <t>Meridian</t>
        </is>
      </c>
      <c r="C1019" s="9" t="inlineStr">
        <is>
          <t>21/50 MA cross, 250-period confirm filter, VWAP</t>
        </is>
      </c>
      <c r="D1019" s="9" t="inlineStr">
        <is>
          <t>Short</t>
        </is>
      </c>
      <c r="E1019" s="10" t="n">
        <v>46192.72222222222</v>
      </c>
      <c r="F1019" s="10" t="n">
        <v>46195.08333333334</v>
      </c>
      <c r="G1019" s="11" t="n">
        <v>-9.16</v>
      </c>
      <c r="H1019" s="11">
        <f>H1018+G1019</f>
        <v/>
      </c>
    </row>
    <row r="1020">
      <c r="A1020" s="9" t="n">
        <v>1016</v>
      </c>
      <c r="B1020" s="9" t="inlineStr">
        <is>
          <t>Aurelius_M15</t>
        </is>
      </c>
      <c r="C1020" s="9" t="inlineStr">
        <is>
          <t>MA alignment (EMA21&gt;EMA50&gt;SMA250&gt;SMMA500 vs EMA2400 trend filter) - M15 chart</t>
        </is>
      </c>
      <c r="D1020" s="9" t="inlineStr">
        <is>
          <t>Short</t>
        </is>
      </c>
      <c r="E1020" s="10" t="n">
        <v>46195.125</v>
      </c>
      <c r="F1020" s="10" t="n">
        <v>46195.125</v>
      </c>
      <c r="G1020" s="11" t="n">
        <v>-21.4</v>
      </c>
      <c r="H1020" s="11">
        <f>H1019+G1020</f>
        <v/>
      </c>
    </row>
    <row r="1021">
      <c r="A1021" s="9" t="n">
        <v>1017</v>
      </c>
      <c r="B1021" s="9" t="inlineStr">
        <is>
          <t>Meridian</t>
        </is>
      </c>
      <c r="C1021" s="9" t="inlineStr">
        <is>
          <t>21/50 MA cross, 250-period confirm filter, VWAP</t>
        </is>
      </c>
      <c r="D1021" s="9" t="inlineStr">
        <is>
          <t>Short</t>
        </is>
      </c>
      <c r="E1021" s="10" t="n">
        <v>46195.11458333334</v>
      </c>
      <c r="F1021" s="10" t="n">
        <v>46195.13194444445</v>
      </c>
      <c r="G1021" s="11" t="n">
        <v>-12.42</v>
      </c>
      <c r="H1021" s="11">
        <f>H1020+G1021</f>
        <v/>
      </c>
    </row>
    <row r="1022">
      <c r="A1022" s="9" t="n">
        <v>1018</v>
      </c>
      <c r="B1022" s="9" t="inlineStr">
        <is>
          <t>Meridian</t>
        </is>
      </c>
      <c r="C1022" s="9" t="inlineStr">
        <is>
          <t>21/50 MA cross, 250-period confirm filter, VWAP</t>
        </is>
      </c>
      <c r="D1022" s="9" t="inlineStr">
        <is>
          <t>Long</t>
        </is>
      </c>
      <c r="E1022" s="10" t="n">
        <v>46195.14236111111</v>
      </c>
      <c r="F1022" s="10" t="n">
        <v>46195.31597222222</v>
      </c>
      <c r="G1022" s="11" t="n">
        <v>12.03</v>
      </c>
      <c r="H1022" s="11">
        <f>H1021+G1022</f>
        <v/>
      </c>
    </row>
    <row r="1023">
      <c r="A1023" s="9" t="n">
        <v>1019</v>
      </c>
      <c r="B1023" s="9" t="inlineStr">
        <is>
          <t>MSG</t>
        </is>
      </c>
      <c r="C1023" s="9" t="inlineStr">
        <is>
          <t>Session-range breakout + Fibonacci retracement-zone entry</t>
        </is>
      </c>
      <c r="D1023" s="9" t="inlineStr">
        <is>
          <t>Long</t>
        </is>
      </c>
      <c r="E1023" s="10" t="n">
        <v>46195.65555555555</v>
      </c>
      <c r="F1023" s="10" t="n">
        <v>46195.66458333333</v>
      </c>
      <c r="G1023" s="11" t="n">
        <v>-22.44</v>
      </c>
      <c r="H1023" s="11">
        <f>H1022+G1023</f>
        <v/>
      </c>
    </row>
    <row r="1024">
      <c r="A1024" s="9" t="n">
        <v>1020</v>
      </c>
      <c r="B1024" s="9" t="inlineStr">
        <is>
          <t>Meridian</t>
        </is>
      </c>
      <c r="C1024" s="9" t="inlineStr">
        <is>
          <t>21/50 MA cross, 250-period confirm filter, VWAP</t>
        </is>
      </c>
      <c r="D1024" s="9" t="inlineStr">
        <is>
          <t>Long</t>
        </is>
      </c>
      <c r="E1024" s="10" t="n">
        <v>46195.33680555555</v>
      </c>
      <c r="F1024" s="10" t="n">
        <v>46195.67013888889</v>
      </c>
      <c r="G1024" s="11" t="n">
        <v>11.42</v>
      </c>
      <c r="H1024" s="11">
        <f>H1023+G1024</f>
        <v/>
      </c>
    </row>
    <row r="1025">
      <c r="A1025" s="9" t="n">
        <v>1021</v>
      </c>
      <c r="B1025" s="9" t="inlineStr">
        <is>
          <t>Vanguard_M5</t>
        </is>
      </c>
      <c r="C1025" s="9" t="inlineStr">
        <is>
          <t>Trendline breakout (fractal swing line) + VWAP/S-R distance gate</t>
        </is>
      </c>
      <c r="D1025" s="9" t="inlineStr">
        <is>
          <t>Short</t>
        </is>
      </c>
      <c r="E1025" s="10" t="n">
        <v>46190.87847222222</v>
      </c>
      <c r="F1025" s="10" t="n">
        <v>46195.78472222222</v>
      </c>
      <c r="G1025" s="11" t="n">
        <v>137.14</v>
      </c>
      <c r="H1025" s="11">
        <f>H1024+G1025</f>
        <v/>
      </c>
    </row>
    <row r="1026">
      <c r="A1026" s="9" t="n">
        <v>1022</v>
      </c>
      <c r="B1026" s="9" t="inlineStr">
        <is>
          <t>Ratchet</t>
        </is>
      </c>
      <c r="C1026" s="9" t="inlineStr">
        <is>
          <t>Stochastic scalp with give-back trail exit</t>
        </is>
      </c>
      <c r="D1026" s="9" t="inlineStr">
        <is>
          <t>Short</t>
        </is>
      </c>
      <c r="E1026" s="10" t="n">
        <v>46195.79861111111</v>
      </c>
      <c r="F1026" s="10" t="n">
        <v>46195.82638888889</v>
      </c>
      <c r="G1026" s="11" t="n">
        <v>-10.5</v>
      </c>
      <c r="H1026" s="11">
        <f>H1025+G1026</f>
        <v/>
      </c>
    </row>
    <row r="1027">
      <c r="A1027" s="9" t="n">
        <v>1023</v>
      </c>
      <c r="B1027" s="9" t="inlineStr">
        <is>
          <t>Meridian</t>
        </is>
      </c>
      <c r="C1027" s="9" t="inlineStr">
        <is>
          <t>21/50 MA cross, 250-period confirm filter, VWAP</t>
        </is>
      </c>
      <c r="D1027" s="9" t="inlineStr">
        <is>
          <t>Long</t>
        </is>
      </c>
      <c r="E1027" s="10" t="n">
        <v>46195.92708333334</v>
      </c>
      <c r="F1027" s="10" t="n">
        <v>46195.94791666666</v>
      </c>
      <c r="G1027" s="11" t="n">
        <v>-7.1</v>
      </c>
      <c r="H1027" s="11">
        <f>H1026+G1027</f>
        <v/>
      </c>
    </row>
    <row r="1028">
      <c r="A1028" s="9" t="n">
        <v>1024</v>
      </c>
      <c r="B1028" s="9" t="inlineStr">
        <is>
          <t>Meridian</t>
        </is>
      </c>
      <c r="C1028" s="9" t="inlineStr">
        <is>
          <t>21/50 MA cross, 250-period confirm filter, VWAP</t>
        </is>
      </c>
      <c r="D1028" s="9" t="inlineStr">
        <is>
          <t>Long</t>
        </is>
      </c>
      <c r="E1028" s="10" t="n">
        <v>46195.96180555555</v>
      </c>
      <c r="F1028" s="10" t="n">
        <v>46196.12847222222</v>
      </c>
      <c r="G1028" s="11" t="n">
        <v>-7.64</v>
      </c>
      <c r="H1028" s="11">
        <f>H1027+G1028</f>
        <v/>
      </c>
    </row>
    <row r="1029">
      <c r="A1029" s="9" t="n">
        <v>1025</v>
      </c>
      <c r="B1029" s="9" t="inlineStr">
        <is>
          <t>Aurelius_M5</t>
        </is>
      </c>
      <c r="C1029" s="9" t="inlineStr">
        <is>
          <t>MA alignment (EMA21&gt;EMA50&gt;SMA250&gt;SMMA500 vs EMA2400 trend filter)</t>
        </is>
      </c>
      <c r="D1029" s="9" t="inlineStr">
        <is>
          <t>Short</t>
        </is>
      </c>
      <c r="E1029" s="10" t="n">
        <v>46196.15277777778</v>
      </c>
      <c r="F1029" s="10" t="n">
        <v>46196.15625</v>
      </c>
      <c r="G1029" s="11" t="n">
        <v>-8.58</v>
      </c>
      <c r="H1029" s="11">
        <f>H1028+G1029</f>
        <v/>
      </c>
    </row>
    <row r="1030">
      <c r="A1030" s="9" t="n">
        <v>1026</v>
      </c>
      <c r="B1030" s="9" t="inlineStr">
        <is>
          <t>Ratchet</t>
        </is>
      </c>
      <c r="C1030" s="9" t="inlineStr">
        <is>
          <t>Stochastic scalp with give-back trail exit</t>
        </is>
      </c>
      <c r="D1030" s="9" t="inlineStr">
        <is>
          <t>Short</t>
        </is>
      </c>
      <c r="E1030" s="10" t="n">
        <v>46196.35069444445</v>
      </c>
      <c r="F1030" s="10" t="n">
        <v>46196.35416666666</v>
      </c>
      <c r="G1030" s="11" t="n">
        <v>-0</v>
      </c>
      <c r="H1030" s="11">
        <f>H1029+G1030</f>
        <v/>
      </c>
    </row>
    <row r="1031">
      <c r="A1031" s="9" t="n">
        <v>1027</v>
      </c>
      <c r="B1031" s="9" t="inlineStr">
        <is>
          <t>Ratchet</t>
        </is>
      </c>
      <c r="C1031" s="9" t="inlineStr">
        <is>
          <t>Stochastic scalp with give-back trail exit</t>
        </is>
      </c>
      <c r="D1031" s="9" t="inlineStr">
        <is>
          <t>Short</t>
        </is>
      </c>
      <c r="E1031" s="10" t="n">
        <v>46196.38888888889</v>
      </c>
      <c r="F1031" s="10" t="n">
        <v>46196.39583333334</v>
      </c>
      <c r="G1031" s="11" t="n">
        <v>1.77</v>
      </c>
      <c r="H1031" s="11">
        <f>H1030+G1031</f>
        <v/>
      </c>
    </row>
    <row r="1032">
      <c r="A1032" s="9" t="n">
        <v>1028</v>
      </c>
      <c r="B1032" s="9" t="inlineStr">
        <is>
          <t>Aurelius_M5</t>
        </is>
      </c>
      <c r="C1032" s="9" t="inlineStr">
        <is>
          <t>MA alignment (EMA21&gt;EMA50&gt;SMA250&gt;SMMA500 vs EMA2400 trend filter)</t>
        </is>
      </c>
      <c r="D1032" s="9" t="inlineStr">
        <is>
          <t>Short</t>
        </is>
      </c>
      <c r="E1032" s="10" t="n">
        <v>46196.18055555555</v>
      </c>
      <c r="F1032" s="10" t="n">
        <v>46196.54166666666</v>
      </c>
      <c r="G1032" s="11" t="n">
        <v>51.07</v>
      </c>
      <c r="H1032" s="11">
        <f>H1031+G1032</f>
        <v/>
      </c>
    </row>
    <row r="1033">
      <c r="A1033" s="9" t="n">
        <v>1029</v>
      </c>
      <c r="B1033" s="9" t="inlineStr">
        <is>
          <t>MSG</t>
        </is>
      </c>
      <c r="C1033" s="9" t="inlineStr">
        <is>
          <t>Session-range breakout + Fibonacci retracement-zone entry</t>
        </is>
      </c>
      <c r="D1033" s="9" t="inlineStr">
        <is>
          <t>Long</t>
        </is>
      </c>
      <c r="E1033" s="10" t="n">
        <v>46196.66736111111</v>
      </c>
      <c r="F1033" s="10" t="n">
        <v>46196.69652777778</v>
      </c>
      <c r="G1033" s="11" t="n">
        <v>41.95</v>
      </c>
      <c r="H1033" s="11">
        <f>H1032+G1033</f>
        <v/>
      </c>
    </row>
    <row r="1034">
      <c r="A1034" s="9" t="n">
        <v>1030</v>
      </c>
      <c r="B1034" s="9" t="inlineStr">
        <is>
          <t>Meridian</t>
        </is>
      </c>
      <c r="C1034" s="9" t="inlineStr">
        <is>
          <t>21/50 MA cross, 250-period confirm filter, VWAP</t>
        </is>
      </c>
      <c r="D1034" s="9" t="inlineStr">
        <is>
          <t>Short</t>
        </is>
      </c>
      <c r="E1034" s="10" t="n">
        <v>46196.64930555555</v>
      </c>
      <c r="F1034" s="10" t="n">
        <v>46196.69791666666</v>
      </c>
      <c r="G1034" s="11" t="n">
        <v>-14.1</v>
      </c>
      <c r="H1034" s="11">
        <f>H1033+G1034</f>
        <v/>
      </c>
    </row>
    <row r="1035">
      <c r="A1035" s="9" t="n">
        <v>1031</v>
      </c>
      <c r="B1035" s="9" t="inlineStr">
        <is>
          <t>Vanguard_M5</t>
        </is>
      </c>
      <c r="C1035" s="9" t="inlineStr">
        <is>
          <t>Trendline breakout (fractal swing line) + VWAP/S-R distance gate</t>
        </is>
      </c>
      <c r="D1035" s="9" t="inlineStr">
        <is>
          <t>Short</t>
        </is>
      </c>
      <c r="E1035" s="10" t="n">
        <v>46196.17708333334</v>
      </c>
      <c r="F1035" s="10" t="n">
        <v>46197.12847222222</v>
      </c>
      <c r="G1035" s="11" t="n">
        <v>74.78</v>
      </c>
      <c r="H1035" s="11">
        <f>H1034+G1035</f>
        <v/>
      </c>
    </row>
    <row r="1036">
      <c r="A1036" s="9" t="n">
        <v>1032</v>
      </c>
      <c r="B1036" s="9" t="inlineStr">
        <is>
          <t>Vanguard_M5</t>
        </is>
      </c>
      <c r="C1036" s="9" t="inlineStr">
        <is>
          <t>Trendline breakout (fractal swing line) + VWAP/S-R distance gate</t>
        </is>
      </c>
      <c r="D1036" s="9" t="inlineStr">
        <is>
          <t>Long</t>
        </is>
      </c>
      <c r="E1036" s="10" t="n">
        <v>46197.13194444445</v>
      </c>
      <c r="F1036" s="10" t="n">
        <v>46197.16666666666</v>
      </c>
      <c r="G1036" s="11" t="n">
        <v>-24.29</v>
      </c>
      <c r="H1036" s="11">
        <f>H1035+G1036</f>
        <v/>
      </c>
    </row>
    <row r="1037">
      <c r="A1037" s="9" t="n">
        <v>1033</v>
      </c>
      <c r="B1037" s="9" t="inlineStr">
        <is>
          <t>Ratchet</t>
        </is>
      </c>
      <c r="C1037" s="9" t="inlineStr">
        <is>
          <t>Stochastic scalp with give-back trail exit</t>
        </is>
      </c>
      <c r="D1037" s="9" t="inlineStr">
        <is>
          <t>Short</t>
        </is>
      </c>
      <c r="E1037" s="10" t="n">
        <v>46197.20486111111</v>
      </c>
      <c r="F1037" s="10" t="n">
        <v>46197.35416666666</v>
      </c>
      <c r="G1037" s="11" t="n">
        <v>9.83</v>
      </c>
      <c r="H1037" s="11">
        <f>H1036+G1037</f>
        <v/>
      </c>
    </row>
    <row r="1038">
      <c r="A1038" s="9" t="n">
        <v>1034</v>
      </c>
      <c r="B1038" s="9" t="inlineStr">
        <is>
          <t>Vanguard_M15</t>
        </is>
      </c>
      <c r="C1038" s="9" t="inlineStr">
        <is>
          <t>Trendline breakout (fractal swing line) + VWAP/S-R distance gate - M15 chart</t>
        </is>
      </c>
      <c r="D1038" s="9" t="inlineStr">
        <is>
          <t>Short</t>
        </is>
      </c>
      <c r="E1038" s="10" t="n">
        <v>46190.91666666666</v>
      </c>
      <c r="F1038" s="10" t="n">
        <v>46197.375</v>
      </c>
      <c r="G1038" s="11" t="n">
        <v>189.71</v>
      </c>
      <c r="H1038" s="11">
        <f>H1037+G1038</f>
        <v/>
      </c>
    </row>
    <row r="1039">
      <c r="A1039" s="9" t="n">
        <v>1035</v>
      </c>
      <c r="B1039" s="9" t="inlineStr">
        <is>
          <t>Meridian</t>
        </is>
      </c>
      <c r="C1039" s="9" t="inlineStr">
        <is>
          <t>21/50 MA cross, 250-period confirm filter, VWAP</t>
        </is>
      </c>
      <c r="D1039" s="9" t="inlineStr">
        <is>
          <t>Short</t>
        </is>
      </c>
      <c r="E1039" s="10" t="n">
        <v>46196.88541666666</v>
      </c>
      <c r="F1039" s="10" t="n">
        <v>46197.38541666666</v>
      </c>
      <c r="G1039" s="11" t="n">
        <v>27.8</v>
      </c>
      <c r="H1039" s="11">
        <f>H1038+G1039</f>
        <v/>
      </c>
    </row>
    <row r="1040">
      <c r="A1040" s="9" t="n">
        <v>1036</v>
      </c>
      <c r="B1040" s="9" t="inlineStr">
        <is>
          <t>Vanguard_M5</t>
        </is>
      </c>
      <c r="C1040" s="9" t="inlineStr">
        <is>
          <t>Trendline breakout (fractal swing line) + VWAP/S-R distance gate</t>
        </is>
      </c>
      <c r="D1040" s="9" t="inlineStr">
        <is>
          <t>Long</t>
        </is>
      </c>
      <c r="E1040" s="10" t="n">
        <v>46197.38194444445</v>
      </c>
      <c r="F1040" s="10" t="n">
        <v>46197.52777777778</v>
      </c>
      <c r="G1040" s="11" t="n">
        <v>-25.06</v>
      </c>
      <c r="H1040" s="11">
        <f>H1039+G1040</f>
        <v/>
      </c>
    </row>
    <row r="1041">
      <c r="A1041" s="9" t="n">
        <v>1037</v>
      </c>
      <c r="B1041" s="9" t="inlineStr">
        <is>
          <t>Vanguard_M15</t>
        </is>
      </c>
      <c r="C1041" s="9" t="inlineStr">
        <is>
          <t>Trendline breakout (fractal swing line) + VWAP/S-R distance gate - M15 chart</t>
        </is>
      </c>
      <c r="D1041" s="9" t="inlineStr">
        <is>
          <t>Long</t>
        </is>
      </c>
      <c r="E1041" s="10" t="n">
        <v>46197.38541666666</v>
      </c>
      <c r="F1041" s="10" t="n">
        <v>46197.54166666666</v>
      </c>
      <c r="G1041" s="11" t="n">
        <v>-34.08</v>
      </c>
      <c r="H1041" s="11">
        <f>H1040+G1041</f>
        <v/>
      </c>
    </row>
    <row r="1042">
      <c r="A1042" s="9" t="n">
        <v>1038</v>
      </c>
      <c r="B1042" s="9" t="inlineStr">
        <is>
          <t>Ratchet</t>
        </is>
      </c>
      <c r="C1042" s="9" t="inlineStr">
        <is>
          <t>Stochastic scalp with give-back trail exit</t>
        </is>
      </c>
      <c r="D1042" s="9" t="inlineStr">
        <is>
          <t>Short</t>
        </is>
      </c>
      <c r="E1042" s="10" t="n">
        <v>46197.63541666666</v>
      </c>
      <c r="F1042" s="10" t="n">
        <v>46197.69444444445</v>
      </c>
      <c r="G1042" s="11" t="n">
        <v>19.93</v>
      </c>
      <c r="H1042" s="11">
        <f>H1041+G1042</f>
        <v/>
      </c>
    </row>
    <row r="1043">
      <c r="A1043" s="9" t="n">
        <v>1039</v>
      </c>
      <c r="B1043" s="9" t="inlineStr">
        <is>
          <t>Ratchet</t>
        </is>
      </c>
      <c r="C1043" s="9" t="inlineStr">
        <is>
          <t>Stochastic scalp with give-back trail exit</t>
        </is>
      </c>
      <c r="D1043" s="9" t="inlineStr">
        <is>
          <t>Short</t>
        </is>
      </c>
      <c r="E1043" s="10" t="n">
        <v>46197.79513888889</v>
      </c>
      <c r="F1043" s="10" t="n">
        <v>46197.80902777778</v>
      </c>
      <c r="G1043" s="11" t="n">
        <v>-13.97</v>
      </c>
      <c r="H1043" s="11">
        <f>H1042+G1043</f>
        <v/>
      </c>
    </row>
    <row r="1044">
      <c r="A1044" s="9" t="n">
        <v>1040</v>
      </c>
      <c r="B1044" s="9" t="inlineStr">
        <is>
          <t>Meridian</t>
        </is>
      </c>
      <c r="C1044" s="9" t="inlineStr">
        <is>
          <t>21/50 MA cross, 250-period confirm filter, VWAP</t>
        </is>
      </c>
      <c r="D1044" s="9" t="inlineStr">
        <is>
          <t>Short</t>
        </is>
      </c>
      <c r="E1044" s="10" t="n">
        <v>46197.50694444445</v>
      </c>
      <c r="F1044" s="10" t="n">
        <v>46198.04513888889</v>
      </c>
      <c r="G1044" s="11" t="n">
        <v>62.3</v>
      </c>
      <c r="H1044" s="11">
        <f>H1043+G1044</f>
        <v/>
      </c>
    </row>
    <row r="1045">
      <c r="A1045" s="9" t="n">
        <v>1041</v>
      </c>
      <c r="B1045" s="9" t="inlineStr">
        <is>
          <t>Meridian</t>
        </is>
      </c>
      <c r="C1045" s="9" t="inlineStr">
        <is>
          <t>21/50 MA cross, 250-period confirm filter, VWAP</t>
        </is>
      </c>
      <c r="D1045" s="9" t="inlineStr">
        <is>
          <t>Short</t>
        </is>
      </c>
      <c r="E1045" s="10" t="n">
        <v>46198.15972222222</v>
      </c>
      <c r="F1045" s="10" t="n">
        <v>46198.15972222222</v>
      </c>
      <c r="G1045" s="11" t="n">
        <v>-15.36</v>
      </c>
      <c r="H1045" s="11">
        <f>H1044+G1045</f>
        <v/>
      </c>
    </row>
    <row r="1046">
      <c r="A1046" s="9" t="n">
        <v>1042</v>
      </c>
      <c r="B1046" s="9" t="inlineStr">
        <is>
          <t>Aurelius_M5</t>
        </is>
      </c>
      <c r="C1046" s="9" t="inlineStr">
        <is>
          <t>MA alignment (EMA21&gt;EMA50&gt;SMA250&gt;SMMA500 vs EMA2400 trend filter)</t>
        </is>
      </c>
      <c r="D1046" s="9" t="inlineStr">
        <is>
          <t>Short</t>
        </is>
      </c>
      <c r="E1046" s="10" t="n">
        <v>46198.19444444445</v>
      </c>
      <c r="F1046" s="10" t="n">
        <v>46198.31597222222</v>
      </c>
      <c r="G1046" s="11" t="n">
        <v>-3.76</v>
      </c>
      <c r="H1046" s="11">
        <f>H1045+G1046</f>
        <v/>
      </c>
    </row>
    <row r="1047">
      <c r="A1047" s="9" t="n">
        <v>1043</v>
      </c>
      <c r="B1047" s="9" t="inlineStr">
        <is>
          <t>Ratchet</t>
        </is>
      </c>
      <c r="C1047" s="9" t="inlineStr">
        <is>
          <t>Stochastic scalp with give-back trail exit</t>
        </is>
      </c>
      <c r="D1047" s="9" t="inlineStr">
        <is>
          <t>Short</t>
        </is>
      </c>
      <c r="E1047" s="10" t="n">
        <v>46198.41666666666</v>
      </c>
      <c r="F1047" s="10" t="n">
        <v>46198.43402777778</v>
      </c>
      <c r="G1047" s="11" t="n">
        <v>-10.67</v>
      </c>
      <c r="H1047" s="11">
        <f>H1046+G1047</f>
        <v/>
      </c>
    </row>
    <row r="1048">
      <c r="A1048" s="9" t="n">
        <v>1044</v>
      </c>
      <c r="B1048" s="9" t="inlineStr">
        <is>
          <t>Meridian</t>
        </is>
      </c>
      <c r="C1048" s="9" t="inlineStr">
        <is>
          <t>21/50 MA cross, 250-period confirm filter, VWAP</t>
        </is>
      </c>
      <c r="D1048" s="9" t="inlineStr">
        <is>
          <t>Short</t>
        </is>
      </c>
      <c r="E1048" s="10" t="n">
        <v>46198.38541666666</v>
      </c>
      <c r="F1048" s="10" t="n">
        <v>46198.47222222222</v>
      </c>
      <c r="G1048" s="11" t="n">
        <v>-16.26</v>
      </c>
      <c r="H1048" s="11">
        <f>H1047+G1048</f>
        <v/>
      </c>
    </row>
    <row r="1049">
      <c r="A1049" s="9" t="n">
        <v>1045</v>
      </c>
      <c r="B1049" s="9" t="inlineStr">
        <is>
          <t>Ratchet</t>
        </is>
      </c>
      <c r="C1049" s="9" t="inlineStr">
        <is>
          <t>Stochastic scalp with give-back trail exit</t>
        </is>
      </c>
      <c r="D1049" s="9" t="inlineStr">
        <is>
          <t>Short</t>
        </is>
      </c>
      <c r="E1049" s="10" t="n">
        <v>46198.59027777778</v>
      </c>
      <c r="F1049" s="10" t="n">
        <v>46198.60763888889</v>
      </c>
      <c r="G1049" s="11" t="n">
        <v>2.1</v>
      </c>
      <c r="H1049" s="11">
        <f>H1048+G1049</f>
        <v/>
      </c>
    </row>
    <row r="1050">
      <c r="A1050" s="9" t="n">
        <v>1046</v>
      </c>
      <c r="B1050" s="9" t="inlineStr">
        <is>
          <t>Meridian</t>
        </is>
      </c>
      <c r="C1050" s="9" t="inlineStr">
        <is>
          <t>21/50 MA cross, 250-period confirm filter, VWAP</t>
        </is>
      </c>
      <c r="D1050" s="9" t="inlineStr">
        <is>
          <t>Short</t>
        </is>
      </c>
      <c r="E1050" s="10" t="n">
        <v>46198.57291666666</v>
      </c>
      <c r="F1050" s="10" t="n">
        <v>46198.64583333334</v>
      </c>
      <c r="G1050" s="11" t="n">
        <v>-10.84</v>
      </c>
      <c r="H1050" s="11">
        <f>H1049+G1050</f>
        <v/>
      </c>
    </row>
    <row r="1051">
      <c r="A1051" s="9" t="n">
        <v>1047</v>
      </c>
      <c r="B1051" s="9" t="inlineStr">
        <is>
          <t>MSG</t>
        </is>
      </c>
      <c r="C1051" s="9" t="inlineStr">
        <is>
          <t>Session-range breakout + Fibonacci retracement-zone entry</t>
        </is>
      </c>
      <c r="D1051" s="9" t="inlineStr">
        <is>
          <t>Long</t>
        </is>
      </c>
      <c r="E1051" s="10" t="n">
        <v>46198.65</v>
      </c>
      <c r="F1051" s="10" t="n">
        <v>46198.65138888889</v>
      </c>
      <c r="G1051" s="11" t="n">
        <v>37.86</v>
      </c>
      <c r="H1051" s="11">
        <f>H1050+G1051</f>
        <v/>
      </c>
    </row>
    <row r="1052">
      <c r="A1052" s="9" t="n">
        <v>1048</v>
      </c>
      <c r="B1052" s="9" t="inlineStr">
        <is>
          <t>Aurelius_M15</t>
        </is>
      </c>
      <c r="C1052" s="9" t="inlineStr">
        <is>
          <t>MA alignment (EMA21&gt;EMA50&gt;SMA250&gt;SMMA500 vs EMA2400 trend filter) - M15 chart</t>
        </is>
      </c>
      <c r="D1052" s="9" t="inlineStr">
        <is>
          <t>Short</t>
        </is>
      </c>
      <c r="E1052" s="10" t="n">
        <v>46196.19791666666</v>
      </c>
      <c r="F1052" s="10" t="n">
        <v>46198.6875</v>
      </c>
      <c r="G1052" s="11" t="n">
        <v>131.79</v>
      </c>
      <c r="H1052" s="11">
        <f>H1051+G1052</f>
        <v/>
      </c>
    </row>
    <row r="1053">
      <c r="A1053" s="9" t="n">
        <v>1049</v>
      </c>
      <c r="B1053" s="9" t="inlineStr">
        <is>
          <t>Meridian</t>
        </is>
      </c>
      <c r="C1053" s="9" t="inlineStr">
        <is>
          <t>21/50 MA cross, 250-period confirm filter, VWAP</t>
        </is>
      </c>
      <c r="D1053" s="9" t="inlineStr">
        <is>
          <t>Long</t>
        </is>
      </c>
      <c r="E1053" s="10" t="n">
        <v>46198.65625</v>
      </c>
      <c r="F1053" s="10" t="n">
        <v>46198.99305555555</v>
      </c>
      <c r="G1053" s="11" t="n">
        <v>19.01</v>
      </c>
      <c r="H1053" s="11">
        <f>H1052+G1053</f>
        <v/>
      </c>
    </row>
    <row r="1054">
      <c r="A1054" s="9" t="n">
        <v>1050</v>
      </c>
      <c r="B1054" s="9" t="inlineStr">
        <is>
          <t>Vanguard_M15</t>
        </is>
      </c>
      <c r="C1054" s="9" t="inlineStr">
        <is>
          <t>Trendline breakout (fractal swing line) + VWAP/S-R distance gate - M15 chart</t>
        </is>
      </c>
      <c r="D1054" s="9" t="inlineStr">
        <is>
          <t>Long</t>
        </is>
      </c>
      <c r="E1054" s="10" t="n">
        <v>46198.33333333334</v>
      </c>
      <c r="F1054" s="10" t="n">
        <v>46199.22916666666</v>
      </c>
      <c r="G1054" s="11" t="n">
        <v>-4.07</v>
      </c>
      <c r="H1054" s="11">
        <f>H1053+G1054</f>
        <v/>
      </c>
    </row>
    <row r="1055">
      <c r="A1055" s="9" t="n">
        <v>1051</v>
      </c>
      <c r="B1055" s="9" t="inlineStr">
        <is>
          <t>Vanguard_M5</t>
        </is>
      </c>
      <c r="C1055" s="9" t="inlineStr">
        <is>
          <t>Trendline breakout (fractal swing line) + VWAP/S-R distance gate</t>
        </is>
      </c>
      <c r="D1055" s="9" t="inlineStr">
        <is>
          <t>Long</t>
        </is>
      </c>
      <c r="E1055" s="10" t="n">
        <v>46198.33333333334</v>
      </c>
      <c r="F1055" s="10" t="n">
        <v>46199.23611111111</v>
      </c>
      <c r="G1055" s="11" t="n">
        <v>-4.07</v>
      </c>
      <c r="H1055" s="11">
        <f>H1054+G1055</f>
        <v/>
      </c>
    </row>
    <row r="1056">
      <c r="A1056" s="9" t="n">
        <v>1052</v>
      </c>
      <c r="B1056" s="9" t="inlineStr">
        <is>
          <t>Ratchet</t>
        </is>
      </c>
      <c r="C1056" s="9" t="inlineStr">
        <is>
          <t>Stochastic scalp with give-back trail exit</t>
        </is>
      </c>
      <c r="D1056" s="9" t="inlineStr">
        <is>
          <t>Short</t>
        </is>
      </c>
      <c r="E1056" s="10" t="n">
        <v>46199.25347222222</v>
      </c>
      <c r="F1056" s="10" t="n">
        <v>46199.28472222222</v>
      </c>
      <c r="G1056" s="11" t="n">
        <v>-11.65</v>
      </c>
      <c r="H1056" s="11">
        <f>H1055+G1056</f>
        <v/>
      </c>
    </row>
    <row r="1057">
      <c r="A1057" s="9" t="n">
        <v>1053</v>
      </c>
      <c r="B1057" s="9" t="inlineStr">
        <is>
          <t>Aurelius_M15</t>
        </is>
      </c>
      <c r="C1057" s="9" t="inlineStr">
        <is>
          <t>MA alignment (EMA21&gt;EMA50&gt;SMA250&gt;SMMA500 vs EMA2400 trend filter) - M15 chart</t>
        </is>
      </c>
      <c r="D1057" s="9" t="inlineStr">
        <is>
          <t>Short</t>
        </is>
      </c>
      <c r="E1057" s="10" t="n">
        <v>46199.36458333334</v>
      </c>
      <c r="F1057" s="10" t="n">
        <v>46199.42708333334</v>
      </c>
      <c r="G1057" s="11" t="n">
        <v>-16.36</v>
      </c>
      <c r="H1057" s="11">
        <f>H1056+G1057</f>
        <v/>
      </c>
    </row>
    <row r="1058">
      <c r="A1058" s="9" t="n">
        <v>1054</v>
      </c>
      <c r="B1058" s="9" t="inlineStr">
        <is>
          <t>Meridian</t>
        </is>
      </c>
      <c r="C1058" s="9" t="inlineStr">
        <is>
          <t>21/50 MA cross, 250-period confirm filter, VWAP</t>
        </is>
      </c>
      <c r="D1058" s="9" t="inlineStr">
        <is>
          <t>Long</t>
        </is>
      </c>
      <c r="E1058" s="10" t="n">
        <v>46199.35416666666</v>
      </c>
      <c r="F1058" s="10" t="n">
        <v>46199.90972222222</v>
      </c>
      <c r="G1058" s="11" t="n">
        <v>52.62</v>
      </c>
      <c r="H1058" s="11">
        <f>H1057+G1058</f>
        <v/>
      </c>
    </row>
    <row r="1059">
      <c r="A1059" s="9" t="n">
        <v>1055</v>
      </c>
      <c r="B1059" s="9" t="inlineStr">
        <is>
          <t>Meridian</t>
        </is>
      </c>
      <c r="C1059" s="9" t="inlineStr">
        <is>
          <t>21/50 MA cross, 250-period confirm filter, VWAP</t>
        </is>
      </c>
      <c r="D1059" s="9" t="inlineStr">
        <is>
          <t>Long</t>
        </is>
      </c>
      <c r="E1059" s="10" t="n">
        <v>46202.25</v>
      </c>
      <c r="F1059" s="10" t="n">
        <v>46202.31944444445</v>
      </c>
      <c r="G1059" s="11" t="n">
        <v>-11.6</v>
      </c>
      <c r="H1059" s="11">
        <f>H1058+G1059</f>
        <v/>
      </c>
    </row>
    <row r="1060">
      <c r="A1060" s="9" t="n">
        <v>1056</v>
      </c>
      <c r="B1060" s="9" t="inlineStr">
        <is>
          <t>Meridian</t>
        </is>
      </c>
      <c r="C1060" s="9" t="inlineStr">
        <is>
          <t>21/50 MA cross, 250-period confirm filter, VWAP</t>
        </is>
      </c>
      <c r="D1060" s="9" t="inlineStr">
        <is>
          <t>Long</t>
        </is>
      </c>
      <c r="E1060" s="10" t="n">
        <v>46202.4375</v>
      </c>
      <c r="F1060" s="10" t="n">
        <v>46202.48958333334</v>
      </c>
      <c r="G1060" s="11" t="n">
        <v>-11.94</v>
      </c>
      <c r="H1060" s="11">
        <f>H1059+G1060</f>
        <v/>
      </c>
    </row>
    <row r="1061">
      <c r="A1061" s="9" t="n">
        <v>1057</v>
      </c>
      <c r="B1061" s="9" t="inlineStr">
        <is>
          <t>Vanguard_M15</t>
        </is>
      </c>
      <c r="C1061" s="9" t="inlineStr">
        <is>
          <t>Trendline breakout (fractal swing line) + VWAP/S-R distance gate - M15 chart</t>
        </is>
      </c>
      <c r="D1061" s="9" t="inlineStr">
        <is>
          <t>Long</t>
        </is>
      </c>
      <c r="E1061" s="10" t="n">
        <v>46199.39583333334</v>
      </c>
      <c r="F1061" s="10" t="n">
        <v>46202.70833333334</v>
      </c>
      <c r="G1061" s="11" t="n">
        <v>-15.63</v>
      </c>
      <c r="H1061" s="11">
        <f>H1060+G1061</f>
        <v/>
      </c>
    </row>
    <row r="1062">
      <c r="A1062" s="9" t="n">
        <v>1058</v>
      </c>
      <c r="B1062" s="9" t="inlineStr">
        <is>
          <t>Vanguard_M5</t>
        </is>
      </c>
      <c r="C1062" s="9" t="inlineStr">
        <is>
          <t>Trendline breakout (fractal swing line) + VWAP/S-R distance gate</t>
        </is>
      </c>
      <c r="D1062" s="9" t="inlineStr">
        <is>
          <t>Long</t>
        </is>
      </c>
      <c r="E1062" s="10" t="n">
        <v>46199.39236111111</v>
      </c>
      <c r="F1062" s="10" t="n">
        <v>46202.71180555555</v>
      </c>
      <c r="G1062" s="11" t="n">
        <v>-7.74</v>
      </c>
      <c r="H1062" s="11">
        <f>H1061+G1062</f>
        <v/>
      </c>
    </row>
    <row r="1063">
      <c r="A1063" s="9" t="n">
        <v>1059</v>
      </c>
      <c r="B1063" s="9" t="inlineStr">
        <is>
          <t>MSG</t>
        </is>
      </c>
      <c r="C1063" s="9" t="inlineStr">
        <is>
          <t>Session-range breakout + Fibonacci retracement-zone entry</t>
        </is>
      </c>
      <c r="D1063" s="9" t="inlineStr">
        <is>
          <t>Short</t>
        </is>
      </c>
      <c r="E1063" s="10" t="n">
        <v>46202.62777777778</v>
      </c>
      <c r="F1063" s="10" t="n">
        <v>46202.7125</v>
      </c>
      <c r="G1063" s="11" t="n">
        <v>64.70999999999999</v>
      </c>
      <c r="H1063" s="11">
        <f>H1062+G1063</f>
        <v/>
      </c>
    </row>
    <row r="1064">
      <c r="A1064" s="9" t="n">
        <v>1060</v>
      </c>
      <c r="B1064" s="9" t="inlineStr">
        <is>
          <t>Aurelius_M5</t>
        </is>
      </c>
      <c r="C1064" s="9" t="inlineStr">
        <is>
          <t>MA alignment (EMA21&gt;EMA50&gt;SMA250&gt;SMMA500 vs EMA2400 trend filter)</t>
        </is>
      </c>
      <c r="D1064" s="9" t="inlineStr">
        <is>
          <t>Short</t>
        </is>
      </c>
      <c r="E1064" s="10" t="n">
        <v>46202.71875</v>
      </c>
      <c r="F1064" s="10" t="n">
        <v>46202.72569444445</v>
      </c>
      <c r="G1064" s="11" t="n">
        <v>-17.64</v>
      </c>
      <c r="H1064" s="11">
        <f>H1063+G1064</f>
        <v/>
      </c>
    </row>
    <row r="1065">
      <c r="A1065" s="9" t="n">
        <v>1061</v>
      </c>
      <c r="B1065" s="9" t="inlineStr">
        <is>
          <t>Ratchet</t>
        </is>
      </c>
      <c r="C1065" s="9" t="inlineStr">
        <is>
          <t>Stochastic scalp with give-back trail exit</t>
        </is>
      </c>
      <c r="D1065" s="9" t="inlineStr">
        <is>
          <t>Short</t>
        </is>
      </c>
      <c r="E1065" s="10" t="n">
        <v>46202.87152777778</v>
      </c>
      <c r="F1065" s="10" t="n">
        <v>46202.93402777778</v>
      </c>
      <c r="G1065" s="11" t="n">
        <v>3.91</v>
      </c>
      <c r="H1065" s="11">
        <f>H1064+G1065</f>
        <v/>
      </c>
    </row>
    <row r="1066">
      <c r="A1066" s="9" t="n">
        <v>1062</v>
      </c>
      <c r="B1066" s="9" t="inlineStr">
        <is>
          <t>Ratchet</t>
        </is>
      </c>
      <c r="C1066" s="9" t="inlineStr">
        <is>
          <t>Stochastic scalp with give-back trail exit</t>
        </is>
      </c>
      <c r="D1066" s="9" t="inlineStr">
        <is>
          <t>Short</t>
        </is>
      </c>
      <c r="E1066" s="10" t="n">
        <v>46202.96875</v>
      </c>
      <c r="F1066" s="10" t="n">
        <v>46202.99652777778</v>
      </c>
      <c r="G1066" s="11" t="n">
        <v>-2.78</v>
      </c>
      <c r="H1066" s="11">
        <f>H1065+G1066</f>
        <v/>
      </c>
    </row>
    <row r="1067">
      <c r="A1067" s="9" t="n">
        <v>1063</v>
      </c>
      <c r="B1067" s="9" t="inlineStr">
        <is>
          <t>Aurelius_M5</t>
        </is>
      </c>
      <c r="C1067" s="9" t="inlineStr">
        <is>
          <t>MA alignment (EMA21&gt;EMA50&gt;SMA250&gt;SMMA500 vs EMA2400 trend filter)</t>
        </is>
      </c>
      <c r="D1067" s="9" t="inlineStr">
        <is>
          <t>Short</t>
        </is>
      </c>
      <c r="E1067" s="10" t="n">
        <v>46203.12847222222</v>
      </c>
      <c r="F1067" s="10" t="n">
        <v>46203.32638888889</v>
      </c>
      <c r="G1067" s="11" t="n">
        <v>18.95</v>
      </c>
      <c r="H1067" s="11">
        <f>H1066+G1067</f>
        <v/>
      </c>
    </row>
    <row r="1068">
      <c r="A1068" s="9" t="n">
        <v>1064</v>
      </c>
      <c r="B1068" s="9" t="inlineStr">
        <is>
          <t>Meridian</t>
        </is>
      </c>
      <c r="C1068" s="9" t="inlineStr">
        <is>
          <t>21/50 MA cross, 250-period confirm filter, VWAP</t>
        </is>
      </c>
      <c r="D1068" s="9" t="inlineStr">
        <is>
          <t>Short</t>
        </is>
      </c>
      <c r="E1068" s="10" t="n">
        <v>46202.49652777778</v>
      </c>
      <c r="F1068" s="10" t="n">
        <v>46203.33680555555</v>
      </c>
      <c r="G1068" s="11" t="n">
        <v>63.32</v>
      </c>
      <c r="H1068" s="11">
        <f>H1067+G1068</f>
        <v/>
      </c>
    </row>
    <row r="1069">
      <c r="A1069" s="9" t="n">
        <v>1065</v>
      </c>
      <c r="B1069" s="9" t="inlineStr">
        <is>
          <t>Aurelius_M15</t>
        </is>
      </c>
      <c r="C1069" s="9" t="inlineStr">
        <is>
          <t>MA alignment (EMA21&gt;EMA50&gt;SMA250&gt;SMMA500 vs EMA2400 trend filter) - M15 chart</t>
        </is>
      </c>
      <c r="D1069" s="9" t="inlineStr">
        <is>
          <t>Short</t>
        </is>
      </c>
      <c r="E1069" s="10" t="n">
        <v>46202.71875</v>
      </c>
      <c r="F1069" s="10" t="n">
        <v>46203.45833333334</v>
      </c>
      <c r="G1069" s="11" t="n">
        <v>-23.58</v>
      </c>
      <c r="H1069" s="11">
        <f>H1068+G1069</f>
        <v/>
      </c>
    </row>
    <row r="1070">
      <c r="A1070" s="9" t="n">
        <v>1066</v>
      </c>
      <c r="B1070" s="9" t="inlineStr">
        <is>
          <t>Vanguard_M5</t>
        </is>
      </c>
      <c r="C1070" s="9" t="inlineStr">
        <is>
          <t>Trendline breakout (fractal swing line) + VWAP/S-R distance gate</t>
        </is>
      </c>
      <c r="D1070" s="9" t="inlineStr">
        <is>
          <t>Short</t>
        </is>
      </c>
      <c r="E1070" s="10" t="n">
        <v>46202.71875</v>
      </c>
      <c r="F1070" s="10" t="n">
        <v>46203.46180555555</v>
      </c>
      <c r="G1070" s="11" t="n">
        <v>-28.22</v>
      </c>
      <c r="H1070" s="11">
        <f>H1069+G1070</f>
        <v/>
      </c>
    </row>
    <row r="1071">
      <c r="A1071" s="9" t="n">
        <v>1067</v>
      </c>
      <c r="B1071" s="9" t="inlineStr">
        <is>
          <t>Vanguard_M15</t>
        </is>
      </c>
      <c r="C1071" s="9" t="inlineStr">
        <is>
          <t>Trendline breakout (fractal swing line) + VWAP/S-R distance gate - M15 chart</t>
        </is>
      </c>
      <c r="D1071" s="9" t="inlineStr">
        <is>
          <t>Short</t>
        </is>
      </c>
      <c r="E1071" s="10" t="n">
        <v>46202.71875</v>
      </c>
      <c r="F1071" s="10" t="n">
        <v>46203.54166666666</v>
      </c>
      <c r="G1071" s="11" t="n">
        <v>-17.15</v>
      </c>
      <c r="H1071" s="11">
        <f>H1070+G1071</f>
        <v/>
      </c>
    </row>
    <row r="1072">
      <c r="A1072" s="9" t="n">
        <v>1068</v>
      </c>
      <c r="B1072" s="9" t="inlineStr">
        <is>
          <t>Meridian</t>
        </is>
      </c>
      <c r="C1072" s="9" t="inlineStr">
        <is>
          <t>21/50 MA cross, 250-period confirm filter, VWAP</t>
        </is>
      </c>
      <c r="D1072" s="9" t="inlineStr">
        <is>
          <t>Long</t>
        </is>
      </c>
      <c r="E1072" s="10" t="n">
        <v>46203.70486111111</v>
      </c>
      <c r="F1072" s="10" t="n">
        <v>46203.83680555555</v>
      </c>
      <c r="G1072" s="11" t="n">
        <v>-2.33</v>
      </c>
      <c r="H1072" s="11">
        <f>H1071+G1072</f>
        <v/>
      </c>
    </row>
    <row r="1073">
      <c r="A1073" s="9" t="n">
        <v>1069</v>
      </c>
      <c r="B1073" s="9" t="inlineStr">
        <is>
          <t>Meridian</t>
        </is>
      </c>
      <c r="C1073" s="9" t="inlineStr">
        <is>
          <t>21/50 MA cross, 250-period confirm filter, VWAP</t>
        </is>
      </c>
      <c r="D1073" s="9" t="inlineStr">
        <is>
          <t>Long</t>
        </is>
      </c>
      <c r="E1073" s="10" t="n">
        <v>46203.89236111111</v>
      </c>
      <c r="F1073" s="10" t="n">
        <v>46203.92013888889</v>
      </c>
      <c r="G1073" s="11" t="n">
        <v>-5.18</v>
      </c>
      <c r="H1073" s="11">
        <f>H1072+G1073</f>
        <v/>
      </c>
    </row>
    <row r="1074">
      <c r="A1074" s="9" t="n">
        <v>1070</v>
      </c>
      <c r="B1074" s="9" t="inlineStr">
        <is>
          <t>Ratchet</t>
        </is>
      </c>
      <c r="C1074" s="9" t="inlineStr">
        <is>
          <t>Stochastic scalp with give-back trail exit</t>
        </is>
      </c>
      <c r="D1074" s="9" t="inlineStr">
        <is>
          <t>Short</t>
        </is>
      </c>
      <c r="E1074" s="10" t="n">
        <v>46204.07638888889</v>
      </c>
      <c r="F1074" s="10" t="n">
        <v>46204.07986111111</v>
      </c>
      <c r="G1074" s="11" t="n">
        <v>-0</v>
      </c>
      <c r="H1074" s="11">
        <f>H1073+G1074</f>
        <v/>
      </c>
    </row>
    <row r="1075">
      <c r="A1075" s="9" t="n">
        <v>1071</v>
      </c>
      <c r="B1075" s="9" t="inlineStr">
        <is>
          <t>Ratchet</t>
        </is>
      </c>
      <c r="C1075" s="9" t="inlineStr">
        <is>
          <t>Stochastic scalp with give-back trail exit</t>
        </is>
      </c>
      <c r="D1075" s="9" t="inlineStr">
        <is>
          <t>Short</t>
        </is>
      </c>
      <c r="E1075" s="10" t="n">
        <v>46204.24652777778</v>
      </c>
      <c r="F1075" s="10" t="n">
        <v>46204.27430555555</v>
      </c>
      <c r="G1075" s="11" t="n">
        <v>0.91</v>
      </c>
      <c r="H1075" s="11">
        <f>H1074+G1075</f>
        <v/>
      </c>
    </row>
    <row r="1076">
      <c r="A1076" s="9" t="n">
        <v>1072</v>
      </c>
      <c r="B1076" s="9" t="inlineStr">
        <is>
          <t>Ratchet</t>
        </is>
      </c>
      <c r="C1076" s="9" t="inlineStr">
        <is>
          <t>Stochastic scalp with give-back trail exit</t>
        </is>
      </c>
      <c r="D1076" s="9" t="inlineStr">
        <is>
          <t>Short</t>
        </is>
      </c>
      <c r="E1076" s="10" t="n">
        <v>46204.29861111111</v>
      </c>
      <c r="F1076" s="10" t="n">
        <v>46204.32986111111</v>
      </c>
      <c r="G1076" s="11" t="n">
        <v>-6.27</v>
      </c>
      <c r="H1076" s="11">
        <f>H1075+G1076</f>
        <v/>
      </c>
    </row>
    <row r="1077">
      <c r="A1077" s="9" t="n">
        <v>1073</v>
      </c>
      <c r="B1077" s="9" t="inlineStr">
        <is>
          <t>Ratchet</t>
        </is>
      </c>
      <c r="C1077" s="9" t="inlineStr">
        <is>
          <t>Stochastic scalp with give-back trail exit</t>
        </is>
      </c>
      <c r="D1077" s="9" t="inlineStr">
        <is>
          <t>Long</t>
        </is>
      </c>
      <c r="E1077" s="10" t="n">
        <v>46204.74652777778</v>
      </c>
      <c r="F1077" s="10" t="n">
        <v>46204.75</v>
      </c>
      <c r="G1077" s="11" t="n">
        <v>0</v>
      </c>
      <c r="H1077" s="11">
        <f>H1076+G1077</f>
        <v/>
      </c>
    </row>
    <row r="1078">
      <c r="A1078" s="9" t="n">
        <v>1074</v>
      </c>
      <c r="B1078" s="9" t="inlineStr">
        <is>
          <t>Meridian</t>
        </is>
      </c>
      <c r="C1078" s="9" t="inlineStr">
        <is>
          <t>21/50 MA cross, 250-period confirm filter, VWAP</t>
        </is>
      </c>
      <c r="D1078" s="9" t="inlineStr">
        <is>
          <t>Long</t>
        </is>
      </c>
      <c r="E1078" s="10" t="n">
        <v>46205.17013888889</v>
      </c>
      <c r="F1078" s="10" t="n">
        <v>46205.18402777778</v>
      </c>
      <c r="G1078" s="11" t="n">
        <v>-14.1</v>
      </c>
      <c r="H1078" s="11">
        <f>H1077+G1078</f>
        <v/>
      </c>
    </row>
    <row r="1079">
      <c r="A1079" s="9" t="n">
        <v>1075</v>
      </c>
      <c r="B1079" s="9" t="inlineStr">
        <is>
          <t>Aurelius_M5</t>
        </is>
      </c>
      <c r="C1079" s="9" t="inlineStr">
        <is>
          <t>MA alignment (EMA21&gt;EMA50&gt;SMA250&gt;SMMA500 vs EMA2400 trend filter)</t>
        </is>
      </c>
      <c r="D1079" s="9" t="inlineStr">
        <is>
          <t>Long</t>
        </is>
      </c>
      <c r="E1079" s="10" t="n">
        <v>46205.39236111111</v>
      </c>
      <c r="F1079" s="10" t="n">
        <v>46205.39583333334</v>
      </c>
      <c r="G1079" s="11" t="n">
        <v>-4.02</v>
      </c>
      <c r="H1079" s="11">
        <f>H1078+G1079</f>
        <v/>
      </c>
    </row>
    <row r="1080">
      <c r="A1080" s="9" t="n">
        <v>1076</v>
      </c>
      <c r="B1080" s="9" t="inlineStr">
        <is>
          <t>Ratchet</t>
        </is>
      </c>
      <c r="C1080" s="9" t="inlineStr">
        <is>
          <t>Stochastic scalp with give-back trail exit</t>
        </is>
      </c>
      <c r="D1080" s="9" t="inlineStr">
        <is>
          <t>Long</t>
        </is>
      </c>
      <c r="E1080" s="10" t="n">
        <v>46205.49305555555</v>
      </c>
      <c r="F1080" s="10" t="n">
        <v>46205.49652777778</v>
      </c>
      <c r="G1080" s="11" t="n">
        <v>0</v>
      </c>
      <c r="H1080" s="11">
        <f>H1079+G1080</f>
        <v/>
      </c>
    </row>
    <row r="1081">
      <c r="A1081" s="9" t="n">
        <v>1077</v>
      </c>
      <c r="B1081" s="9" t="inlineStr">
        <is>
          <t>MSG</t>
        </is>
      </c>
      <c r="C1081" s="9" t="inlineStr">
        <is>
          <t>Session-range breakout + Fibonacci retracement-zone entry</t>
        </is>
      </c>
      <c r="D1081" s="9" t="inlineStr">
        <is>
          <t>Short</t>
        </is>
      </c>
      <c r="E1081" s="10" t="n">
        <v>46205.61388888889</v>
      </c>
      <c r="F1081" s="10" t="n">
        <v>46205.625</v>
      </c>
      <c r="G1081" s="11" t="n">
        <v>14.45</v>
      </c>
      <c r="H1081" s="11">
        <f>H1080+G1081</f>
        <v/>
      </c>
    </row>
    <row r="1082">
      <c r="A1082" s="9" t="n">
        <v>1078</v>
      </c>
      <c r="B1082" s="9" t="inlineStr">
        <is>
          <t>Aurelius_M5</t>
        </is>
      </c>
      <c r="C1082" s="9" t="inlineStr">
        <is>
          <t>MA alignment (EMA21&gt;EMA50&gt;SMA250&gt;SMMA500 vs EMA2400 trend filter)</t>
        </is>
      </c>
      <c r="D1082" s="9" t="inlineStr">
        <is>
          <t>Long</t>
        </is>
      </c>
      <c r="E1082" s="10" t="n">
        <v>46205.65277777778</v>
      </c>
      <c r="F1082" s="10" t="n">
        <v>46205.66319444445</v>
      </c>
      <c r="G1082" s="11" t="n">
        <v>-23.64</v>
      </c>
      <c r="H1082" s="11">
        <f>H1081+G1082</f>
        <v/>
      </c>
    </row>
    <row r="1083">
      <c r="A1083" s="9" t="n">
        <v>1079</v>
      </c>
      <c r="B1083" s="9" t="inlineStr">
        <is>
          <t>Meridian</t>
        </is>
      </c>
      <c r="C1083" s="9" t="inlineStr">
        <is>
          <t>21/50 MA cross, 250-period confirm filter, VWAP</t>
        </is>
      </c>
      <c r="D1083" s="9" t="inlineStr">
        <is>
          <t>Long</t>
        </is>
      </c>
      <c r="E1083" s="10" t="n">
        <v>46205.64930555555</v>
      </c>
      <c r="F1083" s="10" t="n">
        <v>46205.8125</v>
      </c>
      <c r="G1083" s="11" t="n">
        <v>-22.6</v>
      </c>
      <c r="H1083" s="11">
        <f>H1082+G1083</f>
        <v/>
      </c>
    </row>
    <row r="1084">
      <c r="A1084" s="9" t="n">
        <v>1080</v>
      </c>
      <c r="B1084" s="9" t="inlineStr">
        <is>
          <t>Meridian</t>
        </is>
      </c>
      <c r="C1084" s="9" t="inlineStr">
        <is>
          <t>21/50 MA cross, 250-period confirm filter, VWAP</t>
        </is>
      </c>
      <c r="D1084" s="9" t="inlineStr">
        <is>
          <t>Long</t>
        </is>
      </c>
      <c r="E1084" s="10" t="n">
        <v>46205.88194444445</v>
      </c>
      <c r="F1084" s="10" t="n">
        <v>46205.93402777778</v>
      </c>
      <c r="G1084" s="11" t="n">
        <v>-14.54</v>
      </c>
      <c r="H1084" s="11">
        <f>H1083+G1084</f>
        <v/>
      </c>
    </row>
    <row r="1085">
      <c r="A1085" s="9" t="n">
        <v>1081</v>
      </c>
      <c r="B1085" s="9" t="inlineStr">
        <is>
          <t>Meridian</t>
        </is>
      </c>
      <c r="C1085" s="9" t="inlineStr">
        <is>
          <t>21/50 MA cross, 250-period confirm filter, VWAP</t>
        </is>
      </c>
      <c r="D1085" s="9" t="inlineStr">
        <is>
          <t>Long</t>
        </is>
      </c>
      <c r="E1085" s="10" t="n">
        <v>46205.95486111111</v>
      </c>
      <c r="F1085" s="10" t="n">
        <v>46206.39583333334</v>
      </c>
      <c r="G1085" s="11" t="n">
        <v>40.87</v>
      </c>
      <c r="H1085" s="11">
        <f>H1084+G1085</f>
        <v/>
      </c>
    </row>
    <row r="1086">
      <c r="A1086" s="9" t="n">
        <v>1082</v>
      </c>
      <c r="B1086" s="9" t="inlineStr">
        <is>
          <t>Meridian</t>
        </is>
      </c>
      <c r="C1086" s="9" t="inlineStr">
        <is>
          <t>21/50 MA cross, 250-period confirm filter, VWAP</t>
        </is>
      </c>
      <c r="D1086" s="9" t="inlineStr">
        <is>
          <t>Long</t>
        </is>
      </c>
      <c r="E1086" s="10" t="n">
        <v>46206.42013888889</v>
      </c>
      <c r="F1086" s="10" t="n">
        <v>46206.54166666666</v>
      </c>
      <c r="G1086" s="11" t="n">
        <v>-3.22</v>
      </c>
      <c r="H1086" s="11">
        <f>H1085+G1086</f>
        <v/>
      </c>
    </row>
    <row r="1087">
      <c r="A1087" s="9" t="n">
        <v>1083</v>
      </c>
      <c r="B1087" s="9" t="inlineStr">
        <is>
          <t>Meridian</t>
        </is>
      </c>
      <c r="C1087" s="9" t="inlineStr">
        <is>
          <t>21/50 MA cross, 250-period confirm filter, VWAP</t>
        </is>
      </c>
      <c r="D1087" s="9" t="inlineStr">
        <is>
          <t>Long</t>
        </is>
      </c>
      <c r="E1087" s="10" t="n">
        <v>46206.54861111111</v>
      </c>
      <c r="F1087" s="10" t="n">
        <v>46206.65972222222</v>
      </c>
      <c r="G1087" s="11" t="n">
        <v>-3.07</v>
      </c>
      <c r="H1087" s="11">
        <f>H1086+G1087</f>
        <v/>
      </c>
    </row>
    <row r="1088">
      <c r="A1088" s="9" t="n">
        <v>1084</v>
      </c>
      <c r="B1088" s="9" t="inlineStr">
        <is>
          <t>Aurelius_M5</t>
        </is>
      </c>
      <c r="C1088" s="9" t="inlineStr">
        <is>
          <t>MA alignment (EMA21&gt;EMA50&gt;SMA250&gt;SMMA500 vs EMA2400 trend filter)</t>
        </is>
      </c>
      <c r="D1088" s="9" t="inlineStr">
        <is>
          <t>Long</t>
        </is>
      </c>
      <c r="E1088" s="10" t="n">
        <v>46209.06597222222</v>
      </c>
      <c r="F1088" s="10" t="n">
        <v>46209.125</v>
      </c>
      <c r="G1088" s="11" t="n">
        <v>-10.27</v>
      </c>
      <c r="H1088" s="11">
        <f>H1087+G1088</f>
        <v/>
      </c>
    </row>
    <row r="1089">
      <c r="A1089" s="9" t="n">
        <v>1085</v>
      </c>
      <c r="B1089" s="9" t="inlineStr">
        <is>
          <t>Aurelius_M5</t>
        </is>
      </c>
      <c r="C1089" s="9" t="inlineStr">
        <is>
          <t>MA alignment (EMA21&gt;EMA50&gt;SMA250&gt;SMMA500 vs EMA2400 trend filter)</t>
        </is>
      </c>
      <c r="D1089" s="9" t="inlineStr">
        <is>
          <t>Long</t>
        </is>
      </c>
      <c r="E1089" s="10" t="n">
        <v>46209.14930555555</v>
      </c>
      <c r="F1089" s="10" t="n">
        <v>46209.23958333334</v>
      </c>
      <c r="G1089" s="11" t="n">
        <v>-9.06</v>
      </c>
      <c r="H1089" s="11">
        <f>H1088+G1089</f>
        <v/>
      </c>
    </row>
    <row r="1090">
      <c r="A1090" s="9" t="n">
        <v>1086</v>
      </c>
      <c r="B1090" s="9" t="inlineStr">
        <is>
          <t>Vanguard_M15</t>
        </is>
      </c>
      <c r="C1090" s="9" t="inlineStr">
        <is>
          <t>Trendline breakout (fractal swing line) + VWAP/S-R distance gate - M15 chart</t>
        </is>
      </c>
      <c r="D1090" s="9" t="inlineStr">
        <is>
          <t>Long</t>
        </is>
      </c>
      <c r="E1090" s="10" t="n">
        <v>46205.08333333334</v>
      </c>
      <c r="F1090" s="10" t="n">
        <v>46209.26041666666</v>
      </c>
      <c r="G1090" s="11" t="n">
        <v>120.67</v>
      </c>
      <c r="H1090" s="11">
        <f>H1089+G1090</f>
        <v/>
      </c>
    </row>
    <row r="1091">
      <c r="A1091" s="9" t="n">
        <v>1087</v>
      </c>
      <c r="B1091" s="9" t="inlineStr">
        <is>
          <t>Aurelius_M15</t>
        </is>
      </c>
      <c r="C1091" s="9" t="inlineStr">
        <is>
          <t>MA alignment (EMA21&gt;EMA50&gt;SMA250&gt;SMMA500 vs EMA2400 trend filter) - M15 chart</t>
        </is>
      </c>
      <c r="D1091" s="9" t="inlineStr">
        <is>
          <t>Long</t>
        </is>
      </c>
      <c r="E1091" s="10" t="n">
        <v>46209.125</v>
      </c>
      <c r="F1091" s="10" t="n">
        <v>46209.26041666666</v>
      </c>
      <c r="G1091" s="11" t="n">
        <v>-20.13</v>
      </c>
      <c r="H1091" s="11">
        <f>H1090+G1091</f>
        <v/>
      </c>
    </row>
    <row r="1092">
      <c r="A1092" s="9" t="n">
        <v>1088</v>
      </c>
      <c r="B1092" s="9" t="inlineStr">
        <is>
          <t>Vanguard_M5</t>
        </is>
      </c>
      <c r="C1092" s="9" t="inlineStr">
        <is>
          <t>Trendline breakout (fractal swing line) + VWAP/S-R distance gate</t>
        </is>
      </c>
      <c r="D1092" s="9" t="inlineStr">
        <is>
          <t>Long</t>
        </is>
      </c>
      <c r="E1092" s="10" t="n">
        <v>46204.69097222222</v>
      </c>
      <c r="F1092" s="10" t="n">
        <v>46209.27083333334</v>
      </c>
      <c r="G1092" s="11" t="n">
        <v>117.78</v>
      </c>
      <c r="H1092" s="11">
        <f>H1091+G1092</f>
        <v/>
      </c>
    </row>
    <row r="1093">
      <c r="A1093" s="9" t="n">
        <v>1089</v>
      </c>
      <c r="B1093" s="9" t="inlineStr">
        <is>
          <t>MSG</t>
        </is>
      </c>
      <c r="C1093" s="9" t="inlineStr">
        <is>
          <t>Session-range breakout + Fibonacci retracement-zone entry</t>
        </is>
      </c>
      <c r="D1093" s="9" t="inlineStr">
        <is>
          <t>Short</t>
        </is>
      </c>
      <c r="E1093" s="10" t="n">
        <v>46209.56527777778</v>
      </c>
      <c r="F1093" s="10" t="n">
        <v>46209.60208333333</v>
      </c>
      <c r="G1093" s="11" t="n">
        <v>-21.61</v>
      </c>
      <c r="H1093" s="11">
        <f>H1092+G1093</f>
        <v/>
      </c>
    </row>
    <row r="1094">
      <c r="A1094" s="9" t="n">
        <v>1090</v>
      </c>
      <c r="B1094" s="9" t="inlineStr">
        <is>
          <t>Meridian</t>
        </is>
      </c>
      <c r="C1094" s="9" t="inlineStr">
        <is>
          <t>21/50 MA cross, 250-period confirm filter, VWAP</t>
        </is>
      </c>
      <c r="D1094" s="9" t="inlineStr">
        <is>
          <t>Short</t>
        </is>
      </c>
      <c r="E1094" s="10" t="n">
        <v>46209.23958333334</v>
      </c>
      <c r="F1094" s="10" t="n">
        <v>46209.60763888889</v>
      </c>
      <c r="G1094" s="11" t="n">
        <v>14.86</v>
      </c>
      <c r="H1094" s="11">
        <f>H1093+G1094</f>
        <v/>
      </c>
    </row>
    <row r="1095">
      <c r="A1095" s="9" t="n">
        <v>1091</v>
      </c>
      <c r="B1095" s="9" t="inlineStr">
        <is>
          <t>Meridian</t>
        </is>
      </c>
      <c r="C1095" s="9" t="inlineStr">
        <is>
          <t>21/50 MA cross, 250-period confirm filter, VWAP</t>
        </is>
      </c>
      <c r="D1095" s="9" t="inlineStr">
        <is>
          <t>Short</t>
        </is>
      </c>
      <c r="E1095" s="10" t="n">
        <v>46209.64930555555</v>
      </c>
      <c r="F1095" s="10" t="n">
        <v>46209.81944444445</v>
      </c>
      <c r="G1095" s="11" t="n">
        <v>-6.04</v>
      </c>
      <c r="H1095" s="11">
        <f>H1094+G1095</f>
        <v/>
      </c>
    </row>
    <row r="1096">
      <c r="A1096" s="9" t="n">
        <v>1092</v>
      </c>
      <c r="B1096" s="9" t="inlineStr">
        <is>
          <t>Meridian</t>
        </is>
      </c>
      <c r="C1096" s="9" t="inlineStr">
        <is>
          <t>21/50 MA cross, 250-period confirm filter, VWAP</t>
        </is>
      </c>
      <c r="D1096" s="9" t="inlineStr">
        <is>
          <t>Short</t>
        </is>
      </c>
      <c r="E1096" s="10" t="n">
        <v>46210.49652777778</v>
      </c>
      <c r="F1096" s="10" t="n">
        <v>46210.54861111111</v>
      </c>
      <c r="G1096" s="11" t="n">
        <v>-11.07</v>
      </c>
      <c r="H1096" s="11">
        <f>H1095+G1096</f>
        <v/>
      </c>
    </row>
    <row r="1097">
      <c r="A1097" s="9" t="n">
        <v>1093</v>
      </c>
      <c r="B1097" s="9" t="inlineStr">
        <is>
          <t>Vanguard_M15</t>
        </is>
      </c>
      <c r="C1097" s="9" t="inlineStr">
        <is>
          <t>Trendline breakout (fractal swing line) + VWAP/S-R distance gate - M15 chart</t>
        </is>
      </c>
      <c r="D1097" s="9" t="inlineStr">
        <is>
          <t>Short</t>
        </is>
      </c>
      <c r="E1097" s="10" t="n">
        <v>46209.27083333334</v>
      </c>
      <c r="F1097" s="10" t="n">
        <v>46210.60416666666</v>
      </c>
      <c r="G1097" s="11" t="n">
        <v>17.25</v>
      </c>
      <c r="H1097" s="11">
        <f>H1096+G1097</f>
        <v/>
      </c>
    </row>
    <row r="1098">
      <c r="A1098" s="9" t="n">
        <v>1094</v>
      </c>
      <c r="B1098" s="9" t="inlineStr">
        <is>
          <t>Vanguard_M5</t>
        </is>
      </c>
      <c r="C1098" s="9" t="inlineStr">
        <is>
          <t>Trendline breakout (fractal swing line) + VWAP/S-R distance gate</t>
        </is>
      </c>
      <c r="D1098" s="9" t="inlineStr">
        <is>
          <t>Short</t>
        </is>
      </c>
      <c r="E1098" s="10" t="n">
        <v>46209.27430555555</v>
      </c>
      <c r="F1098" s="10" t="n">
        <v>46210.61111111111</v>
      </c>
      <c r="G1098" s="11" t="n">
        <v>17.4</v>
      </c>
      <c r="H1098" s="11">
        <f>H1097+G1098</f>
        <v/>
      </c>
    </row>
    <row r="1099">
      <c r="A1099" s="9" t="n">
        <v>1095</v>
      </c>
      <c r="B1099" s="9" t="inlineStr">
        <is>
          <t>Aurelius_M5</t>
        </is>
      </c>
      <c r="C1099" s="9" t="inlineStr">
        <is>
          <t>MA alignment (EMA21&gt;EMA50&gt;SMA250&gt;SMMA500 vs EMA2400 trend filter)</t>
        </is>
      </c>
      <c r="D1099" s="9" t="inlineStr">
        <is>
          <t>Long</t>
        </is>
      </c>
      <c r="E1099" s="10" t="n">
        <v>46210.74305555555</v>
      </c>
      <c r="F1099" s="10" t="n">
        <v>46210.77083333334</v>
      </c>
      <c r="G1099" s="11" t="n">
        <v>-13.72</v>
      </c>
      <c r="H1099" s="11">
        <f>H1098+G1099</f>
        <v/>
      </c>
    </row>
    <row r="1100">
      <c r="A1100" s="9" t="n">
        <v>1096</v>
      </c>
      <c r="B1100" s="9" t="inlineStr">
        <is>
          <t>Aurelius_M15</t>
        </is>
      </c>
      <c r="C1100" s="9" t="inlineStr">
        <is>
          <t>MA alignment (EMA21&gt;EMA50&gt;SMA250&gt;SMMA500 vs EMA2400 trend filter) - M15 chart</t>
        </is>
      </c>
      <c r="D1100" s="9" t="inlineStr">
        <is>
          <t>Long</t>
        </is>
      </c>
      <c r="E1100" s="10" t="n">
        <v>46210.71875</v>
      </c>
      <c r="F1100" s="10" t="n">
        <v>46210.88541666666</v>
      </c>
      <c r="G1100" s="11" t="n">
        <v>-10.25</v>
      </c>
      <c r="H1100" s="11">
        <f>H1099+G1100</f>
        <v/>
      </c>
    </row>
    <row r="1101">
      <c r="A1101" s="9" t="n">
        <v>1097</v>
      </c>
      <c r="B1101" s="9" t="inlineStr">
        <is>
          <t>Vanguard_M15</t>
        </is>
      </c>
      <c r="C1101" s="9" t="inlineStr">
        <is>
          <t>Trendline breakout (fractal swing line) + VWAP/S-R distance gate - M15 chart</t>
        </is>
      </c>
      <c r="D1101" s="9" t="inlineStr">
        <is>
          <t>Long</t>
        </is>
      </c>
      <c r="E1101" s="10" t="n">
        <v>46210.61458333334</v>
      </c>
      <c r="F1101" s="10" t="n">
        <v>46210.90625</v>
      </c>
      <c r="G1101" s="11" t="n">
        <v>-22.45</v>
      </c>
      <c r="H1101" s="11">
        <f>H1100+G1101</f>
        <v/>
      </c>
    </row>
    <row r="1102">
      <c r="A1102" s="9" t="n">
        <v>1098</v>
      </c>
      <c r="B1102" s="9" t="inlineStr">
        <is>
          <t>Vanguard_M5</t>
        </is>
      </c>
      <c r="C1102" s="9" t="inlineStr">
        <is>
          <t>Trendline breakout (fractal swing line) + VWAP/S-R distance gate</t>
        </is>
      </c>
      <c r="D1102" s="9" t="inlineStr">
        <is>
          <t>Long</t>
        </is>
      </c>
      <c r="E1102" s="10" t="n">
        <v>46210.61458333334</v>
      </c>
      <c r="F1102" s="10" t="n">
        <v>46210.90625</v>
      </c>
      <c r="G1102" s="11" t="n">
        <v>-15.46</v>
      </c>
      <c r="H1102" s="11">
        <f>H1101+G1102</f>
        <v/>
      </c>
    </row>
    <row r="1103">
      <c r="A1103" s="9" t="n">
        <v>1099</v>
      </c>
      <c r="B1103" s="9" t="inlineStr">
        <is>
          <t>Ratchet</t>
        </is>
      </c>
      <c r="C1103" s="9" t="inlineStr">
        <is>
          <t>Stochastic scalp with give-back trail exit</t>
        </is>
      </c>
      <c r="D1103" s="9" t="inlineStr">
        <is>
          <t>Short</t>
        </is>
      </c>
      <c r="E1103" s="10" t="n">
        <v>46211.11805555555</v>
      </c>
      <c r="F1103" s="10" t="n">
        <v>46211.13888888889</v>
      </c>
      <c r="G1103" s="11" t="n">
        <v>-7.3</v>
      </c>
      <c r="H1103" s="11">
        <f>H1102+G1103</f>
        <v/>
      </c>
    </row>
    <row r="1104">
      <c r="A1104" s="9" t="n">
        <v>1100</v>
      </c>
      <c r="B1104" s="9" t="inlineStr">
        <is>
          <t>Meridian</t>
        </is>
      </c>
      <c r="C1104" s="9" t="inlineStr">
        <is>
          <t>21/50 MA cross, 250-period confirm filter, VWAP</t>
        </is>
      </c>
      <c r="D1104" s="9" t="inlineStr">
        <is>
          <t>Short</t>
        </is>
      </c>
      <c r="E1104" s="10" t="n">
        <v>46210.77083333334</v>
      </c>
      <c r="F1104" s="10" t="n">
        <v>46211.22569444445</v>
      </c>
      <c r="G1104" s="11" t="n">
        <v>22.69</v>
      </c>
      <c r="H1104" s="11">
        <f>H1103+G1104</f>
        <v/>
      </c>
    </row>
    <row r="1105">
      <c r="A1105" s="9" t="n">
        <v>1101</v>
      </c>
      <c r="B1105" s="9" t="inlineStr">
        <is>
          <t>Ratchet</t>
        </is>
      </c>
      <c r="C1105" s="9" t="inlineStr">
        <is>
          <t>Stochastic scalp with give-back trail exit</t>
        </is>
      </c>
      <c r="D1105" s="9" t="inlineStr">
        <is>
          <t>Short</t>
        </is>
      </c>
      <c r="E1105" s="10" t="n">
        <v>46211.60416666666</v>
      </c>
      <c r="F1105" s="10" t="n">
        <v>46211.61111111111</v>
      </c>
      <c r="G1105" s="11" t="n">
        <v>2.17</v>
      </c>
      <c r="H1105" s="11">
        <f>H1104+G1105</f>
        <v/>
      </c>
    </row>
    <row r="1106">
      <c r="A1106" s="9" t="n">
        <v>1102</v>
      </c>
      <c r="B1106" s="9" t="inlineStr">
        <is>
          <t>Meridian</t>
        </is>
      </c>
      <c r="C1106" s="9" t="inlineStr">
        <is>
          <t>21/50 MA cross, 250-period confirm filter, VWAP</t>
        </is>
      </c>
      <c r="D1106" s="9" t="inlineStr">
        <is>
          <t>Short</t>
        </is>
      </c>
      <c r="E1106" s="10" t="n">
        <v>46211.71875</v>
      </c>
      <c r="F1106" s="10" t="n">
        <v>46211.84722222222</v>
      </c>
      <c r="G1106" s="11" t="n">
        <v>-9.210000000000001</v>
      </c>
      <c r="H1106" s="11">
        <f>H1105+G1106</f>
        <v/>
      </c>
    </row>
    <row r="1107">
      <c r="A1107" s="9" t="n">
        <v>1103</v>
      </c>
      <c r="B1107" s="9" t="inlineStr">
        <is>
          <t>Vanguard_M5</t>
        </is>
      </c>
      <c r="C1107" s="9" t="inlineStr">
        <is>
          <t>Trendline breakout (fractal swing line) + VWAP/S-R distance gate</t>
        </is>
      </c>
      <c r="D1107" s="9" t="inlineStr">
        <is>
          <t>Long</t>
        </is>
      </c>
      <c r="E1107" s="10" t="n">
        <v>46211.90972222222</v>
      </c>
      <c r="F1107" s="10" t="n">
        <v>46212.16666666666</v>
      </c>
      <c r="G1107" s="11" t="n">
        <v>-23.89</v>
      </c>
      <c r="H1107" s="11">
        <f>H1106+G1107</f>
        <v/>
      </c>
    </row>
    <row r="1108">
      <c r="A1108" s="9" t="n">
        <v>1104</v>
      </c>
      <c r="B1108" s="9" t="inlineStr">
        <is>
          <t>Meridian</t>
        </is>
      </c>
      <c r="C1108" s="9" t="inlineStr">
        <is>
          <t>21/50 MA cross, 250-period confirm filter, VWAP</t>
        </is>
      </c>
      <c r="D1108" s="9" t="inlineStr">
        <is>
          <t>Short</t>
        </is>
      </c>
      <c r="E1108" s="10" t="n">
        <v>46212.17708333334</v>
      </c>
      <c r="F1108" s="10" t="n">
        <v>46212.22916666666</v>
      </c>
      <c r="G1108" s="11" t="n">
        <v>-6.52</v>
      </c>
      <c r="H1108" s="11">
        <f>H1107+G1108</f>
        <v/>
      </c>
    </row>
    <row r="1109">
      <c r="A1109" s="9" t="n">
        <v>1105</v>
      </c>
      <c r="B1109" s="9" t="inlineStr">
        <is>
          <t>Vanguard_M15</t>
        </is>
      </c>
      <c r="C1109" s="9" t="inlineStr">
        <is>
          <t>Trendline breakout (fractal swing line) + VWAP/S-R distance gate - M15 chart</t>
        </is>
      </c>
      <c r="D1109" s="9" t="inlineStr">
        <is>
          <t>Long</t>
        </is>
      </c>
      <c r="E1109" s="10" t="n">
        <v>46211.9375</v>
      </c>
      <c r="F1109" s="10" t="n">
        <v>46212.25</v>
      </c>
      <c r="G1109" s="11" t="n">
        <v>-31.3</v>
      </c>
      <c r="H1109" s="11">
        <f>H1108+G1109</f>
        <v/>
      </c>
    </row>
    <row r="1110">
      <c r="A1110" s="9" t="n">
        <v>1106</v>
      </c>
      <c r="B1110" s="9" t="inlineStr">
        <is>
          <t>Aurelius_M5</t>
        </is>
      </c>
      <c r="C1110" s="9" t="inlineStr">
        <is>
          <t>MA alignment (EMA21&gt;EMA50&gt;SMA250&gt;SMMA500 vs EMA2400 trend filter)</t>
        </is>
      </c>
      <c r="D1110" s="9" t="inlineStr">
        <is>
          <t>Short</t>
        </is>
      </c>
      <c r="E1110" s="10" t="n">
        <v>46212.26736111111</v>
      </c>
      <c r="F1110" s="10" t="n">
        <v>46212.33333333334</v>
      </c>
      <c r="G1110" s="11" t="n">
        <v>-12.3</v>
      </c>
      <c r="H1110" s="11">
        <f>H1109+G1110</f>
        <v/>
      </c>
    </row>
    <row r="1111">
      <c r="A1111" s="9" t="n">
        <v>1107</v>
      </c>
      <c r="B1111" s="9" t="inlineStr">
        <is>
          <t>Ratchet</t>
        </is>
      </c>
      <c r="C1111" s="9" t="inlineStr">
        <is>
          <t>Stochastic scalp with give-back trail exit</t>
        </is>
      </c>
      <c r="D1111" s="9" t="inlineStr">
        <is>
          <t>Short</t>
        </is>
      </c>
      <c r="E1111" s="10" t="n">
        <v>46212.27083333334</v>
      </c>
      <c r="F1111" s="10" t="n">
        <v>46212.33333333334</v>
      </c>
      <c r="G1111" s="11" t="n">
        <v>-8.279999999999999</v>
      </c>
      <c r="H1111" s="11">
        <f>H1110+G1111</f>
        <v/>
      </c>
    </row>
    <row r="1112">
      <c r="A1112" s="9" t="n">
        <v>1108</v>
      </c>
      <c r="B1112" s="9" t="inlineStr">
        <is>
          <t>Meridian</t>
        </is>
      </c>
      <c r="C1112" s="9" t="inlineStr">
        <is>
          <t>21/50 MA cross, 250-period confirm filter, VWAP</t>
        </is>
      </c>
      <c r="D1112" s="9" t="inlineStr">
        <is>
          <t>Short</t>
        </is>
      </c>
      <c r="E1112" s="10" t="n">
        <v>46212.23611111111</v>
      </c>
      <c r="F1112" s="10" t="n">
        <v>46212.36458333334</v>
      </c>
      <c r="G1112" s="11" t="n">
        <v>-2.51</v>
      </c>
      <c r="H1112" s="11">
        <f>H1111+G1112</f>
        <v/>
      </c>
    </row>
    <row r="1113">
      <c r="A1113" s="9" t="n">
        <v>1109</v>
      </c>
      <c r="B1113" s="9" t="inlineStr">
        <is>
          <t>Ratchet</t>
        </is>
      </c>
      <c r="C1113" s="9" t="inlineStr">
        <is>
          <t>Stochastic scalp with give-back trail exit</t>
        </is>
      </c>
      <c r="D1113" s="9" t="inlineStr">
        <is>
          <t>Long</t>
        </is>
      </c>
      <c r="E1113" s="10" t="n">
        <v>46212.75694444445</v>
      </c>
      <c r="F1113" s="10" t="n">
        <v>46212.77083333334</v>
      </c>
      <c r="G1113" s="11" t="n">
        <v>0</v>
      </c>
      <c r="H1113" s="11">
        <f>H1112+G1113</f>
        <v/>
      </c>
    </row>
    <row r="1114">
      <c r="A1114" s="9" t="n">
        <v>1110</v>
      </c>
      <c r="B1114" s="9" t="inlineStr">
        <is>
          <t>Ratchet</t>
        </is>
      </c>
      <c r="C1114" s="9" t="inlineStr">
        <is>
          <t>Stochastic scalp with give-back trail exit</t>
        </is>
      </c>
      <c r="D1114" s="9" t="inlineStr">
        <is>
          <t>Long</t>
        </is>
      </c>
      <c r="E1114" s="10" t="n">
        <v>46213.24305555555</v>
      </c>
      <c r="F1114" s="10" t="n">
        <v>46213.24652777778</v>
      </c>
      <c r="G1114" s="11" t="n">
        <v>0</v>
      </c>
      <c r="H1114" s="11">
        <f>H1113+G1114</f>
        <v/>
      </c>
    </row>
    <row r="1115">
      <c r="A1115" s="9" t="n">
        <v>1111</v>
      </c>
      <c r="B1115" s="9" t="inlineStr">
        <is>
          <t>Vanguard_M5</t>
        </is>
      </c>
      <c r="C1115" s="9" t="inlineStr">
        <is>
          <t>Trendline breakout (fractal swing line) + VWAP/S-R distance gate</t>
        </is>
      </c>
      <c r="D1115" s="9" t="inlineStr">
        <is>
          <t>Short</t>
        </is>
      </c>
      <c r="E1115" s="10" t="n">
        <v>46213.19444444445</v>
      </c>
      <c r="F1115" s="10" t="n">
        <v>46213.25</v>
      </c>
      <c r="G1115" s="11" t="n">
        <v>-19.26</v>
      </c>
      <c r="H1115" s="11">
        <f>H1114+G1115</f>
        <v/>
      </c>
    </row>
    <row r="1116">
      <c r="A1116" s="9" t="n">
        <v>1112</v>
      </c>
      <c r="B1116" s="9" t="inlineStr">
        <is>
          <t>Vanguard_M15</t>
        </is>
      </c>
      <c r="C1116" s="9" t="inlineStr">
        <is>
          <t>Trendline breakout (fractal swing line) + VWAP/S-R distance gate - M15 chart</t>
        </is>
      </c>
      <c r="D1116" s="9" t="inlineStr">
        <is>
          <t>Short</t>
        </is>
      </c>
      <c r="E1116" s="10" t="n">
        <v>46213.19791666666</v>
      </c>
      <c r="F1116" s="10" t="n">
        <v>46213.25</v>
      </c>
      <c r="G1116" s="11" t="n">
        <v>-18.79</v>
      </c>
      <c r="H1116" s="11">
        <f>H1115+G1116</f>
        <v/>
      </c>
    </row>
    <row r="1117">
      <c r="A1117" s="9" t="n">
        <v>1113</v>
      </c>
      <c r="B1117" s="9" t="inlineStr">
        <is>
          <t>Ratchet</t>
        </is>
      </c>
      <c r="C1117" s="9" t="inlineStr">
        <is>
          <t>Stochastic scalp with give-back trail exit</t>
        </is>
      </c>
      <c r="D1117" s="9" t="inlineStr">
        <is>
          <t>Long</t>
        </is>
      </c>
      <c r="E1117" s="10" t="n">
        <v>46213.25</v>
      </c>
      <c r="F1117" s="10" t="n">
        <v>46213.25694444445</v>
      </c>
      <c r="G1117" s="11" t="n">
        <v>1.01</v>
      </c>
      <c r="H1117" s="11">
        <f>H1116+G1117</f>
        <v/>
      </c>
    </row>
    <row r="1118">
      <c r="A1118" s="9" t="n">
        <v>1114</v>
      </c>
      <c r="B1118" s="9" t="inlineStr">
        <is>
          <t>Meridian</t>
        </is>
      </c>
      <c r="C1118" s="9" t="inlineStr">
        <is>
          <t>21/50 MA cross, 250-period confirm filter, VWAP</t>
        </is>
      </c>
      <c r="D1118" s="9" t="inlineStr">
        <is>
          <t>Long</t>
        </is>
      </c>
      <c r="E1118" s="10" t="n">
        <v>46213.23958333334</v>
      </c>
      <c r="F1118" s="10" t="n">
        <v>46213.29861111111</v>
      </c>
      <c r="G1118" s="11" t="n">
        <v>-8.050000000000001</v>
      </c>
      <c r="H1118" s="11">
        <f>H1117+G1118</f>
        <v/>
      </c>
    </row>
    <row r="1119">
      <c r="A1119" s="9" t="n">
        <v>1115</v>
      </c>
      <c r="B1119" s="9" t="inlineStr">
        <is>
          <t>Meridian</t>
        </is>
      </c>
      <c r="C1119" s="9" t="inlineStr">
        <is>
          <t>21/50 MA cross, 250-period confirm filter, VWAP</t>
        </is>
      </c>
      <c r="D1119" s="9" t="inlineStr">
        <is>
          <t>Short</t>
        </is>
      </c>
      <c r="E1119" s="10" t="n">
        <v>46213.87847222222</v>
      </c>
      <c r="F1119" s="10" t="n">
        <v>46213.91666666666</v>
      </c>
      <c r="G1119" s="11" t="n">
        <v>1.33</v>
      </c>
      <c r="H1119" s="11">
        <f>H1118+G1119</f>
        <v/>
      </c>
    </row>
    <row r="1120">
      <c r="A1120" s="9" t="n">
        <v>1116</v>
      </c>
      <c r="B1120" s="9" t="inlineStr">
        <is>
          <t>Aurelius_M15</t>
        </is>
      </c>
      <c r="C1120" s="9" t="inlineStr">
        <is>
          <t>MA alignment (EMA21&gt;EMA50&gt;SMA250&gt;SMMA500 vs EMA2400 trend filter) - M15 chart</t>
        </is>
      </c>
      <c r="D1120" s="9" t="inlineStr">
        <is>
          <t>Short</t>
        </is>
      </c>
      <c r="E1120" s="10" t="n">
        <v>46213.69791666666</v>
      </c>
      <c r="F1120" s="10" t="n">
        <v>46213.92708333334</v>
      </c>
      <c r="G1120" s="11" t="n">
        <v>-3.38</v>
      </c>
      <c r="H1120" s="11">
        <f>H1119+G1120</f>
        <v/>
      </c>
    </row>
    <row r="1121">
      <c r="A1121" s="9" t="n">
        <v>1117</v>
      </c>
      <c r="B1121" s="9" t="inlineStr">
        <is>
          <t>Ratchet</t>
        </is>
      </c>
      <c r="C1121" s="9" t="inlineStr">
        <is>
          <t>Stochastic scalp with give-back trail exit</t>
        </is>
      </c>
      <c r="D1121" s="9" t="inlineStr">
        <is>
          <t>Short</t>
        </is>
      </c>
      <c r="E1121" s="10" t="n">
        <v>46216.07638888889</v>
      </c>
      <c r="F1121" s="10" t="n">
        <v>46216.10763888889</v>
      </c>
      <c r="G1121" s="11" t="n">
        <v>2.53</v>
      </c>
      <c r="H1121" s="11">
        <f>H1120+G1121</f>
        <v/>
      </c>
    </row>
    <row r="1122">
      <c r="A1122" s="9" t="n">
        <v>1118</v>
      </c>
      <c r="B1122" s="9" t="inlineStr">
        <is>
          <t>Meridian</t>
        </is>
      </c>
      <c r="C1122" s="9" t="inlineStr">
        <is>
          <t>21/50 MA cross, 250-period confirm filter, VWAP</t>
        </is>
      </c>
      <c r="D1122" s="9" t="inlineStr">
        <is>
          <t>Short</t>
        </is>
      </c>
      <c r="E1122" s="10" t="n">
        <v>46216.05208333334</v>
      </c>
      <c r="F1122" s="10" t="n">
        <v>46216.46875</v>
      </c>
      <c r="G1122" s="11" t="n">
        <v>6.64</v>
      </c>
      <c r="H1122" s="11">
        <f>H1121+G1122</f>
        <v/>
      </c>
    </row>
    <row r="1123">
      <c r="A1123" s="9" t="n">
        <v>1119</v>
      </c>
      <c r="B1123" s="9" t="inlineStr">
        <is>
          <t>Aurelius_M5</t>
        </is>
      </c>
      <c r="C1123" s="9" t="inlineStr">
        <is>
          <t>MA alignment (EMA21&gt;EMA50&gt;SMA250&gt;SMMA500 vs EMA2400 trend filter)</t>
        </is>
      </c>
      <c r="D1123" s="9" t="inlineStr">
        <is>
          <t>Short</t>
        </is>
      </c>
      <c r="E1123" s="10" t="n">
        <v>46216.20486111111</v>
      </c>
      <c r="F1123" s="10" t="n">
        <v>46216.46875</v>
      </c>
      <c r="G1123" s="11" t="n">
        <v>0.05</v>
      </c>
      <c r="H1123" s="11">
        <f>H1122+G1123</f>
        <v/>
      </c>
    </row>
    <row r="1124">
      <c r="A1124" s="9" t="n">
        <v>1120</v>
      </c>
      <c r="B1124" s="9" t="inlineStr">
        <is>
          <t>Meridian</t>
        </is>
      </c>
      <c r="C1124" s="9" t="inlineStr">
        <is>
          <t>21/50 MA cross, 250-period confirm filter, VWAP</t>
        </is>
      </c>
      <c r="D1124" s="9" t="inlineStr">
        <is>
          <t>Short</t>
        </is>
      </c>
      <c r="E1124" s="10" t="n">
        <v>46216.57638888889</v>
      </c>
      <c r="F1124" s="10" t="n">
        <v>46216.58680555555</v>
      </c>
      <c r="G1124" s="11" t="n">
        <v>-11.39</v>
      </c>
      <c r="H1124" s="11">
        <f>H1123+G1124</f>
        <v/>
      </c>
    </row>
    <row r="1125">
      <c r="A1125" s="9" t="n">
        <v>1121</v>
      </c>
      <c r="B1125" s="9" t="inlineStr">
        <is>
          <t>Ratchet</t>
        </is>
      </c>
      <c r="C1125" s="9" t="inlineStr">
        <is>
          <t>Stochastic scalp with give-back trail exit</t>
        </is>
      </c>
      <c r="D1125" s="9" t="inlineStr">
        <is>
          <t>Short</t>
        </is>
      </c>
      <c r="E1125" s="10" t="n">
        <v>46216.625</v>
      </c>
      <c r="F1125" s="10" t="n">
        <v>46216.65625</v>
      </c>
      <c r="G1125" s="11" t="n">
        <v>-8.529999999999999</v>
      </c>
      <c r="H1125" s="11">
        <f>H1124+G1125</f>
        <v/>
      </c>
    </row>
    <row r="1126">
      <c r="A1126" s="9" t="n">
        <v>1122</v>
      </c>
      <c r="B1126" s="9" t="inlineStr">
        <is>
          <t>Aurelius_M5</t>
        </is>
      </c>
      <c r="C1126" s="9" t="inlineStr">
        <is>
          <t>MA alignment (EMA21&gt;EMA50&gt;SMA250&gt;SMMA500 vs EMA2400 trend filter)</t>
        </is>
      </c>
      <c r="D1126" s="9" t="inlineStr">
        <is>
          <t>Short</t>
        </is>
      </c>
      <c r="E1126" s="10" t="n">
        <v>46216.63541666666</v>
      </c>
      <c r="F1126" s="10" t="n">
        <v>46217.04166666666</v>
      </c>
      <c r="G1126" s="11" t="n">
        <v>55.14</v>
      </c>
      <c r="H1126" s="11">
        <f>H1125+G1126</f>
        <v/>
      </c>
    </row>
    <row r="1127">
      <c r="A1127" s="9" t="n">
        <v>1123</v>
      </c>
      <c r="B1127" s="9" t="inlineStr">
        <is>
          <t>Ratchet</t>
        </is>
      </c>
      <c r="C1127" s="9" t="inlineStr">
        <is>
          <t>Stochastic scalp with give-back trail exit</t>
        </is>
      </c>
      <c r="D1127" s="9" t="inlineStr">
        <is>
          <t>Short</t>
        </is>
      </c>
      <c r="E1127" s="10" t="n">
        <v>46217.10069444445</v>
      </c>
      <c r="F1127" s="10" t="n">
        <v>46217.11458333334</v>
      </c>
      <c r="G1127" s="11" t="n">
        <v>1.22</v>
      </c>
      <c r="H1127" s="11">
        <f>H1126+G1127</f>
        <v/>
      </c>
    </row>
    <row r="1128">
      <c r="A1128" s="9" t="n">
        <v>1124</v>
      </c>
      <c r="B1128" s="9" t="inlineStr">
        <is>
          <t>Aurelius_M5</t>
        </is>
      </c>
      <c r="C1128" s="9" t="inlineStr">
        <is>
          <t>MA alignment (EMA21&gt;EMA50&gt;SMA250&gt;SMMA500 vs EMA2400 trend filter)</t>
        </is>
      </c>
      <c r="D1128" s="9" t="inlineStr">
        <is>
          <t>Short</t>
        </is>
      </c>
      <c r="E1128" s="10" t="n">
        <v>46217.12847222222</v>
      </c>
      <c r="F1128" s="10" t="n">
        <v>46217.14583333334</v>
      </c>
      <c r="G1128" s="11" t="n">
        <v>-9.18</v>
      </c>
      <c r="H1128" s="11">
        <f>H1127+G1128</f>
        <v/>
      </c>
    </row>
    <row r="1129">
      <c r="A1129" s="9" t="n">
        <v>1125</v>
      </c>
      <c r="B1129" s="9" t="inlineStr">
        <is>
          <t>Aurelius_M15</t>
        </is>
      </c>
      <c r="C1129" s="9" t="inlineStr">
        <is>
          <t>MA alignment (EMA21&gt;EMA50&gt;SMA250&gt;SMMA500 vs EMA2400 trend filter) - M15 chart</t>
        </is>
      </c>
      <c r="D1129" s="9" t="inlineStr">
        <is>
          <t>Short</t>
        </is>
      </c>
      <c r="E1129" s="10" t="n">
        <v>46216.09375</v>
      </c>
      <c r="F1129" s="10" t="n">
        <v>46217.27083333334</v>
      </c>
      <c r="G1129" s="11" t="n">
        <v>52.11</v>
      </c>
      <c r="H1129" s="11">
        <f>H1128+G1129</f>
        <v/>
      </c>
    </row>
    <row r="1130">
      <c r="A1130" s="9" t="n">
        <v>1126</v>
      </c>
      <c r="B1130" s="9" t="inlineStr">
        <is>
          <t>Vanguard_M5</t>
        </is>
      </c>
      <c r="C1130" s="9" t="inlineStr">
        <is>
          <t>Trendline breakout (fractal swing line) + VWAP/S-R distance gate</t>
        </is>
      </c>
      <c r="D1130" s="9" t="inlineStr">
        <is>
          <t>Short</t>
        </is>
      </c>
      <c r="E1130" s="10" t="n">
        <v>46213.26736111111</v>
      </c>
      <c r="F1130" s="10" t="n">
        <v>46217.75347222222</v>
      </c>
      <c r="G1130" s="11" t="n">
        <v>26.35</v>
      </c>
      <c r="H1130" s="11">
        <f>H1129+G1130</f>
        <v/>
      </c>
    </row>
    <row r="1131">
      <c r="A1131" s="9" t="n">
        <v>1127</v>
      </c>
      <c r="B1131" s="9" t="inlineStr">
        <is>
          <t>Vanguard_M5</t>
        </is>
      </c>
      <c r="C1131" s="9" t="inlineStr">
        <is>
          <t>Trendline breakout (fractal swing line) + VWAP/S-R distance gate</t>
        </is>
      </c>
      <c r="D1131" s="9" t="inlineStr">
        <is>
          <t>Long</t>
        </is>
      </c>
      <c r="E1131" s="10" t="n">
        <v>46217.75694444445</v>
      </c>
      <c r="F1131" s="10" t="n">
        <v>46217.79513888889</v>
      </c>
      <c r="G1131" s="11" t="n">
        <v>-36.31</v>
      </c>
      <c r="H1131" s="11">
        <f>H1130+G1131</f>
        <v/>
      </c>
    </row>
    <row r="1132">
      <c r="A1132" s="9" t="n">
        <v>1128</v>
      </c>
      <c r="B1132" s="9" t="inlineStr">
        <is>
          <t>Meridian</t>
        </is>
      </c>
      <c r="C1132" s="9" t="inlineStr">
        <is>
          <t>21/50 MA cross, 250-period confirm filter, VWAP</t>
        </is>
      </c>
      <c r="D1132" s="9" t="inlineStr">
        <is>
          <t>Long</t>
        </is>
      </c>
      <c r="E1132" s="10" t="n">
        <v>46217.60069444445</v>
      </c>
      <c r="F1132" s="10" t="n">
        <v>46217.83333333334</v>
      </c>
      <c r="G1132" s="11" t="n">
        <v>33.33</v>
      </c>
      <c r="H1132" s="11">
        <f>H1131+G1132</f>
        <v/>
      </c>
    </row>
    <row r="1133">
      <c r="A1133" s="9" t="n">
        <v>1129</v>
      </c>
      <c r="B1133" s="9" t="inlineStr">
        <is>
          <t>Meridian</t>
        </is>
      </c>
      <c r="C1133" s="9" t="inlineStr">
        <is>
          <t>21/50 MA cross, 250-period confirm filter, VWAP</t>
        </is>
      </c>
      <c r="D1133" s="9" t="inlineStr">
        <is>
          <t>Long</t>
        </is>
      </c>
      <c r="E1133" s="10" t="n">
        <v>46218.15972222222</v>
      </c>
      <c r="F1133" s="10" t="n">
        <v>46218.1875</v>
      </c>
      <c r="G1133" s="11" t="n">
        <v>-7.81</v>
      </c>
      <c r="H1133" s="11">
        <f>H1132+G1133</f>
        <v/>
      </c>
    </row>
    <row r="1134">
      <c r="A1134" s="9" t="n">
        <v>1130</v>
      </c>
      <c r="B1134" s="9" t="inlineStr">
        <is>
          <t>Aurelius_M5</t>
        </is>
      </c>
      <c r="C1134" s="9" t="inlineStr">
        <is>
          <t>MA alignment (EMA21&gt;EMA50&gt;SMA250&gt;SMMA500 vs EMA2400 trend filter)</t>
        </is>
      </c>
      <c r="D1134" s="9" t="inlineStr">
        <is>
          <t>Short</t>
        </is>
      </c>
      <c r="E1134" s="10" t="n">
        <v>46218.41319444445</v>
      </c>
      <c r="F1134" s="10" t="n">
        <v>46218.55555555555</v>
      </c>
      <c r="G1134" s="11" t="n">
        <v>0.02</v>
      </c>
      <c r="H1134" s="11">
        <f>H1133+G1134</f>
        <v/>
      </c>
    </row>
    <row r="1135">
      <c r="A1135" s="9" t="n">
        <v>1131</v>
      </c>
      <c r="B1135" s="9" t="inlineStr">
        <is>
          <t>Meridian</t>
        </is>
      </c>
      <c r="C1135" s="9" t="inlineStr">
        <is>
          <t>21/50 MA cross, 250-period confirm filter, VWAP</t>
        </is>
      </c>
      <c r="D1135" s="9" t="inlineStr">
        <is>
          <t>Short</t>
        </is>
      </c>
      <c r="E1135" s="10" t="n">
        <v>46218.79861111111</v>
      </c>
      <c r="F1135" s="10" t="n">
        <v>46218.85416666666</v>
      </c>
      <c r="G1135" s="11" t="n">
        <v>-11.96</v>
      </c>
      <c r="H1135" s="11">
        <f>H1134+G1135</f>
        <v/>
      </c>
    </row>
    <row r="1136">
      <c r="A1136" s="9" t="n">
        <v>1132</v>
      </c>
      <c r="B1136" s="9" t="inlineStr">
        <is>
          <t>Meridian</t>
        </is>
      </c>
      <c r="C1136" s="9" t="inlineStr">
        <is>
          <t>21/50 MA cross, 250-period confirm filter, VWAP</t>
        </is>
      </c>
      <c r="D1136" s="9" t="inlineStr">
        <is>
          <t>Long</t>
        </is>
      </c>
      <c r="E1136" s="10" t="n">
        <v>46218.86805555555</v>
      </c>
      <c r="F1136" s="10" t="n">
        <v>46218.9375</v>
      </c>
      <c r="G1136" s="11" t="n">
        <v>-13.77</v>
      </c>
      <c r="H1136" s="11">
        <f>H1135+G1136</f>
        <v/>
      </c>
    </row>
    <row r="1137">
      <c r="A1137" s="9" t="n">
        <v>1133</v>
      </c>
      <c r="B1137" s="9" t="inlineStr">
        <is>
          <t>Meridian</t>
        </is>
      </c>
      <c r="C1137" s="9" t="inlineStr">
        <is>
          <t>21/50 MA cross, 250-period confirm filter, VWAP</t>
        </is>
      </c>
      <c r="D1137" s="9" t="inlineStr">
        <is>
          <t>Long</t>
        </is>
      </c>
      <c r="E1137" s="10" t="n">
        <v>46219.14930555555</v>
      </c>
      <c r="F1137" s="10" t="n">
        <v>46219.15625</v>
      </c>
      <c r="G1137" s="11" t="n">
        <v>-5.96</v>
      </c>
      <c r="H1137" s="11">
        <f>H1136+G1137</f>
        <v/>
      </c>
    </row>
    <row r="1138">
      <c r="A1138" s="9" t="n">
        <v>1134</v>
      </c>
      <c r="B1138" s="9" t="inlineStr">
        <is>
          <t>Ratchet</t>
        </is>
      </c>
      <c r="C1138" s="9" t="inlineStr">
        <is>
          <t>Stochastic scalp with give-back trail exit</t>
        </is>
      </c>
      <c r="D1138" s="9" t="inlineStr">
        <is>
          <t>Short</t>
        </is>
      </c>
      <c r="E1138" s="10" t="n">
        <v>46219.37152777778</v>
      </c>
      <c r="F1138" s="10" t="n">
        <v>46219.375</v>
      </c>
      <c r="G1138" s="11" t="n">
        <v>-6.23</v>
      </c>
      <c r="H1138" s="11">
        <f>H1137+G1138</f>
        <v/>
      </c>
    </row>
    <row r="1139">
      <c r="A1139" s="9" t="n">
        <v>1135</v>
      </c>
      <c r="B1139" s="9" t="inlineStr">
        <is>
          <t>Ratchet</t>
        </is>
      </c>
      <c r="C1139" s="9" t="inlineStr">
        <is>
          <t>Stochastic scalp with give-back trail exit</t>
        </is>
      </c>
      <c r="D1139" s="9" t="inlineStr">
        <is>
          <t>Short</t>
        </is>
      </c>
      <c r="E1139" s="10" t="n">
        <v>46219.4375</v>
      </c>
      <c r="F1139" s="10" t="n">
        <v>46219.44791666666</v>
      </c>
      <c r="G1139" s="11" t="n">
        <v>-4.88</v>
      </c>
      <c r="H1139" s="11">
        <f>H1138+G1139</f>
        <v/>
      </c>
    </row>
    <row r="1140">
      <c r="A1140" s="9" t="n">
        <v>1136</v>
      </c>
      <c r="B1140" s="9" t="inlineStr">
        <is>
          <t>Meridian</t>
        </is>
      </c>
      <c r="C1140" s="9" t="inlineStr">
        <is>
          <t>21/50 MA cross, 250-period confirm filter, VWAP</t>
        </is>
      </c>
      <c r="D1140" s="9" t="inlineStr">
        <is>
          <t>Short</t>
        </is>
      </c>
      <c r="E1140" s="10" t="n">
        <v>46219.58680555555</v>
      </c>
      <c r="F1140" s="10" t="n">
        <v>46219.61111111111</v>
      </c>
      <c r="G1140" s="11" t="n">
        <v>-6.97</v>
      </c>
      <c r="H1140" s="11">
        <f>H1139+G1140</f>
        <v/>
      </c>
    </row>
    <row r="1141">
      <c r="A1141" s="9" t="n">
        <v>1137</v>
      </c>
      <c r="B1141" s="9" t="inlineStr">
        <is>
          <t>MSG</t>
        </is>
      </c>
      <c r="C1141" s="9" t="inlineStr">
        <is>
          <t>Session-range breakout + Fibonacci retracement-zone entry</t>
        </is>
      </c>
      <c r="D1141" s="9" t="inlineStr">
        <is>
          <t>Long</t>
        </is>
      </c>
      <c r="E1141" s="10" t="n">
        <v>46219.61805555555</v>
      </c>
      <c r="F1141" s="10" t="n">
        <v>46219.62847222222</v>
      </c>
      <c r="G1141" s="11" t="n">
        <v>20.66</v>
      </c>
      <c r="H1141" s="11">
        <f>H1140+G1141</f>
        <v/>
      </c>
    </row>
    <row r="1142">
      <c r="A1142" s="9" t="n">
        <v>1138</v>
      </c>
      <c r="B1142" s="9" t="inlineStr">
        <is>
          <t>Ratchet</t>
        </is>
      </c>
      <c r="C1142" s="9" t="inlineStr">
        <is>
          <t>Stochastic scalp with give-back trail exit</t>
        </is>
      </c>
      <c r="D1142" s="9" t="inlineStr">
        <is>
          <t>Short</t>
        </is>
      </c>
      <c r="E1142" s="10" t="n">
        <v>46219.64930555555</v>
      </c>
      <c r="F1142" s="10" t="n">
        <v>46219.66666666666</v>
      </c>
      <c r="G1142" s="11" t="n">
        <v>30.38</v>
      </c>
      <c r="H1142" s="11">
        <f>H1141+G1142</f>
        <v/>
      </c>
    </row>
    <row r="1143">
      <c r="A1143" s="9" t="n">
        <v>1139</v>
      </c>
      <c r="B1143" s="9" t="inlineStr">
        <is>
          <t>Ratchet</t>
        </is>
      </c>
      <c r="C1143" s="9" t="inlineStr">
        <is>
          <t>Stochastic scalp with give-back trail exit</t>
        </is>
      </c>
      <c r="D1143" s="9" t="inlineStr">
        <is>
          <t>Short</t>
        </is>
      </c>
      <c r="E1143" s="10" t="n">
        <v>46219.90972222222</v>
      </c>
      <c r="F1143" s="10" t="n">
        <v>46219.91666666666</v>
      </c>
      <c r="G1143" s="11" t="n">
        <v>0.7</v>
      </c>
      <c r="H1143" s="11">
        <f>H1142+G1143</f>
        <v/>
      </c>
    </row>
    <row r="1144">
      <c r="A1144" s="9" t="n">
        <v>1140</v>
      </c>
      <c r="B1144" s="9" t="inlineStr">
        <is>
          <t>Aurelius_M5</t>
        </is>
      </c>
      <c r="C1144" s="9" t="inlineStr">
        <is>
          <t>MA alignment (EMA21&gt;EMA50&gt;SMA250&gt;SMMA500 vs EMA2400 trend filter)</t>
        </is>
      </c>
      <c r="D1144" s="9" t="inlineStr">
        <is>
          <t>Short</t>
        </is>
      </c>
      <c r="E1144" s="10" t="n">
        <v>46219.65972222222</v>
      </c>
      <c r="F1144" s="10" t="n">
        <v>46220.04166666666</v>
      </c>
      <c r="G1144" s="11" t="n">
        <v>22.85</v>
      </c>
      <c r="H1144" s="11">
        <f>H1143+G1144</f>
        <v/>
      </c>
    </row>
    <row r="1145">
      <c r="A1145" s="9" t="n">
        <v>1141</v>
      </c>
      <c r="B1145" s="9" t="inlineStr">
        <is>
          <t>Ratchet</t>
        </is>
      </c>
      <c r="C1145" s="9" t="inlineStr">
        <is>
          <t>Stochastic scalp with give-back trail exit</t>
        </is>
      </c>
      <c r="D1145" s="9" t="inlineStr">
        <is>
          <t>Short</t>
        </is>
      </c>
      <c r="E1145" s="10" t="n">
        <v>46220.05555555555</v>
      </c>
      <c r="F1145" s="10" t="n">
        <v>46220.07638888889</v>
      </c>
      <c r="G1145" s="11" t="n">
        <v>0.6</v>
      </c>
      <c r="H1145" s="11">
        <f>H1144+G1145</f>
        <v/>
      </c>
    </row>
    <row r="1146">
      <c r="A1146" s="9" t="n">
        <v>1142</v>
      </c>
      <c r="B1146" s="9" t="inlineStr">
        <is>
          <t>Meridian</t>
        </is>
      </c>
      <c r="C1146" s="9" t="inlineStr">
        <is>
          <t>21/50 MA cross, 250-period confirm filter, VWAP</t>
        </is>
      </c>
      <c r="D1146" s="9" t="inlineStr">
        <is>
          <t>Short</t>
        </is>
      </c>
      <c r="E1146" s="10" t="n">
        <v>46219.64236111111</v>
      </c>
      <c r="F1146" s="10" t="n">
        <v>46220.13541666666</v>
      </c>
      <c r="G1146" s="11" t="n">
        <v>36.86</v>
      </c>
      <c r="H1146" s="11">
        <f>H1145+G1146</f>
        <v/>
      </c>
    </row>
    <row r="1147">
      <c r="A1147" s="9" t="n">
        <v>1143</v>
      </c>
      <c r="B1147" s="9" t="inlineStr">
        <is>
          <t>Meridian</t>
        </is>
      </c>
      <c r="C1147" s="9" t="inlineStr">
        <is>
          <t>21/50 MA cross, 250-period confirm filter, VWAP</t>
        </is>
      </c>
      <c r="D1147" s="9" t="inlineStr">
        <is>
          <t>Short</t>
        </is>
      </c>
      <c r="E1147" s="10" t="n">
        <v>46220.23611111111</v>
      </c>
      <c r="F1147" s="10" t="n">
        <v>46220.25</v>
      </c>
      <c r="G1147" s="11" t="n">
        <v>-11.93</v>
      </c>
      <c r="H1147" s="11">
        <f>H1146+G1147</f>
        <v/>
      </c>
    </row>
    <row r="1148">
      <c r="A1148" s="9" t="n">
        <v>1144</v>
      </c>
      <c r="B1148" s="9" t="inlineStr">
        <is>
          <t>Meridian</t>
        </is>
      </c>
      <c r="C1148" s="9" t="inlineStr">
        <is>
          <t>21/50 MA cross, 250-period confirm filter, VWAP</t>
        </is>
      </c>
      <c r="D1148" s="9" t="inlineStr">
        <is>
          <t>Short</t>
        </is>
      </c>
      <c r="E1148" s="10" t="n">
        <v>46220.33333333334</v>
      </c>
      <c r="F1148" s="10" t="n">
        <v>46220.36805555555</v>
      </c>
      <c r="G1148" s="11" t="n">
        <v>-9.59</v>
      </c>
      <c r="H1148" s="11">
        <f>H1147+G1148</f>
        <v/>
      </c>
    </row>
    <row r="1149">
      <c r="A1149" s="9" t="n">
        <v>1145</v>
      </c>
      <c r="B1149" s="9" t="inlineStr">
        <is>
          <t>Aurelius_M5</t>
        </is>
      </c>
      <c r="C1149" s="9" t="inlineStr">
        <is>
          <t>MA alignment (EMA21&gt;EMA50&gt;SMA250&gt;SMMA500 vs EMA2400 trend filter)</t>
        </is>
      </c>
      <c r="D1149" s="9" t="inlineStr">
        <is>
          <t>Short</t>
        </is>
      </c>
      <c r="E1149" s="10" t="n">
        <v>46220.35763888889</v>
      </c>
      <c r="F1149" s="10" t="n">
        <v>46220.37847222222</v>
      </c>
      <c r="G1149" s="11" t="n">
        <v>-10.62</v>
      </c>
      <c r="H1149" s="11">
        <f>H1148+G1149</f>
        <v/>
      </c>
    </row>
    <row r="1150">
      <c r="A1150" s="9" t="n">
        <v>1146</v>
      </c>
      <c r="B1150" s="9" t="inlineStr">
        <is>
          <t>Vanguard_M5</t>
        </is>
      </c>
      <c r="C1150" s="9" t="inlineStr">
        <is>
          <t>Trendline breakout (fractal swing line) + VWAP/S-R distance gate</t>
        </is>
      </c>
      <c r="D1150" s="9" t="inlineStr">
        <is>
          <t>Short</t>
        </is>
      </c>
      <c r="E1150" s="10" t="n">
        <v>46219.21527777778</v>
      </c>
      <c r="F1150" s="10" t="n">
        <v>46220.39583333334</v>
      </c>
      <c r="G1150" s="11" t="n">
        <v>28.05</v>
      </c>
      <c r="H1150" s="11">
        <f>H1149+G1150</f>
        <v/>
      </c>
    </row>
    <row r="1151">
      <c r="A1151" s="9" t="n">
        <v>1147</v>
      </c>
      <c r="B1151" s="9" t="inlineStr">
        <is>
          <t>Aurelius_M15</t>
        </is>
      </c>
      <c r="C1151" s="9" t="inlineStr">
        <is>
          <t>MA alignment (EMA21&gt;EMA50&gt;SMA250&gt;SMMA500 vs EMA2400 trend filter) - M15 chart</t>
        </is>
      </c>
      <c r="D1151" s="9" t="inlineStr">
        <is>
          <t>Short</t>
        </is>
      </c>
      <c r="E1151" s="10" t="n">
        <v>46219.64583333334</v>
      </c>
      <c r="F1151" s="10" t="n">
        <v>46220.45833333334</v>
      </c>
      <c r="G1151" s="11" t="n">
        <v>32.3</v>
      </c>
      <c r="H1151" s="11">
        <f>H1150+G1151</f>
        <v/>
      </c>
    </row>
    <row r="1152">
      <c r="A1152" s="9" t="n">
        <v>1148</v>
      </c>
      <c r="B1152" s="9" t="inlineStr">
        <is>
          <t>Vanguard_M15</t>
        </is>
      </c>
      <c r="C1152" s="9" t="inlineStr">
        <is>
          <t>Trendline breakout (fractal swing line) + VWAP/S-R distance gate - M15 chart</t>
        </is>
      </c>
      <c r="D1152" s="9" t="inlineStr">
        <is>
          <t>Short</t>
        </is>
      </c>
      <c r="E1152" s="10" t="n">
        <v>46213.28125</v>
      </c>
      <c r="F1152" s="10" t="n">
        <v>46220.5</v>
      </c>
      <c r="G1152" s="11" t="n">
        <v>123.37</v>
      </c>
      <c r="H1152" s="11">
        <f>H1151+G1152</f>
        <v/>
      </c>
    </row>
    <row r="1153">
      <c r="A1153" s="9" t="n">
        <v>1149</v>
      </c>
      <c r="B1153" s="9" t="inlineStr">
        <is>
          <t>Vanguard_M5</t>
        </is>
      </c>
      <c r="C1153" s="9" t="inlineStr">
        <is>
          <t>Trendline breakout (fractal swing line) + VWAP/S-R distance gate</t>
        </is>
      </c>
      <c r="D1153" s="9" t="inlineStr">
        <is>
          <t>Long</t>
        </is>
      </c>
      <c r="E1153" s="10" t="n">
        <v>46220.39930555555</v>
      </c>
      <c r="F1153" s="10" t="n">
        <v>46220.63888888889</v>
      </c>
      <c r="G1153" s="11" t="n">
        <v>-20.31</v>
      </c>
      <c r="H1153" s="11">
        <f>H1152+G1153</f>
        <v/>
      </c>
    </row>
    <row r="1154">
      <c r="A1154" s="9" t="n">
        <v>1150</v>
      </c>
      <c r="B1154" s="9" t="inlineStr">
        <is>
          <t>Vanguard_M15</t>
        </is>
      </c>
      <c r="C1154" s="9" t="inlineStr">
        <is>
          <t>Trendline breakout (fractal swing line) + VWAP/S-R distance gate - M15 chart</t>
        </is>
      </c>
      <c r="D1154" s="9" t="inlineStr">
        <is>
          <t>Long</t>
        </is>
      </c>
      <c r="E1154" s="10" t="n">
        <v>46220.51041666666</v>
      </c>
      <c r="F1154" s="10" t="n">
        <v>46220.64583333334</v>
      </c>
      <c r="G1154" s="11" t="n">
        <v>-22.77</v>
      </c>
      <c r="H1154" s="11">
        <f>H1153+G1154</f>
        <v/>
      </c>
    </row>
    <row r="1155">
      <c r="A1155" s="9" t="n">
        <v>1151</v>
      </c>
      <c r="B1155" s="9" t="inlineStr">
        <is>
          <t>Meridian</t>
        </is>
      </c>
      <c r="C1155" s="9" t="inlineStr">
        <is>
          <t>21/50 MA cross, 250-period confirm filter, VWAP</t>
        </is>
      </c>
      <c r="D1155" s="9" t="inlineStr">
        <is>
          <t>Long</t>
        </is>
      </c>
      <c r="E1155" s="10" t="n">
        <v>46220.72569444445</v>
      </c>
      <c r="F1155" s="10" t="n">
        <v>46220.91666666666</v>
      </c>
      <c r="G1155" s="11" t="n">
        <v>8.25</v>
      </c>
      <c r="H1155" s="11">
        <f>H1154+G1155</f>
        <v/>
      </c>
    </row>
    <row r="1156">
      <c r="A1156" s="9" t="n">
        <v>1152</v>
      </c>
      <c r="B1156" s="9" t="inlineStr">
        <is>
          <t>Meridian</t>
        </is>
      </c>
      <c r="C1156" s="9" t="inlineStr">
        <is>
          <t>21/50 MA cross, 250-period confirm filter, VWAP</t>
        </is>
      </c>
      <c r="D1156" s="9" t="inlineStr">
        <is>
          <t>Long</t>
        </is>
      </c>
      <c r="E1156" s="10" t="n">
        <v>46223.17361111111</v>
      </c>
      <c r="F1156" s="10" t="n">
        <v>46223.18055555555</v>
      </c>
      <c r="G1156" s="11" t="n">
        <v>-14.47</v>
      </c>
      <c r="H1156" s="11">
        <f>H1155+G1156</f>
        <v/>
      </c>
    </row>
    <row r="1157">
      <c r="A1157" s="9" t="n">
        <v>1153</v>
      </c>
      <c r="B1157" s="9" t="inlineStr">
        <is>
          <t>MSG</t>
        </is>
      </c>
      <c r="C1157" s="9" t="inlineStr">
        <is>
          <t>Session-range breakout + Fibonacci retracement-zone entry</t>
        </is>
      </c>
      <c r="D1157" s="9" t="inlineStr">
        <is>
          <t>Long</t>
        </is>
      </c>
      <c r="E1157" s="10" t="n">
        <v>46223.62569444445</v>
      </c>
      <c r="F1157" s="10" t="n">
        <v>46223.63541666666</v>
      </c>
      <c r="G1157" s="11" t="n">
        <v>-26.23</v>
      </c>
      <c r="H1157" s="11">
        <f>H1156+G1157</f>
        <v/>
      </c>
    </row>
    <row r="1158">
      <c r="A1158" s="9" t="n">
        <v>1154</v>
      </c>
      <c r="B1158" s="9" t="inlineStr">
        <is>
          <t>Vanguard_M5</t>
        </is>
      </c>
      <c r="C1158" s="9" t="inlineStr">
        <is>
          <t>Trendline breakout (fractal swing line) + VWAP/S-R distance gate</t>
        </is>
      </c>
      <c r="D1158" s="9" t="inlineStr">
        <is>
          <t>Long</t>
        </is>
      </c>
      <c r="E1158" s="10" t="n">
        <v>46220.69444444445</v>
      </c>
      <c r="F1158" s="10" t="n">
        <v>46223.63888888889</v>
      </c>
      <c r="G1158" s="11" t="n">
        <v>13.74</v>
      </c>
      <c r="H1158" s="11">
        <f>H1157+G1158</f>
        <v/>
      </c>
    </row>
    <row r="1159">
      <c r="A1159" s="9" t="n">
        <v>1155</v>
      </c>
      <c r="B1159" s="9" t="inlineStr">
        <is>
          <t>Meridian</t>
        </is>
      </c>
      <c r="C1159" s="9" t="inlineStr">
        <is>
          <t>21/50 MA cross, 250-period confirm filter, VWAP</t>
        </is>
      </c>
      <c r="D1159" s="9" t="inlineStr">
        <is>
          <t>Long</t>
        </is>
      </c>
      <c r="E1159" s="10" t="n">
        <v>46223.45833333334</v>
      </c>
      <c r="F1159" s="10" t="n">
        <v>46223.63888888889</v>
      </c>
      <c r="G1159" s="11" t="n">
        <v>-9.539999999999999</v>
      </c>
      <c r="H1159" s="11">
        <f>H1158+G1159</f>
        <v/>
      </c>
    </row>
    <row r="1160">
      <c r="A1160" s="9" t="n">
        <v>1156</v>
      </c>
      <c r="B1160" s="9" t="inlineStr">
        <is>
          <t>Vanguard_M5</t>
        </is>
      </c>
      <c r="C1160" s="9" t="inlineStr">
        <is>
          <t>Trendline breakout (fractal swing line) + VWAP/S-R distance gate</t>
        </is>
      </c>
      <c r="D1160" s="9" t="inlineStr">
        <is>
          <t>Short</t>
        </is>
      </c>
      <c r="E1160" s="10" t="n">
        <v>46223.64236111111</v>
      </c>
      <c r="F1160" s="10" t="n">
        <v>46224.17013888889</v>
      </c>
      <c r="G1160" s="11" t="n">
        <v>-20.53</v>
      </c>
      <c r="H1160" s="11">
        <f>H1159+G1160</f>
        <v/>
      </c>
    </row>
    <row r="1161">
      <c r="A1161" s="9" t="n">
        <v>1157</v>
      </c>
      <c r="B1161" s="9" t="inlineStr">
        <is>
          <t>Vanguard_M15</t>
        </is>
      </c>
      <c r="C1161" s="9" t="inlineStr">
        <is>
          <t>Trendline breakout (fractal swing line) + VWAP/S-R distance gate - M15 chart</t>
        </is>
      </c>
      <c r="D1161" s="9" t="inlineStr">
        <is>
          <t>Short</t>
        </is>
      </c>
      <c r="E1161" s="10" t="n">
        <v>46223.65625</v>
      </c>
      <c r="F1161" s="10" t="n">
        <v>46224.17708333334</v>
      </c>
      <c r="G1161" s="11" t="n">
        <v>-22.54</v>
      </c>
      <c r="H1161" s="11">
        <f>H1160+G1161</f>
        <v/>
      </c>
    </row>
    <row r="1162">
      <c r="A1162" s="9" t="n">
        <v>1158</v>
      </c>
      <c r="B1162" s="9" t="inlineStr">
        <is>
          <t>Ratchet</t>
        </is>
      </c>
      <c r="C1162" s="9" t="inlineStr">
        <is>
          <t>Stochastic scalp with give-back trail exit</t>
        </is>
      </c>
      <c r="D1162" s="9" t="inlineStr">
        <is>
          <t>Long</t>
        </is>
      </c>
      <c r="E1162" s="10" t="n">
        <v>46224.25694444445</v>
      </c>
      <c r="F1162" s="10" t="n">
        <v>46224.27777777778</v>
      </c>
      <c r="G1162" s="11" t="n">
        <v>1.91</v>
      </c>
      <c r="H1162" s="11">
        <f>H1161+G1162</f>
        <v/>
      </c>
    </row>
    <row r="1163">
      <c r="A1163" s="9" t="n">
        <v>1159</v>
      </c>
      <c r="B1163" s="9" t="inlineStr">
        <is>
          <t>Ratchet</t>
        </is>
      </c>
      <c r="C1163" s="9" t="inlineStr">
        <is>
          <t>Stochastic scalp with give-back trail exit</t>
        </is>
      </c>
      <c r="D1163" s="9" t="inlineStr">
        <is>
          <t>Long</t>
        </is>
      </c>
      <c r="E1163" s="10" t="n">
        <v>46224.28819444445</v>
      </c>
      <c r="F1163" s="10" t="n">
        <v>46224.29861111111</v>
      </c>
      <c r="G1163" s="11" t="n">
        <v>0.8100000000000001</v>
      </c>
      <c r="H1163" s="11">
        <f>H1162+G1163</f>
        <v/>
      </c>
    </row>
    <row r="1164">
      <c r="A1164" s="9" t="n">
        <v>1160</v>
      </c>
      <c r="B1164" s="9" t="inlineStr">
        <is>
          <t>Meridian</t>
        </is>
      </c>
      <c r="C1164" s="9" t="inlineStr">
        <is>
          <t>21/50 MA cross, 250-period confirm filter, VWAP</t>
        </is>
      </c>
      <c r="D1164" s="9" t="inlineStr">
        <is>
          <t>Long</t>
        </is>
      </c>
      <c r="E1164" s="10" t="n">
        <v>46224.13888888889</v>
      </c>
      <c r="F1164" s="10" t="n">
        <v>46224.59375</v>
      </c>
      <c r="G1164" s="11" t="n">
        <v>42.42</v>
      </c>
      <c r="H1164" s="11">
        <f>H1163+G1164</f>
        <v/>
      </c>
    </row>
    <row r="1165">
      <c r="A1165" s="9" t="n">
        <v>1161</v>
      </c>
      <c r="B1165" s="9" t="inlineStr">
        <is>
          <t>Ratchet</t>
        </is>
      </c>
      <c r="C1165" s="9" t="inlineStr">
        <is>
          <t>Stochastic scalp with give-back trail exit</t>
        </is>
      </c>
      <c r="D1165" s="9" t="inlineStr">
        <is>
          <t>Long</t>
        </is>
      </c>
      <c r="E1165" s="10" t="n">
        <v>46224.75694444445</v>
      </c>
      <c r="F1165" s="10" t="n">
        <v>46224.78125</v>
      </c>
      <c r="G1165" s="11" t="n">
        <v>3.52</v>
      </c>
      <c r="H1165" s="11">
        <f>H1164+G1165</f>
        <v/>
      </c>
    </row>
    <row r="1166">
      <c r="A1166" s="9" t="n">
        <v>1162</v>
      </c>
      <c r="B1166" s="9" t="inlineStr">
        <is>
          <t>Aurelius_M5</t>
        </is>
      </c>
      <c r="C1166" s="9" t="inlineStr">
        <is>
          <t>MA alignment (EMA21&gt;EMA50&gt;SMA250&gt;SMMA500 vs EMA2400 trend filter)</t>
        </is>
      </c>
      <c r="D1166" s="9" t="inlineStr">
        <is>
          <t>Long</t>
        </is>
      </c>
      <c r="E1166" s="10" t="n">
        <v>46224.89583333334</v>
      </c>
      <c r="F1166" s="10" t="n">
        <v>46225.04166666666</v>
      </c>
      <c r="G1166" s="11" t="n">
        <v>-6.32</v>
      </c>
      <c r="H1166" s="11">
        <f>H1165+G1166</f>
        <v/>
      </c>
    </row>
    <row r="1167">
      <c r="A1167" s="9" t="n">
        <v>1163</v>
      </c>
      <c r="B1167" s="9" t="inlineStr">
        <is>
          <t>Ratchet</t>
        </is>
      </c>
      <c r="C1167" s="9" t="inlineStr">
        <is>
          <t>Stochastic scalp with give-back trail exit</t>
        </is>
      </c>
      <c r="D1167" s="9" t="inlineStr">
        <is>
          <t>Long</t>
        </is>
      </c>
      <c r="E1167" s="10" t="n">
        <v>46225.06944444445</v>
      </c>
      <c r="F1167" s="10" t="n">
        <v>46225.07638888889</v>
      </c>
      <c r="G1167" s="11" t="n">
        <v>-3.98</v>
      </c>
      <c r="H1167" s="11">
        <f>H1166+G1167</f>
        <v/>
      </c>
    </row>
    <row r="1168">
      <c r="A1168" s="9" t="n">
        <v>1164</v>
      </c>
      <c r="B1168" s="9" t="inlineStr">
        <is>
          <t>Ratchet</t>
        </is>
      </c>
      <c r="C1168" s="9" t="inlineStr">
        <is>
          <t>Stochastic scalp with give-back trail exit</t>
        </is>
      </c>
      <c r="D1168" s="9" t="inlineStr">
        <is>
          <t>Long</t>
        </is>
      </c>
      <c r="E1168" s="10" t="n">
        <v>46225.12847222222</v>
      </c>
      <c r="F1168" s="10" t="n">
        <v>46225.40625</v>
      </c>
      <c r="G1168" s="11" t="n">
        <v>35.62</v>
      </c>
      <c r="H1168" s="11">
        <f>H1167+G1168</f>
        <v/>
      </c>
    </row>
    <row r="1169">
      <c r="A1169" s="9" t="n">
        <v>1165</v>
      </c>
      <c r="B1169" s="9" t="inlineStr">
        <is>
          <t>Aurelius_M5</t>
        </is>
      </c>
      <c r="C1169" s="9" t="inlineStr">
        <is>
          <t>MA alignment (EMA21&gt;EMA50&gt;SMA250&gt;SMMA500 vs EMA2400 trend filter)</t>
        </is>
      </c>
      <c r="D1169" s="9" t="inlineStr">
        <is>
          <t>Long</t>
        </is>
      </c>
      <c r="E1169" s="10" t="n">
        <v>46225.125</v>
      </c>
      <c r="F1169" s="10" t="n">
        <v>46225.41666666666</v>
      </c>
      <c r="G1169" s="11" t="n">
        <v>35.53</v>
      </c>
      <c r="H1169" s="11">
        <f>H1168+G1169</f>
        <v/>
      </c>
    </row>
    <row r="1170">
      <c r="A1170" s="9" t="n">
        <v>1166</v>
      </c>
      <c r="B1170" s="9" t="inlineStr">
        <is>
          <t>Meridian</t>
        </is>
      </c>
      <c r="C1170" s="9" t="inlineStr">
        <is>
          <t>21/50 MA cross, 250-period confirm filter, VWAP</t>
        </is>
      </c>
      <c r="D1170" s="9" t="inlineStr">
        <is>
          <t>Long</t>
        </is>
      </c>
      <c r="E1170" s="10" t="n">
        <v>46225.60763888889</v>
      </c>
      <c r="F1170" s="10" t="n">
        <v>46225.61111111111</v>
      </c>
      <c r="G1170" s="11" t="n">
        <v>-7.44</v>
      </c>
      <c r="H1170" s="11">
        <f>H1169+G1170</f>
        <v/>
      </c>
    </row>
    <row r="1171">
      <c r="A1171" s="9" t="n">
        <v>1167</v>
      </c>
      <c r="B1171" s="9" t="inlineStr">
        <is>
          <t>Aurelius_M15</t>
        </is>
      </c>
      <c r="C1171" s="9" t="inlineStr">
        <is>
          <t>MA alignment (EMA21&gt;EMA50&gt;SMA250&gt;SMMA500 vs EMA2400 trend filter) - M15 chart</t>
        </is>
      </c>
      <c r="D1171" s="9" t="inlineStr">
        <is>
          <t>Long</t>
        </is>
      </c>
      <c r="E1171" s="10" t="n">
        <v>46225.64583333334</v>
      </c>
      <c r="F1171" s="10" t="n">
        <v>46225.65625</v>
      </c>
      <c r="G1171" s="11" t="n">
        <v>-15.63</v>
      </c>
      <c r="H1171" s="11">
        <f>H1170+G1171</f>
        <v/>
      </c>
    </row>
    <row r="1172">
      <c r="A1172" s="9" t="n">
        <v>1168</v>
      </c>
      <c r="B1172" s="9" t="inlineStr">
        <is>
          <t>Meridian</t>
        </is>
      </c>
      <c r="C1172" s="9" t="inlineStr">
        <is>
          <t>21/50 MA cross, 250-period confirm filter, VWAP</t>
        </is>
      </c>
      <c r="D1172" s="9" t="inlineStr">
        <is>
          <t>Long</t>
        </is>
      </c>
      <c r="E1172" s="10" t="n">
        <v>46225.62152777778</v>
      </c>
      <c r="F1172" s="10" t="n">
        <v>46225.66319444445</v>
      </c>
      <c r="G1172" s="11" t="n">
        <v>-8.449999999999999</v>
      </c>
      <c r="H1172" s="11">
        <f>H1171+G1172</f>
        <v/>
      </c>
    </row>
    <row r="1173">
      <c r="A1173" s="9" t="n">
        <v>1169</v>
      </c>
      <c r="B1173" s="9" t="inlineStr">
        <is>
          <t>Ratchet</t>
        </is>
      </c>
      <c r="C1173" s="9" t="inlineStr">
        <is>
          <t>Stochastic scalp with give-back trail exit</t>
        </is>
      </c>
      <c r="D1173" s="9" t="inlineStr">
        <is>
          <t>Long</t>
        </is>
      </c>
      <c r="E1173" s="10" t="n">
        <v>46225.75</v>
      </c>
      <c r="F1173" s="10" t="n">
        <v>46225.79861111111</v>
      </c>
      <c r="G1173" s="11" t="n">
        <v>4.7</v>
      </c>
      <c r="H1173" s="11">
        <f>H1172+G1173</f>
        <v/>
      </c>
    </row>
    <row r="1174">
      <c r="A1174" s="9" t="n">
        <v>1170</v>
      </c>
      <c r="B1174" s="9" t="inlineStr">
        <is>
          <t>Aurelius_M5</t>
        </is>
      </c>
      <c r="C1174" s="9" t="inlineStr">
        <is>
          <t>MA alignment (EMA21&gt;EMA50&gt;SMA250&gt;SMMA500 vs EMA2400 trend filter)</t>
        </is>
      </c>
      <c r="D1174" s="9" t="inlineStr">
        <is>
          <t>Long</t>
        </is>
      </c>
      <c r="E1174" s="10" t="n">
        <v>46225.69097222222</v>
      </c>
      <c r="F1174" s="10" t="n">
        <v>46225.83680555555</v>
      </c>
      <c r="G1174" s="11" t="n">
        <v>4.53</v>
      </c>
      <c r="H1174" s="11">
        <f>H1173+G1174</f>
        <v/>
      </c>
    </row>
    <row r="1175">
      <c r="A1175" s="9" t="n">
        <v>1171</v>
      </c>
      <c r="B1175" s="9" t="inlineStr">
        <is>
          <t>Aurelius_M15</t>
        </is>
      </c>
      <c r="C1175" s="9" t="inlineStr">
        <is>
          <t>MA alignment (EMA21&gt;EMA50&gt;SMA250&gt;SMMA500 vs EMA2400 trend filter) - M15 chart</t>
        </is>
      </c>
      <c r="D1175" s="9" t="inlineStr">
        <is>
          <t>Long</t>
        </is>
      </c>
      <c r="E1175" s="10" t="n">
        <v>46225.70833333334</v>
      </c>
      <c r="F1175" s="10" t="n">
        <v>46225.89583333334</v>
      </c>
      <c r="G1175" s="11" t="n">
        <v>-22.31</v>
      </c>
      <c r="H1175" s="11">
        <f>H1174+G1175</f>
        <v/>
      </c>
    </row>
    <row r="1176">
      <c r="A1176" s="9" t="n">
        <v>1172</v>
      </c>
      <c r="B1176" s="9" t="inlineStr">
        <is>
          <t>Meridian</t>
        </is>
      </c>
      <c r="C1176" s="9" t="inlineStr">
        <is>
          <t>21/50 MA cross, 250-period confirm filter, VWAP</t>
        </is>
      </c>
      <c r="D1176" s="9" t="inlineStr">
        <is>
          <t>Long</t>
        </is>
      </c>
      <c r="E1176" s="10" t="n">
        <v>46226.18055555555</v>
      </c>
      <c r="F1176" s="10" t="n">
        <v>46226.19097222222</v>
      </c>
      <c r="G1176" s="11" t="n">
        <v>-11.5</v>
      </c>
      <c r="H1176" s="11">
        <f>H1175+G1176</f>
        <v/>
      </c>
    </row>
    <row r="1177">
      <c r="A1177" s="9" t="n">
        <v>1173</v>
      </c>
      <c r="B1177" s="9" t="inlineStr">
        <is>
          <t>Meridian</t>
        </is>
      </c>
      <c r="C1177" s="9" t="inlineStr">
        <is>
          <t>21/50 MA cross, 250-period confirm filter, VWAP</t>
        </is>
      </c>
      <c r="D1177" s="9" t="inlineStr">
        <is>
          <t>Short</t>
        </is>
      </c>
      <c r="E1177" s="10" t="n">
        <v>46226.20138888889</v>
      </c>
      <c r="F1177" s="10" t="n">
        <v>46226.28125</v>
      </c>
      <c r="G1177" s="11" t="n">
        <v>-7.65</v>
      </c>
      <c r="H1177" s="11">
        <f>H1176+G1177</f>
        <v/>
      </c>
    </row>
    <row r="1178">
      <c r="A1178" s="9" t="n">
        <v>1174</v>
      </c>
      <c r="B1178" s="9" t="inlineStr">
        <is>
          <t>Meridian</t>
        </is>
      </c>
      <c r="C1178" s="9" t="inlineStr">
        <is>
          <t>21/50 MA cross, 250-period confirm filter, VWAP</t>
        </is>
      </c>
      <c r="D1178" s="9" t="inlineStr">
        <is>
          <t>Short</t>
        </is>
      </c>
      <c r="E1178" s="10" t="n">
        <v>46226.28472222222</v>
      </c>
      <c r="F1178" s="10" t="n">
        <v>46226.3125</v>
      </c>
      <c r="G1178" s="11" t="n">
        <v>-4.33</v>
      </c>
      <c r="H1178" s="11">
        <f>H1177+G1178</f>
        <v/>
      </c>
    </row>
    <row r="1179">
      <c r="A1179" s="9" t="n">
        <v>1175</v>
      </c>
      <c r="B1179" s="9" t="inlineStr">
        <is>
          <t>Ratchet</t>
        </is>
      </c>
      <c r="C1179" s="9" t="inlineStr">
        <is>
          <t>Stochastic scalp with give-back trail exit</t>
        </is>
      </c>
      <c r="D1179" s="9" t="inlineStr">
        <is>
          <t>Short</t>
        </is>
      </c>
      <c r="E1179" s="10" t="n">
        <v>46226.69791666666</v>
      </c>
      <c r="F1179" s="10" t="n">
        <v>46226.70138888889</v>
      </c>
      <c r="G1179" s="11" t="n">
        <v>-0</v>
      </c>
      <c r="H1179" s="11">
        <f>H1178+G1179</f>
        <v/>
      </c>
    </row>
    <row r="1180">
      <c r="A1180" s="9" t="n">
        <v>1176</v>
      </c>
      <c r="B1180" s="9" t="inlineStr">
        <is>
          <t>Ratchet</t>
        </is>
      </c>
      <c r="C1180" s="9" t="inlineStr">
        <is>
          <t>Stochastic scalp with give-back trail exit</t>
        </is>
      </c>
      <c r="D1180" s="9" t="inlineStr">
        <is>
          <t>Short</t>
        </is>
      </c>
      <c r="E1180" s="10" t="n">
        <v>46226.76041666666</v>
      </c>
      <c r="F1180" s="10" t="n">
        <v>46226.77430555555</v>
      </c>
      <c r="G1180" s="11" t="n">
        <v>1.56</v>
      </c>
      <c r="H1180" s="11">
        <f>H1179+G1180</f>
        <v/>
      </c>
    </row>
    <row r="1181">
      <c r="A1181" s="9" t="n">
        <v>1177</v>
      </c>
      <c r="B1181" s="9" t="inlineStr">
        <is>
          <t>Ratchet</t>
        </is>
      </c>
      <c r="C1181" s="9" t="inlineStr">
        <is>
          <t>Stochastic scalp with give-back trail exit</t>
        </is>
      </c>
      <c r="D1181" s="9" t="inlineStr">
        <is>
          <t>Short</t>
        </is>
      </c>
      <c r="E1181" s="10" t="n">
        <v>46226.78125</v>
      </c>
      <c r="F1181" s="10" t="n">
        <v>46226.89583333334</v>
      </c>
      <c r="G1181" s="11" t="n">
        <v>1.8</v>
      </c>
      <c r="H1181" s="11">
        <f>H1180+G1181</f>
        <v/>
      </c>
    </row>
    <row r="1182">
      <c r="A1182" s="9" t="n">
        <v>1178</v>
      </c>
      <c r="B1182" s="9" t="inlineStr">
        <is>
          <t>Ratchet</t>
        </is>
      </c>
      <c r="C1182" s="9" t="inlineStr">
        <is>
          <t>Stochastic scalp with give-back trail exit</t>
        </is>
      </c>
      <c r="D1182" s="9" t="inlineStr">
        <is>
          <t>Short</t>
        </is>
      </c>
      <c r="E1182" s="10" t="n">
        <v>46226.92708333334</v>
      </c>
      <c r="F1182" s="10" t="n">
        <v>46226.93055555555</v>
      </c>
      <c r="G1182" s="11" t="n">
        <v>-4.8</v>
      </c>
      <c r="H1182" s="11">
        <f>H1181+G1182</f>
        <v/>
      </c>
    </row>
    <row r="1183">
      <c r="A1183" s="9" t="n">
        <v>1179</v>
      </c>
      <c r="B1183" s="9" t="inlineStr">
        <is>
          <t>Meridian</t>
        </is>
      </c>
      <c r="C1183" s="9" t="inlineStr">
        <is>
          <t>21/50 MA cross, 250-period confirm filter, VWAP</t>
        </is>
      </c>
      <c r="D1183" s="9" t="inlineStr">
        <is>
          <t>Short</t>
        </is>
      </c>
      <c r="E1183" s="10" t="n">
        <v>46226.32291666666</v>
      </c>
      <c r="F1183" s="10" t="n">
        <v>46227.05902777778</v>
      </c>
      <c r="G1183" s="11" t="n">
        <v>72.86</v>
      </c>
      <c r="H1183" s="11">
        <f>H1182+G1183</f>
        <v/>
      </c>
    </row>
    <row r="1184">
      <c r="A1184" s="9" t="n">
        <v>1180</v>
      </c>
      <c r="B1184" s="9" t="inlineStr">
        <is>
          <t>Aurelius_M5</t>
        </is>
      </c>
      <c r="C1184" s="9" t="inlineStr">
        <is>
          <t>MA alignment (EMA21&gt;EMA50&gt;SMA250&gt;SMMA500 vs EMA2400 trend filter)</t>
        </is>
      </c>
      <c r="D1184" s="9" t="inlineStr">
        <is>
          <t>Short</t>
        </is>
      </c>
      <c r="E1184" s="10" t="n">
        <v>46227.17708333334</v>
      </c>
      <c r="F1184" s="10" t="n">
        <v>46227.19444444445</v>
      </c>
      <c r="G1184" s="11" t="n">
        <v>-7.8</v>
      </c>
      <c r="H1184" s="11">
        <f>H1183+G1184</f>
        <v/>
      </c>
    </row>
    <row r="1185">
      <c r="A1185" s="9" t="n">
        <v>1181</v>
      </c>
      <c r="B1185" s="9" t="inlineStr">
        <is>
          <t>Ratchet</t>
        </is>
      </c>
      <c r="C1185" s="9" t="inlineStr">
        <is>
          <t>Stochastic scalp with give-back trail exit</t>
        </is>
      </c>
      <c r="D1185" s="9" t="inlineStr">
        <is>
          <t>Short</t>
        </is>
      </c>
      <c r="E1185" s="10" t="n">
        <v>46227.17708333334</v>
      </c>
      <c r="F1185" s="10" t="n">
        <v>46227.19444444445</v>
      </c>
      <c r="G1185" s="11" t="n">
        <v>-6.53</v>
      </c>
      <c r="H1185" s="11">
        <f>H1184+G1185</f>
        <v/>
      </c>
    </row>
    <row r="1186">
      <c r="A1186" s="9" t="n">
        <v>1182</v>
      </c>
      <c r="B1186" s="9" t="inlineStr">
        <is>
          <t>Ratchet</t>
        </is>
      </c>
      <c r="C1186" s="9" t="inlineStr">
        <is>
          <t>Stochastic scalp with give-back trail exit</t>
        </is>
      </c>
      <c r="D1186" s="9" t="inlineStr">
        <is>
          <t>Short</t>
        </is>
      </c>
      <c r="E1186" s="10" t="n">
        <v>46227.21180555555</v>
      </c>
      <c r="F1186" s="10" t="n">
        <v>46227.25</v>
      </c>
      <c r="G1186" s="11" t="n">
        <v>17.61</v>
      </c>
      <c r="H1186" s="11">
        <f>H1185+G1186</f>
        <v/>
      </c>
    </row>
    <row r="1187">
      <c r="A1187" s="9" t="n">
        <v>1183</v>
      </c>
      <c r="B1187" s="9" t="inlineStr">
        <is>
          <t>Ratchet</t>
        </is>
      </c>
      <c r="C1187" s="9" t="inlineStr">
        <is>
          <t>Stochastic scalp with give-back trail exit</t>
        </is>
      </c>
      <c r="D1187" s="9" t="inlineStr">
        <is>
          <t>Short</t>
        </is>
      </c>
      <c r="E1187" s="10" t="n">
        <v>46227.34375</v>
      </c>
      <c r="F1187" s="10" t="n">
        <v>46227.34722222222</v>
      </c>
      <c r="G1187" s="11" t="n">
        <v>0.9</v>
      </c>
      <c r="H1187" s="11">
        <f>H1186+G1187</f>
        <v/>
      </c>
    </row>
    <row r="1188">
      <c r="A1188" s="9" t="n">
        <v>1184</v>
      </c>
      <c r="B1188" s="9" t="inlineStr">
        <is>
          <t>Ratchet</t>
        </is>
      </c>
      <c r="C1188" s="9" t="inlineStr">
        <is>
          <t>Stochastic scalp with give-back trail exit</t>
        </is>
      </c>
      <c r="D1188" s="9" t="inlineStr">
        <is>
          <t>Short</t>
        </is>
      </c>
      <c r="E1188" s="10" t="n">
        <v>46227.36458333334</v>
      </c>
      <c r="F1188" s="10" t="n">
        <v>46227.375</v>
      </c>
      <c r="G1188" s="11" t="n">
        <v>-0</v>
      </c>
      <c r="H1188" s="11">
        <f>H1187+G1188</f>
        <v/>
      </c>
    </row>
    <row r="1189">
      <c r="A1189" s="9" t="n">
        <v>1185</v>
      </c>
      <c r="B1189" s="9" t="inlineStr">
        <is>
          <t>Aurelius_M5</t>
        </is>
      </c>
      <c r="C1189" s="9" t="inlineStr">
        <is>
          <t>MA alignment (EMA21&gt;EMA50&gt;SMA250&gt;SMMA500 vs EMA2400 trend filter)</t>
        </is>
      </c>
      <c r="D1189" s="9" t="inlineStr">
        <is>
          <t>Short</t>
        </is>
      </c>
      <c r="E1189" s="10" t="n">
        <v>46227.22569444445</v>
      </c>
      <c r="F1189" s="10" t="n">
        <v>46227.40972222222</v>
      </c>
      <c r="G1189" s="11" t="n">
        <v>11.96</v>
      </c>
      <c r="H1189" s="11">
        <f>H1188+G1189</f>
        <v/>
      </c>
    </row>
    <row r="1190">
      <c r="A1190" s="9" t="n">
        <v>1186</v>
      </c>
      <c r="B1190" s="9" t="inlineStr">
        <is>
          <t>Meridian</t>
        </is>
      </c>
      <c r="C1190" s="9" t="inlineStr">
        <is>
          <t>21/50 MA cross, 250-period confirm filter, VWAP</t>
        </is>
      </c>
      <c r="D1190" s="9" t="inlineStr">
        <is>
          <t>Short</t>
        </is>
      </c>
      <c r="E1190" s="10" t="n">
        <v>46227.12152777778</v>
      </c>
      <c r="F1190" s="10" t="n">
        <v>46227.42361111111</v>
      </c>
      <c r="G1190" s="11" t="n">
        <v>1.62</v>
      </c>
      <c r="H1190" s="11">
        <f>H1189+G1190</f>
        <v/>
      </c>
    </row>
    <row r="1191">
      <c r="A1191" s="9" t="n">
        <v>1187</v>
      </c>
      <c r="B1191" s="9" t="inlineStr">
        <is>
          <t>Meridian</t>
        </is>
      </c>
      <c r="C1191" s="9" t="inlineStr">
        <is>
          <t>21/50 MA cross, 250-period confirm filter, VWAP</t>
        </is>
      </c>
      <c r="D1191" s="9" t="inlineStr">
        <is>
          <t>Long</t>
        </is>
      </c>
      <c r="E1191" s="10" t="n">
        <v>46227.70833333334</v>
      </c>
      <c r="F1191" s="10" t="n">
        <v>46227.88888888889</v>
      </c>
      <c r="G1191" s="11" t="n">
        <v>-7.33</v>
      </c>
      <c r="H1191" s="11">
        <f>H1190+G1191</f>
        <v/>
      </c>
    </row>
    <row r="1192">
      <c r="A1192" s="9" t="n">
        <v>1188</v>
      </c>
      <c r="B1192" s="9" t="inlineStr">
        <is>
          <t>Ratchet</t>
        </is>
      </c>
      <c r="C1192" s="9" t="inlineStr">
        <is>
          <t>Stochastic scalp with give-back trail exit</t>
        </is>
      </c>
      <c r="D1192" s="9" t="inlineStr">
        <is>
          <t>Long</t>
        </is>
      </c>
      <c r="E1192" s="10" t="n">
        <v>46230.40625</v>
      </c>
      <c r="F1192" s="10" t="n">
        <v>46230.44097222222</v>
      </c>
      <c r="G1192" s="11" t="n">
        <v>1.77</v>
      </c>
      <c r="H1192" s="11">
        <f>H1191+G1192</f>
        <v/>
      </c>
    </row>
    <row r="1193">
      <c r="A1193" s="9" t="n">
        <v>1189</v>
      </c>
      <c r="B1193" s="9" t="inlineStr">
        <is>
          <t>Meridian</t>
        </is>
      </c>
      <c r="C1193" s="9" t="inlineStr">
        <is>
          <t>21/50 MA cross, 250-period confirm filter, VWAP</t>
        </is>
      </c>
      <c r="D1193" s="9" t="inlineStr">
        <is>
          <t>Long</t>
        </is>
      </c>
      <c r="E1193" s="10" t="n">
        <v>46230.53819444445</v>
      </c>
      <c r="F1193" s="10" t="n">
        <v>46230.54861111111</v>
      </c>
      <c r="G1193" s="11" t="n">
        <v>-8.039999999999999</v>
      </c>
      <c r="H1193" s="11">
        <f>H1192+G1193</f>
        <v/>
      </c>
    </row>
    <row r="1194">
      <c r="A1194" s="9" t="n">
        <v>1190</v>
      </c>
      <c r="B1194" s="9" t="inlineStr">
        <is>
          <t>Ratchet</t>
        </is>
      </c>
      <c r="C1194" s="9" t="inlineStr">
        <is>
          <t>Stochastic scalp with give-back trail exit</t>
        </is>
      </c>
      <c r="D1194" s="9" t="inlineStr">
        <is>
          <t>Long</t>
        </is>
      </c>
      <c r="E1194" s="10" t="n">
        <v>46230.53819444445</v>
      </c>
      <c r="F1194" s="10" t="n">
        <v>46230.54861111111</v>
      </c>
      <c r="G1194" s="11" t="n">
        <v>-5.37</v>
      </c>
      <c r="H1194" s="11">
        <f>H1193+G1194</f>
        <v/>
      </c>
    </row>
    <row r="1195">
      <c r="A1195" s="9" t="n">
        <v>1191</v>
      </c>
      <c r="B1195" s="9" t="inlineStr">
        <is>
          <t>Meridian</t>
        </is>
      </c>
      <c r="C1195" s="9" t="inlineStr">
        <is>
          <t>21/50 MA cross, 250-period confirm filter, VWAP</t>
        </is>
      </c>
      <c r="D1195" s="9" t="inlineStr">
        <is>
          <t>Long</t>
        </is>
      </c>
      <c r="E1195" s="10" t="n">
        <v>46230.56944444445</v>
      </c>
      <c r="F1195" s="10" t="n">
        <v>46230.63194444445</v>
      </c>
      <c r="G1195" s="11" t="n">
        <v>-8.300000000000001</v>
      </c>
      <c r="H1195" s="11">
        <f>H1194+G1195</f>
        <v/>
      </c>
    </row>
    <row r="1196">
      <c r="A1196" s="9" t="n">
        <v>1192</v>
      </c>
      <c r="B1196" s="9" t="inlineStr">
        <is>
          <t>Aurelius_M5</t>
        </is>
      </c>
      <c r="C1196" s="9" t="inlineStr">
        <is>
          <t>MA alignment (EMA21&gt;EMA50&gt;SMA250&gt;SMMA500 vs EMA2400 trend filter)</t>
        </is>
      </c>
      <c r="D1196" s="9" t="inlineStr">
        <is>
          <t>Long</t>
        </is>
      </c>
      <c r="E1196" s="10" t="n">
        <v>46230.60763888889</v>
      </c>
      <c r="F1196" s="10" t="n">
        <v>46230.63194444445</v>
      </c>
      <c r="G1196" s="11" t="n">
        <v>-8.52</v>
      </c>
      <c r="H1196" s="11">
        <f>H1195+G1196</f>
        <v/>
      </c>
    </row>
    <row r="1197">
      <c r="A1197" s="9" t="n">
        <v>1193</v>
      </c>
      <c r="B1197" s="9" t="inlineStr">
        <is>
          <t>Meridian</t>
        </is>
      </c>
      <c r="C1197" s="9" t="inlineStr">
        <is>
          <t>21/50 MA cross, 250-period confirm filter, VWAP</t>
        </is>
      </c>
      <c r="D1197" s="9" t="inlineStr">
        <is>
          <t>Short</t>
        </is>
      </c>
      <c r="E1197" s="10" t="n">
        <v>46230.63888888889</v>
      </c>
      <c r="F1197" s="10" t="n">
        <v>46230.81597222222</v>
      </c>
      <c r="G1197" s="11" t="n">
        <v>-9.51</v>
      </c>
      <c r="H1197" s="11">
        <f>H1196+G1197</f>
        <v/>
      </c>
    </row>
    <row r="1198">
      <c r="A1198" s="9" t="n">
        <v>1194</v>
      </c>
      <c r="B1198" s="9" t="inlineStr">
        <is>
          <t>Meridian</t>
        </is>
      </c>
      <c r="C1198" s="9" t="inlineStr">
        <is>
          <t>21/50 MA cross, 250-period confirm filter, VWAP</t>
        </is>
      </c>
      <c r="D1198" s="9" t="inlineStr">
        <is>
          <t>Short</t>
        </is>
      </c>
      <c r="E1198" s="10" t="n">
        <v>46230.83680555555</v>
      </c>
      <c r="F1198" s="10" t="n">
        <v>46230.93055555555</v>
      </c>
      <c r="G1198" s="11" t="n">
        <v>-10.74</v>
      </c>
      <c r="H1198" s="11">
        <f>H1197+G1198</f>
        <v/>
      </c>
    </row>
    <row r="1199">
      <c r="A1199" s="9" t="n">
        <v>1195</v>
      </c>
      <c r="B1199" s="9" t="inlineStr">
        <is>
          <t>Meridian</t>
        </is>
      </c>
      <c r="C1199" s="9" t="inlineStr">
        <is>
          <t>21/50 MA cross, 250-period confirm filter, VWAP</t>
        </is>
      </c>
      <c r="D1199" s="9" t="inlineStr">
        <is>
          <t>Short</t>
        </is>
      </c>
      <c r="E1199" s="10" t="n">
        <v>46230.99652777778</v>
      </c>
      <c r="F1199" s="10" t="n">
        <v>46231.04166666666</v>
      </c>
      <c r="G1199" s="11" t="n">
        <v>-5.81</v>
      </c>
      <c r="H1199" s="11">
        <f>H1198+G1199</f>
        <v/>
      </c>
    </row>
    <row r="1200">
      <c r="A1200" s="9" t="n">
        <v>1196</v>
      </c>
      <c r="B1200" s="9" t="inlineStr">
        <is>
          <t>Ratchet</t>
        </is>
      </c>
      <c r="C1200" s="9" t="inlineStr">
        <is>
          <t>Stochastic scalp with give-back trail exit</t>
        </is>
      </c>
      <c r="D1200" s="9" t="inlineStr">
        <is>
          <t>Short</t>
        </is>
      </c>
      <c r="E1200" s="10" t="n">
        <v>46231.70138888889</v>
      </c>
      <c r="F1200" s="10" t="n">
        <v>46231.70833333334</v>
      </c>
      <c r="G1200" s="11" t="n">
        <v>-0</v>
      </c>
      <c r="H1200" s="11">
        <f>H1199+G1200</f>
        <v/>
      </c>
    </row>
    <row r="1201">
      <c r="A1201" s="9" t="n">
        <v>1197</v>
      </c>
      <c r="B1201" s="9" t="inlineStr">
        <is>
          <t>Ratchet</t>
        </is>
      </c>
      <c r="C1201" s="9" t="inlineStr">
        <is>
          <t>Stochastic scalp with give-back trail exit</t>
        </is>
      </c>
      <c r="D1201" s="9" t="inlineStr">
        <is>
          <t>Short</t>
        </is>
      </c>
      <c r="E1201" s="10" t="n">
        <v>46231.73263888889</v>
      </c>
      <c r="F1201" s="10" t="n">
        <v>46231.75694444445</v>
      </c>
      <c r="G1201" s="11" t="n">
        <v>-11.35</v>
      </c>
      <c r="H1201" s="11">
        <f>H1200+G1201</f>
        <v/>
      </c>
    </row>
    <row r="1202">
      <c r="A1202" s="9" t="n">
        <v>1198</v>
      </c>
      <c r="B1202" s="9" t="inlineStr">
        <is>
          <t>MSG</t>
        </is>
      </c>
      <c r="C1202" s="9" t="inlineStr">
        <is>
          <t>Session-range breakout + Fibonacci retracement-zone entry</t>
        </is>
      </c>
      <c r="D1202" s="9" t="inlineStr">
        <is>
          <t>Short</t>
        </is>
      </c>
      <c r="E1202" s="10" t="n">
        <v>46231.65833333333</v>
      </c>
      <c r="F1202" s="10" t="n">
        <v>46231.75833333333</v>
      </c>
      <c r="G1202" s="11" t="n">
        <v>15.5</v>
      </c>
      <c r="H1202" s="11">
        <f>H1201+G1202</f>
        <v/>
      </c>
    </row>
    <row r="1203">
      <c r="A1203" s="9" t="n">
        <v>1199</v>
      </c>
      <c r="B1203" s="9" t="inlineStr">
        <is>
          <t>Meridian</t>
        </is>
      </c>
      <c r="C1203" s="9" t="inlineStr">
        <is>
          <t>21/50 MA cross, 250-period confirm filter, VWAP</t>
        </is>
      </c>
      <c r="D1203" s="9" t="inlineStr">
        <is>
          <t>Short</t>
        </is>
      </c>
      <c r="E1203" s="10" t="n">
        <v>46231.48611111111</v>
      </c>
      <c r="F1203" s="10" t="n">
        <v>46231.77777777778</v>
      </c>
      <c r="G1203" s="11" t="n">
        <v>5.46</v>
      </c>
      <c r="H1203" s="11">
        <f>H1202+G1203</f>
        <v/>
      </c>
    </row>
    <row r="1204">
      <c r="A1204" s="9" t="n">
        <v>1200</v>
      </c>
      <c r="B1204" s="9" t="inlineStr">
        <is>
          <t>Ratchet</t>
        </is>
      </c>
      <c r="C1204" s="9" t="inlineStr">
        <is>
          <t>Stochastic scalp with give-back trail exit</t>
        </is>
      </c>
      <c r="D1204" s="9" t="inlineStr">
        <is>
          <t>Short</t>
        </is>
      </c>
      <c r="E1204" s="10" t="n">
        <v>46231.96527777778</v>
      </c>
      <c r="F1204" s="10" t="n">
        <v>46231.96875</v>
      </c>
      <c r="G1204" s="11" t="n">
        <v>-3.79</v>
      </c>
      <c r="H1204" s="11">
        <f>H1203+G1204</f>
        <v/>
      </c>
    </row>
    <row r="1205">
      <c r="A1205" s="9" t="n">
        <v>1201</v>
      </c>
      <c r="B1205" s="9" t="inlineStr">
        <is>
          <t>Ratchet</t>
        </is>
      </c>
      <c r="C1205" s="9" t="inlineStr">
        <is>
          <t>Stochastic scalp with give-back trail exit</t>
        </is>
      </c>
      <c r="D1205" s="9" t="inlineStr">
        <is>
          <t>Short</t>
        </is>
      </c>
      <c r="E1205" s="10" t="n">
        <v>46232.10763888889</v>
      </c>
      <c r="F1205" s="10" t="n">
        <v>46232.12152777778</v>
      </c>
      <c r="G1205" s="11" t="n">
        <v>-6.66</v>
      </c>
      <c r="H1205" s="11">
        <f>H1204+G1205</f>
        <v/>
      </c>
    </row>
    <row r="1206">
      <c r="A1206" s="9" t="n">
        <v>1202</v>
      </c>
      <c r="B1206" s="9" t="inlineStr">
        <is>
          <t>Aurelius_M5</t>
        </is>
      </c>
      <c r="C1206" s="9" t="inlineStr">
        <is>
          <t>MA alignment (EMA21&gt;EMA50&gt;SMA250&gt;SMMA500 vs EMA2400 trend filter)</t>
        </is>
      </c>
      <c r="D1206" s="9" t="inlineStr">
        <is>
          <t>Short</t>
        </is>
      </c>
      <c r="E1206" s="10" t="n">
        <v>46232.13194444445</v>
      </c>
      <c r="F1206" s="10" t="n">
        <v>46232.13888888889</v>
      </c>
      <c r="G1206" s="11" t="n">
        <v>-10.12</v>
      </c>
      <c r="H1206" s="11">
        <f>H1205+G1206</f>
        <v/>
      </c>
    </row>
    <row r="1207">
      <c r="A1207" s="9" t="n">
        <v>1203</v>
      </c>
      <c r="B1207" s="9" t="inlineStr">
        <is>
          <t>Meridian</t>
        </is>
      </c>
      <c r="C1207" s="9" t="inlineStr">
        <is>
          <t>21/50 MA cross, 250-period confirm filter, VWAP</t>
        </is>
      </c>
      <c r="D1207" s="9" t="inlineStr">
        <is>
          <t>Short</t>
        </is>
      </c>
      <c r="E1207" s="10" t="n">
        <v>46231.875</v>
      </c>
      <c r="F1207" s="10" t="n">
        <v>46232.21180555555</v>
      </c>
      <c r="G1207" s="11" t="n">
        <v>0.16</v>
      </c>
      <c r="H1207" s="11">
        <f>H1206+G1207</f>
        <v/>
      </c>
    </row>
    <row r="1208">
      <c r="A1208" s="9" t="n">
        <v>1204</v>
      </c>
      <c r="B1208" s="9" t="inlineStr">
        <is>
          <t>Ratchet</t>
        </is>
      </c>
      <c r="C1208" s="9" t="inlineStr">
        <is>
          <t>Stochastic scalp with give-back trail exit</t>
        </is>
      </c>
      <c r="D1208" s="9" t="inlineStr">
        <is>
          <t>Short</t>
        </is>
      </c>
      <c r="E1208" s="10" t="n">
        <v>46232.3125</v>
      </c>
      <c r="F1208" s="10" t="n">
        <v>46232.31944444445</v>
      </c>
      <c r="G1208" s="11" t="n">
        <v>-4</v>
      </c>
      <c r="H1208" s="11">
        <f>H1207+G1208</f>
        <v/>
      </c>
    </row>
    <row r="1209">
      <c r="A1209" s="9" t="n">
        <v>1205</v>
      </c>
      <c r="B1209" s="9" t="inlineStr">
        <is>
          <t>Meridian</t>
        </is>
      </c>
      <c r="C1209" s="9" t="inlineStr">
        <is>
          <t>21/50 MA cross, 250-period confirm filter, VWAP</t>
        </is>
      </c>
      <c r="D1209" s="9" t="inlineStr">
        <is>
          <t>Short</t>
        </is>
      </c>
      <c r="E1209" s="10" t="n">
        <v>46232.30555555555</v>
      </c>
      <c r="F1209" s="10" t="n">
        <v>46232.32291666666</v>
      </c>
      <c r="G1209" s="11" t="n">
        <v>-5.61</v>
      </c>
      <c r="H1209" s="11">
        <f>H1208+G1209</f>
        <v/>
      </c>
    </row>
    <row r="1210">
      <c r="A1210" s="9" t="n">
        <v>1206</v>
      </c>
      <c r="B1210" s="9" t="inlineStr">
        <is>
          <t>Meridian</t>
        </is>
      </c>
      <c r="C1210" s="9" t="inlineStr">
        <is>
          <t>21/50 MA cross, 250-period confirm filter, VWAP</t>
        </is>
      </c>
      <c r="D1210" s="9" t="inlineStr">
        <is>
          <t>Short</t>
        </is>
      </c>
      <c r="E1210" s="10" t="n">
        <v>46232.32638888889</v>
      </c>
      <c r="F1210" s="10" t="n">
        <v>46232.32986111111</v>
      </c>
      <c r="G1210" s="11" t="n">
        <v>-2.89</v>
      </c>
      <c r="H1210" s="11">
        <f>H1209+G1210</f>
        <v/>
      </c>
    </row>
    <row r="1211">
      <c r="A1211" s="9" t="n">
        <v>1207</v>
      </c>
      <c r="B1211" s="9" t="inlineStr">
        <is>
          <t>Ratchet</t>
        </is>
      </c>
      <c r="C1211" s="9" t="inlineStr">
        <is>
          <t>Stochastic scalp with give-back trail exit</t>
        </is>
      </c>
      <c r="D1211" s="9" t="inlineStr">
        <is>
          <t>Short</t>
        </is>
      </c>
      <c r="E1211" s="10" t="n">
        <v>46232.65972222222</v>
      </c>
      <c r="F1211" s="10" t="n">
        <v>46232.68055555555</v>
      </c>
      <c r="G1211" s="11" t="n">
        <v>1.32</v>
      </c>
      <c r="H1211" s="11">
        <f>H1210+G1211</f>
        <v/>
      </c>
    </row>
    <row r="1212">
      <c r="A1212" s="9" t="n">
        <v>1208</v>
      </c>
      <c r="B1212" s="9" t="inlineStr">
        <is>
          <t>Aurelius_M15</t>
        </is>
      </c>
      <c r="C1212" s="9" t="inlineStr">
        <is>
          <t>MA alignment (EMA21&gt;EMA50&gt;SMA250&gt;SMMA500 vs EMA2400 trend filter) - M15 chart</t>
        </is>
      </c>
      <c r="D1212" s="9" t="inlineStr">
        <is>
          <t>Short</t>
        </is>
      </c>
      <c r="E1212" s="10" t="n">
        <v>46232.71875</v>
      </c>
      <c r="F1212" s="10" t="n">
        <v>46232.8125</v>
      </c>
      <c r="G1212" s="11" t="n">
        <v>-18.97</v>
      </c>
      <c r="H1212" s="11">
        <f>H1211+G1212</f>
        <v/>
      </c>
    </row>
    <row r="1213">
      <c r="A1213" s="9" t="n">
        <v>1209</v>
      </c>
      <c r="B1213" s="9" t="inlineStr">
        <is>
          <t>Ratchet</t>
        </is>
      </c>
      <c r="C1213" s="9" t="inlineStr">
        <is>
          <t>Stochastic scalp with give-back trail exit</t>
        </is>
      </c>
      <c r="D1213" s="9" t="inlineStr">
        <is>
          <t>Long</t>
        </is>
      </c>
      <c r="E1213" s="10" t="n">
        <v>46233.05902777778</v>
      </c>
      <c r="F1213" s="10" t="n">
        <v>46233.125</v>
      </c>
      <c r="G1213" s="11" t="n">
        <v>6.33</v>
      </c>
      <c r="H1213" s="11">
        <f>H1212+G1213</f>
        <v/>
      </c>
    </row>
    <row r="1214">
      <c r="A1214" s="9" t="n">
        <v>1210</v>
      </c>
      <c r="B1214" s="9" t="inlineStr">
        <is>
          <t>Meridian</t>
        </is>
      </c>
      <c r="C1214" s="9" t="inlineStr">
        <is>
          <t>21/50 MA cross, 250-period confirm filter, VWAP</t>
        </is>
      </c>
      <c r="D1214" s="9" t="inlineStr">
        <is>
          <t>Long</t>
        </is>
      </c>
      <c r="E1214" s="10" t="n">
        <v>46232.83333333334</v>
      </c>
      <c r="F1214" s="10" t="n">
        <v>46233.25347222222</v>
      </c>
      <c r="G1214" s="11" t="n">
        <v>41.9</v>
      </c>
      <c r="H1214" s="11">
        <f>H1213+G1214</f>
        <v/>
      </c>
    </row>
    <row r="1215">
      <c r="A1215" s="9" t="n">
        <v>1211</v>
      </c>
      <c r="B1215" s="9" t="inlineStr">
        <is>
          <t>Ratchet</t>
        </is>
      </c>
      <c r="C1215" s="9" t="inlineStr">
        <is>
          <t>Stochastic scalp with give-back trail exit</t>
        </is>
      </c>
      <c r="D1215" s="9" t="inlineStr">
        <is>
          <t>Long</t>
        </is>
      </c>
      <c r="E1215" s="10" t="n">
        <v>46233.53125</v>
      </c>
      <c r="F1215" s="10" t="n">
        <v>46233.53819444445</v>
      </c>
      <c r="G1215" s="11" t="n">
        <v>1.06</v>
      </c>
      <c r="H1215" s="11">
        <f>H1214+G1215</f>
        <v/>
      </c>
    </row>
    <row r="1216">
      <c r="A1216" s="9" t="n">
        <v>1212</v>
      </c>
      <c r="B1216" s="9" t="inlineStr">
        <is>
          <t>Ratchet</t>
        </is>
      </c>
      <c r="C1216" s="9" t="inlineStr">
        <is>
          <t>Stochastic scalp with give-back trail exit</t>
        </is>
      </c>
      <c r="D1216" s="9" t="inlineStr">
        <is>
          <t>Long</t>
        </is>
      </c>
      <c r="E1216" s="10" t="n">
        <v>46233.5625</v>
      </c>
      <c r="F1216" s="10" t="n">
        <v>46233.57638888889</v>
      </c>
      <c r="G1216" s="11" t="n">
        <v>1.33</v>
      </c>
      <c r="H1216" s="11">
        <f>H1215+G1216</f>
        <v/>
      </c>
    </row>
    <row r="1217">
      <c r="A1217" s="9" t="n">
        <v>1213</v>
      </c>
      <c r="B1217" s="9" t="inlineStr">
        <is>
          <t>Ratchet</t>
        </is>
      </c>
      <c r="C1217" s="9" t="inlineStr">
        <is>
          <t>Stochastic scalp with give-back trail exit</t>
        </is>
      </c>
      <c r="D1217" s="9" t="inlineStr">
        <is>
          <t>Long</t>
        </is>
      </c>
      <c r="E1217" s="10" t="n">
        <v>46233.78472222222</v>
      </c>
      <c r="F1217" s="10" t="n">
        <v>46233.81944444445</v>
      </c>
      <c r="G1217" s="11" t="n">
        <v>3.71</v>
      </c>
      <c r="H1217" s="11">
        <f>H1216+G1217</f>
        <v/>
      </c>
    </row>
    <row r="1218">
      <c r="A1218" s="9" t="n">
        <v>1214</v>
      </c>
      <c r="B1218" s="9" t="inlineStr">
        <is>
          <t>Aurelius_M5</t>
        </is>
      </c>
      <c r="C1218" s="9" t="inlineStr">
        <is>
          <t>MA alignment (EMA21&gt;EMA50&gt;SMA250&gt;SMMA500 vs EMA2400 trend filter)</t>
        </is>
      </c>
      <c r="D1218" s="9" t="inlineStr">
        <is>
          <t>Long</t>
        </is>
      </c>
      <c r="E1218" s="10" t="n">
        <v>46233.67361111111</v>
      </c>
      <c r="F1218" s="10" t="n">
        <v>46234.04166666666</v>
      </c>
      <c r="G1218" s="11" t="n">
        <v>30.02</v>
      </c>
      <c r="H1218" s="11">
        <f>H1217+G1218</f>
        <v/>
      </c>
    </row>
    <row r="1219">
      <c r="A1219" s="9" t="n">
        <v>1215</v>
      </c>
      <c r="B1219" s="9" t="inlineStr">
        <is>
          <t>Ratchet</t>
        </is>
      </c>
      <c r="C1219" s="9" t="inlineStr">
        <is>
          <t>Stochastic scalp with give-back trail exit</t>
        </is>
      </c>
      <c r="D1219" s="9" t="inlineStr">
        <is>
          <t>Long</t>
        </is>
      </c>
      <c r="E1219" s="10" t="n">
        <v>46234.07638888889</v>
      </c>
      <c r="F1219" s="10" t="n">
        <v>46234.09375</v>
      </c>
      <c r="G1219" s="11" t="n">
        <v>-4.51</v>
      </c>
      <c r="H1219" s="11">
        <f>H1218+G1219</f>
        <v/>
      </c>
    </row>
    <row r="1220">
      <c r="A1220" s="9" t="n">
        <v>1216</v>
      </c>
      <c r="B1220" s="9" t="inlineStr">
        <is>
          <t>Meridian</t>
        </is>
      </c>
      <c r="C1220" s="9" t="inlineStr">
        <is>
          <t>21/50 MA cross, 250-period confirm filter, VWAP</t>
        </is>
      </c>
      <c r="D1220" s="9" t="inlineStr">
        <is>
          <t>Long</t>
        </is>
      </c>
      <c r="E1220" s="10" t="n">
        <v>46233.47916666666</v>
      </c>
      <c r="F1220" s="10" t="n">
        <v>46234.13194444445</v>
      </c>
      <c r="G1220" s="11" t="n">
        <v>38.42</v>
      </c>
      <c r="H1220" s="11">
        <f>H1219+G1220</f>
        <v/>
      </c>
    </row>
    <row r="1221">
      <c r="A1221" s="9" t="n">
        <v>1217</v>
      </c>
      <c r="B1221" s="9" t="inlineStr">
        <is>
          <t>Aurelius_M15</t>
        </is>
      </c>
      <c r="C1221" s="9" t="inlineStr">
        <is>
          <t>MA alignment (EMA21&gt;EMA50&gt;SMA250&gt;SMMA500 vs EMA2400 trend filter) - M15 chart</t>
        </is>
      </c>
      <c r="D1221" s="9" t="inlineStr">
        <is>
          <t>Long</t>
        </is>
      </c>
      <c r="E1221" s="10" t="n">
        <v>46233.72916666666</v>
      </c>
      <c r="F1221" s="10" t="n">
        <v>46234.19791666666</v>
      </c>
      <c r="G1221" s="11" t="n">
        <v>-10.78</v>
      </c>
      <c r="H1221" s="11">
        <f>H1220+G1221</f>
        <v/>
      </c>
    </row>
    <row r="1222">
      <c r="A1222" s="9" t="n">
        <v>1218</v>
      </c>
      <c r="B1222" s="9" t="inlineStr">
        <is>
          <t>Vanguard_M5</t>
        </is>
      </c>
      <c r="C1222" s="9" t="inlineStr">
        <is>
          <t>Trendline breakout (fractal swing line) + VWAP/S-R distance gate</t>
        </is>
      </c>
      <c r="D1222" s="9" t="inlineStr">
        <is>
          <t>Long</t>
        </is>
      </c>
      <c r="E1222" s="10" t="n">
        <v>46232.83680555555</v>
      </c>
      <c r="F1222" s="10" t="n">
        <v>46234.25</v>
      </c>
      <c r="G1222" s="11" t="n">
        <v>36.29</v>
      </c>
      <c r="H1222" s="11">
        <f>H1221+G1222</f>
        <v/>
      </c>
    </row>
    <row r="1223">
      <c r="A1223" s="9" t="n">
        <v>1219</v>
      </c>
      <c r="B1223" s="9" t="inlineStr">
        <is>
          <t>Vanguard_M15</t>
        </is>
      </c>
      <c r="C1223" s="9" t="inlineStr">
        <is>
          <t>Trendline breakout (fractal swing line) + VWAP/S-R distance gate - M15 chart</t>
        </is>
      </c>
      <c r="D1223" s="9" t="inlineStr">
        <is>
          <t>Long</t>
        </is>
      </c>
      <c r="E1223" s="10" t="n">
        <v>46232.84375</v>
      </c>
      <c r="F1223" s="10" t="n">
        <v>46234.25</v>
      </c>
      <c r="G1223" s="11" t="n">
        <v>31.13</v>
      </c>
      <c r="H1223" s="11">
        <f>H1222+G1223</f>
        <v/>
      </c>
    </row>
    <row r="1224">
      <c r="A1224" s="9" t="n">
        <v>1220</v>
      </c>
      <c r="B1224" s="9" t="inlineStr">
        <is>
          <t>Ratchet</t>
        </is>
      </c>
      <c r="C1224" s="9" t="inlineStr">
        <is>
          <t>Stochastic scalp with give-back trail exit</t>
        </is>
      </c>
      <c r="D1224" s="9" t="inlineStr">
        <is>
          <t>Short</t>
        </is>
      </c>
      <c r="E1224" s="10" t="n">
        <v>46234.67013888889</v>
      </c>
      <c r="F1224" s="10" t="n">
        <v>46234.67708333334</v>
      </c>
      <c r="G1224" s="11" t="n">
        <v>0.91</v>
      </c>
      <c r="H1224" s="11">
        <f>H1223+G1224</f>
        <v/>
      </c>
    </row>
    <row r="1225">
      <c r="A1225" s="9" t="n">
        <v>1221</v>
      </c>
      <c r="B1225" s="9" t="inlineStr">
        <is>
          <t>Meridian</t>
        </is>
      </c>
      <c r="C1225" s="9" t="inlineStr">
        <is>
          <t>21/50 MA cross, 250-period confirm filter, VWAP</t>
        </is>
      </c>
      <c r="D1225" s="9" t="inlineStr">
        <is>
          <t>Short</t>
        </is>
      </c>
      <c r="E1225" s="10" t="n">
        <v>46234.82291666666</v>
      </c>
      <c r="F1225" s="10" t="n">
        <v>46234.85069444445</v>
      </c>
      <c r="G1225" s="11" t="n">
        <v>-5.26</v>
      </c>
      <c r="H1225" s="11">
        <f>H1224+G1225</f>
        <v/>
      </c>
    </row>
    <row r="1226">
      <c r="A1226" s="9" t="n">
        <v>1222</v>
      </c>
      <c r="B1226" s="9" t="inlineStr">
        <is>
          <t>Vanguard_M15</t>
        </is>
      </c>
      <c r="C1226" s="9" t="inlineStr">
        <is>
          <t>Trendline breakout (fractal swing line) + VWAP/S-R distance gate - M15 chart</t>
        </is>
      </c>
      <c r="D1226" s="9" t="inlineStr">
        <is>
          <t>Short</t>
        </is>
      </c>
      <c r="E1226" s="10" t="n">
        <v>46234.26041666666</v>
      </c>
      <c r="F1226" s="10" t="n">
        <v>46237.11458333334</v>
      </c>
      <c r="G1226" s="11" t="n">
        <v>-1.8</v>
      </c>
      <c r="H1226" s="11">
        <f>H1225+G1226</f>
        <v/>
      </c>
    </row>
    <row r="1227">
      <c r="A1227" s="9" t="n">
        <v>1223</v>
      </c>
      <c r="B1227" s="9" t="inlineStr">
        <is>
          <t>Vanguard_M5</t>
        </is>
      </c>
      <c r="C1227" s="9" t="inlineStr">
        <is>
          <t>Trendline breakout (fractal swing line) + VWAP/S-R distance gate</t>
        </is>
      </c>
      <c r="D1227" s="9" t="inlineStr">
        <is>
          <t>Short</t>
        </is>
      </c>
      <c r="E1227" s="10" t="n">
        <v>46234.25347222222</v>
      </c>
      <c r="F1227" s="10" t="n">
        <v>46237.12152777778</v>
      </c>
      <c r="G1227" s="11" t="n">
        <v>-1.83</v>
      </c>
      <c r="H1227" s="11">
        <f>H1226+G1227</f>
        <v/>
      </c>
    </row>
    <row r="1228">
      <c r="A1228" s="9" t="n">
        <v>1224</v>
      </c>
      <c r="B1228" s="9" t="inlineStr">
        <is>
          <t>Meridian</t>
        </is>
      </c>
      <c r="C1228" s="9" t="inlineStr">
        <is>
          <t>21/50 MA cross, 250-period confirm filter, VWAP</t>
        </is>
      </c>
      <c r="D1228" s="9" t="inlineStr">
        <is>
          <t>Short</t>
        </is>
      </c>
      <c r="E1228" s="10" t="n">
        <v>46237.18402777778</v>
      </c>
      <c r="F1228" s="10" t="n">
        <v>46237.23958333334</v>
      </c>
      <c r="G1228" s="11" t="n">
        <v>-13.1</v>
      </c>
      <c r="H1228" s="11">
        <f>H1227+G1228</f>
        <v/>
      </c>
    </row>
    <row r="1229">
      <c r="A1229" s="9" t="n">
        <v>1225</v>
      </c>
      <c r="B1229" s="9" t="inlineStr">
        <is>
          <t>Meridian</t>
        </is>
      </c>
      <c r="C1229" s="9" t="inlineStr">
        <is>
          <t>21/50 MA cross, 250-period confirm filter, VWAP</t>
        </is>
      </c>
      <c r="D1229" s="9" t="inlineStr">
        <is>
          <t>Long</t>
        </is>
      </c>
      <c r="E1229" s="10" t="n">
        <v>46237.25694444445</v>
      </c>
      <c r="F1229" s="10" t="n">
        <v>46237.36111111111</v>
      </c>
      <c r="G1229" s="11" t="n">
        <v>-7.29</v>
      </c>
      <c r="H1229" s="11">
        <f>H1228+G1229</f>
        <v/>
      </c>
    </row>
    <row r="1230">
      <c r="A1230" s="9" t="n">
        <v>1226</v>
      </c>
      <c r="B1230" s="9" t="inlineStr">
        <is>
          <t>Meridian</t>
        </is>
      </c>
      <c r="C1230" s="9" t="inlineStr">
        <is>
          <t>21/50 MA cross, 250-period confirm filter, VWAP</t>
        </is>
      </c>
      <c r="D1230" s="9" t="inlineStr">
        <is>
          <t>Long</t>
        </is>
      </c>
      <c r="E1230" s="10" t="n">
        <v>46237.375</v>
      </c>
      <c r="F1230" s="10" t="n">
        <v>46237.42708333334</v>
      </c>
      <c r="G1230" s="11" t="n">
        <v>-10.64</v>
      </c>
      <c r="H1230" s="11">
        <f>H1229+G1230</f>
        <v/>
      </c>
    </row>
    <row r="1231">
      <c r="A1231" s="9" t="n">
        <v>1227</v>
      </c>
      <c r="B1231" s="9" t="inlineStr">
        <is>
          <t>MSG</t>
        </is>
      </c>
      <c r="C1231" s="9" t="inlineStr">
        <is>
          <t>Session-range breakout + Fibonacci retracement-zone entry</t>
        </is>
      </c>
      <c r="D1231" s="9" t="inlineStr">
        <is>
          <t>Short</t>
        </is>
      </c>
      <c r="E1231" s="10" t="n">
        <v>46237.61805555555</v>
      </c>
      <c r="F1231" s="10" t="n">
        <v>46237.63888888889</v>
      </c>
      <c r="G1231" s="11" t="n">
        <v>24.16</v>
      </c>
      <c r="H1231" s="11">
        <f>H1230+G1231</f>
        <v/>
      </c>
    </row>
    <row r="1232">
      <c r="A1232" s="9" t="n">
        <v>1228</v>
      </c>
      <c r="B1232" s="9" t="inlineStr">
        <is>
          <t>Aurelius_M5</t>
        </is>
      </c>
      <c r="C1232" s="9" t="inlineStr">
        <is>
          <t>MA alignment (EMA21&gt;EMA50&gt;SMA250&gt;SMMA500 vs EMA2400 trend filter)</t>
        </is>
      </c>
      <c r="D1232" s="9" t="inlineStr">
        <is>
          <t>Short</t>
        </is>
      </c>
      <c r="E1232" s="10" t="n">
        <v>46237.64236111111</v>
      </c>
      <c r="F1232" s="10" t="n">
        <v>46237.91319444445</v>
      </c>
      <c r="G1232" s="11" t="n">
        <v>8.32</v>
      </c>
      <c r="H1232" s="11">
        <f>H1231+G1232</f>
        <v/>
      </c>
    </row>
    <row r="1233">
      <c r="A1233" s="9" t="n">
        <v>1229</v>
      </c>
      <c r="B1233" s="9" t="inlineStr">
        <is>
          <t>Aurelius_M15</t>
        </is>
      </c>
      <c r="C1233" s="9" t="inlineStr">
        <is>
          <t>MA alignment (EMA21&gt;EMA50&gt;SMA250&gt;SMMA500 vs EMA2400 trend filter) - M15 chart</t>
        </is>
      </c>
      <c r="D1233" s="9" t="inlineStr">
        <is>
          <t>Short</t>
        </is>
      </c>
      <c r="E1233" s="10" t="n">
        <v>46237.67708333334</v>
      </c>
      <c r="F1233" s="10" t="n">
        <v>46237.97916666666</v>
      </c>
      <c r="G1233" s="11" t="n">
        <v>-18.62</v>
      </c>
      <c r="H1233" s="11">
        <f>H1232+G1233</f>
        <v/>
      </c>
    </row>
    <row r="1234">
      <c r="A1234" s="9" t="n">
        <v>1230</v>
      </c>
      <c r="B1234" s="9" t="inlineStr">
        <is>
          <t>Vanguard_M5</t>
        </is>
      </c>
      <c r="C1234" s="9" t="inlineStr">
        <is>
          <t>Trendline breakout (fractal swing line) + VWAP/S-R distance gate</t>
        </is>
      </c>
      <c r="D1234" s="9" t="inlineStr">
        <is>
          <t>Long</t>
        </is>
      </c>
      <c r="E1234" s="10" t="n">
        <v>46237.95138888889</v>
      </c>
      <c r="F1234" s="10" t="n">
        <v>46238.17013888889</v>
      </c>
      <c r="G1234" s="11" t="n">
        <v>-11.58</v>
      </c>
      <c r="H1234" s="11">
        <f>H1233+G1234</f>
        <v/>
      </c>
    </row>
    <row r="1235">
      <c r="A1235" s="9" t="n">
        <v>1231</v>
      </c>
      <c r="B1235" s="9" t="inlineStr">
        <is>
          <t>MSG</t>
        </is>
      </c>
      <c r="C1235" s="9" t="inlineStr">
        <is>
          <t>Session-range breakout + Fibonacci retracement-zone entry</t>
        </is>
      </c>
      <c r="D1235" s="9" t="inlineStr">
        <is>
          <t>Short</t>
        </is>
      </c>
      <c r="E1235" s="10" t="n">
        <v>46238.575</v>
      </c>
      <c r="F1235" s="10" t="n">
        <v>46238.61388888889</v>
      </c>
      <c r="G1235" s="11" t="n">
        <v>-22.8</v>
      </c>
      <c r="H1235" s="11">
        <f>H1234+G1235</f>
        <v/>
      </c>
    </row>
    <row r="1236">
      <c r="A1236" s="9" t="n">
        <v>1232</v>
      </c>
      <c r="B1236" s="9" t="inlineStr">
        <is>
          <t>Ratchet</t>
        </is>
      </c>
      <c r="C1236" s="9" t="inlineStr">
        <is>
          <t>Stochastic scalp with give-back trail exit</t>
        </is>
      </c>
      <c r="D1236" s="9" t="inlineStr">
        <is>
          <t>Long</t>
        </is>
      </c>
      <c r="E1236" s="10" t="n">
        <v>46238.8125</v>
      </c>
      <c r="F1236" s="10" t="n">
        <v>46238.85416666666</v>
      </c>
      <c r="G1236" s="11" t="n">
        <v>4.34</v>
      </c>
      <c r="H1236" s="11">
        <f>H1235+G1236</f>
        <v/>
      </c>
    </row>
    <row r="1237">
      <c r="A1237" s="9" t="n">
        <v>1233</v>
      </c>
      <c r="B1237" s="9" t="inlineStr">
        <is>
          <t>Ratchet</t>
        </is>
      </c>
      <c r="C1237" s="9" t="inlineStr">
        <is>
          <t>Stochastic scalp with give-back trail exit</t>
        </is>
      </c>
      <c r="D1237" s="9" t="inlineStr">
        <is>
          <t>Long</t>
        </is>
      </c>
      <c r="E1237" s="10" t="n">
        <v>46238.86458333334</v>
      </c>
      <c r="F1237" s="10" t="n">
        <v>46238.87152777778</v>
      </c>
      <c r="G1237" s="11" t="n">
        <v>-7.46</v>
      </c>
      <c r="H1237" s="11">
        <f>H1236+G1237</f>
        <v/>
      </c>
    </row>
    <row r="1238">
      <c r="A1238" s="9" t="n">
        <v>1234</v>
      </c>
      <c r="B1238" s="9" t="inlineStr">
        <is>
          <t>Meridian</t>
        </is>
      </c>
      <c r="C1238" s="9" t="inlineStr">
        <is>
          <t>21/50 MA cross, 250-period confirm filter, VWAP</t>
        </is>
      </c>
      <c r="D1238" s="9" t="inlineStr">
        <is>
          <t>Long</t>
        </is>
      </c>
      <c r="E1238" s="10" t="n">
        <v>46238.61458333334</v>
      </c>
      <c r="F1238" s="10" t="n">
        <v>46238.91666666666</v>
      </c>
      <c r="G1238" s="11" t="n">
        <v>9.890000000000001</v>
      </c>
      <c r="H1238" s="11">
        <f>H1237+G1238</f>
        <v/>
      </c>
    </row>
    <row r="1239">
      <c r="A1239" s="9" t="n">
        <v>1235</v>
      </c>
      <c r="B1239" s="9" t="inlineStr">
        <is>
          <t>Ratchet</t>
        </is>
      </c>
      <c r="C1239" s="9" t="inlineStr">
        <is>
          <t>Stochastic scalp with give-back trail exit</t>
        </is>
      </c>
      <c r="D1239" s="9" t="inlineStr">
        <is>
          <t>Long</t>
        </is>
      </c>
      <c r="E1239" s="10" t="n">
        <v>46239.19097222222</v>
      </c>
      <c r="F1239" s="10" t="n">
        <v>46239.20833333334</v>
      </c>
      <c r="G1239" s="11" t="n">
        <v>16.35</v>
      </c>
      <c r="H1239" s="11">
        <f>H1238+G1239</f>
        <v/>
      </c>
    </row>
    <row r="1240">
      <c r="A1240" s="9" t="n">
        <v>1236</v>
      </c>
      <c r="B1240" s="9" t="inlineStr">
        <is>
          <t>Aurelius_M5</t>
        </is>
      </c>
      <c r="C1240" s="9" t="inlineStr">
        <is>
          <t>MA alignment (EMA21&gt;EMA50&gt;SMA250&gt;SMMA500 vs EMA2400 trend filter)</t>
        </is>
      </c>
      <c r="D1240" s="9" t="inlineStr">
        <is>
          <t>Long</t>
        </is>
      </c>
      <c r="E1240" s="10" t="n">
        <v>46239.1875</v>
      </c>
      <c r="F1240" s="10" t="n">
        <v>46239.53819444445</v>
      </c>
      <c r="G1240" s="11" t="n">
        <v>72.90000000000001</v>
      </c>
      <c r="H1240" s="11">
        <f>H1239+G1240</f>
        <v/>
      </c>
    </row>
    <row r="1241">
      <c r="A1241" s="9" t="n">
        <v>1237</v>
      </c>
      <c r="B1241" s="9" t="inlineStr">
        <is>
          <t>Meridian</t>
        </is>
      </c>
      <c r="C1241" s="9" t="inlineStr">
        <is>
          <t>21/50 MA cross, 250-period confirm filter, VWAP</t>
        </is>
      </c>
      <c r="D1241" s="9" t="inlineStr">
        <is>
          <t>Long</t>
        </is>
      </c>
      <c r="E1241" s="10" t="n">
        <v>46239.17361111111</v>
      </c>
      <c r="F1241" s="10" t="n">
        <v>46239.57291666666</v>
      </c>
      <c r="G1241" s="11" t="n">
        <v>73.16</v>
      </c>
      <c r="H1241" s="11">
        <f>H1240+G1241</f>
        <v/>
      </c>
    </row>
    <row r="1242">
      <c r="A1242" s="9" t="n">
        <v>1238</v>
      </c>
      <c r="B1242" s="9" t="inlineStr">
        <is>
          <t>MSG</t>
        </is>
      </c>
      <c r="C1242" s="9" t="inlineStr">
        <is>
          <t>Session-range breakout + Fibonacci retracement-zone entry</t>
        </is>
      </c>
      <c r="D1242" s="9" t="inlineStr">
        <is>
          <t>Short</t>
        </is>
      </c>
      <c r="E1242" s="10" t="n">
        <v>46239.58888888889</v>
      </c>
      <c r="F1242" s="10" t="n">
        <v>46239.59444444445</v>
      </c>
      <c r="G1242" s="11" t="n">
        <v>-25.06</v>
      </c>
      <c r="H1242" s="11">
        <f>H1241+G1242</f>
        <v/>
      </c>
    </row>
    <row r="1243">
      <c r="A1243" s="9" t="n">
        <v>1239</v>
      </c>
      <c r="B1243" s="9" t="inlineStr">
        <is>
          <t>Ratchet</t>
        </is>
      </c>
      <c r="C1243" s="9" t="inlineStr">
        <is>
          <t>Stochastic scalp with give-back trail exit</t>
        </is>
      </c>
      <c r="D1243" s="9" t="inlineStr">
        <is>
          <t>Long</t>
        </is>
      </c>
      <c r="E1243" s="10" t="n">
        <v>46239.92708333334</v>
      </c>
      <c r="F1243" s="10" t="n">
        <v>46239.9375</v>
      </c>
      <c r="G1243" s="11" t="n">
        <v>-7.95</v>
      </c>
      <c r="H1243" s="11">
        <f>H1242+G1243</f>
        <v/>
      </c>
    </row>
    <row r="1244">
      <c r="A1244" s="9" t="n">
        <v>1240</v>
      </c>
      <c r="B1244" s="9" t="inlineStr">
        <is>
          <t>Aurelius_M5</t>
        </is>
      </c>
      <c r="C1244" s="9" t="inlineStr">
        <is>
          <t>MA alignment (EMA21&gt;EMA50&gt;SMA250&gt;SMMA500 vs EMA2400 trend filter)</t>
        </is>
      </c>
      <c r="D1244" s="9" t="inlineStr">
        <is>
          <t>Long</t>
        </is>
      </c>
      <c r="E1244" s="10" t="n">
        <v>46239.60763888889</v>
      </c>
      <c r="F1244" s="10" t="n">
        <v>46240.04166666666</v>
      </c>
      <c r="G1244" s="11" t="n">
        <v>65.70999999999999</v>
      </c>
      <c r="H1244" s="11">
        <f>H1243+G1244</f>
        <v/>
      </c>
    </row>
    <row r="1245">
      <c r="A1245" s="9" t="n">
        <v>1241</v>
      </c>
      <c r="B1245" s="9" t="inlineStr">
        <is>
          <t>Meridian</t>
        </is>
      </c>
      <c r="C1245" s="9" t="inlineStr">
        <is>
          <t>21/50 MA cross, 250-period confirm filter, VWAP</t>
        </is>
      </c>
      <c r="D1245" s="9" t="inlineStr">
        <is>
          <t>Long</t>
        </is>
      </c>
      <c r="E1245" s="10" t="n">
        <v>46239.58333333334</v>
      </c>
      <c r="F1245" s="10" t="n">
        <v>46240.28125</v>
      </c>
      <c r="G1245" s="11" t="n">
        <v>101.44</v>
      </c>
      <c r="H1245" s="11">
        <f>H1244+G1245</f>
        <v/>
      </c>
    </row>
    <row r="1246">
      <c r="A1246" s="9" t="n">
        <v>1242</v>
      </c>
      <c r="B1246" s="9" t="inlineStr">
        <is>
          <t>Aurelius_M15</t>
        </is>
      </c>
      <c r="C1246" s="9" t="inlineStr">
        <is>
          <t>MA alignment (EMA21&gt;EMA50&gt;SMA250&gt;SMMA500 vs EMA2400 trend filter) - M15 chart</t>
        </is>
      </c>
      <c r="D1246" s="9" t="inlineStr">
        <is>
          <t>Long</t>
        </is>
      </c>
      <c r="E1246" s="10" t="n">
        <v>46238.77083333334</v>
      </c>
      <c r="F1246" s="10" t="n">
        <v>46240.33333333334</v>
      </c>
      <c r="G1246" s="11" t="n">
        <v>183.64</v>
      </c>
      <c r="H1246" s="11">
        <f>H1245+G1246</f>
        <v/>
      </c>
    </row>
    <row r="1247">
      <c r="A1247" s="9" t="n">
        <v>1243</v>
      </c>
      <c r="B1247" s="9" t="inlineStr">
        <is>
          <t>Ratchet</t>
        </is>
      </c>
      <c r="C1247" s="9" t="inlineStr">
        <is>
          <t>Stochastic scalp with give-back trail exit</t>
        </is>
      </c>
      <c r="D1247" s="9" t="inlineStr">
        <is>
          <t>Long</t>
        </is>
      </c>
      <c r="E1247" s="10" t="n">
        <v>46240.49305555555</v>
      </c>
      <c r="F1247" s="10" t="n">
        <v>46240.52430555555</v>
      </c>
      <c r="G1247" s="11" t="n">
        <v>2.91</v>
      </c>
      <c r="H1247" s="11">
        <f>H1246+G1247</f>
        <v/>
      </c>
    </row>
    <row r="1248">
      <c r="A1248" s="9" t="n">
        <v>1244</v>
      </c>
      <c r="B1248" s="9" t="inlineStr">
        <is>
          <t>Meridian</t>
        </is>
      </c>
      <c r="C1248" s="9" t="inlineStr">
        <is>
          <t>21/50 MA cross, 250-period confirm filter, VWAP</t>
        </is>
      </c>
      <c r="D1248" s="9" t="inlineStr">
        <is>
          <t>Long</t>
        </is>
      </c>
      <c r="E1248" s="10" t="n">
        <v>46240.48263888889</v>
      </c>
      <c r="F1248" s="10" t="n">
        <v>46240.59722222222</v>
      </c>
      <c r="G1248" s="11" t="n">
        <v>-11.88</v>
      </c>
      <c r="H1248" s="11">
        <f>H1247+G1248</f>
        <v/>
      </c>
    </row>
    <row r="1249">
      <c r="A1249" s="9" t="n">
        <v>1245</v>
      </c>
      <c r="B1249" s="9" t="inlineStr">
        <is>
          <t>MSG</t>
        </is>
      </c>
      <c r="C1249" s="9" t="inlineStr">
        <is>
          <t>Session-range breakout + Fibonacci retracement-zone entry</t>
        </is>
      </c>
      <c r="D1249" s="9" t="inlineStr">
        <is>
          <t>Long</t>
        </is>
      </c>
      <c r="E1249" s="10" t="n">
        <v>46240.57083333333</v>
      </c>
      <c r="F1249" s="10" t="n">
        <v>46240.61458333334</v>
      </c>
      <c r="G1249" s="11" t="n">
        <v>-25.97</v>
      </c>
      <c r="H1249" s="11">
        <f>H1248+G1249</f>
        <v/>
      </c>
    </row>
    <row r="1250">
      <c r="A1250" s="9" t="n">
        <v>1246</v>
      </c>
      <c r="B1250" s="9" t="inlineStr">
        <is>
          <t>Ratchet</t>
        </is>
      </c>
      <c r="C1250" s="9" t="inlineStr">
        <is>
          <t>Stochastic scalp with give-back trail exit</t>
        </is>
      </c>
      <c r="D1250" s="9" t="inlineStr">
        <is>
          <t>Long</t>
        </is>
      </c>
      <c r="E1250" s="10" t="n">
        <v>46240.75</v>
      </c>
      <c r="F1250" s="10" t="n">
        <v>46240.76041666666</v>
      </c>
      <c r="G1250" s="11" t="n">
        <v>-12.5</v>
      </c>
      <c r="H1250" s="11">
        <f>H1249+G1250</f>
        <v/>
      </c>
    </row>
    <row r="1251">
      <c r="A1251" s="9" t="n">
        <v>1247</v>
      </c>
      <c r="B1251" s="9" t="inlineStr">
        <is>
          <t>Meridian</t>
        </is>
      </c>
      <c r="C1251" s="9" t="inlineStr">
        <is>
          <t>21/50 MA cross, 250-period confirm filter, VWAP</t>
        </is>
      </c>
      <c r="D1251" s="9" t="inlineStr">
        <is>
          <t>Long</t>
        </is>
      </c>
      <c r="E1251" s="10" t="n">
        <v>46240.73263888889</v>
      </c>
      <c r="F1251" s="10" t="n">
        <v>46240.76388888889</v>
      </c>
      <c r="G1251" s="11" t="n">
        <v>-19.65</v>
      </c>
      <c r="H1251" s="11">
        <f>H1250+G1251</f>
        <v/>
      </c>
    </row>
    <row r="1252">
      <c r="A1252" s="9" t="n">
        <v>1248</v>
      </c>
      <c r="B1252" s="9" t="inlineStr">
        <is>
          <t>Meridian</t>
        </is>
      </c>
      <c r="C1252" s="9" t="inlineStr">
        <is>
          <t>21/50 MA cross, 250-period confirm filter, VWAP</t>
        </is>
      </c>
      <c r="D1252" s="9" t="inlineStr">
        <is>
          <t>Short</t>
        </is>
      </c>
      <c r="E1252" s="10" t="n">
        <v>46240.77430555555</v>
      </c>
      <c r="F1252" s="10" t="n">
        <v>46241.10763888889</v>
      </c>
      <c r="G1252" s="11" t="n">
        <v>1.59</v>
      </c>
      <c r="H1252" s="11">
        <f>H1251+G1252</f>
        <v/>
      </c>
    </row>
    <row r="1253">
      <c r="A1253" s="9" t="n">
        <v>1249</v>
      </c>
      <c r="B1253" s="9" t="inlineStr">
        <is>
          <t>Meridian</t>
        </is>
      </c>
      <c r="C1253" s="9" t="inlineStr">
        <is>
          <t>21/50 MA cross, 250-period confirm filter, VWAP</t>
        </is>
      </c>
      <c r="D1253" s="9" t="inlineStr">
        <is>
          <t>Short</t>
        </is>
      </c>
      <c r="E1253" s="10" t="n">
        <v>46241.15625</v>
      </c>
      <c r="F1253" s="10" t="n">
        <v>46241.17013888889</v>
      </c>
      <c r="G1253" s="11" t="n">
        <v>-9.859999999999999</v>
      </c>
      <c r="H1253" s="11">
        <f>H1252+G1253</f>
        <v/>
      </c>
    </row>
    <row r="1254">
      <c r="A1254" s="9" t="n">
        <v>1250</v>
      </c>
      <c r="B1254" s="9" t="inlineStr">
        <is>
          <t>Vanguard_M15</t>
        </is>
      </c>
      <c r="C1254" s="9" t="inlineStr">
        <is>
          <t>Trendline breakout (fractal swing line) + VWAP/S-R distance gate - M15 chart</t>
        </is>
      </c>
      <c r="D1254" s="9" t="inlineStr">
        <is>
          <t>Long</t>
        </is>
      </c>
      <c r="E1254" s="10" t="n">
        <v>46237.97916666666</v>
      </c>
      <c r="F1254" s="10" t="n">
        <v>46241.19791666666</v>
      </c>
      <c r="G1254" s="11" t="n">
        <v>202.17</v>
      </c>
      <c r="H1254" s="11">
        <f>H1253+G1254</f>
        <v/>
      </c>
    </row>
    <row r="1255">
      <c r="A1255" s="9" t="n">
        <v>1251</v>
      </c>
      <c r="B1255" s="9" t="inlineStr">
        <is>
          <t>Ratchet</t>
        </is>
      </c>
      <c r="C1255" s="9" t="inlineStr">
        <is>
          <t>Stochastic scalp with give-back trail exit</t>
        </is>
      </c>
      <c r="D1255" s="9" t="inlineStr">
        <is>
          <t>Long</t>
        </is>
      </c>
      <c r="E1255" s="10" t="n">
        <v>46241.28125</v>
      </c>
      <c r="F1255" s="10" t="n">
        <v>46241.29166666666</v>
      </c>
      <c r="G1255" s="11" t="n">
        <v>1.56</v>
      </c>
      <c r="H1255" s="11">
        <f>H1254+G1255</f>
        <v/>
      </c>
    </row>
    <row r="1256">
      <c r="A1256" s="9" t="n">
        <v>1252</v>
      </c>
      <c r="B1256" s="9" t="inlineStr">
        <is>
          <t>Ratchet</t>
        </is>
      </c>
      <c r="C1256" s="9" t="inlineStr">
        <is>
          <t>Stochastic scalp with give-back trail exit</t>
        </is>
      </c>
      <c r="D1256" s="9" t="inlineStr">
        <is>
          <t>Long</t>
        </is>
      </c>
      <c r="E1256" s="10" t="n">
        <v>46241.32638888889</v>
      </c>
      <c r="F1256" s="10" t="n">
        <v>46241.32986111111</v>
      </c>
      <c r="G1256" s="11" t="n">
        <v>0.76</v>
      </c>
      <c r="H1256" s="11">
        <f>H1255+G1256</f>
        <v/>
      </c>
    </row>
    <row r="1257">
      <c r="A1257" s="9" t="n">
        <v>1253</v>
      </c>
      <c r="B1257" s="9" t="inlineStr">
        <is>
          <t>Ratchet</t>
        </is>
      </c>
      <c r="C1257" s="9" t="inlineStr">
        <is>
          <t>Stochastic scalp with give-back trail exit</t>
        </is>
      </c>
      <c r="D1257" s="9" t="inlineStr">
        <is>
          <t>Long</t>
        </is>
      </c>
      <c r="E1257" s="10" t="n">
        <v>46241.33680555555</v>
      </c>
      <c r="F1257" s="10" t="n">
        <v>46241.34722222222</v>
      </c>
      <c r="G1257" s="11" t="n">
        <v>0.96</v>
      </c>
      <c r="H1257" s="11">
        <f>H1256+G1257</f>
        <v/>
      </c>
    </row>
    <row r="1258">
      <c r="A1258" s="9" t="n">
        <v>1254</v>
      </c>
      <c r="B1258" s="9" t="inlineStr">
        <is>
          <t>Meridian</t>
        </is>
      </c>
      <c r="C1258" s="9" t="inlineStr">
        <is>
          <t>21/50 MA cross, 250-period confirm filter, VWAP</t>
        </is>
      </c>
      <c r="D1258" s="9" t="inlineStr">
        <is>
          <t>Long</t>
        </is>
      </c>
      <c r="E1258" s="10" t="n">
        <v>46241.19791666666</v>
      </c>
      <c r="F1258" s="10" t="n">
        <v>46241.83680555555</v>
      </c>
      <c r="G1258" s="11" t="n">
        <v>77.98999999999999</v>
      </c>
      <c r="H1258" s="11">
        <f>H1257+G1258</f>
        <v/>
      </c>
    </row>
    <row r="1259">
      <c r="A1259" s="9" t="n">
        <v>1255</v>
      </c>
      <c r="B1259" s="9" t="inlineStr">
        <is>
          <t>Ratchet</t>
        </is>
      </c>
      <c r="C1259" s="9" t="inlineStr">
        <is>
          <t>Stochastic scalp with give-back trail exit</t>
        </is>
      </c>
      <c r="D1259" s="9" t="inlineStr">
        <is>
          <t>Long</t>
        </is>
      </c>
      <c r="E1259" s="10" t="n">
        <v>46244.09375</v>
      </c>
      <c r="F1259" s="10" t="n">
        <v>46244.10069444445</v>
      </c>
      <c r="G1259" s="11" t="n">
        <v>0</v>
      </c>
      <c r="H1259" s="11">
        <f>H1258+G1259</f>
        <v/>
      </c>
    </row>
    <row r="1260">
      <c r="A1260" s="9" t="n">
        <v>1256</v>
      </c>
      <c r="B1260" s="9" t="inlineStr">
        <is>
          <t>Aurelius_M15</t>
        </is>
      </c>
      <c r="C1260" s="9" t="inlineStr">
        <is>
          <t>MA alignment (EMA21&gt;EMA50&gt;SMA250&gt;SMMA500 vs EMA2400 trend filter) - M15 chart</t>
        </is>
      </c>
      <c r="D1260" s="9" t="inlineStr">
        <is>
          <t>Long</t>
        </is>
      </c>
      <c r="E1260" s="10" t="n">
        <v>46244.13541666666</v>
      </c>
      <c r="F1260" s="10" t="n">
        <v>46244.16666666666</v>
      </c>
      <c r="G1260" s="11" t="n">
        <v>-22.01</v>
      </c>
      <c r="H1260" s="11">
        <f>H1259+G1260</f>
        <v/>
      </c>
    </row>
    <row r="1261">
      <c r="A1261" s="9" t="n">
        <v>1257</v>
      </c>
      <c r="B1261" s="9" t="inlineStr">
        <is>
          <t>Ratchet</t>
        </is>
      </c>
      <c r="C1261" s="9" t="inlineStr">
        <is>
          <t>Stochastic scalp with give-back trail exit</t>
        </is>
      </c>
      <c r="D1261" s="9" t="inlineStr">
        <is>
          <t>Long</t>
        </is>
      </c>
      <c r="E1261" s="10" t="n">
        <v>46244.36111111111</v>
      </c>
      <c r="F1261" s="10" t="n">
        <v>46244.36458333334</v>
      </c>
      <c r="G1261" s="11" t="n">
        <v>0</v>
      </c>
      <c r="H1261" s="11">
        <f>H1260+G1261</f>
        <v/>
      </c>
    </row>
    <row r="1262">
      <c r="A1262" s="9" t="n">
        <v>1258</v>
      </c>
      <c r="B1262" s="9" t="inlineStr">
        <is>
          <t>Vanguard_M5</t>
        </is>
      </c>
      <c r="C1262" s="9" t="inlineStr">
        <is>
          <t>Trendline breakout (fractal swing line) + VWAP/S-R distance gate</t>
        </is>
      </c>
      <c r="D1262" s="9" t="inlineStr">
        <is>
          <t>Short</t>
        </is>
      </c>
      <c r="E1262" s="10" t="n">
        <v>46244.125</v>
      </c>
      <c r="F1262" s="10" t="n">
        <v>46244.36805555555</v>
      </c>
      <c r="G1262" s="11" t="n">
        <v>-15.54</v>
      </c>
      <c r="H1262" s="11">
        <f>H1261+G1262</f>
        <v/>
      </c>
    </row>
    <row r="1263">
      <c r="A1263" s="9" t="n">
        <v>1259</v>
      </c>
      <c r="B1263" s="9" t="inlineStr">
        <is>
          <t>Vanguard_M15</t>
        </is>
      </c>
      <c r="C1263" s="9" t="inlineStr">
        <is>
          <t>Trendline breakout (fractal swing line) + VWAP/S-R distance gate - M15 chart</t>
        </is>
      </c>
      <c r="D1263" s="9" t="inlineStr">
        <is>
          <t>Short</t>
        </is>
      </c>
      <c r="E1263" s="10" t="n">
        <v>46244.125</v>
      </c>
      <c r="F1263" s="10" t="n">
        <v>46244.40625</v>
      </c>
      <c r="G1263" s="11" t="n">
        <v>-25.1</v>
      </c>
      <c r="H1263" s="11">
        <f>H1262+G1263</f>
        <v/>
      </c>
    </row>
    <row r="1264">
      <c r="A1264" s="9" t="n">
        <v>1260</v>
      </c>
      <c r="B1264" s="9" t="inlineStr">
        <is>
          <t>Ratchet</t>
        </is>
      </c>
      <c r="C1264" s="9" t="inlineStr">
        <is>
          <t>Stochastic scalp with give-back trail exit</t>
        </is>
      </c>
      <c r="D1264" s="9" t="inlineStr">
        <is>
          <t>Long</t>
        </is>
      </c>
      <c r="E1264" s="10" t="n">
        <v>46244.46180555555</v>
      </c>
      <c r="F1264" s="10" t="n">
        <v>46244.48263888889</v>
      </c>
      <c r="G1264" s="11" t="n">
        <v>-7.47</v>
      </c>
      <c r="H1264" s="11">
        <f>H1263+G1264</f>
        <v/>
      </c>
    </row>
    <row r="1265">
      <c r="A1265" s="9" t="n">
        <v>1261</v>
      </c>
      <c r="B1265" s="9" t="inlineStr">
        <is>
          <t>Meridian</t>
        </is>
      </c>
      <c r="C1265" s="9" t="inlineStr">
        <is>
          <t>21/50 MA cross, 250-period confirm filter, VWAP</t>
        </is>
      </c>
      <c r="D1265" s="9" t="inlineStr">
        <is>
          <t>Long</t>
        </is>
      </c>
      <c r="E1265" s="10" t="n">
        <v>46244.31944444445</v>
      </c>
      <c r="F1265" s="10" t="n">
        <v>46244.54166666666</v>
      </c>
      <c r="G1265" s="11" t="n">
        <v>7.07</v>
      </c>
      <c r="H1265" s="11">
        <f>H1264+G1265</f>
        <v/>
      </c>
    </row>
    <row r="1266">
      <c r="A1266" s="9" t="n">
        <v>1262</v>
      </c>
      <c r="B1266" s="9" t="inlineStr">
        <is>
          <t>Ratchet</t>
        </is>
      </c>
      <c r="C1266" s="9" t="inlineStr">
        <is>
          <t>Stochastic scalp with give-back trail exit</t>
        </is>
      </c>
      <c r="D1266" s="9" t="inlineStr">
        <is>
          <t>Long</t>
        </is>
      </c>
      <c r="E1266" s="10" t="n">
        <v>46244.84722222222</v>
      </c>
      <c r="F1266" s="10" t="n">
        <v>46244.86458333334</v>
      </c>
      <c r="G1266" s="11" t="n">
        <v>1.95</v>
      </c>
      <c r="H1266" s="11">
        <f>H1265+G1266</f>
        <v/>
      </c>
    </row>
    <row r="1267">
      <c r="A1267" s="9" t="n">
        <v>1263</v>
      </c>
      <c r="B1267" s="9" t="inlineStr">
        <is>
          <t>Ratchet</t>
        </is>
      </c>
      <c r="C1267" s="9" t="inlineStr">
        <is>
          <t>Stochastic scalp with give-back trail exit</t>
        </is>
      </c>
      <c r="D1267" s="9" t="inlineStr">
        <is>
          <t>Long</t>
        </is>
      </c>
      <c r="E1267" s="10" t="n">
        <v>46244.86805555555</v>
      </c>
      <c r="F1267" s="10" t="n">
        <v>46244.88541666666</v>
      </c>
      <c r="G1267" s="11" t="n">
        <v>0.9</v>
      </c>
      <c r="H1267" s="11">
        <f>H1266+G1267</f>
        <v/>
      </c>
    </row>
    <row r="1268">
      <c r="A1268" s="9" t="n">
        <v>1264</v>
      </c>
      <c r="B1268" s="9" t="inlineStr">
        <is>
          <t>Ratchet</t>
        </is>
      </c>
      <c r="C1268" s="9" t="inlineStr">
        <is>
          <t>Stochastic scalp with give-back trail exit</t>
        </is>
      </c>
      <c r="D1268" s="9" t="inlineStr">
        <is>
          <t>Long</t>
        </is>
      </c>
      <c r="E1268" s="10" t="n">
        <v>46245.18055555555</v>
      </c>
      <c r="F1268" s="10" t="n">
        <v>46245.19444444445</v>
      </c>
      <c r="G1268" s="11" t="n">
        <v>1.33</v>
      </c>
      <c r="H1268" s="11">
        <f>H1267+G1268</f>
        <v/>
      </c>
    </row>
    <row r="1269">
      <c r="A1269" s="9" t="n">
        <v>1265</v>
      </c>
      <c r="B1269" s="9" t="inlineStr">
        <is>
          <t>Aurelius_M5</t>
        </is>
      </c>
      <c r="C1269" s="9" t="inlineStr">
        <is>
          <t>MA alignment (EMA21&gt;EMA50&gt;SMA250&gt;SMMA500 vs EMA2400 trend filter)</t>
        </is>
      </c>
      <c r="D1269" s="9" t="inlineStr">
        <is>
          <t>Long</t>
        </is>
      </c>
      <c r="E1269" s="10" t="n">
        <v>46245.31597222222</v>
      </c>
      <c r="F1269" s="10" t="n">
        <v>46245.32986111111</v>
      </c>
      <c r="G1269" s="11" t="n">
        <v>-11.68</v>
      </c>
      <c r="H1269" s="11">
        <f>H1268+G1269</f>
        <v/>
      </c>
    </row>
    <row r="1270">
      <c r="A1270" s="9" t="n">
        <v>1266</v>
      </c>
      <c r="B1270" s="9" t="inlineStr">
        <is>
          <t>Meridian</t>
        </is>
      </c>
      <c r="C1270" s="9" t="inlineStr">
        <is>
          <t>21/50 MA cross, 250-period confirm filter, VWAP</t>
        </is>
      </c>
      <c r="D1270" s="9" t="inlineStr">
        <is>
          <t>Long</t>
        </is>
      </c>
      <c r="E1270" s="10" t="n">
        <v>46244.73958333334</v>
      </c>
      <c r="F1270" s="10" t="n">
        <v>46245.34027777778</v>
      </c>
      <c r="G1270" s="11" t="n">
        <v>56.09</v>
      </c>
      <c r="H1270" s="11">
        <f>H1269+G1270</f>
        <v/>
      </c>
    </row>
    <row r="1271">
      <c r="A1271" s="9" t="n">
        <v>1267</v>
      </c>
      <c r="B1271" s="9" t="inlineStr">
        <is>
          <t>Aurelius_M15</t>
        </is>
      </c>
      <c r="C1271" s="9" t="inlineStr">
        <is>
          <t>MA alignment (EMA21&gt;EMA50&gt;SMA250&gt;SMMA500 vs EMA2400 trend filter) - M15 chart</t>
        </is>
      </c>
      <c r="D1271" s="9" t="inlineStr">
        <is>
          <t>Long</t>
        </is>
      </c>
      <c r="E1271" s="10" t="n">
        <v>46244.82291666666</v>
      </c>
      <c r="F1271" s="10" t="n">
        <v>46245.39583333334</v>
      </c>
      <c r="G1271" s="11" t="n">
        <v>11.46</v>
      </c>
      <c r="H1271" s="11">
        <f>H1270+G1271</f>
        <v/>
      </c>
    </row>
    <row r="1272">
      <c r="A1272" s="9" t="n">
        <v>1268</v>
      </c>
      <c r="B1272" s="9" t="inlineStr">
        <is>
          <t>Ratchet</t>
        </is>
      </c>
      <c r="C1272" s="9" t="inlineStr">
        <is>
          <t>Stochastic scalp with give-back trail exit</t>
        </is>
      </c>
      <c r="D1272" s="9" t="inlineStr">
        <is>
          <t>Long</t>
        </is>
      </c>
      <c r="E1272" s="10" t="n">
        <v>46245.69791666666</v>
      </c>
      <c r="F1272" s="10" t="n">
        <v>46245.70138888889</v>
      </c>
      <c r="G1272" s="11" t="n">
        <v>-10.84</v>
      </c>
      <c r="H1272" s="11">
        <f>H1271+G1272</f>
        <v/>
      </c>
    </row>
    <row r="1273">
      <c r="A1273" s="9" t="n">
        <v>1269</v>
      </c>
      <c r="B1273" s="9" t="inlineStr">
        <is>
          <t>Meridian</t>
        </is>
      </c>
      <c r="C1273" s="9" t="inlineStr">
        <is>
          <t>21/50 MA cross, 250-period confirm filter, VWAP</t>
        </is>
      </c>
      <c r="D1273" s="9" t="inlineStr">
        <is>
          <t>Short</t>
        </is>
      </c>
      <c r="E1273" s="10" t="n">
        <v>46245.77777777778</v>
      </c>
      <c r="F1273" s="10" t="n">
        <v>46246.07638888889</v>
      </c>
      <c r="G1273" s="11" t="n">
        <v>-3.67</v>
      </c>
      <c r="H1273" s="11">
        <f>H1272+G1273</f>
        <v/>
      </c>
    </row>
    <row r="1274">
      <c r="A1274" s="9" t="n">
        <v>1270</v>
      </c>
      <c r="B1274" s="9" t="inlineStr">
        <is>
          <t>Meridian</t>
        </is>
      </c>
      <c r="C1274" s="9" t="inlineStr">
        <is>
          <t>21/50 MA cross, 250-period confirm filter, VWAP</t>
        </is>
      </c>
      <c r="D1274" s="9" t="inlineStr">
        <is>
          <t>Short</t>
        </is>
      </c>
      <c r="E1274" s="10" t="n">
        <v>46246.08333333334</v>
      </c>
      <c r="F1274" s="10" t="n">
        <v>46246.13194444445</v>
      </c>
      <c r="G1274" s="11" t="n">
        <v>-7.31</v>
      </c>
      <c r="H1274" s="11">
        <f>H1273+G1274</f>
        <v/>
      </c>
    </row>
    <row r="1275">
      <c r="A1275" s="9" t="n">
        <v>1271</v>
      </c>
      <c r="B1275" s="9" t="inlineStr">
        <is>
          <t>Vanguard_M5</t>
        </is>
      </c>
      <c r="C1275" s="9" t="inlineStr">
        <is>
          <t>Trendline breakout (fractal swing line) + VWAP/S-R distance gate</t>
        </is>
      </c>
      <c r="D1275" s="9" t="inlineStr">
        <is>
          <t>Short</t>
        </is>
      </c>
      <c r="E1275" s="10" t="n">
        <v>46245.85763888889</v>
      </c>
      <c r="F1275" s="10" t="n">
        <v>46246.13541666666</v>
      </c>
      <c r="G1275" s="11" t="n">
        <v>-3.24</v>
      </c>
      <c r="H1275" s="11">
        <f>H1274+G1275</f>
        <v/>
      </c>
    </row>
    <row r="1276">
      <c r="A1276" s="9" t="n">
        <v>1272</v>
      </c>
      <c r="B1276" s="9" t="inlineStr">
        <is>
          <t>Vanguard_M15</t>
        </is>
      </c>
      <c r="C1276" s="9" t="inlineStr">
        <is>
          <t>Trendline breakout (fractal swing line) + VWAP/S-R distance gate - M15 chart</t>
        </is>
      </c>
      <c r="D1276" s="9" t="inlineStr">
        <is>
          <t>Short</t>
        </is>
      </c>
      <c r="E1276" s="10" t="n">
        <v>46245.86458333334</v>
      </c>
      <c r="F1276" s="10" t="n">
        <v>46246.13541666666</v>
      </c>
      <c r="G1276" s="11" t="n">
        <v>-4.74</v>
      </c>
      <c r="H1276" s="11">
        <f>H1275+G1276</f>
        <v/>
      </c>
    </row>
    <row r="1277">
      <c r="A1277" s="9" t="n">
        <v>1273</v>
      </c>
      <c r="B1277" s="9" t="inlineStr">
        <is>
          <t>Vanguard_M5</t>
        </is>
      </c>
      <c r="C1277" s="9" t="inlineStr">
        <is>
          <t>Trendline breakout (fractal swing line) + VWAP/S-R distance gate</t>
        </is>
      </c>
      <c r="D1277" s="9" t="inlineStr">
        <is>
          <t>Long</t>
        </is>
      </c>
      <c r="E1277" s="10" t="n">
        <v>46246.13888888889</v>
      </c>
      <c r="F1277" s="10" t="n">
        <v>46246.22916666666</v>
      </c>
      <c r="G1277" s="11" t="n">
        <v>18.66</v>
      </c>
      <c r="H1277" s="11">
        <f>H1276+G1277</f>
        <v/>
      </c>
    </row>
    <row r="1278">
      <c r="A1278" s="9" t="n">
        <v>1274</v>
      </c>
      <c r="B1278" s="9" t="inlineStr">
        <is>
          <t>Ratchet</t>
        </is>
      </c>
      <c r="C1278" s="9" t="inlineStr">
        <is>
          <t>Stochastic scalp with give-back trail exit</t>
        </is>
      </c>
      <c r="D1278" s="9" t="inlineStr">
        <is>
          <t>Long</t>
        </is>
      </c>
      <c r="E1278" s="10" t="n">
        <v>46246.19444444445</v>
      </c>
      <c r="F1278" s="10" t="n">
        <v>46246.30208333334</v>
      </c>
      <c r="G1278" s="11" t="n">
        <v>7.73</v>
      </c>
      <c r="H1278" s="11">
        <f>H1277+G1278</f>
        <v/>
      </c>
    </row>
    <row r="1279">
      <c r="A1279" s="9" t="n">
        <v>1275</v>
      </c>
      <c r="B1279" s="9" t="inlineStr">
        <is>
          <t>Meridian</t>
        </is>
      </c>
      <c r="C1279" s="9" t="inlineStr">
        <is>
          <t>21/50 MA cross, 250-period confirm filter, VWAP</t>
        </is>
      </c>
      <c r="D1279" s="9" t="inlineStr">
        <is>
          <t>Long</t>
        </is>
      </c>
      <c r="E1279" s="10" t="n">
        <v>46246.42013888889</v>
      </c>
      <c r="F1279" s="10" t="n">
        <v>46246.64583333334</v>
      </c>
      <c r="G1279" s="11" t="n">
        <v>-10.5</v>
      </c>
      <c r="H1279" s="11">
        <f>H1278+G1279</f>
        <v/>
      </c>
    </row>
    <row r="1280">
      <c r="A1280" s="9" t="n">
        <v>1276</v>
      </c>
      <c r="B1280" s="9" t="inlineStr">
        <is>
          <t>MSG</t>
        </is>
      </c>
      <c r="C1280" s="9" t="inlineStr">
        <is>
          <t>Session-range breakout + Fibonacci retracement-zone entry</t>
        </is>
      </c>
      <c r="D1280" s="9" t="inlineStr">
        <is>
          <t>Long</t>
        </is>
      </c>
      <c r="E1280" s="10" t="n">
        <v>46246.64722222222</v>
      </c>
      <c r="F1280" s="10" t="n">
        <v>46246.65625</v>
      </c>
      <c r="G1280" s="11" t="n">
        <v>58.36</v>
      </c>
      <c r="H1280" s="11">
        <f>H1279+G1280</f>
        <v/>
      </c>
    </row>
    <row r="1281">
      <c r="A1281" s="9" t="n">
        <v>1277</v>
      </c>
      <c r="B1281" s="9" t="inlineStr">
        <is>
          <t>Ratchet</t>
        </is>
      </c>
      <c r="C1281" s="9" t="inlineStr">
        <is>
          <t>Stochastic scalp with give-back trail exit</t>
        </is>
      </c>
      <c r="D1281" s="9" t="inlineStr">
        <is>
          <t>Long</t>
        </is>
      </c>
      <c r="E1281" s="10" t="n">
        <v>46246.80902777778</v>
      </c>
      <c r="F1281" s="10" t="n">
        <v>46246.8125</v>
      </c>
      <c r="G1281" s="11" t="n">
        <v>-9.130000000000001</v>
      </c>
      <c r="H1281" s="11">
        <f>H1280+G1281</f>
        <v/>
      </c>
    </row>
    <row r="1282">
      <c r="A1282" s="9" t="n">
        <v>1278</v>
      </c>
      <c r="B1282" s="9" t="inlineStr">
        <is>
          <t>Aurelius_M5</t>
        </is>
      </c>
      <c r="C1282" s="9" t="inlineStr">
        <is>
          <t>MA alignment (EMA21&gt;EMA50&gt;SMA250&gt;SMMA500 vs EMA2400 trend filter)</t>
        </is>
      </c>
      <c r="D1282" s="9" t="inlineStr">
        <is>
          <t>Long</t>
        </is>
      </c>
      <c r="E1282" s="10" t="n">
        <v>46246.68402777778</v>
      </c>
      <c r="F1282" s="10" t="n">
        <v>46246.82291666666</v>
      </c>
      <c r="G1282" s="11" t="n">
        <v>-6.49</v>
      </c>
      <c r="H1282" s="11">
        <f>H1281+G1282</f>
        <v/>
      </c>
    </row>
    <row r="1283">
      <c r="A1283" s="9" t="n">
        <v>1279</v>
      </c>
      <c r="B1283" s="9" t="inlineStr">
        <is>
          <t>Aurelius_M5</t>
        </is>
      </c>
      <c r="C1283" s="9" t="inlineStr">
        <is>
          <t>MA alignment (EMA21&gt;EMA50&gt;SMA250&gt;SMMA500 vs EMA2400 trend filter)</t>
        </is>
      </c>
      <c r="D1283" s="9" t="inlineStr">
        <is>
          <t>Long</t>
        </is>
      </c>
      <c r="E1283" s="10" t="n">
        <v>46247.14236111111</v>
      </c>
      <c r="F1283" s="10" t="n">
        <v>46247.14583333334</v>
      </c>
      <c r="G1283" s="11" t="n">
        <v>-9.539999999999999</v>
      </c>
      <c r="H1283" s="11">
        <f>H1282+G1283</f>
        <v/>
      </c>
    </row>
    <row r="1284">
      <c r="A1284" s="9" t="n">
        <v>1280</v>
      </c>
      <c r="B1284" s="9" t="inlineStr">
        <is>
          <t>Ratchet</t>
        </is>
      </c>
      <c r="C1284" s="9" t="inlineStr">
        <is>
          <t>Stochastic scalp with give-back trail exit</t>
        </is>
      </c>
      <c r="D1284" s="9" t="inlineStr">
        <is>
          <t>Long</t>
        </is>
      </c>
      <c r="E1284" s="10" t="n">
        <v>46247.17361111111</v>
      </c>
      <c r="F1284" s="10" t="n">
        <v>46247.18055555555</v>
      </c>
      <c r="G1284" s="11" t="n">
        <v>-14.71</v>
      </c>
      <c r="H1284" s="11">
        <f>H1283+G1284</f>
        <v/>
      </c>
    </row>
    <row r="1285">
      <c r="A1285" s="9" t="n">
        <v>1281</v>
      </c>
      <c r="B1285" s="9" t="inlineStr">
        <is>
          <t>Meridian</t>
        </is>
      </c>
      <c r="C1285" s="9" t="inlineStr">
        <is>
          <t>21/50 MA cross, 250-period confirm filter, VWAP</t>
        </is>
      </c>
      <c r="D1285" s="9" t="inlineStr">
        <is>
          <t>Long</t>
        </is>
      </c>
      <c r="E1285" s="10" t="n">
        <v>46247.13194444445</v>
      </c>
      <c r="F1285" s="10" t="n">
        <v>46247.19791666666</v>
      </c>
      <c r="G1285" s="11" t="n">
        <v>-7.25</v>
      </c>
      <c r="H1285" s="11">
        <f>H1284+G1285</f>
        <v/>
      </c>
    </row>
    <row r="1286">
      <c r="A1286" s="9" t="n">
        <v>1282</v>
      </c>
      <c r="B1286" s="9" t="inlineStr">
        <is>
          <t>Vanguard_M15</t>
        </is>
      </c>
      <c r="C1286" s="9" t="inlineStr">
        <is>
          <t>Trendline breakout (fractal swing line) + VWAP/S-R distance gate - M15 chart</t>
        </is>
      </c>
      <c r="D1286" s="9" t="inlineStr">
        <is>
          <t>Long</t>
        </is>
      </c>
      <c r="E1286" s="10" t="n">
        <v>46246.14583333334</v>
      </c>
      <c r="F1286" s="10" t="n">
        <v>46247.28125</v>
      </c>
      <c r="G1286" s="11" t="n">
        <v>19.05</v>
      </c>
      <c r="H1286" s="11">
        <f>H1285+G1286</f>
        <v/>
      </c>
    </row>
    <row r="1287">
      <c r="A1287" s="9" t="n">
        <v>1283</v>
      </c>
      <c r="B1287" s="9" t="inlineStr">
        <is>
          <t>Aurelius_M15</t>
        </is>
      </c>
      <c r="C1287" s="9" t="inlineStr">
        <is>
          <t>MA alignment (EMA21&gt;EMA50&gt;SMA250&gt;SMMA500 vs EMA2400 trend filter) - M15 chart</t>
        </is>
      </c>
      <c r="D1287" s="9" t="inlineStr">
        <is>
          <t>Long</t>
        </is>
      </c>
      <c r="E1287" s="10" t="n">
        <v>46247.19791666666</v>
      </c>
      <c r="F1287" s="10" t="n">
        <v>46247.28125</v>
      </c>
      <c r="G1287" s="11" t="n">
        <v>-13.63</v>
      </c>
      <c r="H1287" s="11">
        <f>H1286+G1287</f>
        <v/>
      </c>
    </row>
    <row r="1288">
      <c r="A1288" s="9" t="n">
        <v>1284</v>
      </c>
      <c r="B1288" s="9" t="inlineStr">
        <is>
          <t>Meridian</t>
        </is>
      </c>
      <c r="C1288" s="9" t="inlineStr">
        <is>
          <t>21/50 MA cross, 250-period confirm filter, VWAP</t>
        </is>
      </c>
      <c r="D1288" s="9" t="inlineStr">
        <is>
          <t>Short</t>
        </is>
      </c>
      <c r="E1288" s="10" t="n">
        <v>46247.22916666666</v>
      </c>
      <c r="F1288" s="10" t="n">
        <v>46247.56597222222</v>
      </c>
      <c r="G1288" s="11" t="n">
        <v>20.68</v>
      </c>
      <c r="H1288" s="11">
        <f>H1287+G1288</f>
        <v/>
      </c>
    </row>
    <row r="1289">
      <c r="A1289" s="9" t="n">
        <v>1285</v>
      </c>
      <c r="B1289" s="9" t="inlineStr">
        <is>
          <t>MSG</t>
        </is>
      </c>
      <c r="C1289" s="9" t="inlineStr">
        <is>
          <t>Session-range breakout + Fibonacci retracement-zone entry</t>
        </is>
      </c>
      <c r="D1289" s="9" t="inlineStr">
        <is>
          <t>Long</t>
        </is>
      </c>
      <c r="E1289" s="10" t="n">
        <v>46247.64791666667</v>
      </c>
      <c r="F1289" s="10" t="n">
        <v>46247.66736111111</v>
      </c>
      <c r="G1289" s="11" t="n">
        <v>40.69</v>
      </c>
      <c r="H1289" s="11">
        <f>H1288+G1289</f>
        <v/>
      </c>
    </row>
    <row r="1290">
      <c r="A1290" s="9" t="n">
        <v>1286</v>
      </c>
      <c r="B1290" s="9" t="inlineStr">
        <is>
          <t>Meridian</t>
        </is>
      </c>
      <c r="C1290" s="9" t="inlineStr">
        <is>
          <t>21/50 MA cross, 250-period confirm filter, VWAP</t>
        </is>
      </c>
      <c r="D1290" s="9" t="inlineStr">
        <is>
          <t>Short</t>
        </is>
      </c>
      <c r="E1290" s="10" t="n">
        <v>46247.70486111111</v>
      </c>
      <c r="F1290" s="10" t="n">
        <v>46248.10416666666</v>
      </c>
      <c r="G1290" s="11" t="n">
        <v>12.94</v>
      </c>
      <c r="H1290" s="11">
        <f>H1289+G1290</f>
        <v/>
      </c>
    </row>
    <row r="1291">
      <c r="A1291" s="9" t="n">
        <v>1287</v>
      </c>
      <c r="B1291" s="9" t="inlineStr">
        <is>
          <t>Meridian</t>
        </is>
      </c>
      <c r="C1291" s="9" t="inlineStr">
        <is>
          <t>21/50 MA cross, 250-period confirm filter, VWAP</t>
        </is>
      </c>
      <c r="D1291" s="9" t="inlineStr">
        <is>
          <t>Short</t>
        </is>
      </c>
      <c r="E1291" s="10" t="n">
        <v>46248.13888888889</v>
      </c>
      <c r="F1291" s="10" t="n">
        <v>46248.39236111111</v>
      </c>
      <c r="G1291" s="11" t="n">
        <v>17.62</v>
      </c>
      <c r="H1291" s="11">
        <f>H1290+G1291</f>
        <v/>
      </c>
    </row>
    <row r="1292">
      <c r="A1292" s="9" t="n">
        <v>1288</v>
      </c>
      <c r="B1292" s="9" t="inlineStr">
        <is>
          <t>Vanguard_M15</t>
        </is>
      </c>
      <c r="C1292" s="9" t="inlineStr">
        <is>
          <t>Trendline breakout (fractal swing line) + VWAP/S-R distance gate - M15 chart</t>
        </is>
      </c>
      <c r="D1292" s="9" t="inlineStr">
        <is>
          <t>Short</t>
        </is>
      </c>
      <c r="E1292" s="10" t="n">
        <v>46247.29166666666</v>
      </c>
      <c r="F1292" s="10" t="n">
        <v>46248.98958333334</v>
      </c>
      <c r="G1292" s="11" t="n">
        <v>24.12</v>
      </c>
      <c r="H1292" s="11">
        <f>H1291+G1292</f>
        <v/>
      </c>
    </row>
    <row r="1293">
      <c r="A1293" s="9" t="n">
        <v>1289</v>
      </c>
      <c r="B1293" s="9" t="inlineStr">
        <is>
          <t>Vanguard_M5</t>
        </is>
      </c>
      <c r="C1293" s="9" t="inlineStr">
        <is>
          <t>Trendline breakout (fractal swing line) + VWAP/S-R distance gate</t>
        </is>
      </c>
      <c r="D1293" s="9" t="inlineStr">
        <is>
          <t>Short</t>
        </is>
      </c>
      <c r="E1293" s="10" t="n">
        <v>46247.29166666666</v>
      </c>
      <c r="F1293" s="10" t="n">
        <v>46248.99652777778</v>
      </c>
      <c r="G1293" s="11" t="n">
        <v>24.14</v>
      </c>
      <c r="H1293" s="11">
        <f>H1292+G1293</f>
        <v/>
      </c>
    </row>
  </sheetData>
  <autoFilter ref="A4:H1293"/>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14" customWidth="1" min="1" max="1"/>
    <col width="46" customWidth="1" min="2" max="2"/>
    <col width="9" customWidth="1" min="3" max="3"/>
    <col width="8" customWidth="1" min="4" max="4"/>
    <col width="11" customWidth="1" min="5" max="5"/>
    <col width="16" customWidth="1" min="6" max="6"/>
    <col width="16" customWidth="1" min="7" max="7"/>
    <col width="12" customWidth="1" min="8" max="8"/>
    <col width="18" customWidth="1" min="9" max="9"/>
    <col width="14" customWidth="1" min="10" max="10"/>
  </cols>
  <sheetData>
    <row r="1">
      <c r="A1" s="4" t="inlineStr">
        <is>
          <t>Combined 7-EA Portfolio - Summary / Attribution (2026-01-01 onward: 2026-01-01 .. 2026-08-14)</t>
        </is>
      </c>
    </row>
    <row r="4">
      <c r="A4" s="8" t="inlineStr">
        <is>
          <t>System</t>
        </is>
      </c>
      <c r="B4" s="8" t="inlineStr">
        <is>
          <t>Core Indicator / Signal Family</t>
        </is>
      </c>
      <c r="C4" s="8" t="inlineStr">
        <is>
          <t>Trades</t>
        </is>
      </c>
      <c r="D4" s="8" t="inlineStr">
        <is>
          <t>Wins</t>
        </is>
      </c>
      <c r="E4" s="8" t="inlineStr">
        <is>
          <t>Win Rate %</t>
        </is>
      </c>
      <c r="F4" s="8" t="inlineStr">
        <is>
          <t>Gross Profit (USD)</t>
        </is>
      </c>
      <c r="G4" s="8" t="inlineStr">
        <is>
          <t>Gross Loss (USD)</t>
        </is>
      </c>
      <c r="H4" s="8" t="inlineStr">
        <is>
          <t>Profit Factor</t>
        </is>
      </c>
      <c r="I4" s="8" t="inlineStr">
        <is>
          <t>Net Contribution (USD)</t>
        </is>
      </c>
      <c r="J4" s="8" t="inlineStr">
        <is>
          <t>% of Portfolio Net Profit</t>
        </is>
      </c>
    </row>
    <row r="5">
      <c r="A5" s="9" t="inlineStr">
        <is>
          <t>Aurelius_M5</t>
        </is>
      </c>
      <c r="B5" s="9" t="inlineStr">
        <is>
          <t>MA alignment (EMA21&gt;EMA50&gt;SMA250&gt;SMMA500 vs EMA2400 trend filter)</t>
        </is>
      </c>
      <c r="C5" s="9">
        <f>COUNTIF('Trade Ledger'!$B$5:$B$1293,A5)</f>
        <v/>
      </c>
      <c r="D5" s="9">
        <f>COUNTIFS('Trade Ledger'!$B$5:$B$1293,A5,'Trade Ledger'!$G$5:$G$1293,"&gt;0")</f>
        <v/>
      </c>
      <c r="E5" s="12">
        <f>IFERROR(D5/C5,0)</f>
        <v/>
      </c>
      <c r="F5" s="11">
        <f>SUMIFS('Trade Ledger'!$G$5:$G$1293,'Trade Ledger'!$B$5:$B$1293,A5,'Trade Ledger'!$G$5:$G$1293,"&gt;0")</f>
        <v/>
      </c>
      <c r="G5" s="11">
        <f>-SUMIFS('Trade Ledger'!$G$5:$G$1293,'Trade Ledger'!$B$5:$B$1293,A5,'Trade Ledger'!$G$5:$G$1293,"&lt;0")</f>
        <v/>
      </c>
      <c r="H5" s="9">
        <f>IFERROR(F5/G5,"")</f>
        <v/>
      </c>
      <c r="I5" s="11">
        <f>SUMIF('Trade Ledger'!$B$5:$B$1293,A5,'Trade Ledger'!$G$5:$G$1293)</f>
        <v/>
      </c>
      <c r="J5" s="12">
        <f>IFERROR(I5/$I$12,0)</f>
        <v/>
      </c>
    </row>
    <row r="6">
      <c r="A6" s="9" t="inlineStr">
        <is>
          <t>Aurelius_M15</t>
        </is>
      </c>
      <c r="B6" s="9" t="inlineStr">
        <is>
          <t>MA alignment (EMA21&gt;EMA50&gt;SMA250&gt;SMMA500 vs EMA2400 trend filter) - M15 chart</t>
        </is>
      </c>
      <c r="C6" s="9">
        <f>COUNTIF('Trade Ledger'!$B$5:$B$1293,A6)</f>
        <v/>
      </c>
      <c r="D6" s="9">
        <f>COUNTIFS('Trade Ledger'!$B$5:$B$1293,A6,'Trade Ledger'!$G$5:$G$1293,"&gt;0")</f>
        <v/>
      </c>
      <c r="E6" s="12">
        <f>IFERROR(D6/C6,0)</f>
        <v/>
      </c>
      <c r="F6" s="11">
        <f>SUMIFS('Trade Ledger'!$G$5:$G$1293,'Trade Ledger'!$B$5:$B$1293,A6,'Trade Ledger'!$G$5:$G$1293,"&gt;0")</f>
        <v/>
      </c>
      <c r="G6" s="11">
        <f>-SUMIFS('Trade Ledger'!$G$5:$G$1293,'Trade Ledger'!$B$5:$B$1293,A6,'Trade Ledger'!$G$5:$G$1293,"&lt;0")</f>
        <v/>
      </c>
      <c r="H6" s="9">
        <f>IFERROR(F6/G6,"")</f>
        <v/>
      </c>
      <c r="I6" s="11">
        <f>SUMIF('Trade Ledger'!$B$5:$B$1293,A6,'Trade Ledger'!$G$5:$G$1293)</f>
        <v/>
      </c>
      <c r="J6" s="12">
        <f>IFERROR(I6/$I$12,0)</f>
        <v/>
      </c>
    </row>
    <row r="7">
      <c r="A7" s="9" t="inlineStr">
        <is>
          <t>Vanguard_M5</t>
        </is>
      </c>
      <c r="B7" s="9" t="inlineStr">
        <is>
          <t>Trendline breakout (fractal swing line) + VWAP/S-R distance gate</t>
        </is>
      </c>
      <c r="C7" s="9">
        <f>COUNTIF('Trade Ledger'!$B$5:$B$1293,A7)</f>
        <v/>
      </c>
      <c r="D7" s="9">
        <f>COUNTIFS('Trade Ledger'!$B$5:$B$1293,A7,'Trade Ledger'!$G$5:$G$1293,"&gt;0")</f>
        <v/>
      </c>
      <c r="E7" s="12">
        <f>IFERROR(D7/C7,0)</f>
        <v/>
      </c>
      <c r="F7" s="11">
        <f>SUMIFS('Trade Ledger'!$G$5:$G$1293,'Trade Ledger'!$B$5:$B$1293,A7,'Trade Ledger'!$G$5:$G$1293,"&gt;0")</f>
        <v/>
      </c>
      <c r="G7" s="11">
        <f>-SUMIFS('Trade Ledger'!$G$5:$G$1293,'Trade Ledger'!$B$5:$B$1293,A7,'Trade Ledger'!$G$5:$G$1293,"&lt;0")</f>
        <v/>
      </c>
      <c r="H7" s="9">
        <f>IFERROR(F7/G7,"")</f>
        <v/>
      </c>
      <c r="I7" s="11">
        <f>SUMIF('Trade Ledger'!$B$5:$B$1293,A7,'Trade Ledger'!$G$5:$G$1293)</f>
        <v/>
      </c>
      <c r="J7" s="12">
        <f>IFERROR(I7/$I$12,0)</f>
        <v/>
      </c>
    </row>
    <row r="8">
      <c r="A8" s="9" t="inlineStr">
        <is>
          <t>Vanguard_M15</t>
        </is>
      </c>
      <c r="B8" s="9" t="inlineStr">
        <is>
          <t>Trendline breakout (fractal swing line) + VWAP/S-R distance gate - M15 chart</t>
        </is>
      </c>
      <c r="C8" s="9">
        <f>COUNTIF('Trade Ledger'!$B$5:$B$1293,A8)</f>
        <v/>
      </c>
      <c r="D8" s="9">
        <f>COUNTIFS('Trade Ledger'!$B$5:$B$1293,A8,'Trade Ledger'!$G$5:$G$1293,"&gt;0")</f>
        <v/>
      </c>
      <c r="E8" s="12">
        <f>IFERROR(D8/C8,0)</f>
        <v/>
      </c>
      <c r="F8" s="11">
        <f>SUMIFS('Trade Ledger'!$G$5:$G$1293,'Trade Ledger'!$B$5:$B$1293,A8,'Trade Ledger'!$G$5:$G$1293,"&gt;0")</f>
        <v/>
      </c>
      <c r="G8" s="11">
        <f>-SUMIFS('Trade Ledger'!$G$5:$G$1293,'Trade Ledger'!$B$5:$B$1293,A8,'Trade Ledger'!$G$5:$G$1293,"&lt;0")</f>
        <v/>
      </c>
      <c r="H8" s="9">
        <f>IFERROR(F8/G8,"")</f>
        <v/>
      </c>
      <c r="I8" s="11">
        <f>SUMIF('Trade Ledger'!$B$5:$B$1293,A8,'Trade Ledger'!$G$5:$G$1293)</f>
        <v/>
      </c>
      <c r="J8" s="12">
        <f>IFERROR(I8/$I$12,0)</f>
        <v/>
      </c>
    </row>
    <row r="9">
      <c r="A9" s="9" t="inlineStr">
        <is>
          <t>Meridian</t>
        </is>
      </c>
      <c r="B9" s="9" t="inlineStr">
        <is>
          <t>21/50 MA cross, 250-period confirm filter, VWAP</t>
        </is>
      </c>
      <c r="C9" s="9">
        <f>COUNTIF('Trade Ledger'!$B$5:$B$1293,A9)</f>
        <v/>
      </c>
      <c r="D9" s="9">
        <f>COUNTIFS('Trade Ledger'!$B$5:$B$1293,A9,'Trade Ledger'!$G$5:$G$1293,"&gt;0")</f>
        <v/>
      </c>
      <c r="E9" s="12">
        <f>IFERROR(D9/C9,0)</f>
        <v/>
      </c>
      <c r="F9" s="11">
        <f>SUMIFS('Trade Ledger'!$G$5:$G$1293,'Trade Ledger'!$B$5:$B$1293,A9,'Trade Ledger'!$G$5:$G$1293,"&gt;0")</f>
        <v/>
      </c>
      <c r="G9" s="11">
        <f>-SUMIFS('Trade Ledger'!$G$5:$G$1293,'Trade Ledger'!$B$5:$B$1293,A9,'Trade Ledger'!$G$5:$G$1293,"&lt;0")</f>
        <v/>
      </c>
      <c r="H9" s="9">
        <f>IFERROR(F9/G9,"")</f>
        <v/>
      </c>
      <c r="I9" s="11">
        <f>SUMIF('Trade Ledger'!$B$5:$B$1293,A9,'Trade Ledger'!$G$5:$G$1293)</f>
        <v/>
      </c>
      <c r="J9" s="12">
        <f>IFERROR(I9/$I$12,0)</f>
        <v/>
      </c>
    </row>
    <row r="10">
      <c r="A10" s="9" t="inlineStr">
        <is>
          <t>Ratchet</t>
        </is>
      </c>
      <c r="B10" s="9" t="inlineStr">
        <is>
          <t>Stochastic scalp with give-back trail exit</t>
        </is>
      </c>
      <c r="C10" s="9">
        <f>COUNTIF('Trade Ledger'!$B$5:$B$1293,A10)</f>
        <v/>
      </c>
      <c r="D10" s="9">
        <f>COUNTIFS('Trade Ledger'!$B$5:$B$1293,A10,'Trade Ledger'!$G$5:$G$1293,"&gt;0")</f>
        <v/>
      </c>
      <c r="E10" s="12">
        <f>IFERROR(D10/C10,0)</f>
        <v/>
      </c>
      <c r="F10" s="11">
        <f>SUMIFS('Trade Ledger'!$G$5:$G$1293,'Trade Ledger'!$B$5:$B$1293,A10,'Trade Ledger'!$G$5:$G$1293,"&gt;0")</f>
        <v/>
      </c>
      <c r="G10" s="11">
        <f>-SUMIFS('Trade Ledger'!$G$5:$G$1293,'Trade Ledger'!$B$5:$B$1293,A10,'Trade Ledger'!$G$5:$G$1293,"&lt;0")</f>
        <v/>
      </c>
      <c r="H10" s="9">
        <f>IFERROR(F10/G10,"")</f>
        <v/>
      </c>
      <c r="I10" s="11">
        <f>SUMIF('Trade Ledger'!$B$5:$B$1293,A10,'Trade Ledger'!$G$5:$G$1293)</f>
        <v/>
      </c>
      <c r="J10" s="12">
        <f>IFERROR(I10/$I$12,0)</f>
        <v/>
      </c>
    </row>
    <row r="11">
      <c r="A11" s="9" t="inlineStr">
        <is>
          <t>MSG</t>
        </is>
      </c>
      <c r="B11" s="9" t="inlineStr">
        <is>
          <t>Session-range breakout + Fibonacci retracement-zone entry</t>
        </is>
      </c>
      <c r="C11" s="9">
        <f>COUNTIF('Trade Ledger'!$B$5:$B$1293,A11)</f>
        <v/>
      </c>
      <c r="D11" s="9">
        <f>COUNTIFS('Trade Ledger'!$B$5:$B$1293,A11,'Trade Ledger'!$G$5:$G$1293,"&gt;0")</f>
        <v/>
      </c>
      <c r="E11" s="12">
        <f>IFERROR(D11/C11,0)</f>
        <v/>
      </c>
      <c r="F11" s="11">
        <f>SUMIFS('Trade Ledger'!$G$5:$G$1293,'Trade Ledger'!$B$5:$B$1293,A11,'Trade Ledger'!$G$5:$G$1293,"&gt;0")</f>
        <v/>
      </c>
      <c r="G11" s="11">
        <f>-SUMIFS('Trade Ledger'!$G$5:$G$1293,'Trade Ledger'!$B$5:$B$1293,A11,'Trade Ledger'!$G$5:$G$1293,"&lt;0")</f>
        <v/>
      </c>
      <c r="H11" s="9">
        <f>IFERROR(F11/G11,"")</f>
        <v/>
      </c>
      <c r="I11" s="11">
        <f>SUMIF('Trade Ledger'!$B$5:$B$1293,A11,'Trade Ledger'!$G$5:$G$1293)</f>
        <v/>
      </c>
      <c r="J11" s="12">
        <f>IFERROR(I11/$I$12,0)</f>
        <v/>
      </c>
    </row>
    <row r="12">
      <c r="A12" s="13" t="inlineStr">
        <is>
          <t>PORTFOLIO TOTAL</t>
        </is>
      </c>
      <c r="B12" s="13" t="inlineStr">
        <is>
          <t>All 7 systems combined</t>
        </is>
      </c>
      <c r="C12" s="13">
        <f>SUM(C5:C11)</f>
        <v/>
      </c>
      <c r="D12" s="13">
        <f>SUM(D5:D11)</f>
        <v/>
      </c>
      <c r="E12" s="14">
        <f>IFERROR(D12/C12,0)</f>
        <v/>
      </c>
      <c r="F12" s="15">
        <f>SUM(F5:F11)</f>
        <v/>
      </c>
      <c r="G12" s="15">
        <f>SUM(G5:G11)</f>
        <v/>
      </c>
      <c r="H12" s="13">
        <f>IFERROR(F12/G12,"")</f>
        <v/>
      </c>
      <c r="I12" s="15">
        <f>SUM(I5:I11)</f>
        <v/>
      </c>
      <c r="J12" s="14" t="n">
        <v>1</v>
      </c>
    </row>
    <row r="14">
      <c r="A14" s="5" t="inlineStr">
        <is>
          <t>Starting Balance (USD):</t>
        </is>
      </c>
      <c r="C14" s="16">
        <f>'Trade Ledger'!$C$2</f>
        <v/>
      </c>
    </row>
    <row r="15">
      <c r="A15" s="5" t="inlineStr">
        <is>
          <t>Final Balance (USD):</t>
        </is>
      </c>
      <c r="C15" s="16">
        <f>'Trade Ledger'!$C$2+I12</f>
        <v/>
      </c>
    </row>
    <row r="16">
      <c r="A16" s="5" t="inlineStr">
        <is>
          <t>Total Net Profit (USD):</t>
        </is>
      </c>
      <c r="C16" s="16">
        <f>I12</f>
        <v/>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2026-09-24T09:59:20Z</dcterms:created>
  <dcterms:modified xsi:type="dcterms:W3CDTF">2026-09-24T09:59:20Z</dcterms:modified>
</cp:coreProperties>
</file>