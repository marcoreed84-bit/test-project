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hodology" sheetId="1" state="visible" r:id="rId1"/>
    <sheet name="Trade Ledger" sheetId="2" state="visible" r:id="rId2"/>
    <sheet name="Summary" sheetId="3" state="visible" r:id="rId3"/>
  </sheets>
  <definedNames>
    <definedName name="_xlnm._FilterDatabase" localSheetId="1" hidden="1">'Trade Ledger'!$A$4:$H$7406</definedName>
  </definedNames>
  <calcPr calcId="124519" fullCalcOnLoad="1"/>
</workbook>
</file>

<file path=xl/styles.xml><?xml version="1.0" encoding="utf-8"?>
<styleSheet xmlns="http://schemas.openxmlformats.org/spreadsheetml/2006/main">
  <numFmts count="4">
    <numFmt numFmtId="164" formatCode="$#,##0.00;($#,##0.00);-"/>
    <numFmt numFmtId="165" formatCode="yyyy-mm-dd h:mm:ss"/>
    <numFmt numFmtId="166" formatCode="yyyy-mm-dd hh:mm"/>
    <numFmt numFmtId="167" formatCode="0.0%"/>
  </numFmts>
  <fonts count="8">
    <font>
      <name val="Calibri"/>
      <family val="2"/>
      <color theme="1"/>
      <sz val="11"/>
      <scheme val="minor"/>
    </font>
    <font>
      <name val="Arial"/>
      <b val="1"/>
      <sz val="14"/>
    </font>
    <font>
      <name val="Arial"/>
      <b val="1"/>
      <sz val="11"/>
    </font>
    <font>
      <name val="Arial"/>
      <b val="1"/>
      <color rgb="000000FF"/>
      <sz val="11"/>
    </font>
    <font>
      <name val="Arial"/>
      <sz val="11"/>
    </font>
    <font>
      <name val="Arial"/>
      <b val="1"/>
      <color rgb="00FFFFFF"/>
      <sz val="11"/>
    </font>
    <font>
      <name val="Arial"/>
      <b val="1"/>
      <sz val="16"/>
    </font>
    <font>
      <name val="Arial"/>
      <b val="1"/>
      <color rgb="001F3864"/>
      <sz val="12"/>
    </font>
  </fonts>
  <fills count="4">
    <fill>
      <patternFill/>
    </fill>
    <fill>
      <patternFill patternType="gray125"/>
    </fill>
    <fill>
      <patternFill patternType="solid">
        <fgColor rgb="001F3864"/>
      </patternFill>
    </fill>
    <fill>
      <patternFill patternType="solid">
        <fgColor rgb="00D9E1F2"/>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7">
    <xf numFmtId="0" fontId="0" fillId="0" borderId="0" pivotButton="0" quotePrefix="0" xfId="0"/>
    <xf numFmtId="0" fontId="6" fillId="0" borderId="0" pivotButton="0" quotePrefix="0" xfId="0"/>
    <xf numFmtId="0" fontId="7" fillId="0" borderId="0" pivotButton="0" quotePrefix="0" xfId="0"/>
    <xf numFmtId="0" fontId="4" fillId="0" borderId="0" applyAlignment="1" pivotButton="0" quotePrefix="0" xfId="0">
      <alignment vertical="top" wrapText="1"/>
    </xf>
    <xf numFmtId="0" fontId="1" fillId="0" borderId="0" pivotButton="0" quotePrefix="0" xfId="0"/>
    <xf numFmtId="0" fontId="2" fillId="0" borderId="0" pivotButton="0" quotePrefix="0" xfId="0"/>
    <xf numFmtId="164"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4" fillId="0" borderId="1" pivotButton="0" quotePrefix="0" xfId="0"/>
    <xf numFmtId="166" fontId="4" fillId="0" borderId="1" pivotButton="0" quotePrefix="0" xfId="0"/>
    <xf numFmtId="164" fontId="4" fillId="0" borderId="1" pivotButton="0" quotePrefix="0" xfId="0"/>
    <xf numFmtId="167" fontId="4" fillId="0" borderId="1" pivotButton="0" quotePrefix="0" xfId="0"/>
    <xf numFmtId="0" fontId="2" fillId="3" borderId="1" pivotButton="0" quotePrefix="0" xfId="0"/>
    <xf numFmtId="167" fontId="2" fillId="3" borderId="1" pivotButton="0" quotePrefix="0" xfId="0"/>
    <xf numFmtId="164" fontId="2" fillId="3" borderId="1"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7"/>
  <sheetViews>
    <sheetView showGridLines="0" workbookViewId="0">
      <selection activeCell="A1" sqref="A1"/>
    </sheetView>
  </sheetViews>
  <sheetFormatPr baseColWidth="8" defaultRowHeight="15"/>
  <cols>
    <col width="108" customWidth="1" min="1" max="1"/>
  </cols>
  <sheetData>
    <row r="1">
      <c r="A1" s="1" t="inlineStr">
        <is>
          <t>Combined 7-EA Portfolio Ledger - Methodology &amp; Limitations (Full history: 2023-01-03 .. 2026-08-14)</t>
        </is>
      </c>
    </row>
    <row r="2">
      <c r="A2" t="inlineStr"/>
    </row>
    <row r="3">
      <c r="A3" s="2" t="inlineStr">
        <is>
          <t>What this workbook is</t>
        </is>
      </c>
    </row>
    <row r="4" ht="45" customHeight="1">
      <c r="A4" s="3" t="inlineStr">
        <is>
          <t>A single combined trade-for-trade ledger and per-EA attribution summary for all SEVEN systems - Aurelius_EA.mq5 (M5), Aurelius_M15_EA.mq5, Vanguard_EA.mq5 (M5), Vanguard_M15_EA.mq5, Meridian_EA.mq5, Ratchet_EA.mq5 and MSG_Trader_EA.mq5 - trading together against ONE shared account, starting balance 13,500 USD.</t>
        </is>
      </c>
    </row>
    <row r="5" ht="15" customHeight="1">
      <c r="A5" s="3" t="inlineStr">
        <is>
          <t>Window covered: 2023-01-03 01:00 to 2026-08-14 23:55 (broker server time).</t>
        </is>
      </c>
    </row>
    <row r="6">
      <c r="A6" t="inlineStr"/>
    </row>
    <row r="7">
      <c r="A7" s="2" t="inlineStr">
        <is>
          <t>LIMITATION 1 - this is a Python-model combination, not a real 7-EA MT5 run</t>
        </is>
      </c>
    </row>
    <row r="8" ht="165" customHeight="1">
      <c r="A8" s="3" t="inlineStr">
        <is>
          <t>No real simultaneous 7-EA MT5 run exists or could easily exist - these are normally seven independent live accounts/charts. Each system's trades come from its OWN already-validated Python simulator at its OWN current shipped-default parameters (research/overlap/trades.py for the first six; research/msg/sim.py's simulate() with Params() for MSG). All seven use the project's established pnl convention (USD, no compounding), but NOT all at the same position size: the six overlap-study systems' pnl is on a 0.01-lot / 1oz basis (Ratchet sim.py: "All P/L is USD per 0.01 lot (1 oz)"; Meridian msim.py: "P/L is USD per 0.01 lot (1 oz)"; Aurelius/Vanguard's pnl is the raw price difference, the same convention with no multiplier). MSG_Trader_EA.mq5's OWN shipped default lot size is 0.03 (Params.lots), i.e. THREE TIMES that basis - used AS-IS here because the point of this workbook is each EA's own real shipped configuration, not one artificial common lot size. Applying any of this against a real 13,500-USD account is a useful approximation, NOT the same as a real live account: real spread/swap/slippage/margin/execution differences exist, exactly as this project's own real-vs-Python comparisons have repeatedly found this session.</t>
        </is>
      </c>
    </row>
    <row r="9">
      <c r="A9" t="inlineStr"/>
    </row>
    <row r="10">
      <c r="A10" s="2" t="inlineStr">
        <is>
          <t>LIMITATION 2 - ledger ordering: by EXIT time, not entry time</t>
        </is>
      </c>
    </row>
    <row r="11" ht="45" customHeight="1">
      <c r="A11" s="3" t="inlineStr">
        <is>
          <t>All seven systems' trades are merged into ONE chronological ledger ordered by EXIT time - the moment a trade's pnl actually realizes into balance, matching how MT5's own Balance column updates on deal close (not on open). Running balance starts at 13,500 and updates by each trade's pnl in that exit-time order.</t>
        </is>
      </c>
    </row>
    <row r="12">
      <c r="A12" t="inlineStr"/>
    </row>
    <row r="13">
      <c r="A13" s="2" t="inlineStr">
        <is>
          <t>LIMITATION 3 - no shared margin/exposure simulation</t>
        </is>
      </c>
    </row>
    <row r="14" ht="45" customHeight="1">
      <c r="A14" s="3" t="inlineStr">
        <is>
          <t>This is a straightforward realized-pnl ledger - seven independent pnl streams stacked onto one running balance - NOT a margin simulation. It does not model shared margin or exposure limits across the seven systems trading "at once" on one real account.</t>
        </is>
      </c>
    </row>
    <row r="15">
      <c r="A15" t="inlineStr"/>
    </row>
    <row r="16">
      <c r="A16" s="2" t="inlineStr">
        <is>
          <t>Data coverage</t>
        </is>
      </c>
    </row>
    <row r="17" ht="60" customHeight="1">
      <c r="A17" s="3" t="inlineStr">
        <is>
          <t>Aurelius/Vanguard (M5 and M15): GOLD# M5 export, 2023-01-03 01:00 .. 2026-08-14 23:55. Meridian/Ratchet: a different GOLD# M5 export, 2022-06-27 04:30 .. 2026-09-18 23:55 (same broker/symbol feed, confirmed by both CSVs' own meta_symbol=GOLD# header - see research/overlap/trades.py's own docstring for the full reasoning). This workbook's window (Full history: 2023-01-03 .. 2026-08-14) is bounded by these sources where relevant.</t>
        </is>
      </c>
    </row>
    <row r="18" ht="45" customHeight="1">
      <c r="A18" s="3" t="inlineStr">
        <is>
          <t>MSG_Trader_EA.mq5: a SEPARATE GOLD# M1 export, 2025-11-12 10:50 .. 2026-09-18 23:57 - a real, different native timeframe from the other six (M1, not M5); trades are aligned to the other six purely by real timestamp, never forced onto the M5 grid.</t>
        </is>
      </c>
    </row>
    <row r="19" ht="60" customHeight="1">
      <c r="A19" s="3" t="inlineStr">
        <is>
          <t>MSG's real data does NOT cover this workbook's full requested window: within 2023-01-03 .. 2026-08-14, MSG trades are only generated over its own real coverage, clipped to 2025-11-12 10:50 .. 2026-08-14 23:55 - a narrower span than the other six systems use in this same workbook. MSG's share of the combined totals below reflects that shorter real span, not a weaker strategy; it is not padded or extrapolated to cover the gap.</t>
        </is>
      </c>
    </row>
    <row r="20">
      <c r="A20" t="inlineStr"/>
    </row>
    <row r="21">
      <c r="A21" s="2" t="inlineStr">
        <is>
          <t>Known, disclosed gaps carried through unchanged from the underlying research</t>
        </is>
      </c>
    </row>
    <row r="22" ht="60" customHeight="1">
      <c r="A22" s="3" t="inlineStr">
        <is>
          <t>Ratchet_EA.mq5 v3.30 shipped InpTrailRunnerATR=6.0/InpTrailRunnerKeep=0.60 (real-MT5-confirmed) as an unconditional trail-tightening rule once a trade's best favourable move reaches 6x entry ATR; research/ratchet/sim.py's SHIPPED config has no dedicated field for it and does not apply it here either (only affects the EXIT of a minority of Ratchet's trades - those reaching 6x ATR in profit - not entries or any other system).</t>
        </is>
      </c>
    </row>
    <row r="23" ht="45" customHeight="1">
      <c r="A23" s="3" t="inlineStr">
        <is>
          <t>Vanguard's two trade lists (M5 and M15) are the RAW/UNFILTERED construction - InpUseAureliusFilter (default ON on both real Vanguard EAs) is NOT applied, the same choice research/overlap/overlap_test.py made for its own natural-overlap study, carried through here for consistency rather than silently re-deciding it.</t>
        </is>
      </c>
    </row>
    <row r="24">
      <c r="A24" t="inlineStr"/>
    </row>
    <row r="25">
      <c r="A25" s="2" t="inlineStr">
        <is>
          <t>Reproducibility</t>
        </is>
      </c>
    </row>
    <row r="26" ht="45" customHeight="1">
      <c r="A26" s="3" t="inlineStr">
        <is>
          <t>Generated by research/portfolio/combine_all7.py, which reuses research/overlap/trades.py (six systems) and research/msg/sim.py (MSG) directly - it re-derives none of the seven EAs' entry/exit logic. No .mq5 file was read or modified to produce this workbook.</t>
        </is>
      </c>
    </row>
    <row r="27" ht="15" customHeight="1">
      <c r="A27" s="3" t="inlineStr">
        <is>
          <t>Generated 2026-09-24 09:58 local.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406"/>
  <sheetViews>
    <sheetView workbookViewId="0">
      <pane ySplit="4" topLeftCell="A5" activePane="bottomLeft" state="frozen"/>
      <selection pane="bottomLeft" activeCell="A1" sqref="A1"/>
    </sheetView>
  </sheetViews>
  <sheetFormatPr baseColWidth="8" defaultRowHeight="15"/>
  <cols>
    <col width="6" customWidth="1" min="1" max="1"/>
    <col width="14" customWidth="1" min="2" max="2"/>
    <col width="44" customWidth="1" min="3" max="3"/>
    <col width="10" customWidth="1" min="4" max="4"/>
    <col width="18" customWidth="1" min="5" max="5"/>
    <col width="18" customWidth="1" min="6" max="6"/>
    <col width="18" customWidth="1" min="7" max="7"/>
    <col width="18" customWidth="1" min="8" max="8"/>
  </cols>
  <sheetData>
    <row r="1">
      <c r="A1" s="4" t="inlineStr">
        <is>
          <t>Combined 7-EA Portfolio - Trade Ledger (Full history: 2023-01-03 .. 2026-08-14)</t>
        </is>
      </c>
    </row>
    <row r="2">
      <c r="A2" s="5" t="inlineStr">
        <is>
          <t>Starting Balance (USD):</t>
        </is>
      </c>
      <c r="C2" s="6" t="n">
        <v>13500</v>
      </c>
      <c r="E2" s="5" t="inlineStr">
        <is>
          <t>Window:</t>
        </is>
      </c>
      <c r="F2" s="7" t="inlineStr">
        <is>
          <t>2023-01-03 01:00 .. 2026-08-14 23:55</t>
        </is>
      </c>
    </row>
    <row r="4">
      <c r="A4" s="8" t="inlineStr">
        <is>
          <t>#</t>
        </is>
      </c>
      <c r="B4" s="8" t="inlineStr">
        <is>
          <t>System</t>
        </is>
      </c>
      <c r="C4" s="8" t="inlineStr">
        <is>
          <t>Core Indicator / Signal</t>
        </is>
      </c>
      <c r="D4" s="8" t="inlineStr">
        <is>
          <t>Direction</t>
        </is>
      </c>
      <c r="E4" s="8" t="inlineStr">
        <is>
          <t>Entry Time</t>
        </is>
      </c>
      <c r="F4" s="8" t="inlineStr">
        <is>
          <t>Exit Time</t>
        </is>
      </c>
      <c r="G4" s="8" t="inlineStr">
        <is>
          <t>PnL (USD, this trade)</t>
        </is>
      </c>
      <c r="H4" s="8" t="inlineStr">
        <is>
          <t>Balance After (USD)</t>
        </is>
      </c>
    </row>
    <row r="5">
      <c r="A5" s="9" t="n">
        <v>1</v>
      </c>
      <c r="B5" s="9" t="inlineStr">
        <is>
          <t>Ratchet</t>
        </is>
      </c>
      <c r="C5" s="9" t="inlineStr">
        <is>
          <t>Stochastic scalp with give-back trail exit</t>
        </is>
      </c>
      <c r="D5" s="9" t="inlineStr">
        <is>
          <t>Long</t>
        </is>
      </c>
      <c r="E5" s="10" t="n">
        <v>44929.06944444445</v>
      </c>
      <c r="F5" s="10" t="n">
        <v>44929.12847222222</v>
      </c>
      <c r="G5" s="11" t="n">
        <v>1.06</v>
      </c>
      <c r="H5" s="11">
        <f>$C$2+G5</f>
        <v/>
      </c>
    </row>
    <row r="6">
      <c r="A6" s="9" t="n">
        <v>2</v>
      </c>
      <c r="B6" s="9" t="inlineStr">
        <is>
          <t>Ratchet</t>
        </is>
      </c>
      <c r="C6" s="9" t="inlineStr">
        <is>
          <t>Stochastic scalp with give-back trail exit</t>
        </is>
      </c>
      <c r="D6" s="9" t="inlineStr">
        <is>
          <t>Long</t>
        </is>
      </c>
      <c r="E6" s="10" t="n">
        <v>44929.17361111111</v>
      </c>
      <c r="F6" s="10" t="n">
        <v>44929.44791666666</v>
      </c>
      <c r="G6" s="11" t="n">
        <v>5.64</v>
      </c>
      <c r="H6" s="11">
        <f>H5+G6</f>
        <v/>
      </c>
    </row>
    <row r="7">
      <c r="A7" s="9" t="n">
        <v>3</v>
      </c>
      <c r="B7" s="9" t="inlineStr">
        <is>
          <t>Meridian</t>
        </is>
      </c>
      <c r="C7" s="9" t="inlineStr">
        <is>
          <t>21/50 MA cross, 250-period confirm filter, VWAP</t>
        </is>
      </c>
      <c r="D7" s="9" t="inlineStr">
        <is>
          <t>Long</t>
        </is>
      </c>
      <c r="E7" s="10" t="n">
        <v>44929.65277777778</v>
      </c>
      <c r="F7" s="10" t="n">
        <v>44929.72569444445</v>
      </c>
      <c r="G7" s="11" t="n">
        <v>-4.16</v>
      </c>
      <c r="H7" s="11">
        <f>H6+G7</f>
        <v/>
      </c>
    </row>
    <row r="8">
      <c r="A8" s="9" t="n">
        <v>4</v>
      </c>
      <c r="B8" s="9" t="inlineStr">
        <is>
          <t>Meridian</t>
        </is>
      </c>
      <c r="C8" s="9" t="inlineStr">
        <is>
          <t>21/50 MA cross, 250-period confirm filter, VWAP</t>
        </is>
      </c>
      <c r="D8" s="9" t="inlineStr">
        <is>
          <t>Short</t>
        </is>
      </c>
      <c r="E8" s="10" t="n">
        <v>44929.73958333334</v>
      </c>
      <c r="F8" s="10" t="n">
        <v>44929.79166666666</v>
      </c>
      <c r="G8" s="11" t="n">
        <v>-7</v>
      </c>
      <c r="H8" s="11">
        <f>H7+G8</f>
        <v/>
      </c>
    </row>
    <row r="9">
      <c r="A9" s="9" t="n">
        <v>5</v>
      </c>
      <c r="B9" s="9" t="inlineStr">
        <is>
          <t>Ratchet</t>
        </is>
      </c>
      <c r="C9" s="9" t="inlineStr">
        <is>
          <t>Stochastic scalp with give-back trail exit</t>
        </is>
      </c>
      <c r="D9" s="9" t="inlineStr">
        <is>
          <t>Long</t>
        </is>
      </c>
      <c r="E9" s="10" t="n">
        <v>44929.86458333334</v>
      </c>
      <c r="F9" s="10" t="n">
        <v>44929.99652777778</v>
      </c>
      <c r="G9" s="11" t="n">
        <v>0.33</v>
      </c>
      <c r="H9" s="11">
        <f>H8+G9</f>
        <v/>
      </c>
    </row>
    <row r="10">
      <c r="A10" s="9" t="n">
        <v>6</v>
      </c>
      <c r="B10" s="9" t="inlineStr">
        <is>
          <t>Meridian</t>
        </is>
      </c>
      <c r="C10" s="9" t="inlineStr">
        <is>
          <t>21/50 MA cross, 250-period confirm filter, VWAP</t>
        </is>
      </c>
      <c r="D10" s="9" t="inlineStr">
        <is>
          <t>Long</t>
        </is>
      </c>
      <c r="E10" s="10" t="n">
        <v>44929.83333333334</v>
      </c>
      <c r="F10" s="10" t="n">
        <v>44930.07638888889</v>
      </c>
      <c r="G10" s="11" t="n">
        <v>-2.77</v>
      </c>
      <c r="H10" s="11">
        <f>H9+G10</f>
        <v/>
      </c>
    </row>
    <row r="11">
      <c r="A11" s="9" t="n">
        <v>7</v>
      </c>
      <c r="B11" s="9" t="inlineStr">
        <is>
          <t>Ratchet</t>
        </is>
      </c>
      <c r="C11" s="9" t="inlineStr">
        <is>
          <t>Stochastic scalp with give-back trail exit</t>
        </is>
      </c>
      <c r="D11" s="9" t="inlineStr">
        <is>
          <t>Long</t>
        </is>
      </c>
      <c r="E11" s="10" t="n">
        <v>44930.14236111111</v>
      </c>
      <c r="F11" s="10" t="n">
        <v>44930.42013888889</v>
      </c>
      <c r="G11" s="11" t="n">
        <v>19.34</v>
      </c>
      <c r="H11" s="11">
        <f>H10+G11</f>
        <v/>
      </c>
    </row>
    <row r="12">
      <c r="A12" s="9" t="n">
        <v>8</v>
      </c>
      <c r="B12" s="9" t="inlineStr">
        <is>
          <t>Ratchet</t>
        </is>
      </c>
      <c r="C12" s="9" t="inlineStr">
        <is>
          <t>Stochastic scalp with give-back trail exit</t>
        </is>
      </c>
      <c r="D12" s="9" t="inlineStr">
        <is>
          <t>Long</t>
        </is>
      </c>
      <c r="E12" s="10" t="n">
        <v>44930.47569444445</v>
      </c>
      <c r="F12" s="10" t="n">
        <v>44930.48263888889</v>
      </c>
      <c r="G12" s="11" t="n">
        <v>0.3</v>
      </c>
      <c r="H12" s="11">
        <f>H11+G12</f>
        <v/>
      </c>
    </row>
    <row r="13">
      <c r="A13" s="9" t="n">
        <v>9</v>
      </c>
      <c r="B13" s="9" t="inlineStr">
        <is>
          <t>Ratchet</t>
        </is>
      </c>
      <c r="C13" s="9" t="inlineStr">
        <is>
          <t>Stochastic scalp with give-back trail exit</t>
        </is>
      </c>
      <c r="D13" s="9" t="inlineStr">
        <is>
          <t>Long</t>
        </is>
      </c>
      <c r="E13" s="10" t="n">
        <v>44930.55555555555</v>
      </c>
      <c r="F13" s="10" t="n">
        <v>44930.5625</v>
      </c>
      <c r="G13" s="11" t="n">
        <v>-2.4</v>
      </c>
      <c r="H13" s="11">
        <f>H12+G13</f>
        <v/>
      </c>
    </row>
    <row r="14">
      <c r="A14" s="9" t="n">
        <v>10</v>
      </c>
      <c r="B14" s="9" t="inlineStr">
        <is>
          <t>Meridian</t>
        </is>
      </c>
      <c r="C14" s="9" t="inlineStr">
        <is>
          <t>21/50 MA cross, 250-period confirm filter, VWAP</t>
        </is>
      </c>
      <c r="D14" s="9" t="inlineStr">
        <is>
          <t>Long</t>
        </is>
      </c>
      <c r="E14" s="10" t="n">
        <v>44930.12152777778</v>
      </c>
      <c r="F14" s="10" t="n">
        <v>44930.61458333334</v>
      </c>
      <c r="G14" s="11" t="n">
        <v>14.58</v>
      </c>
      <c r="H14" s="11">
        <f>H13+G14</f>
        <v/>
      </c>
    </row>
    <row r="15">
      <c r="A15" s="9" t="n">
        <v>11</v>
      </c>
      <c r="B15" s="9" t="inlineStr">
        <is>
          <t>Meridian</t>
        </is>
      </c>
      <c r="C15" s="9" t="inlineStr">
        <is>
          <t>21/50 MA cross, 250-period confirm filter, VWAP</t>
        </is>
      </c>
      <c r="D15" s="9" t="inlineStr">
        <is>
          <t>Long</t>
        </is>
      </c>
      <c r="E15" s="10" t="n">
        <v>44930.65625</v>
      </c>
      <c r="F15" s="10" t="n">
        <v>44930.66666666666</v>
      </c>
      <c r="G15" s="11" t="n">
        <v>-4.46</v>
      </c>
      <c r="H15" s="11">
        <f>H14+G15</f>
        <v/>
      </c>
    </row>
    <row r="16">
      <c r="A16" s="9" t="n">
        <v>12</v>
      </c>
      <c r="B16" s="9" t="inlineStr">
        <is>
          <t>Ratchet</t>
        </is>
      </c>
      <c r="C16" s="9" t="inlineStr">
        <is>
          <t>Stochastic scalp with give-back trail exit</t>
        </is>
      </c>
      <c r="D16" s="9" t="inlineStr">
        <is>
          <t>Long</t>
        </is>
      </c>
      <c r="E16" s="10" t="n">
        <v>44930.67361111111</v>
      </c>
      <c r="F16" s="10" t="n">
        <v>44930.70138888889</v>
      </c>
      <c r="G16" s="11" t="n">
        <v>-3.91</v>
      </c>
      <c r="H16" s="11">
        <f>H15+G16</f>
        <v/>
      </c>
    </row>
    <row r="17">
      <c r="A17" s="9" t="n">
        <v>13</v>
      </c>
      <c r="B17" s="9" t="inlineStr">
        <is>
          <t>Ratchet</t>
        </is>
      </c>
      <c r="C17" s="9" t="inlineStr">
        <is>
          <t>Stochastic scalp with give-back trail exit</t>
        </is>
      </c>
      <c r="D17" s="9" t="inlineStr">
        <is>
          <t>Long</t>
        </is>
      </c>
      <c r="E17" s="10" t="n">
        <v>44930.77777777778</v>
      </c>
      <c r="F17" s="10" t="n">
        <v>44930.78125</v>
      </c>
      <c r="G17" s="11" t="n">
        <v>0.26</v>
      </c>
      <c r="H17" s="11">
        <f>H16+G17</f>
        <v/>
      </c>
    </row>
    <row r="18">
      <c r="A18" s="9" t="n">
        <v>14</v>
      </c>
      <c r="B18" s="9" t="inlineStr">
        <is>
          <t>Meridian</t>
        </is>
      </c>
      <c r="C18" s="9" t="inlineStr">
        <is>
          <t>21/50 MA cross, 250-period confirm filter, VWAP</t>
        </is>
      </c>
      <c r="D18" s="9" t="inlineStr">
        <is>
          <t>Long</t>
        </is>
      </c>
      <c r="E18" s="10" t="n">
        <v>44930.77777777778</v>
      </c>
      <c r="F18" s="10" t="n">
        <v>44930.81944444445</v>
      </c>
      <c r="G18" s="11" t="n">
        <v>-3.21</v>
      </c>
      <c r="H18" s="11">
        <f>H17+G18</f>
        <v/>
      </c>
    </row>
    <row r="19">
      <c r="A19" s="9" t="n">
        <v>15</v>
      </c>
      <c r="B19" s="9" t="inlineStr">
        <is>
          <t>Meridian</t>
        </is>
      </c>
      <c r="C19" s="9" t="inlineStr">
        <is>
          <t>21/50 MA cross, 250-period confirm filter, VWAP</t>
        </is>
      </c>
      <c r="D19" s="9" t="inlineStr">
        <is>
          <t>Long</t>
        </is>
      </c>
      <c r="E19" s="10" t="n">
        <v>44930.96875</v>
      </c>
      <c r="F19" s="10" t="n">
        <v>44931.24652777778</v>
      </c>
      <c r="G19" s="11" t="n">
        <v>-2.47</v>
      </c>
      <c r="H19" s="11">
        <f>H18+G19</f>
        <v/>
      </c>
    </row>
    <row r="20">
      <c r="A20" s="9" t="n">
        <v>16</v>
      </c>
      <c r="B20" s="9" t="inlineStr">
        <is>
          <t>Meridian</t>
        </is>
      </c>
      <c r="C20" s="9" t="inlineStr">
        <is>
          <t>21/50 MA cross, 250-period confirm filter, VWAP</t>
        </is>
      </c>
      <c r="D20" s="9" t="inlineStr">
        <is>
          <t>Short</t>
        </is>
      </c>
      <c r="E20" s="10" t="n">
        <v>44931.89930555555</v>
      </c>
      <c r="F20" s="10" t="n">
        <v>44931.90972222222</v>
      </c>
      <c r="G20" s="11" t="n">
        <v>-1.91</v>
      </c>
      <c r="H20" s="11">
        <f>H19+G20</f>
        <v/>
      </c>
    </row>
    <row r="21">
      <c r="A21" s="9" t="n">
        <v>17</v>
      </c>
      <c r="B21" s="9" t="inlineStr">
        <is>
          <t>Meridian</t>
        </is>
      </c>
      <c r="C21" s="9" t="inlineStr">
        <is>
          <t>21/50 MA cross, 250-period confirm filter, VWAP</t>
        </is>
      </c>
      <c r="D21" s="9" t="inlineStr">
        <is>
          <t>Short</t>
        </is>
      </c>
      <c r="E21" s="10" t="n">
        <v>44931.92013888889</v>
      </c>
      <c r="F21" s="10" t="n">
        <v>44932.12847222222</v>
      </c>
      <c r="G21" s="11" t="n">
        <v>-0.66</v>
      </c>
      <c r="H21" s="11">
        <f>H20+G21</f>
        <v/>
      </c>
    </row>
    <row r="22">
      <c r="A22" s="9" t="n">
        <v>18</v>
      </c>
      <c r="B22" s="9" t="inlineStr">
        <is>
          <t>Meridian</t>
        </is>
      </c>
      <c r="C22" s="9" t="inlineStr">
        <is>
          <t>21/50 MA cross, 250-period confirm filter, VWAP</t>
        </is>
      </c>
      <c r="D22" s="9" t="inlineStr">
        <is>
          <t>Long</t>
        </is>
      </c>
      <c r="E22" s="10" t="n">
        <v>44932.5625</v>
      </c>
      <c r="F22" s="10" t="n">
        <v>44932.56944444445</v>
      </c>
      <c r="G22" s="11" t="n">
        <v>-2.83</v>
      </c>
      <c r="H22" s="11">
        <f>H21+G22</f>
        <v/>
      </c>
    </row>
    <row r="23">
      <c r="A23" s="9" t="n">
        <v>19</v>
      </c>
      <c r="B23" s="9" t="inlineStr">
        <is>
          <t>Vanguard_M5</t>
        </is>
      </c>
      <c r="C23" s="9" t="inlineStr">
        <is>
          <t>Trendline breakout (fractal swing line) + VWAP/S-R distance gate</t>
        </is>
      </c>
      <c r="D23" s="9" t="inlineStr">
        <is>
          <t>Short</t>
        </is>
      </c>
      <c r="E23" s="10" t="n">
        <v>44931.34722222222</v>
      </c>
      <c r="F23" s="10" t="n">
        <v>44932.64236111111</v>
      </c>
      <c r="G23" s="11" t="n">
        <v>18.63</v>
      </c>
      <c r="H23" s="11">
        <f>H22+G23</f>
        <v/>
      </c>
    </row>
    <row r="24">
      <c r="A24" s="9" t="n">
        <v>20</v>
      </c>
      <c r="B24" s="9" t="inlineStr">
        <is>
          <t>Vanguard_M15</t>
        </is>
      </c>
      <c r="C24" s="9" t="inlineStr">
        <is>
          <t>Trendline breakout (fractal swing line) + VWAP/S-R distance gate - M15 chart</t>
        </is>
      </c>
      <c r="D24" s="9" t="inlineStr">
        <is>
          <t>Short</t>
        </is>
      </c>
      <c r="E24" s="10" t="n">
        <v>44931.35416666666</v>
      </c>
      <c r="F24" s="10" t="n">
        <v>44932.70833333334</v>
      </c>
      <c r="G24" s="11" t="n">
        <v>-5.83</v>
      </c>
      <c r="H24" s="11">
        <f>H23+G24</f>
        <v/>
      </c>
    </row>
    <row r="25">
      <c r="A25" s="9" t="n">
        <v>21</v>
      </c>
      <c r="B25" s="9" t="inlineStr">
        <is>
          <t>Meridian</t>
        </is>
      </c>
      <c r="C25" s="9" t="inlineStr">
        <is>
          <t>21/50 MA cross, 250-period confirm filter, VWAP</t>
        </is>
      </c>
      <c r="D25" s="9" t="inlineStr">
        <is>
          <t>Long</t>
        </is>
      </c>
      <c r="E25" s="10" t="n">
        <v>44932.65277777778</v>
      </c>
      <c r="F25" s="10" t="n">
        <v>44932.91666666666</v>
      </c>
      <c r="G25" s="11" t="n">
        <v>29.64</v>
      </c>
      <c r="H25" s="11">
        <f>H24+G25</f>
        <v/>
      </c>
    </row>
    <row r="26">
      <c r="A26" s="9" t="n">
        <v>22</v>
      </c>
      <c r="B26" s="9" t="inlineStr">
        <is>
          <t>Ratchet</t>
        </is>
      </c>
      <c r="C26" s="9" t="inlineStr">
        <is>
          <t>Stochastic scalp with give-back trail exit</t>
        </is>
      </c>
      <c r="D26" s="9" t="inlineStr">
        <is>
          <t>Long</t>
        </is>
      </c>
      <c r="E26" s="10" t="n">
        <v>44935.14930555555</v>
      </c>
      <c r="F26" s="10" t="n">
        <v>44935.40972222222</v>
      </c>
      <c r="G26" s="11" t="n">
        <v>2.91</v>
      </c>
      <c r="H26" s="11">
        <f>H25+G26</f>
        <v/>
      </c>
    </row>
    <row r="27">
      <c r="A27" s="9" t="n">
        <v>23</v>
      </c>
      <c r="B27" s="9" t="inlineStr">
        <is>
          <t>Ratchet</t>
        </is>
      </c>
      <c r="C27" s="9" t="inlineStr">
        <is>
          <t>Stochastic scalp with give-back trail exit</t>
        </is>
      </c>
      <c r="D27" s="9" t="inlineStr">
        <is>
          <t>Long</t>
        </is>
      </c>
      <c r="E27" s="10" t="n">
        <v>44935.62152777778</v>
      </c>
      <c r="F27" s="10" t="n">
        <v>44935.63194444445</v>
      </c>
      <c r="G27" s="11" t="n">
        <v>-1.92</v>
      </c>
      <c r="H27" s="11">
        <f>H26+G27</f>
        <v/>
      </c>
    </row>
    <row r="28">
      <c r="A28" s="9" t="n">
        <v>24</v>
      </c>
      <c r="B28" s="9" t="inlineStr">
        <is>
          <t>Ratchet</t>
        </is>
      </c>
      <c r="C28" s="9" t="inlineStr">
        <is>
          <t>Stochastic scalp with give-back trail exit</t>
        </is>
      </c>
      <c r="D28" s="9" t="inlineStr">
        <is>
          <t>Long</t>
        </is>
      </c>
      <c r="E28" s="10" t="n">
        <v>44935.64583333334</v>
      </c>
      <c r="F28" s="10" t="n">
        <v>44935.64930555555</v>
      </c>
      <c r="G28" s="11" t="n">
        <v>-2.36</v>
      </c>
      <c r="H28" s="11">
        <f>H27+G28</f>
        <v/>
      </c>
    </row>
    <row r="29">
      <c r="A29" s="9" t="n">
        <v>25</v>
      </c>
      <c r="B29" s="9" t="inlineStr">
        <is>
          <t>Meridian</t>
        </is>
      </c>
      <c r="C29" s="9" t="inlineStr">
        <is>
          <t>21/50 MA cross, 250-period confirm filter, VWAP</t>
        </is>
      </c>
      <c r="D29" s="9" t="inlineStr">
        <is>
          <t>Long</t>
        </is>
      </c>
      <c r="E29" s="10" t="n">
        <v>44935.61805555555</v>
      </c>
      <c r="F29" s="10" t="n">
        <v>44935.79861111111</v>
      </c>
      <c r="G29" s="11" t="n">
        <v>-2.63</v>
      </c>
      <c r="H29" s="11">
        <f>H28+G29</f>
        <v/>
      </c>
    </row>
    <row r="30">
      <c r="A30" s="9" t="n">
        <v>26</v>
      </c>
      <c r="B30" s="9" t="inlineStr">
        <is>
          <t>Meridian</t>
        </is>
      </c>
      <c r="C30" s="9" t="inlineStr">
        <is>
          <t>21/50 MA cross, 250-period confirm filter, VWAP</t>
        </is>
      </c>
      <c r="D30" s="9" t="inlineStr">
        <is>
          <t>Long</t>
        </is>
      </c>
      <c r="E30" s="10" t="n">
        <v>44936.15277777778</v>
      </c>
      <c r="F30" s="10" t="n">
        <v>44936.19444444445</v>
      </c>
      <c r="G30" s="11" t="n">
        <v>-2.61</v>
      </c>
      <c r="H30" s="11">
        <f>H29+G30</f>
        <v/>
      </c>
    </row>
    <row r="31">
      <c r="A31" s="9" t="n">
        <v>27</v>
      </c>
      <c r="B31" s="9" t="inlineStr">
        <is>
          <t>Meridian</t>
        </is>
      </c>
      <c r="C31" s="9" t="inlineStr">
        <is>
          <t>21/50 MA cross, 250-period confirm filter, VWAP</t>
        </is>
      </c>
      <c r="D31" s="9" t="inlineStr">
        <is>
          <t>Short</t>
        </is>
      </c>
      <c r="E31" s="10" t="n">
        <v>44936.26388888889</v>
      </c>
      <c r="F31" s="10" t="n">
        <v>44936.30208333334</v>
      </c>
      <c r="G31" s="11" t="n">
        <v>-2.37</v>
      </c>
      <c r="H31" s="11">
        <f>H30+G31</f>
        <v/>
      </c>
    </row>
    <row r="32">
      <c r="A32" s="9" t="n">
        <v>28</v>
      </c>
      <c r="B32" s="9" t="inlineStr">
        <is>
          <t>Ratchet</t>
        </is>
      </c>
      <c r="C32" s="9" t="inlineStr">
        <is>
          <t>Stochastic scalp with give-back trail exit</t>
        </is>
      </c>
      <c r="D32" s="9" t="inlineStr">
        <is>
          <t>Long</t>
        </is>
      </c>
      <c r="E32" s="10" t="n">
        <v>44936.32638888889</v>
      </c>
      <c r="F32" s="10" t="n">
        <v>44936.32986111111</v>
      </c>
      <c r="G32" s="11" t="n">
        <v>-1.29</v>
      </c>
      <c r="H32" s="11">
        <f>H31+G32</f>
        <v/>
      </c>
    </row>
    <row r="33">
      <c r="A33" s="9" t="n">
        <v>29</v>
      </c>
      <c r="B33" s="9" t="inlineStr">
        <is>
          <t>Meridian</t>
        </is>
      </c>
      <c r="C33" s="9" t="inlineStr">
        <is>
          <t>21/50 MA cross, 250-period confirm filter, VWAP</t>
        </is>
      </c>
      <c r="D33" s="9" t="inlineStr">
        <is>
          <t>Short</t>
        </is>
      </c>
      <c r="E33" s="10" t="n">
        <v>44936.39930555555</v>
      </c>
      <c r="F33" s="10" t="n">
        <v>44936.43055555555</v>
      </c>
      <c r="G33" s="11" t="n">
        <v>-2.49</v>
      </c>
      <c r="H33" s="11">
        <f>H32+G33</f>
        <v/>
      </c>
    </row>
    <row r="34">
      <c r="A34" s="9" t="n">
        <v>30</v>
      </c>
      <c r="B34" s="9" t="inlineStr">
        <is>
          <t>Ratchet</t>
        </is>
      </c>
      <c r="C34" s="9" t="inlineStr">
        <is>
          <t>Stochastic scalp with give-back trail exit</t>
        </is>
      </c>
      <c r="D34" s="9" t="inlineStr">
        <is>
          <t>Long</t>
        </is>
      </c>
      <c r="E34" s="10" t="n">
        <v>44936.56944444445</v>
      </c>
      <c r="F34" s="10" t="n">
        <v>44936.58680555555</v>
      </c>
      <c r="G34" s="11" t="n">
        <v>-2.05</v>
      </c>
      <c r="H34" s="11">
        <f>H33+G34</f>
        <v/>
      </c>
    </row>
    <row r="35">
      <c r="A35" s="9" t="n">
        <v>31</v>
      </c>
      <c r="B35" s="9" t="inlineStr">
        <is>
          <t>Meridian</t>
        </is>
      </c>
      <c r="C35" s="9" t="inlineStr">
        <is>
          <t>21/50 MA cross, 250-period confirm filter, VWAP</t>
        </is>
      </c>
      <c r="D35" s="9" t="inlineStr">
        <is>
          <t>Short</t>
        </is>
      </c>
      <c r="E35" s="10" t="n">
        <v>44936.60416666666</v>
      </c>
      <c r="F35" s="10" t="n">
        <v>44936.66666666666</v>
      </c>
      <c r="G35" s="11" t="n">
        <v>-3.1</v>
      </c>
      <c r="H35" s="11">
        <f>H34+G35</f>
        <v/>
      </c>
    </row>
    <row r="36">
      <c r="A36" s="9" t="n">
        <v>32</v>
      </c>
      <c r="B36" s="9" t="inlineStr">
        <is>
          <t>Ratchet</t>
        </is>
      </c>
      <c r="C36" s="9" t="inlineStr">
        <is>
          <t>Stochastic scalp with give-back trail exit</t>
        </is>
      </c>
      <c r="D36" s="9" t="inlineStr">
        <is>
          <t>Long</t>
        </is>
      </c>
      <c r="E36" s="10" t="n">
        <v>44936.68402777778</v>
      </c>
      <c r="F36" s="10" t="n">
        <v>44936.69097222222</v>
      </c>
      <c r="G36" s="11" t="n">
        <v>0.46</v>
      </c>
      <c r="H36" s="11">
        <f>H35+G36</f>
        <v/>
      </c>
    </row>
    <row r="37">
      <c r="A37" s="9" t="n">
        <v>33</v>
      </c>
      <c r="B37" s="9" t="inlineStr">
        <is>
          <t>Ratchet</t>
        </is>
      </c>
      <c r="C37" s="9" t="inlineStr">
        <is>
          <t>Stochastic scalp with give-back trail exit</t>
        </is>
      </c>
      <c r="D37" s="9" t="inlineStr">
        <is>
          <t>Long</t>
        </is>
      </c>
      <c r="E37" s="10" t="n">
        <v>44936.69791666666</v>
      </c>
      <c r="F37" s="10" t="n">
        <v>44936.72222222222</v>
      </c>
      <c r="G37" s="11" t="n">
        <v>0.79</v>
      </c>
      <c r="H37" s="11">
        <f>H36+G37</f>
        <v/>
      </c>
    </row>
    <row r="38">
      <c r="A38" s="9" t="n">
        <v>34</v>
      </c>
      <c r="B38" s="9" t="inlineStr">
        <is>
          <t>Meridian</t>
        </is>
      </c>
      <c r="C38" s="9" t="inlineStr">
        <is>
          <t>21/50 MA cross, 250-period confirm filter, VWAP</t>
        </is>
      </c>
      <c r="D38" s="9" t="inlineStr">
        <is>
          <t>Long</t>
        </is>
      </c>
      <c r="E38" s="10" t="n">
        <v>44936.68055555555</v>
      </c>
      <c r="F38" s="10" t="n">
        <v>44936.78125</v>
      </c>
      <c r="G38" s="11" t="n">
        <v>-4.23</v>
      </c>
      <c r="H38" s="11">
        <f>H37+G38</f>
        <v/>
      </c>
    </row>
    <row r="39">
      <c r="A39" s="9" t="n">
        <v>35</v>
      </c>
      <c r="B39" s="9" t="inlineStr">
        <is>
          <t>Meridian</t>
        </is>
      </c>
      <c r="C39" s="9" t="inlineStr">
        <is>
          <t>21/50 MA cross, 250-period confirm filter, VWAP</t>
        </is>
      </c>
      <c r="D39" s="9" t="inlineStr">
        <is>
          <t>Short</t>
        </is>
      </c>
      <c r="E39" s="10" t="n">
        <v>44936.78819444445</v>
      </c>
      <c r="F39" s="10" t="n">
        <v>44936.88541666666</v>
      </c>
      <c r="G39" s="11" t="n">
        <v>-2.73</v>
      </c>
      <c r="H39" s="11">
        <f>H38+G39</f>
        <v/>
      </c>
    </row>
    <row r="40">
      <c r="A40" s="9" t="n">
        <v>36</v>
      </c>
      <c r="B40" s="9" t="inlineStr">
        <is>
          <t>Ratchet</t>
        </is>
      </c>
      <c r="C40" s="9" t="inlineStr">
        <is>
          <t>Stochastic scalp with give-back trail exit</t>
        </is>
      </c>
      <c r="D40" s="9" t="inlineStr">
        <is>
          <t>Long</t>
        </is>
      </c>
      <c r="E40" s="10" t="n">
        <v>44936.89236111111</v>
      </c>
      <c r="F40" s="10" t="n">
        <v>44936.89930555555</v>
      </c>
      <c r="G40" s="11" t="n">
        <v>0</v>
      </c>
      <c r="H40" s="11">
        <f>H39+G40</f>
        <v/>
      </c>
    </row>
    <row r="41">
      <c r="A41" s="9" t="n">
        <v>37</v>
      </c>
      <c r="B41" s="9" t="inlineStr">
        <is>
          <t>Meridian</t>
        </is>
      </c>
      <c r="C41" s="9" t="inlineStr">
        <is>
          <t>21/50 MA cross, 250-period confirm filter, VWAP</t>
        </is>
      </c>
      <c r="D41" s="9" t="inlineStr">
        <is>
          <t>Short</t>
        </is>
      </c>
      <c r="E41" s="10" t="n">
        <v>44937.14583333334</v>
      </c>
      <c r="F41" s="10" t="n">
        <v>44937.1875</v>
      </c>
      <c r="G41" s="11" t="n">
        <v>-2.05</v>
      </c>
      <c r="H41" s="11">
        <f>H40+G41</f>
        <v/>
      </c>
    </row>
    <row r="42">
      <c r="A42" s="9" t="n">
        <v>38</v>
      </c>
      <c r="B42" s="9" t="inlineStr">
        <is>
          <t>Vanguard_M5</t>
        </is>
      </c>
      <c r="C42" s="9" t="inlineStr">
        <is>
          <t>Trendline breakout (fractal swing line) + VWAP/S-R distance gate</t>
        </is>
      </c>
      <c r="D42" s="9" t="inlineStr">
        <is>
          <t>Short</t>
        </is>
      </c>
      <c r="E42" s="10" t="n">
        <v>44937.14930555555</v>
      </c>
      <c r="F42" s="10" t="n">
        <v>44937.19097222222</v>
      </c>
      <c r="G42" s="11" t="n">
        <v>-3.49</v>
      </c>
      <c r="H42" s="11">
        <f>H41+G42</f>
        <v/>
      </c>
    </row>
    <row r="43">
      <c r="A43" s="9" t="n">
        <v>39</v>
      </c>
      <c r="B43" s="9" t="inlineStr">
        <is>
          <t>Ratchet</t>
        </is>
      </c>
      <c r="C43" s="9" t="inlineStr">
        <is>
          <t>Stochastic scalp with give-back trail exit</t>
        </is>
      </c>
      <c r="D43" s="9" t="inlineStr">
        <is>
          <t>Long</t>
        </is>
      </c>
      <c r="E43" s="10" t="n">
        <v>44937.38541666666</v>
      </c>
      <c r="F43" s="10" t="n">
        <v>44937.39583333334</v>
      </c>
      <c r="G43" s="11" t="n">
        <v>0.24</v>
      </c>
      <c r="H43" s="11">
        <f>H42+G43</f>
        <v/>
      </c>
    </row>
    <row r="44">
      <c r="A44" s="9" t="n">
        <v>40</v>
      </c>
      <c r="B44" s="9" t="inlineStr">
        <is>
          <t>Ratchet</t>
        </is>
      </c>
      <c r="C44" s="9" t="inlineStr">
        <is>
          <t>Stochastic scalp with give-back trail exit</t>
        </is>
      </c>
      <c r="D44" s="9" t="inlineStr">
        <is>
          <t>Long</t>
        </is>
      </c>
      <c r="E44" s="10" t="n">
        <v>44937.46875</v>
      </c>
      <c r="F44" s="10" t="n">
        <v>44937.48958333334</v>
      </c>
      <c r="G44" s="11" t="n">
        <v>0.47</v>
      </c>
      <c r="H44" s="11">
        <f>H43+G44</f>
        <v/>
      </c>
    </row>
    <row r="45">
      <c r="A45" s="9" t="n">
        <v>41</v>
      </c>
      <c r="B45" s="9" t="inlineStr">
        <is>
          <t>Vanguard_M15</t>
        </is>
      </c>
      <c r="C45" s="9" t="inlineStr">
        <is>
          <t>Trendline breakout (fractal swing line) + VWAP/S-R distance gate - M15 chart</t>
        </is>
      </c>
      <c r="D45" s="9" t="inlineStr">
        <is>
          <t>Long</t>
        </is>
      </c>
      <c r="E45" s="10" t="n">
        <v>44937.32291666666</v>
      </c>
      <c r="F45" s="10" t="n">
        <v>44937.58333333334</v>
      </c>
      <c r="G45" s="11" t="n">
        <v>-5.2</v>
      </c>
      <c r="H45" s="11">
        <f>H44+G45</f>
        <v/>
      </c>
    </row>
    <row r="46">
      <c r="A46" s="9" t="n">
        <v>42</v>
      </c>
      <c r="B46" s="9" t="inlineStr">
        <is>
          <t>Meridian</t>
        </is>
      </c>
      <c r="C46" s="9" t="inlineStr">
        <is>
          <t>21/50 MA cross, 250-period confirm filter, VWAP</t>
        </is>
      </c>
      <c r="D46" s="9" t="inlineStr">
        <is>
          <t>Long</t>
        </is>
      </c>
      <c r="E46" s="10" t="n">
        <v>44937.24305555555</v>
      </c>
      <c r="F46" s="10" t="n">
        <v>44937.59375</v>
      </c>
      <c r="G46" s="11" t="n">
        <v>2.09</v>
      </c>
      <c r="H46" s="11">
        <f>H45+G46</f>
        <v/>
      </c>
    </row>
    <row r="47">
      <c r="A47" s="9" t="n">
        <v>43</v>
      </c>
      <c r="B47" s="9" t="inlineStr">
        <is>
          <t>Vanguard_M15</t>
        </is>
      </c>
      <c r="C47" s="9" t="inlineStr">
        <is>
          <t>Trendline breakout (fractal swing line) + VWAP/S-R distance gate - M15 chart</t>
        </is>
      </c>
      <c r="D47" s="9" t="inlineStr">
        <is>
          <t>Short</t>
        </is>
      </c>
      <c r="E47" s="10" t="n">
        <v>44937.69791666666</v>
      </c>
      <c r="F47" s="10" t="n">
        <v>44938.17708333334</v>
      </c>
      <c r="G47" s="11" t="n">
        <v>-7.75</v>
      </c>
      <c r="H47" s="11">
        <f>H46+G47</f>
        <v/>
      </c>
    </row>
    <row r="48">
      <c r="A48" s="9" t="n">
        <v>44</v>
      </c>
      <c r="B48" s="9" t="inlineStr">
        <is>
          <t>Vanguard_M5</t>
        </is>
      </c>
      <c r="C48" s="9" t="inlineStr">
        <is>
          <t>Trendline breakout (fractal swing line) + VWAP/S-R distance gate</t>
        </is>
      </c>
      <c r="D48" s="9" t="inlineStr">
        <is>
          <t>Short</t>
        </is>
      </c>
      <c r="E48" s="10" t="n">
        <v>44937.69444444445</v>
      </c>
      <c r="F48" s="10" t="n">
        <v>44938.18402777778</v>
      </c>
      <c r="G48" s="11" t="n">
        <v>-7.29</v>
      </c>
      <c r="H48" s="11">
        <f>H47+G48</f>
        <v/>
      </c>
    </row>
    <row r="49">
      <c r="A49" s="9" t="n">
        <v>45</v>
      </c>
      <c r="B49" s="9" t="inlineStr">
        <is>
          <t>Ratchet</t>
        </is>
      </c>
      <c r="C49" s="9" t="inlineStr">
        <is>
          <t>Stochastic scalp with give-back trail exit</t>
        </is>
      </c>
      <c r="D49" s="9" t="inlineStr">
        <is>
          <t>Long</t>
        </is>
      </c>
      <c r="E49" s="10" t="n">
        <v>44938.15277777778</v>
      </c>
      <c r="F49" s="10" t="n">
        <v>44938.39930555555</v>
      </c>
      <c r="G49" s="11" t="n">
        <v>1.87</v>
      </c>
      <c r="H49" s="11">
        <f>H48+G49</f>
        <v/>
      </c>
    </row>
    <row r="50">
      <c r="A50" s="9" t="n">
        <v>46</v>
      </c>
      <c r="B50" s="9" t="inlineStr">
        <is>
          <t>Meridian</t>
        </is>
      </c>
      <c r="C50" s="9" t="inlineStr">
        <is>
          <t>21/50 MA cross, 250-period confirm filter, VWAP</t>
        </is>
      </c>
      <c r="D50" s="9" t="inlineStr">
        <is>
          <t>Long</t>
        </is>
      </c>
      <c r="E50" s="10" t="n">
        <v>44938.48611111111</v>
      </c>
      <c r="F50" s="10" t="n">
        <v>44938.64583333334</v>
      </c>
      <c r="G50" s="11" t="n">
        <v>-2.62</v>
      </c>
      <c r="H50" s="11">
        <f>H49+G50</f>
        <v/>
      </c>
    </row>
    <row r="51">
      <c r="A51" s="9" t="n">
        <v>47</v>
      </c>
      <c r="B51" s="9" t="inlineStr">
        <is>
          <t>Ratchet</t>
        </is>
      </c>
      <c r="C51" s="9" t="inlineStr">
        <is>
          <t>Stochastic scalp with give-back trail exit</t>
        </is>
      </c>
      <c r="D51" s="9" t="inlineStr">
        <is>
          <t>Long</t>
        </is>
      </c>
      <c r="E51" s="10" t="n">
        <v>44938.50694444445</v>
      </c>
      <c r="F51" s="10" t="n">
        <v>44938.64583333334</v>
      </c>
      <c r="G51" s="11" t="n">
        <v>1.5</v>
      </c>
      <c r="H51" s="11">
        <f>H50+G51</f>
        <v/>
      </c>
    </row>
    <row r="52">
      <c r="A52" s="9" t="n">
        <v>48</v>
      </c>
      <c r="B52" s="9" t="inlineStr">
        <is>
          <t>Ratchet</t>
        </is>
      </c>
      <c r="C52" s="9" t="inlineStr">
        <is>
          <t>Stochastic scalp with give-back trail exit</t>
        </is>
      </c>
      <c r="D52" s="9" t="inlineStr">
        <is>
          <t>Long</t>
        </is>
      </c>
      <c r="E52" s="10" t="n">
        <v>44938.76736111111</v>
      </c>
      <c r="F52" s="10" t="n">
        <v>44938.85069444445</v>
      </c>
      <c r="G52" s="11" t="n">
        <v>1.69</v>
      </c>
      <c r="H52" s="11">
        <f>H51+G52</f>
        <v/>
      </c>
    </row>
    <row r="53">
      <c r="A53" s="9" t="n">
        <v>49</v>
      </c>
      <c r="B53" s="9" t="inlineStr">
        <is>
          <t>Ratchet</t>
        </is>
      </c>
      <c r="C53" s="9" t="inlineStr">
        <is>
          <t>Stochastic scalp with give-back trail exit</t>
        </is>
      </c>
      <c r="D53" s="9" t="inlineStr">
        <is>
          <t>Long</t>
        </is>
      </c>
      <c r="E53" s="10" t="n">
        <v>44938.91666666666</v>
      </c>
      <c r="F53" s="10" t="n">
        <v>44938.91666666666</v>
      </c>
      <c r="G53" s="11" t="n">
        <v>-1.94</v>
      </c>
      <c r="H53" s="11">
        <f>H52+G53</f>
        <v/>
      </c>
    </row>
    <row r="54">
      <c r="A54" s="9" t="n">
        <v>50</v>
      </c>
      <c r="B54" s="9" t="inlineStr">
        <is>
          <t>Ratchet</t>
        </is>
      </c>
      <c r="C54" s="9" t="inlineStr">
        <is>
          <t>Stochastic scalp with give-back trail exit</t>
        </is>
      </c>
      <c r="D54" s="9" t="inlineStr">
        <is>
          <t>Long</t>
        </is>
      </c>
      <c r="E54" s="10" t="n">
        <v>44938.95833333334</v>
      </c>
      <c r="F54" s="10" t="n">
        <v>44938.96875</v>
      </c>
      <c r="G54" s="11" t="n">
        <v>0.25</v>
      </c>
      <c r="H54" s="11">
        <f>H53+G54</f>
        <v/>
      </c>
    </row>
    <row r="55">
      <c r="A55" s="9" t="n">
        <v>51</v>
      </c>
      <c r="B55" s="9" t="inlineStr">
        <is>
          <t>Ratchet</t>
        </is>
      </c>
      <c r="C55" s="9" t="inlineStr">
        <is>
          <t>Stochastic scalp with give-back trail exit</t>
        </is>
      </c>
      <c r="D55" s="9" t="inlineStr">
        <is>
          <t>Long</t>
        </is>
      </c>
      <c r="E55" s="10" t="n">
        <v>44939.54513888889</v>
      </c>
      <c r="F55" s="10" t="n">
        <v>44939.55555555555</v>
      </c>
      <c r="G55" s="11" t="n">
        <v>-1.88</v>
      </c>
      <c r="H55" s="11">
        <f>H54+G55</f>
        <v/>
      </c>
    </row>
    <row r="56">
      <c r="A56" s="9" t="n">
        <v>52</v>
      </c>
      <c r="B56" s="9" t="inlineStr">
        <is>
          <t>Meridian</t>
        </is>
      </c>
      <c r="C56" s="9" t="inlineStr">
        <is>
          <t>21/50 MA cross, 250-period confirm filter, VWAP</t>
        </is>
      </c>
      <c r="D56" s="9" t="inlineStr">
        <is>
          <t>Long</t>
        </is>
      </c>
      <c r="E56" s="10" t="n">
        <v>44939.41319444445</v>
      </c>
      <c r="F56" s="10" t="n">
        <v>44939.59027777778</v>
      </c>
      <c r="G56" s="11" t="n">
        <v>1.01</v>
      </c>
      <c r="H56" s="11">
        <f>H55+G56</f>
        <v/>
      </c>
    </row>
    <row r="57">
      <c r="A57" s="9" t="n">
        <v>53</v>
      </c>
      <c r="B57" s="9" t="inlineStr">
        <is>
          <t>Ratchet</t>
        </is>
      </c>
      <c r="C57" s="9" t="inlineStr">
        <is>
          <t>Stochastic scalp with give-back trail exit</t>
        </is>
      </c>
      <c r="D57" s="9" t="inlineStr">
        <is>
          <t>Long</t>
        </is>
      </c>
      <c r="E57" s="10" t="n">
        <v>44939.76388888889</v>
      </c>
      <c r="F57" s="10" t="n">
        <v>44939.77083333334</v>
      </c>
      <c r="G57" s="11" t="n">
        <v>0.31</v>
      </c>
      <c r="H57" s="11">
        <f>H56+G57</f>
        <v/>
      </c>
    </row>
    <row r="58">
      <c r="A58" s="9" t="n">
        <v>54</v>
      </c>
      <c r="B58" s="9" t="inlineStr">
        <is>
          <t>Meridian</t>
        </is>
      </c>
      <c r="C58" s="9" t="inlineStr">
        <is>
          <t>21/50 MA cross, 250-period confirm filter, VWAP</t>
        </is>
      </c>
      <c r="D58" s="9" t="inlineStr">
        <is>
          <t>Long</t>
        </is>
      </c>
      <c r="E58" s="10" t="n">
        <v>44939.69444444445</v>
      </c>
      <c r="F58" s="10" t="n">
        <v>44939.91666666666</v>
      </c>
      <c r="G58" s="11" t="n">
        <v>13.5</v>
      </c>
      <c r="H58" s="11">
        <f>H57+G58</f>
        <v/>
      </c>
    </row>
    <row r="59">
      <c r="A59" s="9" t="n">
        <v>55</v>
      </c>
      <c r="B59" s="9" t="inlineStr">
        <is>
          <t>Vanguard_M5</t>
        </is>
      </c>
      <c r="C59" s="9" t="inlineStr">
        <is>
          <t>Trendline breakout (fractal swing line) + VWAP/S-R distance gate</t>
        </is>
      </c>
      <c r="D59" s="9" t="inlineStr">
        <is>
          <t>Short</t>
        </is>
      </c>
      <c r="E59" s="10" t="n">
        <v>44942.08333333334</v>
      </c>
      <c r="F59" s="10" t="n">
        <v>44942.13541666666</v>
      </c>
      <c r="G59" s="11" t="n">
        <v>-4.23</v>
      </c>
      <c r="H59" s="11">
        <f>H58+G59</f>
        <v/>
      </c>
    </row>
    <row r="60">
      <c r="A60" s="9" t="n">
        <v>56</v>
      </c>
      <c r="B60" s="9" t="inlineStr">
        <is>
          <t>Vanguard_M15</t>
        </is>
      </c>
      <c r="C60" s="9" t="inlineStr">
        <is>
          <t>Trendline breakout (fractal swing line) + VWAP/S-R distance gate - M15 chart</t>
        </is>
      </c>
      <c r="D60" s="9" t="inlineStr">
        <is>
          <t>Short</t>
        </is>
      </c>
      <c r="E60" s="10" t="n">
        <v>44942.08333333334</v>
      </c>
      <c r="F60" s="10" t="n">
        <v>44942.15625</v>
      </c>
      <c r="G60" s="11" t="n">
        <v>-6.15</v>
      </c>
      <c r="H60" s="11">
        <f>H59+G60</f>
        <v/>
      </c>
    </row>
    <row r="61">
      <c r="A61" s="9" t="n">
        <v>57</v>
      </c>
      <c r="B61" s="9" t="inlineStr">
        <is>
          <t>Vanguard_M5</t>
        </is>
      </c>
      <c r="C61" s="9" t="inlineStr">
        <is>
          <t>Trendline breakout (fractal swing line) + VWAP/S-R distance gate</t>
        </is>
      </c>
      <c r="D61" s="9" t="inlineStr">
        <is>
          <t>Short</t>
        </is>
      </c>
      <c r="E61" s="10" t="n">
        <v>44942.15277777778</v>
      </c>
      <c r="F61" s="10" t="n">
        <v>44942.16319444445</v>
      </c>
      <c r="G61" s="11" t="n">
        <v>-5.26</v>
      </c>
      <c r="H61" s="11">
        <f>H60+G61</f>
        <v/>
      </c>
    </row>
    <row r="62">
      <c r="A62" s="9" t="n">
        <v>58</v>
      </c>
      <c r="B62" s="9" t="inlineStr">
        <is>
          <t>Meridian</t>
        </is>
      </c>
      <c r="C62" s="9" t="inlineStr">
        <is>
          <t>21/50 MA cross, 250-period confirm filter, VWAP</t>
        </is>
      </c>
      <c r="D62" s="9" t="inlineStr">
        <is>
          <t>Short</t>
        </is>
      </c>
      <c r="E62" s="10" t="n">
        <v>44942.61111111111</v>
      </c>
      <c r="F62" s="10" t="n">
        <v>44942.74652777778</v>
      </c>
      <c r="G62" s="11" t="n">
        <v>-0.9399999999999999</v>
      </c>
      <c r="H62" s="11">
        <f>H61+G62</f>
        <v/>
      </c>
    </row>
    <row r="63">
      <c r="A63" s="9" t="n">
        <v>59</v>
      </c>
      <c r="B63" s="9" t="inlineStr">
        <is>
          <t>Meridian</t>
        </is>
      </c>
      <c r="C63" s="9" t="inlineStr">
        <is>
          <t>21/50 MA cross, 250-period confirm filter, VWAP</t>
        </is>
      </c>
      <c r="D63" s="9" t="inlineStr">
        <is>
          <t>Short</t>
        </is>
      </c>
      <c r="E63" s="10" t="n">
        <v>44942.78125</v>
      </c>
      <c r="F63" s="10" t="n">
        <v>44943.04166666666</v>
      </c>
      <c r="G63" s="11" t="n">
        <v>-0.96</v>
      </c>
      <c r="H63" s="11">
        <f>H62+G63</f>
        <v/>
      </c>
    </row>
    <row r="64">
      <c r="A64" s="9" t="n">
        <v>60</v>
      </c>
      <c r="B64" s="9" t="inlineStr">
        <is>
          <t>Meridian</t>
        </is>
      </c>
      <c r="C64" s="9" t="inlineStr">
        <is>
          <t>21/50 MA cross, 250-period confirm filter, VWAP</t>
        </is>
      </c>
      <c r="D64" s="9" t="inlineStr">
        <is>
          <t>Short</t>
        </is>
      </c>
      <c r="E64" s="10" t="n">
        <v>44943.15972222222</v>
      </c>
      <c r="F64" s="10" t="n">
        <v>44943.59027777778</v>
      </c>
      <c r="G64" s="11" t="n">
        <v>-0.19</v>
      </c>
      <c r="H64" s="11">
        <f>H63+G64</f>
        <v/>
      </c>
    </row>
    <row r="65">
      <c r="A65" s="9" t="n">
        <v>61</v>
      </c>
      <c r="B65" s="9" t="inlineStr">
        <is>
          <t>Vanguard_M5</t>
        </is>
      </c>
      <c r="C65" s="9" t="inlineStr">
        <is>
          <t>Trendline breakout (fractal swing line) + VWAP/S-R distance gate</t>
        </is>
      </c>
      <c r="D65" s="9" t="inlineStr">
        <is>
          <t>Long</t>
        </is>
      </c>
      <c r="E65" s="10" t="n">
        <v>44943.58333333334</v>
      </c>
      <c r="F65" s="10" t="n">
        <v>44943.625</v>
      </c>
      <c r="G65" s="11" t="n">
        <v>-4.9</v>
      </c>
      <c r="H65" s="11">
        <f>H64+G65</f>
        <v/>
      </c>
    </row>
    <row r="66">
      <c r="A66" s="9" t="n">
        <v>62</v>
      </c>
      <c r="B66" s="9" t="inlineStr">
        <is>
          <t>Vanguard_M15</t>
        </is>
      </c>
      <c r="C66" s="9" t="inlineStr">
        <is>
          <t>Trendline breakout (fractal swing line) + VWAP/S-R distance gate - M15 chart</t>
        </is>
      </c>
      <c r="D66" s="9" t="inlineStr">
        <is>
          <t>Long</t>
        </is>
      </c>
      <c r="E66" s="10" t="n">
        <v>44943.58333333334</v>
      </c>
      <c r="F66" s="10" t="n">
        <v>44943.8125</v>
      </c>
      <c r="G66" s="11" t="n">
        <v>-6.3</v>
      </c>
      <c r="H66" s="11">
        <f>H65+G66</f>
        <v/>
      </c>
    </row>
    <row r="67">
      <c r="A67" s="9" t="n">
        <v>63</v>
      </c>
      <c r="B67" s="9" t="inlineStr">
        <is>
          <t>Vanguard_M5</t>
        </is>
      </c>
      <c r="C67" s="9" t="inlineStr">
        <is>
          <t>Trendline breakout (fractal swing line) + VWAP/S-R distance gate</t>
        </is>
      </c>
      <c r="D67" s="9" t="inlineStr">
        <is>
          <t>Long</t>
        </is>
      </c>
      <c r="E67" s="10" t="n">
        <v>44943.64583333334</v>
      </c>
      <c r="F67" s="10" t="n">
        <v>44943.82291666666</v>
      </c>
      <c r="G67" s="11" t="n">
        <v>-6.64</v>
      </c>
      <c r="H67" s="11">
        <f>H66+G67</f>
        <v/>
      </c>
    </row>
    <row r="68">
      <c r="A68" s="9" t="n">
        <v>64</v>
      </c>
      <c r="B68" s="9" t="inlineStr">
        <is>
          <t>Meridian</t>
        </is>
      </c>
      <c r="C68" s="9" t="inlineStr">
        <is>
          <t>21/50 MA cross, 250-period confirm filter, VWAP</t>
        </is>
      </c>
      <c r="D68" s="9" t="inlineStr">
        <is>
          <t>Short</t>
        </is>
      </c>
      <c r="E68" s="10" t="n">
        <v>44943.80902777778</v>
      </c>
      <c r="F68" s="10" t="n">
        <v>44943.97916666666</v>
      </c>
      <c r="G68" s="11" t="n">
        <v>-0.34</v>
      </c>
      <c r="H68" s="11">
        <f>H67+G68</f>
        <v/>
      </c>
    </row>
    <row r="69">
      <c r="A69" s="9" t="n">
        <v>65</v>
      </c>
      <c r="B69" s="9" t="inlineStr">
        <is>
          <t>Meridian</t>
        </is>
      </c>
      <c r="C69" s="9" t="inlineStr">
        <is>
          <t>21/50 MA cross, 250-period confirm filter, VWAP</t>
        </is>
      </c>
      <c r="D69" s="9" t="inlineStr">
        <is>
          <t>Short</t>
        </is>
      </c>
      <c r="E69" s="10" t="n">
        <v>44943.98611111111</v>
      </c>
      <c r="F69" s="10" t="n">
        <v>44944.0625</v>
      </c>
      <c r="G69" s="11" t="n">
        <v>-1.1</v>
      </c>
      <c r="H69" s="11">
        <f>H68+G69</f>
        <v/>
      </c>
    </row>
    <row r="70">
      <c r="A70" s="9" t="n">
        <v>66</v>
      </c>
      <c r="B70" s="9" t="inlineStr">
        <is>
          <t>Meridian</t>
        </is>
      </c>
      <c r="C70" s="9" t="inlineStr">
        <is>
          <t>21/50 MA cross, 250-period confirm filter, VWAP</t>
        </is>
      </c>
      <c r="D70" s="9" t="inlineStr">
        <is>
          <t>Short</t>
        </is>
      </c>
      <c r="E70" s="10" t="n">
        <v>44944.10416666666</v>
      </c>
      <c r="F70" s="10" t="n">
        <v>44944.10763888889</v>
      </c>
      <c r="G70" s="11" t="n">
        <v>-0.73</v>
      </c>
      <c r="H70" s="11">
        <f>H69+G70</f>
        <v/>
      </c>
    </row>
    <row r="71">
      <c r="A71" s="9" t="n">
        <v>67</v>
      </c>
      <c r="B71" s="9" t="inlineStr">
        <is>
          <t>Meridian</t>
        </is>
      </c>
      <c r="C71" s="9" t="inlineStr">
        <is>
          <t>21/50 MA cross, 250-period confirm filter, VWAP</t>
        </is>
      </c>
      <c r="D71" s="9" t="inlineStr">
        <is>
          <t>Short</t>
        </is>
      </c>
      <c r="E71" s="10" t="n">
        <v>44944.11458333334</v>
      </c>
      <c r="F71" s="10" t="n">
        <v>44944.16666666666</v>
      </c>
      <c r="G71" s="11" t="n">
        <v>-1.7</v>
      </c>
      <c r="H71" s="11">
        <f>H70+G71</f>
        <v/>
      </c>
    </row>
    <row r="72">
      <c r="A72" s="9" t="n">
        <v>68</v>
      </c>
      <c r="B72" s="9" t="inlineStr">
        <is>
          <t>Meridian</t>
        </is>
      </c>
      <c r="C72" s="9" t="inlineStr">
        <is>
          <t>21/50 MA cross, 250-period confirm filter, VWAP</t>
        </is>
      </c>
      <c r="D72" s="9" t="inlineStr">
        <is>
          <t>Long</t>
        </is>
      </c>
      <c r="E72" s="10" t="n">
        <v>44944.17361111111</v>
      </c>
      <c r="F72" s="10" t="n">
        <v>44944.19444444445</v>
      </c>
      <c r="G72" s="11" t="n">
        <v>-2.49</v>
      </c>
      <c r="H72" s="11">
        <f>H71+G72</f>
        <v/>
      </c>
    </row>
    <row r="73">
      <c r="A73" s="9" t="n">
        <v>69</v>
      </c>
      <c r="B73" s="9" t="inlineStr">
        <is>
          <t>Ratchet</t>
        </is>
      </c>
      <c r="C73" s="9" t="inlineStr">
        <is>
          <t>Stochastic scalp with give-back trail exit</t>
        </is>
      </c>
      <c r="D73" s="9" t="inlineStr">
        <is>
          <t>Long</t>
        </is>
      </c>
      <c r="E73" s="10" t="n">
        <v>44944.65625</v>
      </c>
      <c r="F73" s="10" t="n">
        <v>44944.66319444445</v>
      </c>
      <c r="G73" s="11" t="n">
        <v>0.91</v>
      </c>
      <c r="H73" s="11">
        <f>H72+G73</f>
        <v/>
      </c>
    </row>
    <row r="74">
      <c r="A74" s="9" t="n">
        <v>70</v>
      </c>
      <c r="B74" s="9" t="inlineStr">
        <is>
          <t>Vanguard_M5</t>
        </is>
      </c>
      <c r="C74" s="9" t="inlineStr">
        <is>
          <t>Trendline breakout (fractal swing line) + VWAP/S-R distance gate</t>
        </is>
      </c>
      <c r="D74" s="9" t="inlineStr">
        <is>
          <t>Long</t>
        </is>
      </c>
      <c r="E74" s="10" t="n">
        <v>44944.43055555555</v>
      </c>
      <c r="F74" s="10" t="n">
        <v>44944.77083333334</v>
      </c>
      <c r="G74" s="11" t="n">
        <v>-7.25</v>
      </c>
      <c r="H74" s="11">
        <f>H73+G74</f>
        <v/>
      </c>
    </row>
    <row r="75">
      <c r="A75" s="9" t="n">
        <v>71</v>
      </c>
      <c r="B75" s="9" t="inlineStr">
        <is>
          <t>Vanguard_M15</t>
        </is>
      </c>
      <c r="C75" s="9" t="inlineStr">
        <is>
          <t>Trendline breakout (fractal swing line) + VWAP/S-R distance gate - M15 chart</t>
        </is>
      </c>
      <c r="D75" s="9" t="inlineStr">
        <is>
          <t>Long</t>
        </is>
      </c>
      <c r="E75" s="10" t="n">
        <v>44944.5</v>
      </c>
      <c r="F75" s="10" t="n">
        <v>44944.77083333334</v>
      </c>
      <c r="G75" s="11" t="n">
        <v>-7.28</v>
      </c>
      <c r="H75" s="11">
        <f>H74+G75</f>
        <v/>
      </c>
    </row>
    <row r="76">
      <c r="A76" s="9" t="n">
        <v>72</v>
      </c>
      <c r="B76" s="9" t="inlineStr">
        <is>
          <t>Meridian</t>
        </is>
      </c>
      <c r="C76" s="9" t="inlineStr">
        <is>
          <t>21/50 MA cross, 250-period confirm filter, VWAP</t>
        </is>
      </c>
      <c r="D76" s="9" t="inlineStr">
        <is>
          <t>Short</t>
        </is>
      </c>
      <c r="E76" s="10" t="n">
        <v>44945.14583333334</v>
      </c>
      <c r="F76" s="10" t="n">
        <v>44945.19444444445</v>
      </c>
      <c r="G76" s="11" t="n">
        <v>-3.19</v>
      </c>
      <c r="H76" s="11">
        <f>H75+G76</f>
        <v/>
      </c>
    </row>
    <row r="77">
      <c r="A77" s="9" t="n">
        <v>73</v>
      </c>
      <c r="B77" s="9" t="inlineStr">
        <is>
          <t>Aurelius_M5</t>
        </is>
      </c>
      <c r="C77" s="9" t="inlineStr">
        <is>
          <t>MA alignment (EMA21&gt;EMA50&gt;SMA250&gt;SMMA500 vs EMA2400 trend filter)</t>
        </is>
      </c>
      <c r="D77" s="9" t="inlineStr">
        <is>
          <t>Long</t>
        </is>
      </c>
      <c r="E77" s="10" t="n">
        <v>44945.42708333334</v>
      </c>
      <c r="F77" s="10" t="n">
        <v>44945.46180555555</v>
      </c>
      <c r="G77" s="11" t="n">
        <v>-3.57</v>
      </c>
      <c r="H77" s="11">
        <f>H76+G77</f>
        <v/>
      </c>
    </row>
    <row r="78">
      <c r="A78" s="9" t="n">
        <v>74</v>
      </c>
      <c r="B78" s="9" t="inlineStr">
        <is>
          <t>Meridian</t>
        </is>
      </c>
      <c r="C78" s="9" t="inlineStr">
        <is>
          <t>21/50 MA cross, 250-period confirm filter, VWAP</t>
        </is>
      </c>
      <c r="D78" s="9" t="inlineStr">
        <is>
          <t>Short</t>
        </is>
      </c>
      <c r="E78" s="10" t="n">
        <v>44945.51736111111</v>
      </c>
      <c r="F78" s="10" t="n">
        <v>44945.53819444445</v>
      </c>
      <c r="G78" s="11" t="n">
        <v>-2.83</v>
      </c>
      <c r="H78" s="11">
        <f>H77+G78</f>
        <v/>
      </c>
    </row>
    <row r="79">
      <c r="A79" s="9" t="n">
        <v>75</v>
      </c>
      <c r="B79" s="9" t="inlineStr">
        <is>
          <t>Ratchet</t>
        </is>
      </c>
      <c r="C79" s="9" t="inlineStr">
        <is>
          <t>Stochastic scalp with give-back trail exit</t>
        </is>
      </c>
      <c r="D79" s="9" t="inlineStr">
        <is>
          <t>Long</t>
        </is>
      </c>
      <c r="E79" s="10" t="n">
        <v>44945.65277777778</v>
      </c>
      <c r="F79" s="10" t="n">
        <v>44945.93055555555</v>
      </c>
      <c r="G79" s="11" t="n">
        <v>21.88</v>
      </c>
      <c r="H79" s="11">
        <f>H78+G79</f>
        <v/>
      </c>
    </row>
    <row r="80">
      <c r="A80" s="9" t="n">
        <v>76</v>
      </c>
      <c r="B80" s="9" t="inlineStr">
        <is>
          <t>Aurelius_M5</t>
        </is>
      </c>
      <c r="C80" s="9" t="inlineStr">
        <is>
          <t>MA alignment (EMA21&gt;EMA50&gt;SMA250&gt;SMMA500 vs EMA2400 trend filter)</t>
        </is>
      </c>
      <c r="D80" s="9" t="inlineStr">
        <is>
          <t>Long</t>
        </is>
      </c>
      <c r="E80" s="10" t="n">
        <v>44945.67708333334</v>
      </c>
      <c r="F80" s="10" t="n">
        <v>44946.04166666666</v>
      </c>
      <c r="G80" s="11" t="n">
        <v>17.57</v>
      </c>
      <c r="H80" s="11">
        <f>H79+G80</f>
        <v/>
      </c>
    </row>
    <row r="81">
      <c r="A81" s="9" t="n">
        <v>77</v>
      </c>
      <c r="B81" s="9" t="inlineStr">
        <is>
          <t>Meridian</t>
        </is>
      </c>
      <c r="C81" s="9" t="inlineStr">
        <is>
          <t>21/50 MA cross, 250-period confirm filter, VWAP</t>
        </is>
      </c>
      <c r="D81" s="9" t="inlineStr">
        <is>
          <t>Long</t>
        </is>
      </c>
      <c r="E81" s="10" t="n">
        <v>44945.64930555555</v>
      </c>
      <c r="F81" s="10" t="n">
        <v>44946.21180555555</v>
      </c>
      <c r="G81" s="11" t="n">
        <v>18.18</v>
      </c>
      <c r="H81" s="11">
        <f>H80+G81</f>
        <v/>
      </c>
    </row>
    <row r="82">
      <c r="A82" s="9" t="n">
        <v>78</v>
      </c>
      <c r="B82" s="9" t="inlineStr">
        <is>
          <t>Aurelius_M5</t>
        </is>
      </c>
      <c r="C82" s="9" t="inlineStr">
        <is>
          <t>MA alignment (EMA21&gt;EMA50&gt;SMA250&gt;SMMA500 vs EMA2400 trend filter)</t>
        </is>
      </c>
      <c r="D82" s="9" t="inlineStr">
        <is>
          <t>Long</t>
        </is>
      </c>
      <c r="E82" s="10" t="n">
        <v>44946.14930555555</v>
      </c>
      <c r="F82" s="10" t="n">
        <v>44946.21180555555</v>
      </c>
      <c r="G82" s="11" t="n">
        <v>-2.21</v>
      </c>
      <c r="H82" s="11">
        <f>H81+G82</f>
        <v/>
      </c>
    </row>
    <row r="83">
      <c r="A83" s="9" t="n">
        <v>79</v>
      </c>
      <c r="B83" s="9" t="inlineStr">
        <is>
          <t>Ratchet</t>
        </is>
      </c>
      <c r="C83" s="9" t="inlineStr">
        <is>
          <t>Stochastic scalp with give-back trail exit</t>
        </is>
      </c>
      <c r="D83" s="9" t="inlineStr">
        <is>
          <t>Long</t>
        </is>
      </c>
      <c r="E83" s="10" t="n">
        <v>44946.42013888889</v>
      </c>
      <c r="F83" s="10" t="n">
        <v>44946.42361111111</v>
      </c>
      <c r="G83" s="11" t="n">
        <v>3.83</v>
      </c>
      <c r="H83" s="11">
        <f>H82+G83</f>
        <v/>
      </c>
    </row>
    <row r="84">
      <c r="A84" s="9" t="n">
        <v>80</v>
      </c>
      <c r="B84" s="9" t="inlineStr">
        <is>
          <t>Aurelius_M5</t>
        </is>
      </c>
      <c r="C84" s="9" t="inlineStr">
        <is>
          <t>MA alignment (EMA21&gt;EMA50&gt;SMA250&gt;SMMA500 vs EMA2400 trend filter)</t>
        </is>
      </c>
      <c r="D84" s="9" t="inlineStr">
        <is>
          <t>Long</t>
        </is>
      </c>
      <c r="E84" s="10" t="n">
        <v>44946.39583333334</v>
      </c>
      <c r="F84" s="10" t="n">
        <v>44946.45833333334</v>
      </c>
      <c r="G84" s="11" t="n">
        <v>-2.6</v>
      </c>
      <c r="H84" s="11">
        <f>H83+G84</f>
        <v/>
      </c>
    </row>
    <row r="85">
      <c r="A85" s="9" t="n">
        <v>81</v>
      </c>
      <c r="B85" s="9" t="inlineStr">
        <is>
          <t>Meridian</t>
        </is>
      </c>
      <c r="C85" s="9" t="inlineStr">
        <is>
          <t>21/50 MA cross, 250-period confirm filter, VWAP</t>
        </is>
      </c>
      <c r="D85" s="9" t="inlineStr">
        <is>
          <t>Long</t>
        </is>
      </c>
      <c r="E85" s="10" t="n">
        <v>44946.39583333334</v>
      </c>
      <c r="F85" s="10" t="n">
        <v>44946.45833333334</v>
      </c>
      <c r="G85" s="11" t="n">
        <v>-2.6</v>
      </c>
      <c r="H85" s="11">
        <f>H84+G85</f>
        <v/>
      </c>
    </row>
    <row r="86">
      <c r="A86" s="9" t="n">
        <v>82</v>
      </c>
      <c r="B86" s="9" t="inlineStr">
        <is>
          <t>Ratchet</t>
        </is>
      </c>
      <c r="C86" s="9" t="inlineStr">
        <is>
          <t>Stochastic scalp with give-back trail exit</t>
        </is>
      </c>
      <c r="D86" s="9" t="inlineStr">
        <is>
          <t>Long</t>
        </is>
      </c>
      <c r="E86" s="10" t="n">
        <v>44946.47916666666</v>
      </c>
      <c r="F86" s="10" t="n">
        <v>44946.50347222222</v>
      </c>
      <c r="G86" s="11" t="n">
        <v>-3.07</v>
      </c>
      <c r="H86" s="11">
        <f>H85+G86</f>
        <v/>
      </c>
    </row>
    <row r="87">
      <c r="A87" s="9" t="n">
        <v>83</v>
      </c>
      <c r="B87" s="9" t="inlineStr">
        <is>
          <t>Aurelius_M5</t>
        </is>
      </c>
      <c r="C87" s="9" t="inlineStr">
        <is>
          <t>MA alignment (EMA21&gt;EMA50&gt;SMA250&gt;SMMA500 vs EMA2400 trend filter)</t>
        </is>
      </c>
      <c r="D87" s="9" t="inlineStr">
        <is>
          <t>Long</t>
        </is>
      </c>
      <c r="E87" s="10" t="n">
        <v>44946.48263888889</v>
      </c>
      <c r="F87" s="10" t="n">
        <v>44946.5625</v>
      </c>
      <c r="G87" s="11" t="n">
        <v>-2.59</v>
      </c>
      <c r="H87" s="11">
        <f>H86+G87</f>
        <v/>
      </c>
    </row>
    <row r="88">
      <c r="A88" s="9" t="n">
        <v>84</v>
      </c>
      <c r="B88" s="9" t="inlineStr">
        <is>
          <t>Ratchet</t>
        </is>
      </c>
      <c r="C88" s="9" t="inlineStr">
        <is>
          <t>Stochastic scalp with give-back trail exit</t>
        </is>
      </c>
      <c r="D88" s="9" t="inlineStr">
        <is>
          <t>Long</t>
        </is>
      </c>
      <c r="E88" s="10" t="n">
        <v>44949.12847222222</v>
      </c>
      <c r="F88" s="10" t="n">
        <v>44949.12847222222</v>
      </c>
      <c r="G88" s="11" t="n">
        <v>-1.56</v>
      </c>
      <c r="H88" s="11">
        <f>H87+G88</f>
        <v/>
      </c>
    </row>
    <row r="89">
      <c r="A89" s="9" t="n">
        <v>85</v>
      </c>
      <c r="B89" s="9" t="inlineStr">
        <is>
          <t>Vanguard_M5</t>
        </is>
      </c>
      <c r="C89" s="9" t="inlineStr">
        <is>
          <t>Trendline breakout (fractal swing line) + VWAP/S-R distance gate</t>
        </is>
      </c>
      <c r="D89" s="9" t="inlineStr">
        <is>
          <t>Short</t>
        </is>
      </c>
      <c r="E89" s="10" t="n">
        <v>44946.65625</v>
      </c>
      <c r="F89" s="10" t="n">
        <v>44949.15625</v>
      </c>
      <c r="G89" s="11" t="n">
        <v>-5.78</v>
      </c>
      <c r="H89" s="11">
        <f>H88+G89</f>
        <v/>
      </c>
    </row>
    <row r="90">
      <c r="A90" s="9" t="n">
        <v>86</v>
      </c>
      <c r="B90" s="9" t="inlineStr">
        <is>
          <t>Vanguard_M15</t>
        </is>
      </c>
      <c r="C90" s="9" t="inlineStr">
        <is>
          <t>Trendline breakout (fractal swing line) + VWAP/S-R distance gate - M15 chart</t>
        </is>
      </c>
      <c r="D90" s="9" t="inlineStr">
        <is>
          <t>Short</t>
        </is>
      </c>
      <c r="E90" s="10" t="n">
        <v>44946.65625</v>
      </c>
      <c r="F90" s="10" t="n">
        <v>44949.16666666666</v>
      </c>
      <c r="G90" s="11" t="n">
        <v>-6.99</v>
      </c>
      <c r="H90" s="11">
        <f>H89+G90</f>
        <v/>
      </c>
    </row>
    <row r="91">
      <c r="A91" s="9" t="n">
        <v>87</v>
      </c>
      <c r="B91" s="9" t="inlineStr">
        <is>
          <t>Meridian</t>
        </is>
      </c>
      <c r="C91" s="9" t="inlineStr">
        <is>
          <t>21/50 MA cross, 250-period confirm filter, VWAP</t>
        </is>
      </c>
      <c r="D91" s="9" t="inlineStr">
        <is>
          <t>Long</t>
        </is>
      </c>
      <c r="E91" s="10" t="n">
        <v>44949.10069444445</v>
      </c>
      <c r="F91" s="10" t="n">
        <v>44949.27777777778</v>
      </c>
      <c r="G91" s="11" t="n">
        <v>-0.19</v>
      </c>
      <c r="H91" s="11">
        <f>H90+G91</f>
        <v/>
      </c>
    </row>
    <row r="92">
      <c r="A92" s="9" t="n">
        <v>88</v>
      </c>
      <c r="B92" s="9" t="inlineStr">
        <is>
          <t>Meridian</t>
        </is>
      </c>
      <c r="C92" s="9" t="inlineStr">
        <is>
          <t>21/50 MA cross, 250-period confirm filter, VWAP</t>
        </is>
      </c>
      <c r="D92" s="9" t="inlineStr">
        <is>
          <t>Long</t>
        </is>
      </c>
      <c r="E92" s="10" t="n">
        <v>44949.50694444445</v>
      </c>
      <c r="F92" s="10" t="n">
        <v>44949.54861111111</v>
      </c>
      <c r="G92" s="11" t="n">
        <v>-3.54</v>
      </c>
      <c r="H92" s="11">
        <f>H91+G92</f>
        <v/>
      </c>
    </row>
    <row r="93">
      <c r="A93" s="9" t="n">
        <v>89</v>
      </c>
      <c r="B93" s="9" t="inlineStr">
        <is>
          <t>Meridian</t>
        </is>
      </c>
      <c r="C93" s="9" t="inlineStr">
        <is>
          <t>21/50 MA cross, 250-period confirm filter, VWAP</t>
        </is>
      </c>
      <c r="D93" s="9" t="inlineStr">
        <is>
          <t>Short</t>
        </is>
      </c>
      <c r="E93" s="10" t="n">
        <v>44949.59722222222</v>
      </c>
      <c r="F93" s="10" t="n">
        <v>44949.60416666666</v>
      </c>
      <c r="G93" s="11" t="n">
        <v>-2.6</v>
      </c>
      <c r="H93" s="11">
        <f>H92+G93</f>
        <v/>
      </c>
    </row>
    <row r="94">
      <c r="A94" s="9" t="n">
        <v>90</v>
      </c>
      <c r="B94" s="9" t="inlineStr">
        <is>
          <t>Meridian</t>
        </is>
      </c>
      <c r="C94" s="9" t="inlineStr">
        <is>
          <t>21/50 MA cross, 250-period confirm filter, VWAP</t>
        </is>
      </c>
      <c r="D94" s="9" t="inlineStr">
        <is>
          <t>Short</t>
        </is>
      </c>
      <c r="E94" s="10" t="n">
        <v>44949.65277777778</v>
      </c>
      <c r="F94" s="10" t="n">
        <v>44949.66666666666</v>
      </c>
      <c r="G94" s="11" t="n">
        <v>-3.82</v>
      </c>
      <c r="H94" s="11">
        <f>H93+G94</f>
        <v/>
      </c>
    </row>
    <row r="95">
      <c r="A95" s="9" t="n">
        <v>91</v>
      </c>
      <c r="B95" s="9" t="inlineStr">
        <is>
          <t>Meridian</t>
        </is>
      </c>
      <c r="C95" s="9" t="inlineStr">
        <is>
          <t>21/50 MA cross, 250-period confirm filter, VWAP</t>
        </is>
      </c>
      <c r="D95" s="9" t="inlineStr">
        <is>
          <t>Short</t>
        </is>
      </c>
      <c r="E95" s="10" t="n">
        <v>44949.79861111111</v>
      </c>
      <c r="F95" s="10" t="n">
        <v>44949.82638888889</v>
      </c>
      <c r="G95" s="11" t="n">
        <v>-3.84</v>
      </c>
      <c r="H95" s="11">
        <f>H94+G95</f>
        <v/>
      </c>
    </row>
    <row r="96">
      <c r="A96" s="9" t="n">
        <v>92</v>
      </c>
      <c r="B96" s="9" t="inlineStr">
        <is>
          <t>Ratchet</t>
        </is>
      </c>
      <c r="C96" s="9" t="inlineStr">
        <is>
          <t>Stochastic scalp with give-back trail exit</t>
        </is>
      </c>
      <c r="D96" s="9" t="inlineStr">
        <is>
          <t>Long</t>
        </is>
      </c>
      <c r="E96" s="10" t="n">
        <v>44950.22222222222</v>
      </c>
      <c r="F96" s="10" t="n">
        <v>44950.23611111111</v>
      </c>
      <c r="G96" s="11" t="n">
        <v>-1.23</v>
      </c>
      <c r="H96" s="11">
        <f>H95+G96</f>
        <v/>
      </c>
    </row>
    <row r="97">
      <c r="A97" s="9" t="n">
        <v>93</v>
      </c>
      <c r="B97" s="9" t="inlineStr">
        <is>
          <t>Meridian</t>
        </is>
      </c>
      <c r="C97" s="9" t="inlineStr">
        <is>
          <t>21/50 MA cross, 250-period confirm filter, VWAP</t>
        </is>
      </c>
      <c r="D97" s="9" t="inlineStr">
        <is>
          <t>Long</t>
        </is>
      </c>
      <c r="E97" s="10" t="n">
        <v>44950.31597222222</v>
      </c>
      <c r="F97" s="10" t="n">
        <v>44950.49305555555</v>
      </c>
      <c r="G97" s="11" t="n">
        <v>-0.34</v>
      </c>
      <c r="H97" s="11">
        <f>H96+G97</f>
        <v/>
      </c>
    </row>
    <row r="98">
      <c r="A98" s="9" t="n">
        <v>94</v>
      </c>
      <c r="B98" s="9" t="inlineStr">
        <is>
          <t>Meridian</t>
        </is>
      </c>
      <c r="C98" s="9" t="inlineStr">
        <is>
          <t>21/50 MA cross, 250-period confirm filter, VWAP</t>
        </is>
      </c>
      <c r="D98" s="9" t="inlineStr">
        <is>
          <t>Long</t>
        </is>
      </c>
      <c r="E98" s="10" t="n">
        <v>44950.54166666666</v>
      </c>
      <c r="F98" s="10" t="n">
        <v>44950.54513888889</v>
      </c>
      <c r="G98" s="11" t="n">
        <v>-2.67</v>
      </c>
      <c r="H98" s="11">
        <f>H97+G98</f>
        <v/>
      </c>
    </row>
    <row r="99">
      <c r="A99" s="9" t="n">
        <v>95</v>
      </c>
      <c r="B99" s="9" t="inlineStr">
        <is>
          <t>Ratchet</t>
        </is>
      </c>
      <c r="C99" s="9" t="inlineStr">
        <is>
          <t>Stochastic scalp with give-back trail exit</t>
        </is>
      </c>
      <c r="D99" s="9" t="inlineStr">
        <is>
          <t>Long</t>
        </is>
      </c>
      <c r="E99" s="10" t="n">
        <v>44950.59375</v>
      </c>
      <c r="F99" s="10" t="n">
        <v>44950.60069444445</v>
      </c>
      <c r="G99" s="11" t="n">
        <v>0.19</v>
      </c>
      <c r="H99" s="11">
        <f>H98+G99</f>
        <v/>
      </c>
    </row>
    <row r="100">
      <c r="A100" s="9" t="n">
        <v>96</v>
      </c>
      <c r="B100" s="9" t="inlineStr">
        <is>
          <t>Vanguard_M5</t>
        </is>
      </c>
      <c r="C100" s="9" t="inlineStr">
        <is>
          <t>Trendline breakout (fractal swing line) + VWAP/S-R distance gate</t>
        </is>
      </c>
      <c r="D100" s="9" t="inlineStr">
        <is>
          <t>Long</t>
        </is>
      </c>
      <c r="E100" s="10" t="n">
        <v>44950.14930555555</v>
      </c>
      <c r="F100" s="10" t="n">
        <v>44950.65972222222</v>
      </c>
      <c r="G100" s="11" t="n">
        <v>-2.79</v>
      </c>
      <c r="H100" s="11">
        <f>H99+G100</f>
        <v/>
      </c>
    </row>
    <row r="101">
      <c r="A101" s="9" t="n">
        <v>97</v>
      </c>
      <c r="B101" s="9" t="inlineStr">
        <is>
          <t>Vanguard_M15</t>
        </is>
      </c>
      <c r="C101" s="9" t="inlineStr">
        <is>
          <t>Trendline breakout (fractal swing line) + VWAP/S-R distance gate - M15 chart</t>
        </is>
      </c>
      <c r="D101" s="9" t="inlineStr">
        <is>
          <t>Long</t>
        </is>
      </c>
      <c r="E101" s="10" t="n">
        <v>44950.15625</v>
      </c>
      <c r="F101" s="10" t="n">
        <v>44950.66666666666</v>
      </c>
      <c r="G101" s="11" t="n">
        <v>-4.81</v>
      </c>
      <c r="H101" s="11">
        <f>H100+G101</f>
        <v/>
      </c>
    </row>
    <row r="102">
      <c r="A102" s="9" t="n">
        <v>98</v>
      </c>
      <c r="B102" s="9" t="inlineStr">
        <is>
          <t>Ratchet</t>
        </is>
      </c>
      <c r="C102" s="9" t="inlineStr">
        <is>
          <t>Stochastic scalp with give-back trail exit</t>
        </is>
      </c>
      <c r="D102" s="9" t="inlineStr">
        <is>
          <t>Long</t>
        </is>
      </c>
      <c r="E102" s="10" t="n">
        <v>44950.90972222222</v>
      </c>
      <c r="F102" s="10" t="n">
        <v>44950.92361111111</v>
      </c>
      <c r="G102" s="11" t="n">
        <v>0.29</v>
      </c>
      <c r="H102" s="11">
        <f>H101+G102</f>
        <v/>
      </c>
    </row>
    <row r="103">
      <c r="A103" s="9" t="n">
        <v>99</v>
      </c>
      <c r="B103" s="9" t="inlineStr">
        <is>
          <t>Meridian</t>
        </is>
      </c>
      <c r="C103" s="9" t="inlineStr">
        <is>
          <t>21/50 MA cross, 250-period confirm filter, VWAP</t>
        </is>
      </c>
      <c r="D103" s="9" t="inlineStr">
        <is>
          <t>Short</t>
        </is>
      </c>
      <c r="E103" s="10" t="n">
        <v>44951.12152777778</v>
      </c>
      <c r="F103" s="10" t="n">
        <v>44951.12152777778</v>
      </c>
      <c r="G103" s="11" t="n">
        <v>-1.59</v>
      </c>
      <c r="H103" s="11">
        <f>H102+G103</f>
        <v/>
      </c>
    </row>
    <row r="104">
      <c r="A104" s="9" t="n">
        <v>100</v>
      </c>
      <c r="B104" s="9" t="inlineStr">
        <is>
          <t>Ratchet</t>
        </is>
      </c>
      <c r="C104" s="9" t="inlineStr">
        <is>
          <t>Stochastic scalp with give-back trail exit</t>
        </is>
      </c>
      <c r="D104" s="9" t="inlineStr">
        <is>
          <t>Long</t>
        </is>
      </c>
      <c r="E104" s="10" t="n">
        <v>44951.14583333334</v>
      </c>
      <c r="F104" s="10" t="n">
        <v>44951.18055555555</v>
      </c>
      <c r="G104" s="11" t="n">
        <v>0.4</v>
      </c>
      <c r="H104" s="11">
        <f>H103+G104</f>
        <v/>
      </c>
    </row>
    <row r="105">
      <c r="A105" s="9" t="n">
        <v>101</v>
      </c>
      <c r="B105" s="9" t="inlineStr">
        <is>
          <t>Meridian</t>
        </is>
      </c>
      <c r="C105" s="9" t="inlineStr">
        <is>
          <t>21/50 MA cross, 250-period confirm filter, VWAP</t>
        </is>
      </c>
      <c r="D105" s="9" t="inlineStr">
        <is>
          <t>Long</t>
        </is>
      </c>
      <c r="E105" s="10" t="n">
        <v>44951.12847222222</v>
      </c>
      <c r="F105" s="10" t="n">
        <v>44951.19791666666</v>
      </c>
      <c r="G105" s="11" t="n">
        <v>-2</v>
      </c>
      <c r="H105" s="11">
        <f>H104+G105</f>
        <v/>
      </c>
    </row>
    <row r="106">
      <c r="A106" s="9" t="n">
        <v>102</v>
      </c>
      <c r="B106" s="9" t="inlineStr">
        <is>
          <t>Vanguard_M5</t>
        </is>
      </c>
      <c r="C106" s="9" t="inlineStr">
        <is>
          <t>Trendline breakout (fractal swing line) + VWAP/S-R distance gate</t>
        </is>
      </c>
      <c r="D106" s="9" t="inlineStr">
        <is>
          <t>Long</t>
        </is>
      </c>
      <c r="E106" s="10" t="n">
        <v>44950.73958333334</v>
      </c>
      <c r="F106" s="10" t="n">
        <v>44951.5625</v>
      </c>
      <c r="G106" s="11" t="n">
        <v>-9.81</v>
      </c>
      <c r="H106" s="11">
        <f>H105+G106</f>
        <v/>
      </c>
    </row>
    <row r="107">
      <c r="A107" s="9" t="n">
        <v>103</v>
      </c>
      <c r="B107" s="9" t="inlineStr">
        <is>
          <t>Vanguard_M5</t>
        </is>
      </c>
      <c r="C107" s="9" t="inlineStr">
        <is>
          <t>Trendline breakout (fractal swing line) + VWAP/S-R distance gate</t>
        </is>
      </c>
      <c r="D107" s="9" t="inlineStr">
        <is>
          <t>Short</t>
        </is>
      </c>
      <c r="E107" s="10" t="n">
        <v>44951.66666666666</v>
      </c>
      <c r="F107" s="10" t="n">
        <v>44951.68402777778</v>
      </c>
      <c r="G107" s="11" t="n">
        <v>-6.64</v>
      </c>
      <c r="H107" s="11">
        <f>H106+G107</f>
        <v/>
      </c>
    </row>
    <row r="108">
      <c r="A108" s="9" t="n">
        <v>104</v>
      </c>
      <c r="B108" s="9" t="inlineStr">
        <is>
          <t>Vanguard_M15</t>
        </is>
      </c>
      <c r="C108" s="9" t="inlineStr">
        <is>
          <t>Trendline breakout (fractal swing line) + VWAP/S-R distance gate - M15 chart</t>
        </is>
      </c>
      <c r="D108" s="9" t="inlineStr">
        <is>
          <t>Short</t>
        </is>
      </c>
      <c r="E108" s="10" t="n">
        <v>44951.66666666666</v>
      </c>
      <c r="F108" s="10" t="n">
        <v>44951.6875</v>
      </c>
      <c r="G108" s="11" t="n">
        <v>-7.8</v>
      </c>
      <c r="H108" s="11">
        <f>H107+G108</f>
        <v/>
      </c>
    </row>
    <row r="109">
      <c r="A109" s="9" t="n">
        <v>105</v>
      </c>
      <c r="B109" s="9" t="inlineStr">
        <is>
          <t>Meridian</t>
        </is>
      </c>
      <c r="C109" s="9" t="inlineStr">
        <is>
          <t>21/50 MA cross, 250-period confirm filter, VWAP</t>
        </is>
      </c>
      <c r="D109" s="9" t="inlineStr">
        <is>
          <t>Short</t>
        </is>
      </c>
      <c r="E109" s="10" t="n">
        <v>44951.21527777778</v>
      </c>
      <c r="F109" s="10" t="n">
        <v>44951.69444444445</v>
      </c>
      <c r="G109" s="11" t="n">
        <v>1.71</v>
      </c>
      <c r="H109" s="11">
        <f>H108+G109</f>
        <v/>
      </c>
    </row>
    <row r="110">
      <c r="A110" s="9" t="n">
        <v>106</v>
      </c>
      <c r="B110" s="9" t="inlineStr">
        <is>
          <t>Ratchet</t>
        </is>
      </c>
      <c r="C110" s="9" t="inlineStr">
        <is>
          <t>Stochastic scalp with give-back trail exit</t>
        </is>
      </c>
      <c r="D110" s="9" t="inlineStr">
        <is>
          <t>Long</t>
        </is>
      </c>
      <c r="E110" s="10" t="n">
        <v>44951.90972222222</v>
      </c>
      <c r="F110" s="10" t="n">
        <v>44951.99652777778</v>
      </c>
      <c r="G110" s="11" t="n">
        <v>4.6</v>
      </c>
      <c r="H110" s="11">
        <f>H109+G110</f>
        <v/>
      </c>
    </row>
    <row r="111">
      <c r="A111" s="9" t="n">
        <v>107</v>
      </c>
      <c r="B111" s="9" t="inlineStr">
        <is>
          <t>Vanguard_M5</t>
        </is>
      </c>
      <c r="C111" s="9" t="inlineStr">
        <is>
          <t>Trendline breakout (fractal swing line) + VWAP/S-R distance gate</t>
        </is>
      </c>
      <c r="D111" s="9" t="inlineStr">
        <is>
          <t>Long</t>
        </is>
      </c>
      <c r="E111" s="10" t="n">
        <v>44951.80555555555</v>
      </c>
      <c r="F111" s="10" t="n">
        <v>44952.62847222222</v>
      </c>
      <c r="G111" s="11" t="n">
        <v>-1.49</v>
      </c>
      <c r="H111" s="11">
        <f>H110+G111</f>
        <v/>
      </c>
    </row>
    <row r="112">
      <c r="A112" s="9" t="n">
        <v>108</v>
      </c>
      <c r="B112" s="9" t="inlineStr">
        <is>
          <t>Vanguard_M15</t>
        </is>
      </c>
      <c r="C112" s="9" t="inlineStr">
        <is>
          <t>Trendline breakout (fractal swing line) + VWAP/S-R distance gate - M15 chart</t>
        </is>
      </c>
      <c r="D112" s="9" t="inlineStr">
        <is>
          <t>Long</t>
        </is>
      </c>
      <c r="E112" s="10" t="n">
        <v>44951.8125</v>
      </c>
      <c r="F112" s="10" t="n">
        <v>44952.63541666666</v>
      </c>
      <c r="G112" s="11" t="n">
        <v>-0.58</v>
      </c>
      <c r="H112" s="11">
        <f>H111+G112</f>
        <v/>
      </c>
    </row>
    <row r="113">
      <c r="A113" s="9" t="n">
        <v>109</v>
      </c>
      <c r="B113" s="9" t="inlineStr">
        <is>
          <t>Vanguard_M5</t>
        </is>
      </c>
      <c r="C113" s="9" t="inlineStr">
        <is>
          <t>Trendline breakout (fractal swing line) + VWAP/S-R distance gate</t>
        </is>
      </c>
      <c r="D113" s="9" t="inlineStr">
        <is>
          <t>Short</t>
        </is>
      </c>
      <c r="E113" s="10" t="n">
        <v>44952.76736111111</v>
      </c>
      <c r="F113" s="10" t="n">
        <v>44952.85416666666</v>
      </c>
      <c r="G113" s="11" t="n">
        <v>-11.91</v>
      </c>
      <c r="H113" s="11">
        <f>H112+G113</f>
        <v/>
      </c>
    </row>
    <row r="114">
      <c r="A114" s="9" t="n">
        <v>110</v>
      </c>
      <c r="B114" s="9" t="inlineStr">
        <is>
          <t>Meridian</t>
        </is>
      </c>
      <c r="C114" s="9" t="inlineStr">
        <is>
          <t>21/50 MA cross, 250-period confirm filter, VWAP</t>
        </is>
      </c>
      <c r="D114" s="9" t="inlineStr">
        <is>
          <t>Short</t>
        </is>
      </c>
      <c r="E114" s="10" t="n">
        <v>44952.69097222222</v>
      </c>
      <c r="F114" s="10" t="n">
        <v>44952.90625</v>
      </c>
      <c r="G114" s="11" t="n">
        <v>4.36</v>
      </c>
      <c r="H114" s="11">
        <f>H113+G114</f>
        <v/>
      </c>
    </row>
    <row r="115">
      <c r="A115" s="9" t="n">
        <v>111</v>
      </c>
      <c r="B115" s="9" t="inlineStr">
        <is>
          <t>Meridian</t>
        </is>
      </c>
      <c r="C115" s="9" t="inlineStr">
        <is>
          <t>21/50 MA cross, 250-period confirm filter, VWAP</t>
        </is>
      </c>
      <c r="D115" s="9" t="inlineStr">
        <is>
          <t>Short</t>
        </is>
      </c>
      <c r="E115" s="10" t="n">
        <v>44952.96180555555</v>
      </c>
      <c r="F115" s="10" t="n">
        <v>44953.07638888889</v>
      </c>
      <c r="G115" s="11" t="n">
        <v>-1.93</v>
      </c>
      <c r="H115" s="11">
        <f>H114+G115</f>
        <v/>
      </c>
    </row>
    <row r="116">
      <c r="A116" s="9" t="n">
        <v>112</v>
      </c>
      <c r="B116" s="9" t="inlineStr">
        <is>
          <t>Meridian</t>
        </is>
      </c>
      <c r="C116" s="9" t="inlineStr">
        <is>
          <t>21/50 MA cross, 250-period confirm filter, VWAP</t>
        </is>
      </c>
      <c r="D116" s="9" t="inlineStr">
        <is>
          <t>Short</t>
        </is>
      </c>
      <c r="E116" s="10" t="n">
        <v>44953.18402777778</v>
      </c>
      <c r="F116" s="10" t="n">
        <v>44953.45833333334</v>
      </c>
      <c r="G116" s="11" t="n">
        <v>2.25</v>
      </c>
      <c r="H116" s="11">
        <f>H115+G116</f>
        <v/>
      </c>
    </row>
    <row r="117">
      <c r="A117" s="9" t="n">
        <v>113</v>
      </c>
      <c r="B117" s="9" t="inlineStr">
        <is>
          <t>Vanguard_M15</t>
        </is>
      </c>
      <c r="C117" s="9" t="inlineStr">
        <is>
          <t>Trendline breakout (fractal swing line) + VWAP/S-R distance gate - M15 chart</t>
        </is>
      </c>
      <c r="D117" s="9" t="inlineStr">
        <is>
          <t>Long</t>
        </is>
      </c>
      <c r="E117" s="10" t="n">
        <v>44953.53125</v>
      </c>
      <c r="F117" s="10" t="n">
        <v>44953.6875</v>
      </c>
      <c r="G117" s="11" t="n">
        <v>-5.83</v>
      </c>
      <c r="H117" s="11">
        <f>H116+G117</f>
        <v/>
      </c>
    </row>
    <row r="118">
      <c r="A118" s="9" t="n">
        <v>114</v>
      </c>
      <c r="B118" s="9" t="inlineStr">
        <is>
          <t>Vanguard_M5</t>
        </is>
      </c>
      <c r="C118" s="9" t="inlineStr">
        <is>
          <t>Trendline breakout (fractal swing line) + VWAP/S-R distance gate</t>
        </is>
      </c>
      <c r="D118" s="9" t="inlineStr">
        <is>
          <t>Long</t>
        </is>
      </c>
      <c r="E118" s="10" t="n">
        <v>44953.53125</v>
      </c>
      <c r="F118" s="10" t="n">
        <v>44953.6875</v>
      </c>
      <c r="G118" s="11" t="n">
        <v>-4.37</v>
      </c>
      <c r="H118" s="11">
        <f>H117+G118</f>
        <v/>
      </c>
    </row>
    <row r="119">
      <c r="A119" s="9" t="n">
        <v>115</v>
      </c>
      <c r="B119" s="9" t="inlineStr">
        <is>
          <t>Meridian</t>
        </is>
      </c>
      <c r="C119" s="9" t="inlineStr">
        <is>
          <t>21/50 MA cross, 250-period confirm filter, VWAP</t>
        </is>
      </c>
      <c r="D119" s="9" t="inlineStr">
        <is>
          <t>Short</t>
        </is>
      </c>
      <c r="E119" s="10" t="n">
        <v>44953.69097222222</v>
      </c>
      <c r="F119" s="10" t="n">
        <v>44953.71180555555</v>
      </c>
      <c r="G119" s="11" t="n">
        <v>-5.46</v>
      </c>
      <c r="H119" s="11">
        <f>H118+G119</f>
        <v/>
      </c>
    </row>
    <row r="120">
      <c r="A120" s="9" t="n">
        <v>116</v>
      </c>
      <c r="B120" s="9" t="inlineStr">
        <is>
          <t>Vanguard_M5</t>
        </is>
      </c>
      <c r="C120" s="9" t="inlineStr">
        <is>
          <t>Trendline breakout (fractal swing line) + VWAP/S-R distance gate</t>
        </is>
      </c>
      <c r="D120" s="9" t="inlineStr">
        <is>
          <t>Short</t>
        </is>
      </c>
      <c r="E120" s="10" t="n">
        <v>44953.74305555555</v>
      </c>
      <c r="F120" s="10" t="n">
        <v>44953.75</v>
      </c>
      <c r="G120" s="11" t="n">
        <v>-6.21</v>
      </c>
      <c r="H120" s="11">
        <f>H119+G120</f>
        <v/>
      </c>
    </row>
    <row r="121">
      <c r="A121" s="9" t="n">
        <v>117</v>
      </c>
      <c r="B121" s="9" t="inlineStr">
        <is>
          <t>Meridian</t>
        </is>
      </c>
      <c r="C121" s="9" t="inlineStr">
        <is>
          <t>21/50 MA cross, 250-period confirm filter, VWAP</t>
        </is>
      </c>
      <c r="D121" s="9" t="inlineStr">
        <is>
          <t>Long</t>
        </is>
      </c>
      <c r="E121" s="10" t="n">
        <v>44953.78125</v>
      </c>
      <c r="F121" s="10" t="n">
        <v>44953.91666666666</v>
      </c>
      <c r="G121" s="11" t="n">
        <v>-1.45</v>
      </c>
      <c r="H121" s="11">
        <f>H120+G121</f>
        <v/>
      </c>
    </row>
    <row r="122">
      <c r="A122" s="9" t="n">
        <v>118</v>
      </c>
      <c r="B122" s="9" t="inlineStr">
        <is>
          <t>Meridian</t>
        </is>
      </c>
      <c r="C122" s="9" t="inlineStr">
        <is>
          <t>21/50 MA cross, 250-period confirm filter, VWAP</t>
        </is>
      </c>
      <c r="D122" s="9" t="inlineStr">
        <is>
          <t>Long</t>
        </is>
      </c>
      <c r="E122" s="10" t="n">
        <v>44956.12152777778</v>
      </c>
      <c r="F122" s="10" t="n">
        <v>44956.12847222222</v>
      </c>
      <c r="G122" s="11" t="n">
        <v>-0.82</v>
      </c>
      <c r="H122" s="11">
        <f>H121+G122</f>
        <v/>
      </c>
    </row>
    <row r="123">
      <c r="A123" s="9" t="n">
        <v>119</v>
      </c>
      <c r="B123" s="9" t="inlineStr">
        <is>
          <t>Meridian</t>
        </is>
      </c>
      <c r="C123" s="9" t="inlineStr">
        <is>
          <t>21/50 MA cross, 250-period confirm filter, VWAP</t>
        </is>
      </c>
      <c r="D123" s="9" t="inlineStr">
        <is>
          <t>Long</t>
        </is>
      </c>
      <c r="E123" s="10" t="n">
        <v>44956.26736111111</v>
      </c>
      <c r="F123" s="10" t="n">
        <v>44956.38888888889</v>
      </c>
      <c r="G123" s="11" t="n">
        <v>-2.95</v>
      </c>
      <c r="H123" s="11">
        <f>H122+G123</f>
        <v/>
      </c>
    </row>
    <row r="124">
      <c r="A124" s="9" t="n">
        <v>120</v>
      </c>
      <c r="B124" s="9" t="inlineStr">
        <is>
          <t>Ratchet</t>
        </is>
      </c>
      <c r="C124" s="9" t="inlineStr">
        <is>
          <t>Stochastic scalp with give-back trail exit</t>
        </is>
      </c>
      <c r="D124" s="9" t="inlineStr">
        <is>
          <t>Short</t>
        </is>
      </c>
      <c r="E124" s="10" t="n">
        <v>44956.44791666666</v>
      </c>
      <c r="F124" s="10" t="n">
        <v>44956.47916666666</v>
      </c>
      <c r="G124" s="11" t="n">
        <v>-2.75</v>
      </c>
      <c r="H124" s="11">
        <f>H123+G124</f>
        <v/>
      </c>
    </row>
    <row r="125">
      <c r="A125" s="9" t="n">
        <v>121</v>
      </c>
      <c r="B125" s="9" t="inlineStr">
        <is>
          <t>Meridian</t>
        </is>
      </c>
      <c r="C125" s="9" t="inlineStr">
        <is>
          <t>21/50 MA cross, 250-period confirm filter, VWAP</t>
        </is>
      </c>
      <c r="D125" s="9" t="inlineStr">
        <is>
          <t>Short</t>
        </is>
      </c>
      <c r="E125" s="10" t="n">
        <v>44956.40625</v>
      </c>
      <c r="F125" s="10" t="n">
        <v>44956.52083333334</v>
      </c>
      <c r="G125" s="11" t="n">
        <v>-3.43</v>
      </c>
      <c r="H125" s="11">
        <f>H124+G125</f>
        <v/>
      </c>
    </row>
    <row r="126">
      <c r="A126" s="9" t="n">
        <v>122</v>
      </c>
      <c r="B126" s="9" t="inlineStr">
        <is>
          <t>Meridian</t>
        </is>
      </c>
      <c r="C126" s="9" t="inlineStr">
        <is>
          <t>21/50 MA cross, 250-period confirm filter, VWAP</t>
        </is>
      </c>
      <c r="D126" s="9" t="inlineStr">
        <is>
          <t>Long</t>
        </is>
      </c>
      <c r="E126" s="10" t="n">
        <v>44956.53819444445</v>
      </c>
      <c r="F126" s="10" t="n">
        <v>44956.55555555555</v>
      </c>
      <c r="G126" s="11" t="n">
        <v>-3.2</v>
      </c>
      <c r="H126" s="11">
        <f>H125+G126</f>
        <v/>
      </c>
    </row>
    <row r="127">
      <c r="A127" s="9" t="n">
        <v>123</v>
      </c>
      <c r="B127" s="9" t="inlineStr">
        <is>
          <t>Vanguard_M15</t>
        </is>
      </c>
      <c r="C127" s="9" t="inlineStr">
        <is>
          <t>Trendline breakout (fractal swing line) + VWAP/S-R distance gate - M15 chart</t>
        </is>
      </c>
      <c r="D127" s="9" t="inlineStr">
        <is>
          <t>Long</t>
        </is>
      </c>
      <c r="E127" s="10" t="n">
        <v>44953.76041666666</v>
      </c>
      <c r="F127" s="10" t="n">
        <v>44956.58333333334</v>
      </c>
      <c r="G127" s="11" t="n">
        <v>-3.11</v>
      </c>
      <c r="H127" s="11">
        <f>H126+G127</f>
        <v/>
      </c>
    </row>
    <row r="128">
      <c r="A128" s="9" t="n">
        <v>124</v>
      </c>
      <c r="B128" s="9" t="inlineStr">
        <is>
          <t>Vanguard_M5</t>
        </is>
      </c>
      <c r="C128" s="9" t="inlineStr">
        <is>
          <t>Trendline breakout (fractal swing line) + VWAP/S-R distance gate</t>
        </is>
      </c>
      <c r="D128" s="9" t="inlineStr">
        <is>
          <t>Long</t>
        </is>
      </c>
      <c r="E128" s="10" t="n">
        <v>44953.76041666666</v>
      </c>
      <c r="F128" s="10" t="n">
        <v>44956.58333333334</v>
      </c>
      <c r="G128" s="11" t="n">
        <v>-5.07</v>
      </c>
      <c r="H128" s="11">
        <f>H127+G128</f>
        <v/>
      </c>
    </row>
    <row r="129">
      <c r="A129" s="9" t="n">
        <v>125</v>
      </c>
      <c r="B129" s="9" t="inlineStr">
        <is>
          <t>Meridian</t>
        </is>
      </c>
      <c r="C129" s="9" t="inlineStr">
        <is>
          <t>21/50 MA cross, 250-period confirm filter, VWAP</t>
        </is>
      </c>
      <c r="D129" s="9" t="inlineStr">
        <is>
          <t>Short</t>
        </is>
      </c>
      <c r="E129" s="10" t="n">
        <v>44956.56944444445</v>
      </c>
      <c r="F129" s="10" t="n">
        <v>44956.64236111111</v>
      </c>
      <c r="G129" s="11" t="n">
        <v>-3.68</v>
      </c>
      <c r="H129" s="11">
        <f>H128+G129</f>
        <v/>
      </c>
    </row>
    <row r="130">
      <c r="A130" s="9" t="n">
        <v>126</v>
      </c>
      <c r="B130" s="9" t="inlineStr">
        <is>
          <t>Meridian</t>
        </is>
      </c>
      <c r="C130" s="9" t="inlineStr">
        <is>
          <t>21/50 MA cross, 250-period confirm filter, VWAP</t>
        </is>
      </c>
      <c r="D130" s="9" t="inlineStr">
        <is>
          <t>Long</t>
        </is>
      </c>
      <c r="E130" s="10" t="n">
        <v>44956.64930555555</v>
      </c>
      <c r="F130" s="10" t="n">
        <v>44956.70486111111</v>
      </c>
      <c r="G130" s="11" t="n">
        <v>-3.56</v>
      </c>
      <c r="H130" s="11">
        <f>H129+G130</f>
        <v/>
      </c>
    </row>
    <row r="131">
      <c r="A131" s="9" t="n">
        <v>127</v>
      </c>
      <c r="B131" s="9" t="inlineStr">
        <is>
          <t>Ratchet</t>
        </is>
      </c>
      <c r="C131" s="9" t="inlineStr">
        <is>
          <t>Stochastic scalp with give-back trail exit</t>
        </is>
      </c>
      <c r="D131" s="9" t="inlineStr">
        <is>
          <t>Short</t>
        </is>
      </c>
      <c r="E131" s="10" t="n">
        <v>44956.875</v>
      </c>
      <c r="F131" s="10" t="n">
        <v>44956.88541666666</v>
      </c>
      <c r="G131" s="11" t="n">
        <v>0.39</v>
      </c>
      <c r="H131" s="11">
        <f>H130+G131</f>
        <v/>
      </c>
    </row>
    <row r="132">
      <c r="A132" s="9" t="n">
        <v>128</v>
      </c>
      <c r="B132" s="9" t="inlineStr">
        <is>
          <t>Ratchet</t>
        </is>
      </c>
      <c r="C132" s="9" t="inlineStr">
        <is>
          <t>Stochastic scalp with give-back trail exit</t>
        </is>
      </c>
      <c r="D132" s="9" t="inlineStr">
        <is>
          <t>Short</t>
        </is>
      </c>
      <c r="E132" s="10" t="n">
        <v>44956.93402777778</v>
      </c>
      <c r="F132" s="10" t="n">
        <v>44956.9375</v>
      </c>
      <c r="G132" s="11" t="n">
        <v>0.19</v>
      </c>
      <c r="H132" s="11">
        <f>H131+G132</f>
        <v/>
      </c>
    </row>
    <row r="133">
      <c r="A133" s="9" t="n">
        <v>129</v>
      </c>
      <c r="B133" s="9" t="inlineStr">
        <is>
          <t>Ratchet</t>
        </is>
      </c>
      <c r="C133" s="9" t="inlineStr">
        <is>
          <t>Stochastic scalp with give-back trail exit</t>
        </is>
      </c>
      <c r="D133" s="9" t="inlineStr">
        <is>
          <t>Short</t>
        </is>
      </c>
      <c r="E133" s="10" t="n">
        <v>44956.95833333334</v>
      </c>
      <c r="F133" s="10" t="n">
        <v>44956.99652777778</v>
      </c>
      <c r="G133" s="11" t="n">
        <v>-1.11</v>
      </c>
      <c r="H133" s="11">
        <f>H132+G133</f>
        <v/>
      </c>
    </row>
    <row r="134">
      <c r="A134" s="9" t="n">
        <v>130</v>
      </c>
      <c r="B134" s="9" t="inlineStr">
        <is>
          <t>Ratchet</t>
        </is>
      </c>
      <c r="C134" s="9" t="inlineStr">
        <is>
          <t>Stochastic scalp with give-back trail exit</t>
        </is>
      </c>
      <c r="D134" s="9" t="inlineStr">
        <is>
          <t>Short</t>
        </is>
      </c>
      <c r="E134" s="10" t="n">
        <v>44957.04513888889</v>
      </c>
      <c r="F134" s="10" t="n">
        <v>44957.04861111111</v>
      </c>
      <c r="G134" s="11" t="n">
        <v>0.15</v>
      </c>
      <c r="H134" s="11">
        <f>H133+G134</f>
        <v/>
      </c>
    </row>
    <row r="135">
      <c r="A135" s="9" t="n">
        <v>131</v>
      </c>
      <c r="B135" s="9" t="inlineStr">
        <is>
          <t>Ratchet</t>
        </is>
      </c>
      <c r="C135" s="9" t="inlineStr">
        <is>
          <t>Stochastic scalp with give-back trail exit</t>
        </is>
      </c>
      <c r="D135" s="9" t="inlineStr">
        <is>
          <t>Short</t>
        </is>
      </c>
      <c r="E135" s="10" t="n">
        <v>44957.06597222222</v>
      </c>
      <c r="F135" s="10" t="n">
        <v>44957.07638888889</v>
      </c>
      <c r="G135" s="11" t="n">
        <v>-0</v>
      </c>
      <c r="H135" s="11">
        <f>H134+G135</f>
        <v/>
      </c>
    </row>
    <row r="136">
      <c r="A136" s="9" t="n">
        <v>132</v>
      </c>
      <c r="B136" s="9" t="inlineStr">
        <is>
          <t>Ratchet</t>
        </is>
      </c>
      <c r="C136" s="9" t="inlineStr">
        <is>
          <t>Stochastic scalp with give-back trail exit</t>
        </is>
      </c>
      <c r="D136" s="9" t="inlineStr">
        <is>
          <t>Short</t>
        </is>
      </c>
      <c r="E136" s="10" t="n">
        <v>44957.10069444445</v>
      </c>
      <c r="F136" s="10" t="n">
        <v>44957.10416666666</v>
      </c>
      <c r="G136" s="11" t="n">
        <v>-1.05</v>
      </c>
      <c r="H136" s="11">
        <f>H135+G136</f>
        <v/>
      </c>
    </row>
    <row r="137">
      <c r="A137" s="9" t="n">
        <v>133</v>
      </c>
      <c r="B137" s="9" t="inlineStr">
        <is>
          <t>Meridian</t>
        </is>
      </c>
      <c r="C137" s="9" t="inlineStr">
        <is>
          <t>21/50 MA cross, 250-period confirm filter, VWAP</t>
        </is>
      </c>
      <c r="D137" s="9" t="inlineStr">
        <is>
          <t>Short</t>
        </is>
      </c>
      <c r="E137" s="10" t="n">
        <v>44956.74652777778</v>
      </c>
      <c r="F137" s="10" t="n">
        <v>44957.13888888889</v>
      </c>
      <c r="G137" s="11" t="n">
        <v>0.19</v>
      </c>
      <c r="H137" s="11">
        <f>H136+G137</f>
        <v/>
      </c>
    </row>
    <row r="138">
      <c r="A138" s="9" t="n">
        <v>134</v>
      </c>
      <c r="B138" s="9" t="inlineStr">
        <is>
          <t>Ratchet</t>
        </is>
      </c>
      <c r="C138" s="9" t="inlineStr">
        <is>
          <t>Stochastic scalp with give-back trail exit</t>
        </is>
      </c>
      <c r="D138" s="9" t="inlineStr">
        <is>
          <t>Short</t>
        </is>
      </c>
      <c r="E138" s="10" t="n">
        <v>44957.25</v>
      </c>
      <c r="F138" s="10" t="n">
        <v>44957.26388888889</v>
      </c>
      <c r="G138" s="11" t="n">
        <v>0.21</v>
      </c>
      <c r="H138" s="11">
        <f>H137+G138</f>
        <v/>
      </c>
    </row>
    <row r="139">
      <c r="A139" s="9" t="n">
        <v>135</v>
      </c>
      <c r="B139" s="9" t="inlineStr">
        <is>
          <t>Ratchet</t>
        </is>
      </c>
      <c r="C139" s="9" t="inlineStr">
        <is>
          <t>Stochastic scalp with give-back trail exit</t>
        </is>
      </c>
      <c r="D139" s="9" t="inlineStr">
        <is>
          <t>Short</t>
        </is>
      </c>
      <c r="E139" s="10" t="n">
        <v>44957.30555555555</v>
      </c>
      <c r="F139" s="10" t="n">
        <v>44957.30555555555</v>
      </c>
      <c r="G139" s="11" t="n">
        <v>-1.49</v>
      </c>
      <c r="H139" s="11">
        <f>H138+G139</f>
        <v/>
      </c>
    </row>
    <row r="140">
      <c r="A140" s="9" t="n">
        <v>136</v>
      </c>
      <c r="B140" s="9" t="inlineStr">
        <is>
          <t>Ratchet</t>
        </is>
      </c>
      <c r="C140" s="9" t="inlineStr">
        <is>
          <t>Stochastic scalp with give-back trail exit</t>
        </is>
      </c>
      <c r="D140" s="9" t="inlineStr">
        <is>
          <t>Short</t>
        </is>
      </c>
      <c r="E140" s="10" t="n">
        <v>44957.38888888889</v>
      </c>
      <c r="F140" s="10" t="n">
        <v>44957.40625</v>
      </c>
      <c r="G140" s="11" t="n">
        <v>0.52</v>
      </c>
      <c r="H140" s="11">
        <f>H139+G140</f>
        <v/>
      </c>
    </row>
    <row r="141">
      <c r="A141" s="9" t="n">
        <v>137</v>
      </c>
      <c r="B141" s="9" t="inlineStr">
        <is>
          <t>Ratchet</t>
        </is>
      </c>
      <c r="C141" s="9" t="inlineStr">
        <is>
          <t>Stochastic scalp with give-back trail exit</t>
        </is>
      </c>
      <c r="D141" s="9" t="inlineStr">
        <is>
          <t>Short</t>
        </is>
      </c>
      <c r="E141" s="10" t="n">
        <v>44957.55555555555</v>
      </c>
      <c r="F141" s="10" t="n">
        <v>44957.56597222222</v>
      </c>
      <c r="G141" s="11" t="n">
        <v>0.86</v>
      </c>
      <c r="H141" s="11">
        <f>H140+G141</f>
        <v/>
      </c>
    </row>
    <row r="142">
      <c r="A142" s="9" t="n">
        <v>138</v>
      </c>
      <c r="B142" s="9" t="inlineStr">
        <is>
          <t>Aurelius_M5</t>
        </is>
      </c>
      <c r="C142" s="9" t="inlineStr">
        <is>
          <t>MA alignment (EMA21&gt;EMA50&gt;SMA250&gt;SMMA500 vs EMA2400 trend filter)</t>
        </is>
      </c>
      <c r="D142" s="9" t="inlineStr">
        <is>
          <t>Short</t>
        </is>
      </c>
      <c r="E142" s="10" t="n">
        <v>44957.26388888889</v>
      </c>
      <c r="F142" s="10" t="n">
        <v>44957.63888888889</v>
      </c>
      <c r="G142" s="11" t="n">
        <v>12.64</v>
      </c>
      <c r="H142" s="11">
        <f>H141+G142</f>
        <v/>
      </c>
    </row>
    <row r="143">
      <c r="A143" s="9" t="n">
        <v>139</v>
      </c>
      <c r="B143" s="9" t="inlineStr">
        <is>
          <t>Meridian</t>
        </is>
      </c>
      <c r="C143" s="9" t="inlineStr">
        <is>
          <t>21/50 MA cross, 250-period confirm filter, VWAP</t>
        </is>
      </c>
      <c r="D143" s="9" t="inlineStr">
        <is>
          <t>Short</t>
        </is>
      </c>
      <c r="E143" s="10" t="n">
        <v>44957.24305555555</v>
      </c>
      <c r="F143" s="10" t="n">
        <v>44957.64583333334</v>
      </c>
      <c r="G143" s="11" t="n">
        <v>9.31</v>
      </c>
      <c r="H143" s="11">
        <f>H142+G143</f>
        <v/>
      </c>
    </row>
    <row r="144">
      <c r="A144" s="9" t="n">
        <v>140</v>
      </c>
      <c r="B144" s="9" t="inlineStr">
        <is>
          <t>Vanguard_M15</t>
        </is>
      </c>
      <c r="C144" s="9" t="inlineStr">
        <is>
          <t>Trendline breakout (fractal swing line) + VWAP/S-R distance gate - M15 chart</t>
        </is>
      </c>
      <c r="D144" s="9" t="inlineStr">
        <is>
          <t>Short</t>
        </is>
      </c>
      <c r="E144" s="10" t="n">
        <v>44956.8125</v>
      </c>
      <c r="F144" s="10" t="n">
        <v>44957.67708333334</v>
      </c>
      <c r="G144" s="11" t="n">
        <v>-0.32</v>
      </c>
      <c r="H144" s="11">
        <f>H143+G144</f>
        <v/>
      </c>
    </row>
    <row r="145">
      <c r="A145" s="9" t="n">
        <v>141</v>
      </c>
      <c r="B145" s="9" t="inlineStr">
        <is>
          <t>Vanguard_M5</t>
        </is>
      </c>
      <c r="C145" s="9" t="inlineStr">
        <is>
          <t>Trendline breakout (fractal swing line) + VWAP/S-R distance gate</t>
        </is>
      </c>
      <c r="D145" s="9" t="inlineStr">
        <is>
          <t>Short</t>
        </is>
      </c>
      <c r="E145" s="10" t="n">
        <v>44956.8125</v>
      </c>
      <c r="F145" s="10" t="n">
        <v>44957.68402777778</v>
      </c>
      <c r="G145" s="11" t="n">
        <v>-0.32</v>
      </c>
      <c r="H145" s="11">
        <f>H144+G145</f>
        <v/>
      </c>
    </row>
    <row r="146">
      <c r="A146" s="9" t="n">
        <v>142</v>
      </c>
      <c r="B146" s="9" t="inlineStr">
        <is>
          <t>Vanguard_M5</t>
        </is>
      </c>
      <c r="C146" s="9" t="inlineStr">
        <is>
          <t>Trendline breakout (fractal swing line) + VWAP/S-R distance gate</t>
        </is>
      </c>
      <c r="D146" s="9" t="inlineStr">
        <is>
          <t>Long</t>
        </is>
      </c>
      <c r="E146" s="10" t="n">
        <v>44957.70138888889</v>
      </c>
      <c r="F146" s="10" t="n">
        <v>44957.75</v>
      </c>
      <c r="G146" s="11" t="n">
        <v>3.77</v>
      </c>
      <c r="H146" s="11">
        <f>H145+G146</f>
        <v/>
      </c>
    </row>
    <row r="147">
      <c r="A147" s="9" t="n">
        <v>143</v>
      </c>
      <c r="B147" s="9" t="inlineStr">
        <is>
          <t>Vanguard_M15</t>
        </is>
      </c>
      <c r="C147" s="9" t="inlineStr">
        <is>
          <t>Trendline breakout (fractal swing line) + VWAP/S-R distance gate - M15 chart</t>
        </is>
      </c>
      <c r="D147" s="9" t="inlineStr">
        <is>
          <t>Long</t>
        </is>
      </c>
      <c r="E147" s="10" t="n">
        <v>44957.70833333334</v>
      </c>
      <c r="F147" s="10" t="n">
        <v>44957.75</v>
      </c>
      <c r="G147" s="11" t="n">
        <v>3.43</v>
      </c>
      <c r="H147" s="11">
        <f>H146+G147</f>
        <v/>
      </c>
    </row>
    <row r="148">
      <c r="A148" s="9" t="n">
        <v>144</v>
      </c>
      <c r="B148" s="9" t="inlineStr">
        <is>
          <t>Meridian</t>
        </is>
      </c>
      <c r="C148" s="9" t="inlineStr">
        <is>
          <t>21/50 MA cross, 250-period confirm filter, VWAP</t>
        </is>
      </c>
      <c r="D148" s="9" t="inlineStr">
        <is>
          <t>Long</t>
        </is>
      </c>
      <c r="E148" s="10" t="n">
        <v>44958.26388888889</v>
      </c>
      <c r="F148" s="10" t="n">
        <v>44958.27777777778</v>
      </c>
      <c r="G148" s="11" t="n">
        <v>-1.67</v>
      </c>
      <c r="H148" s="11">
        <f>H147+G148</f>
        <v/>
      </c>
    </row>
    <row r="149">
      <c r="A149" s="9" t="n">
        <v>145</v>
      </c>
      <c r="B149" s="9" t="inlineStr">
        <is>
          <t>Meridian</t>
        </is>
      </c>
      <c r="C149" s="9" t="inlineStr">
        <is>
          <t>21/50 MA cross, 250-period confirm filter, VWAP</t>
        </is>
      </c>
      <c r="D149" s="9" t="inlineStr">
        <is>
          <t>Long</t>
        </is>
      </c>
      <c r="E149" s="10" t="n">
        <v>44958.35763888889</v>
      </c>
      <c r="F149" s="10" t="n">
        <v>44958.39583333334</v>
      </c>
      <c r="G149" s="11" t="n">
        <v>-2.21</v>
      </c>
      <c r="H149" s="11">
        <f>H148+G149</f>
        <v/>
      </c>
    </row>
    <row r="150">
      <c r="A150" s="9" t="n">
        <v>146</v>
      </c>
      <c r="B150" s="9" t="inlineStr">
        <is>
          <t>Ratchet</t>
        </is>
      </c>
      <c r="C150" s="9" t="inlineStr">
        <is>
          <t>Stochastic scalp with give-back trail exit</t>
        </is>
      </c>
      <c r="D150" s="9" t="inlineStr">
        <is>
          <t>Long</t>
        </is>
      </c>
      <c r="E150" s="10" t="n">
        <v>44958.55555555555</v>
      </c>
      <c r="F150" s="10" t="n">
        <v>44958.60069444445</v>
      </c>
      <c r="G150" s="11" t="n">
        <v>0.96</v>
      </c>
      <c r="H150" s="11">
        <f>H149+G150</f>
        <v/>
      </c>
    </row>
    <row r="151">
      <c r="A151" s="9" t="n">
        <v>147</v>
      </c>
      <c r="B151" s="9" t="inlineStr">
        <is>
          <t>Ratchet</t>
        </is>
      </c>
      <c r="C151" s="9" t="inlineStr">
        <is>
          <t>Stochastic scalp with give-back trail exit</t>
        </is>
      </c>
      <c r="D151" s="9" t="inlineStr">
        <is>
          <t>Long</t>
        </is>
      </c>
      <c r="E151" s="10" t="n">
        <v>44958.61111111111</v>
      </c>
      <c r="F151" s="10" t="n">
        <v>44958.61458333334</v>
      </c>
      <c r="G151" s="11" t="n">
        <v>0.61</v>
      </c>
      <c r="H151" s="11">
        <f>H150+G151</f>
        <v/>
      </c>
    </row>
    <row r="152">
      <c r="A152" s="9" t="n">
        <v>148</v>
      </c>
      <c r="B152" s="9" t="inlineStr">
        <is>
          <t>Meridian</t>
        </is>
      </c>
      <c r="C152" s="9" t="inlineStr">
        <is>
          <t>21/50 MA cross, 250-period confirm filter, VWAP</t>
        </is>
      </c>
      <c r="D152" s="9" t="inlineStr">
        <is>
          <t>Long</t>
        </is>
      </c>
      <c r="E152" s="10" t="n">
        <v>44958.54166666666</v>
      </c>
      <c r="F152" s="10" t="n">
        <v>44958.70833333334</v>
      </c>
      <c r="G152" s="11" t="n">
        <v>-2.51</v>
      </c>
      <c r="H152" s="11">
        <f>H151+G152</f>
        <v/>
      </c>
    </row>
    <row r="153">
      <c r="A153" s="9" t="n">
        <v>149</v>
      </c>
      <c r="B153" s="9" t="inlineStr">
        <is>
          <t>Aurelius_M5</t>
        </is>
      </c>
      <c r="C153" s="9" t="inlineStr">
        <is>
          <t>MA alignment (EMA21&gt;EMA50&gt;SMA250&gt;SMMA500 vs EMA2400 trend filter)</t>
        </is>
      </c>
      <c r="D153" s="9" t="inlineStr">
        <is>
          <t>Long</t>
        </is>
      </c>
      <c r="E153" s="10" t="n">
        <v>44958.65972222222</v>
      </c>
      <c r="F153" s="10" t="n">
        <v>44958.70833333334</v>
      </c>
      <c r="G153" s="11" t="n">
        <v>-4.09</v>
      </c>
      <c r="H153" s="11">
        <f>H152+G153</f>
        <v/>
      </c>
    </row>
    <row r="154">
      <c r="A154" s="9" t="n">
        <v>150</v>
      </c>
      <c r="B154" s="9" t="inlineStr">
        <is>
          <t>Meridian</t>
        </is>
      </c>
      <c r="C154" s="9" t="inlineStr">
        <is>
          <t>21/50 MA cross, 250-period confirm filter, VWAP</t>
        </is>
      </c>
      <c r="D154" s="9" t="inlineStr">
        <is>
          <t>Short</t>
        </is>
      </c>
      <c r="E154" s="10" t="n">
        <v>44958.71875</v>
      </c>
      <c r="F154" s="10" t="n">
        <v>44958.74305555555</v>
      </c>
      <c r="G154" s="11" t="n">
        <v>-4.5</v>
      </c>
      <c r="H154" s="11">
        <f>H153+G154</f>
        <v/>
      </c>
    </row>
    <row r="155">
      <c r="A155" s="9" t="n">
        <v>151</v>
      </c>
      <c r="B155" s="9" t="inlineStr">
        <is>
          <t>Meridian</t>
        </is>
      </c>
      <c r="C155" s="9" t="inlineStr">
        <is>
          <t>21/50 MA cross, 250-period confirm filter, VWAP</t>
        </is>
      </c>
      <c r="D155" s="9" t="inlineStr">
        <is>
          <t>Short</t>
        </is>
      </c>
      <c r="E155" s="10" t="n">
        <v>44958.78125</v>
      </c>
      <c r="F155" s="10" t="n">
        <v>44958.89930555555</v>
      </c>
      <c r="G155" s="11" t="n">
        <v>-4.42</v>
      </c>
      <c r="H155" s="11">
        <f>H154+G155</f>
        <v/>
      </c>
    </row>
    <row r="156">
      <c r="A156" s="9" t="n">
        <v>152</v>
      </c>
      <c r="B156" s="9" t="inlineStr">
        <is>
          <t>Ratchet</t>
        </is>
      </c>
      <c r="C156" s="9" t="inlineStr">
        <is>
          <t>Stochastic scalp with give-back trail exit</t>
        </is>
      </c>
      <c r="D156" s="9" t="inlineStr">
        <is>
          <t>Long</t>
        </is>
      </c>
      <c r="E156" s="10" t="n">
        <v>44958.92361111111</v>
      </c>
      <c r="F156" s="10" t="n">
        <v>44958.99652777778</v>
      </c>
      <c r="G156" s="11" t="n">
        <v>5.26</v>
      </c>
      <c r="H156" s="11">
        <f>H155+G156</f>
        <v/>
      </c>
    </row>
    <row r="157">
      <c r="A157" s="9" t="n">
        <v>153</v>
      </c>
      <c r="B157" s="9" t="inlineStr">
        <is>
          <t>Aurelius_M5</t>
        </is>
      </c>
      <c r="C157" s="9" t="inlineStr">
        <is>
          <t>MA alignment (EMA21&gt;EMA50&gt;SMA250&gt;SMMA500 vs EMA2400 trend filter)</t>
        </is>
      </c>
      <c r="D157" s="9" t="inlineStr">
        <is>
          <t>Long</t>
        </is>
      </c>
      <c r="E157" s="10" t="n">
        <v>44958.91319444445</v>
      </c>
      <c r="F157" s="10" t="n">
        <v>44959.04166666666</v>
      </c>
      <c r="G157" s="11" t="n">
        <v>7.28</v>
      </c>
      <c r="H157" s="11">
        <f>H156+G157</f>
        <v/>
      </c>
    </row>
    <row r="158">
      <c r="A158" s="9" t="n">
        <v>154</v>
      </c>
      <c r="B158" s="9" t="inlineStr">
        <is>
          <t>Meridian</t>
        </is>
      </c>
      <c r="C158" s="9" t="inlineStr">
        <is>
          <t>21/50 MA cross, 250-period confirm filter, VWAP</t>
        </is>
      </c>
      <c r="D158" s="9" t="inlineStr">
        <is>
          <t>Long</t>
        </is>
      </c>
      <c r="E158" s="10" t="n">
        <v>44958.90625</v>
      </c>
      <c r="F158" s="10" t="n">
        <v>44959.54166666666</v>
      </c>
      <c r="G158" s="11" t="n">
        <v>13.69</v>
      </c>
      <c r="H158" s="11">
        <f>H157+G158</f>
        <v/>
      </c>
    </row>
    <row r="159">
      <c r="A159" s="9" t="n">
        <v>155</v>
      </c>
      <c r="B159" s="9" t="inlineStr">
        <is>
          <t>Aurelius_M5</t>
        </is>
      </c>
      <c r="C159" s="9" t="inlineStr">
        <is>
          <t>MA alignment (EMA21&gt;EMA50&gt;SMA250&gt;SMMA500 vs EMA2400 trend filter)</t>
        </is>
      </c>
      <c r="D159" s="9" t="inlineStr">
        <is>
          <t>Long</t>
        </is>
      </c>
      <c r="E159" s="10" t="n">
        <v>44959.35069444445</v>
      </c>
      <c r="F159" s="10" t="n">
        <v>44959.54166666666</v>
      </c>
      <c r="G159" s="11" t="n">
        <v>-0.15</v>
      </c>
      <c r="H159" s="11">
        <f>H158+G159</f>
        <v/>
      </c>
    </row>
    <row r="160">
      <c r="A160" s="9" t="n">
        <v>156</v>
      </c>
      <c r="B160" s="9" t="inlineStr">
        <is>
          <t>Aurelius_M15</t>
        </is>
      </c>
      <c r="C160" s="9" t="inlineStr">
        <is>
          <t>MA alignment (EMA21&gt;EMA50&gt;SMA250&gt;SMMA500 vs EMA2400 trend filter) - M15 chart</t>
        </is>
      </c>
      <c r="D160" s="9" t="inlineStr">
        <is>
          <t>Long</t>
        </is>
      </c>
      <c r="E160" s="10" t="n">
        <v>44958.9375</v>
      </c>
      <c r="F160" s="10" t="n">
        <v>44959.6875</v>
      </c>
      <c r="G160" s="11" t="n">
        <v>-0.85</v>
      </c>
      <c r="H160" s="11">
        <f>H159+G160</f>
        <v/>
      </c>
    </row>
    <row r="161">
      <c r="A161" s="9" t="n">
        <v>157</v>
      </c>
      <c r="B161" s="9" t="inlineStr">
        <is>
          <t>Ratchet</t>
        </is>
      </c>
      <c r="C161" s="9" t="inlineStr">
        <is>
          <t>Stochastic scalp with give-back trail exit</t>
        </is>
      </c>
      <c r="D161" s="9" t="inlineStr">
        <is>
          <t>Short</t>
        </is>
      </c>
      <c r="E161" s="10" t="n">
        <v>44959.89930555555</v>
      </c>
      <c r="F161" s="10" t="n">
        <v>44959.91666666666</v>
      </c>
      <c r="G161" s="11" t="n">
        <v>-0</v>
      </c>
      <c r="H161" s="11">
        <f>H160+G161</f>
        <v/>
      </c>
    </row>
    <row r="162">
      <c r="A162" s="9" t="n">
        <v>158</v>
      </c>
      <c r="B162" s="9" t="inlineStr">
        <is>
          <t>Ratchet</t>
        </is>
      </c>
      <c r="C162" s="9" t="inlineStr">
        <is>
          <t>Stochastic scalp with give-back trail exit</t>
        </is>
      </c>
      <c r="D162" s="9" t="inlineStr">
        <is>
          <t>Short</t>
        </is>
      </c>
      <c r="E162" s="10" t="n">
        <v>44959.94791666666</v>
      </c>
      <c r="F162" s="10" t="n">
        <v>44959.95486111111</v>
      </c>
      <c r="G162" s="11" t="n">
        <v>0.25</v>
      </c>
      <c r="H162" s="11">
        <f>H161+G162</f>
        <v/>
      </c>
    </row>
    <row r="163">
      <c r="A163" s="9" t="n">
        <v>159</v>
      </c>
      <c r="B163" s="9" t="inlineStr">
        <is>
          <t>Ratchet</t>
        </is>
      </c>
      <c r="C163" s="9" t="inlineStr">
        <is>
          <t>Stochastic scalp with give-back trail exit</t>
        </is>
      </c>
      <c r="D163" s="9" t="inlineStr">
        <is>
          <t>Short</t>
        </is>
      </c>
      <c r="E163" s="10" t="n">
        <v>44959.96875</v>
      </c>
      <c r="F163" s="10" t="n">
        <v>44959.99652777778</v>
      </c>
      <c r="G163" s="11" t="n">
        <v>-0.46</v>
      </c>
      <c r="H163" s="11">
        <f>H162+G163</f>
        <v/>
      </c>
    </row>
    <row r="164">
      <c r="A164" s="9" t="n">
        <v>160</v>
      </c>
      <c r="B164" s="9" t="inlineStr">
        <is>
          <t>Meridian</t>
        </is>
      </c>
      <c r="C164" s="9" t="inlineStr">
        <is>
          <t>21/50 MA cross, 250-period confirm filter, VWAP</t>
        </is>
      </c>
      <c r="D164" s="9" t="inlineStr">
        <is>
          <t>Short</t>
        </is>
      </c>
      <c r="E164" s="10" t="n">
        <v>44960.26041666666</v>
      </c>
      <c r="F164" s="10" t="n">
        <v>44960.28472222222</v>
      </c>
      <c r="G164" s="11" t="n">
        <v>-2.06</v>
      </c>
      <c r="H164" s="11">
        <f>H163+G164</f>
        <v/>
      </c>
    </row>
    <row r="165">
      <c r="A165" s="9" t="n">
        <v>161</v>
      </c>
      <c r="B165" s="9" t="inlineStr">
        <is>
          <t>Ratchet</t>
        </is>
      </c>
      <c r="C165" s="9" t="inlineStr">
        <is>
          <t>Stochastic scalp with give-back trail exit</t>
        </is>
      </c>
      <c r="D165" s="9" t="inlineStr">
        <is>
          <t>Short</t>
        </is>
      </c>
      <c r="E165" s="10" t="n">
        <v>44960.3125</v>
      </c>
      <c r="F165" s="10" t="n">
        <v>44960.31597222222</v>
      </c>
      <c r="G165" s="11" t="n">
        <v>-1.52</v>
      </c>
      <c r="H165" s="11">
        <f>H164+G165</f>
        <v/>
      </c>
    </row>
    <row r="166">
      <c r="A166" s="9" t="n">
        <v>162</v>
      </c>
      <c r="B166" s="9" t="inlineStr">
        <is>
          <t>Aurelius_M5</t>
        </is>
      </c>
      <c r="C166" s="9" t="inlineStr">
        <is>
          <t>MA alignment (EMA21&gt;EMA50&gt;SMA250&gt;SMMA500 vs EMA2400 trend filter)</t>
        </is>
      </c>
      <c r="D166" s="9" t="inlineStr">
        <is>
          <t>Short</t>
        </is>
      </c>
      <c r="E166" s="10" t="n">
        <v>44960.33680555555</v>
      </c>
      <c r="F166" s="10" t="n">
        <v>44960.37847222222</v>
      </c>
      <c r="G166" s="11" t="n">
        <v>-2.24</v>
      </c>
      <c r="H166" s="11">
        <f>H165+G166</f>
        <v/>
      </c>
    </row>
    <row r="167">
      <c r="A167" s="9" t="n">
        <v>163</v>
      </c>
      <c r="B167" s="9" t="inlineStr">
        <is>
          <t>Meridian</t>
        </is>
      </c>
      <c r="C167" s="9" t="inlineStr">
        <is>
          <t>21/50 MA cross, 250-period confirm filter, VWAP</t>
        </is>
      </c>
      <c r="D167" s="9" t="inlineStr">
        <is>
          <t>Short</t>
        </is>
      </c>
      <c r="E167" s="10" t="n">
        <v>44960.40277777778</v>
      </c>
      <c r="F167" s="10" t="n">
        <v>44960.46875</v>
      </c>
      <c r="G167" s="11" t="n">
        <v>-3.39</v>
      </c>
      <c r="H167" s="11">
        <f>H166+G167</f>
        <v/>
      </c>
    </row>
    <row r="168">
      <c r="A168" s="9" t="n">
        <v>164</v>
      </c>
      <c r="B168" s="9" t="inlineStr">
        <is>
          <t>Aurelius_M5</t>
        </is>
      </c>
      <c r="C168" s="9" t="inlineStr">
        <is>
          <t>MA alignment (EMA21&gt;EMA50&gt;SMA250&gt;SMMA500 vs EMA2400 trend filter)</t>
        </is>
      </c>
      <c r="D168" s="9" t="inlineStr">
        <is>
          <t>Short</t>
        </is>
      </c>
      <c r="E168" s="10" t="n">
        <v>44960.42708333334</v>
      </c>
      <c r="F168" s="10" t="n">
        <v>44960.47222222222</v>
      </c>
      <c r="G168" s="11" t="n">
        <v>-3.46</v>
      </c>
      <c r="H168" s="11">
        <f>H167+G168</f>
        <v/>
      </c>
    </row>
    <row r="169">
      <c r="A169" s="9" t="n">
        <v>165</v>
      </c>
      <c r="B169" s="9" t="inlineStr">
        <is>
          <t>Ratchet</t>
        </is>
      </c>
      <c r="C169" s="9" t="inlineStr">
        <is>
          <t>Stochastic scalp with give-back trail exit</t>
        </is>
      </c>
      <c r="D169" s="9" t="inlineStr">
        <is>
          <t>Short</t>
        </is>
      </c>
      <c r="E169" s="10" t="n">
        <v>44960.51388888889</v>
      </c>
      <c r="F169" s="10" t="n">
        <v>44960.52083333334</v>
      </c>
      <c r="G169" s="11" t="n">
        <v>0.3</v>
      </c>
      <c r="H169" s="11">
        <f>H168+G169</f>
        <v/>
      </c>
    </row>
    <row r="170">
      <c r="A170" s="9" t="n">
        <v>166</v>
      </c>
      <c r="B170" s="9" t="inlineStr">
        <is>
          <t>Ratchet</t>
        </is>
      </c>
      <c r="C170" s="9" t="inlineStr">
        <is>
          <t>Stochastic scalp with give-back trail exit</t>
        </is>
      </c>
      <c r="D170" s="9" t="inlineStr">
        <is>
          <t>Short</t>
        </is>
      </c>
      <c r="E170" s="10" t="n">
        <v>44960.55555555555</v>
      </c>
      <c r="F170" s="10" t="n">
        <v>44960.55555555555</v>
      </c>
      <c r="G170" s="11" t="n">
        <v>-1.81</v>
      </c>
      <c r="H170" s="11">
        <f>H169+G170</f>
        <v/>
      </c>
    </row>
    <row r="171">
      <c r="A171" s="9" t="n">
        <v>167</v>
      </c>
      <c r="B171" s="9" t="inlineStr">
        <is>
          <t>Aurelius_M5</t>
        </is>
      </c>
      <c r="C171" s="9" t="inlineStr">
        <is>
          <t>MA alignment (EMA21&gt;EMA50&gt;SMA250&gt;SMMA500 vs EMA2400 trend filter)</t>
        </is>
      </c>
      <c r="D171" s="9" t="inlineStr">
        <is>
          <t>Short</t>
        </is>
      </c>
      <c r="E171" s="10" t="n">
        <v>44960.49305555555</v>
      </c>
      <c r="F171" s="10" t="n">
        <v>44960.59375</v>
      </c>
      <c r="G171" s="11" t="n">
        <v>-2.06</v>
      </c>
      <c r="H171" s="11">
        <f>H170+G171</f>
        <v/>
      </c>
    </row>
    <row r="172">
      <c r="A172" s="9" t="n">
        <v>168</v>
      </c>
      <c r="B172" s="9" t="inlineStr">
        <is>
          <t>Meridian</t>
        </is>
      </c>
      <c r="C172" s="9" t="inlineStr">
        <is>
          <t>21/50 MA cross, 250-period confirm filter, VWAP</t>
        </is>
      </c>
      <c r="D172" s="9" t="inlineStr">
        <is>
          <t>Short</t>
        </is>
      </c>
      <c r="E172" s="10" t="n">
        <v>44960.64930555555</v>
      </c>
      <c r="F172" s="10" t="n">
        <v>44960.91666666666</v>
      </c>
      <c r="G172" s="11" t="n">
        <v>30.79</v>
      </c>
      <c r="H172" s="11">
        <f>H171+G172</f>
        <v/>
      </c>
    </row>
    <row r="173">
      <c r="A173" s="9" t="n">
        <v>169</v>
      </c>
      <c r="B173" s="9" t="inlineStr">
        <is>
          <t>Aurelius_M5</t>
        </is>
      </c>
      <c r="C173" s="9" t="inlineStr">
        <is>
          <t>MA alignment (EMA21&gt;EMA50&gt;SMA250&gt;SMMA500 vs EMA2400 trend filter)</t>
        </is>
      </c>
      <c r="D173" s="9" t="inlineStr">
        <is>
          <t>Short</t>
        </is>
      </c>
      <c r="E173" s="10" t="n">
        <v>44960.65972222222</v>
      </c>
      <c r="F173" s="10" t="n">
        <v>44960.92013888889</v>
      </c>
      <c r="G173" s="11" t="n">
        <v>18.56</v>
      </c>
      <c r="H173" s="11">
        <f>H172+G173</f>
        <v/>
      </c>
    </row>
    <row r="174">
      <c r="A174" s="9" t="n">
        <v>170</v>
      </c>
      <c r="B174" s="9" t="inlineStr">
        <is>
          <t>Aurelius_M15</t>
        </is>
      </c>
      <c r="C174" s="9" t="inlineStr">
        <is>
          <t>MA alignment (EMA21&gt;EMA50&gt;SMA250&gt;SMMA500 vs EMA2400 trend filter) - M15 chart</t>
        </is>
      </c>
      <c r="D174" s="9" t="inlineStr">
        <is>
          <t>Short</t>
        </is>
      </c>
      <c r="E174" s="10" t="n">
        <v>44960.65625</v>
      </c>
      <c r="F174" s="10" t="n">
        <v>44960.92708333334</v>
      </c>
      <c r="G174" s="11" t="n">
        <v>22.58</v>
      </c>
      <c r="H174" s="11">
        <f>H173+G174</f>
        <v/>
      </c>
    </row>
    <row r="175">
      <c r="A175" s="9" t="n">
        <v>171</v>
      </c>
      <c r="B175" s="9" t="inlineStr">
        <is>
          <t>Ratchet</t>
        </is>
      </c>
      <c r="C175" s="9" t="inlineStr">
        <is>
          <t>Stochastic scalp with give-back trail exit</t>
        </is>
      </c>
      <c r="D175" s="9" t="inlineStr">
        <is>
          <t>Short</t>
        </is>
      </c>
      <c r="E175" s="10" t="n">
        <v>44963.07986111111</v>
      </c>
      <c r="F175" s="10" t="n">
        <v>44963.10069444445</v>
      </c>
      <c r="G175" s="11" t="n">
        <v>-3.02</v>
      </c>
      <c r="H175" s="11">
        <f>H174+G175</f>
        <v/>
      </c>
    </row>
    <row r="176">
      <c r="A176" s="9" t="n">
        <v>172</v>
      </c>
      <c r="B176" s="9" t="inlineStr">
        <is>
          <t>Ratchet</t>
        </is>
      </c>
      <c r="C176" s="9" t="inlineStr">
        <is>
          <t>Stochastic scalp with give-back trail exit</t>
        </is>
      </c>
      <c r="D176" s="9" t="inlineStr">
        <is>
          <t>Short</t>
        </is>
      </c>
      <c r="E176" s="10" t="n">
        <v>44963.54166666666</v>
      </c>
      <c r="F176" s="10" t="n">
        <v>44963.55555555555</v>
      </c>
      <c r="G176" s="11" t="n">
        <v>0.23</v>
      </c>
      <c r="H176" s="11">
        <f>H175+G176</f>
        <v/>
      </c>
    </row>
    <row r="177">
      <c r="A177" s="9" t="n">
        <v>173</v>
      </c>
      <c r="B177" s="9" t="inlineStr">
        <is>
          <t>Ratchet</t>
        </is>
      </c>
      <c r="C177" s="9" t="inlineStr">
        <is>
          <t>Stochastic scalp with give-back trail exit</t>
        </is>
      </c>
      <c r="D177" s="9" t="inlineStr">
        <is>
          <t>Short</t>
        </is>
      </c>
      <c r="E177" s="10" t="n">
        <v>44963.63888888889</v>
      </c>
      <c r="F177" s="10" t="n">
        <v>44963.64583333334</v>
      </c>
      <c r="G177" s="11" t="n">
        <v>0.4</v>
      </c>
      <c r="H177" s="11">
        <f>H176+G177</f>
        <v/>
      </c>
    </row>
    <row r="178">
      <c r="A178" s="9" t="n">
        <v>174</v>
      </c>
      <c r="B178" s="9" t="inlineStr">
        <is>
          <t>Vanguard_M5</t>
        </is>
      </c>
      <c r="C178" s="9" t="inlineStr">
        <is>
          <t>Trendline breakout (fractal swing line) + VWAP/S-R distance gate</t>
        </is>
      </c>
      <c r="D178" s="9" t="inlineStr">
        <is>
          <t>Short</t>
        </is>
      </c>
      <c r="E178" s="10" t="n">
        <v>44959.70138888889</v>
      </c>
      <c r="F178" s="10" t="n">
        <v>44963.78472222222</v>
      </c>
      <c r="G178" s="11" t="n">
        <v>66.22</v>
      </c>
      <c r="H178" s="11">
        <f>H177+G178</f>
        <v/>
      </c>
    </row>
    <row r="179">
      <c r="A179" s="9" t="n">
        <v>175</v>
      </c>
      <c r="B179" s="9" t="inlineStr">
        <is>
          <t>Vanguard_M15</t>
        </is>
      </c>
      <c r="C179" s="9" t="inlineStr">
        <is>
          <t>Trendline breakout (fractal swing line) + VWAP/S-R distance gate - M15 chart</t>
        </is>
      </c>
      <c r="D179" s="9" t="inlineStr">
        <is>
          <t>Short</t>
        </is>
      </c>
      <c r="E179" s="10" t="n">
        <v>44959.70833333334</v>
      </c>
      <c r="F179" s="10" t="n">
        <v>44963.82291666666</v>
      </c>
      <c r="G179" s="11" t="n">
        <v>55.23</v>
      </c>
      <c r="H179" s="11">
        <f>H178+G179</f>
        <v/>
      </c>
    </row>
    <row r="180">
      <c r="A180" s="9" t="n">
        <v>176</v>
      </c>
      <c r="B180" s="9" t="inlineStr">
        <is>
          <t>Aurelius_M5</t>
        </is>
      </c>
      <c r="C180" s="9" t="inlineStr">
        <is>
          <t>MA alignment (EMA21&gt;EMA50&gt;SMA250&gt;SMMA500 vs EMA2400 trend filter)</t>
        </is>
      </c>
      <c r="D180" s="9" t="inlineStr">
        <is>
          <t>Short</t>
        </is>
      </c>
      <c r="E180" s="10" t="n">
        <v>44963.73958333334</v>
      </c>
      <c r="F180" s="10" t="n">
        <v>44963.88541666666</v>
      </c>
      <c r="G180" s="11" t="n">
        <v>-5.43</v>
      </c>
      <c r="H180" s="11">
        <f>H179+G180</f>
        <v/>
      </c>
    </row>
    <row r="181">
      <c r="A181" s="9" t="n">
        <v>177</v>
      </c>
      <c r="B181" s="9" t="inlineStr">
        <is>
          <t>Meridian</t>
        </is>
      </c>
      <c r="C181" s="9" t="inlineStr">
        <is>
          <t>21/50 MA cross, 250-period confirm filter, VWAP</t>
        </is>
      </c>
      <c r="D181" s="9" t="inlineStr">
        <is>
          <t>Short</t>
        </is>
      </c>
      <c r="E181" s="10" t="n">
        <v>44963.47569444445</v>
      </c>
      <c r="F181" s="10" t="n">
        <v>44963.89236111111</v>
      </c>
      <c r="G181" s="11" t="n">
        <v>2.6</v>
      </c>
      <c r="H181" s="11">
        <f>H180+G181</f>
        <v/>
      </c>
    </row>
    <row r="182">
      <c r="A182" s="9" t="n">
        <v>178</v>
      </c>
      <c r="B182" s="9" t="inlineStr">
        <is>
          <t>Meridian</t>
        </is>
      </c>
      <c r="C182" s="9" t="inlineStr">
        <is>
          <t>21/50 MA cross, 250-period confirm filter, VWAP</t>
        </is>
      </c>
      <c r="D182" s="9" t="inlineStr">
        <is>
          <t>Short</t>
        </is>
      </c>
      <c r="E182" s="10" t="n">
        <v>44963.91319444445</v>
      </c>
      <c r="F182" s="10" t="n">
        <v>44963.95138888889</v>
      </c>
      <c r="G182" s="11" t="n">
        <v>-3.15</v>
      </c>
      <c r="H182" s="11">
        <f>H181+G182</f>
        <v/>
      </c>
    </row>
    <row r="183">
      <c r="A183" s="9" t="n">
        <v>179</v>
      </c>
      <c r="B183" s="9" t="inlineStr">
        <is>
          <t>Aurelius_M15</t>
        </is>
      </c>
      <c r="C183" s="9" t="inlineStr">
        <is>
          <t>MA alignment (EMA21&gt;EMA50&gt;SMA250&gt;SMMA500 vs EMA2400 trend filter) - M15 chart</t>
        </is>
      </c>
      <c r="D183" s="9" t="inlineStr">
        <is>
          <t>Short</t>
        </is>
      </c>
      <c r="E183" s="10" t="n">
        <v>44963.64583333334</v>
      </c>
      <c r="F183" s="10" t="n">
        <v>44964.16666666666</v>
      </c>
      <c r="G183" s="11" t="n">
        <v>-3.57</v>
      </c>
      <c r="H183" s="11">
        <f>H182+G183</f>
        <v/>
      </c>
    </row>
    <row r="184">
      <c r="A184" s="9" t="n">
        <v>180</v>
      </c>
      <c r="B184" s="9" t="inlineStr">
        <is>
          <t>Meridian</t>
        </is>
      </c>
      <c r="C184" s="9" t="inlineStr">
        <is>
          <t>21/50 MA cross, 250-period confirm filter, VWAP</t>
        </is>
      </c>
      <c r="D184" s="9" t="inlineStr">
        <is>
          <t>Long</t>
        </is>
      </c>
      <c r="E184" s="10" t="n">
        <v>44964.46875</v>
      </c>
      <c r="F184" s="10" t="n">
        <v>44964.52777777778</v>
      </c>
      <c r="G184" s="11" t="n">
        <v>-2.86</v>
      </c>
      <c r="H184" s="11">
        <f>H183+G184</f>
        <v/>
      </c>
    </row>
    <row r="185">
      <c r="A185" s="9" t="n">
        <v>181</v>
      </c>
      <c r="B185" s="9" t="inlineStr">
        <is>
          <t>Ratchet</t>
        </is>
      </c>
      <c r="C185" s="9" t="inlineStr">
        <is>
          <t>Stochastic scalp with give-back trail exit</t>
        </is>
      </c>
      <c r="D185" s="9" t="inlineStr">
        <is>
          <t>Short</t>
        </is>
      </c>
      <c r="E185" s="10" t="n">
        <v>44964.63194444445</v>
      </c>
      <c r="F185" s="10" t="n">
        <v>44964.65277777778</v>
      </c>
      <c r="G185" s="11" t="n">
        <v>0.85</v>
      </c>
      <c r="H185" s="11">
        <f>H184+G185</f>
        <v/>
      </c>
    </row>
    <row r="186">
      <c r="A186" s="9" t="n">
        <v>182</v>
      </c>
      <c r="B186" s="9" t="inlineStr">
        <is>
          <t>Aurelius_M15</t>
        </is>
      </c>
      <c r="C186" s="9" t="inlineStr">
        <is>
          <t>MA alignment (EMA21&gt;EMA50&gt;SMA250&gt;SMMA500 vs EMA2400 trend filter) - M15 chart</t>
        </is>
      </c>
      <c r="D186" s="9" t="inlineStr">
        <is>
          <t>Short</t>
        </is>
      </c>
      <c r="E186" s="10" t="n">
        <v>44964.64583333334</v>
      </c>
      <c r="F186" s="10" t="n">
        <v>44964.72916666666</v>
      </c>
      <c r="G186" s="11" t="n">
        <v>-6.7</v>
      </c>
      <c r="H186" s="11">
        <f>H185+G186</f>
        <v/>
      </c>
    </row>
    <row r="187">
      <c r="A187" s="9" t="n">
        <v>183</v>
      </c>
      <c r="B187" s="9" t="inlineStr">
        <is>
          <t>Vanguard_M5</t>
        </is>
      </c>
      <c r="C187" s="9" t="inlineStr">
        <is>
          <t>Trendline breakout (fractal swing line) + VWAP/S-R distance gate</t>
        </is>
      </c>
      <c r="D187" s="9" t="inlineStr">
        <is>
          <t>Short</t>
        </is>
      </c>
      <c r="E187" s="10" t="n">
        <v>44964.64583333334</v>
      </c>
      <c r="F187" s="10" t="n">
        <v>44964.73263888889</v>
      </c>
      <c r="G187" s="11" t="n">
        <v>-6.21</v>
      </c>
      <c r="H187" s="11">
        <f>H186+G187</f>
        <v/>
      </c>
    </row>
    <row r="188">
      <c r="A188" s="9" t="n">
        <v>184</v>
      </c>
      <c r="B188" s="9" t="inlineStr">
        <is>
          <t>Aurelius_M5</t>
        </is>
      </c>
      <c r="C188" s="9" t="inlineStr">
        <is>
          <t>MA alignment (EMA21&gt;EMA50&gt;SMA250&gt;SMMA500 vs EMA2400 trend filter)</t>
        </is>
      </c>
      <c r="D188" s="9" t="inlineStr">
        <is>
          <t>Short</t>
        </is>
      </c>
      <c r="E188" s="10" t="n">
        <v>44964.66666666666</v>
      </c>
      <c r="F188" s="10" t="n">
        <v>44964.73263888889</v>
      </c>
      <c r="G188" s="11" t="n">
        <v>-3.96</v>
      </c>
      <c r="H188" s="11">
        <f>H187+G188</f>
        <v/>
      </c>
    </row>
    <row r="189">
      <c r="A189" s="9" t="n">
        <v>185</v>
      </c>
      <c r="B189" s="9" t="inlineStr">
        <is>
          <t>Vanguard_M15</t>
        </is>
      </c>
      <c r="C189" s="9" t="inlineStr">
        <is>
          <t>Trendline breakout (fractal swing line) + VWAP/S-R distance gate - M15 chart</t>
        </is>
      </c>
      <c r="D189" s="9" t="inlineStr">
        <is>
          <t>Short</t>
        </is>
      </c>
      <c r="E189" s="10" t="n">
        <v>44964.64583333334</v>
      </c>
      <c r="F189" s="10" t="n">
        <v>44964.73958333334</v>
      </c>
      <c r="G189" s="11" t="n">
        <v>-8.039999999999999</v>
      </c>
      <c r="H189" s="11">
        <f>H188+G189</f>
        <v/>
      </c>
    </row>
    <row r="190">
      <c r="A190" s="9" t="n">
        <v>186</v>
      </c>
      <c r="B190" s="9" t="inlineStr">
        <is>
          <t>Meridian</t>
        </is>
      </c>
      <c r="C190" s="9" t="inlineStr">
        <is>
          <t>21/50 MA cross, 250-period confirm filter, VWAP</t>
        </is>
      </c>
      <c r="D190" s="9" t="inlineStr">
        <is>
          <t>Long</t>
        </is>
      </c>
      <c r="E190" s="10" t="n">
        <v>44964.74305555555</v>
      </c>
      <c r="F190" s="10" t="n">
        <v>44964.85416666666</v>
      </c>
      <c r="G190" s="11" t="n">
        <v>-4.69</v>
      </c>
      <c r="H190" s="11">
        <f>H189+G190</f>
        <v/>
      </c>
    </row>
    <row r="191">
      <c r="A191" s="9" t="n">
        <v>187</v>
      </c>
      <c r="B191" s="9" t="inlineStr">
        <is>
          <t>Meridian</t>
        </is>
      </c>
      <c r="C191" s="9" t="inlineStr">
        <is>
          <t>21/50 MA cross, 250-period confirm filter, VWAP</t>
        </is>
      </c>
      <c r="D191" s="9" t="inlineStr">
        <is>
          <t>Short</t>
        </is>
      </c>
      <c r="E191" s="10" t="n">
        <v>44964.86805555555</v>
      </c>
      <c r="F191" s="10" t="n">
        <v>44964.89930555555</v>
      </c>
      <c r="G191" s="11" t="n">
        <v>-8.34</v>
      </c>
      <c r="H191" s="11">
        <f>H190+G191</f>
        <v/>
      </c>
    </row>
    <row r="192">
      <c r="A192" s="9" t="n">
        <v>188</v>
      </c>
      <c r="B192" s="9" t="inlineStr">
        <is>
          <t>Vanguard_M5</t>
        </is>
      </c>
      <c r="C192" s="9" t="inlineStr">
        <is>
          <t>Trendline breakout (fractal swing line) + VWAP/S-R distance gate</t>
        </is>
      </c>
      <c r="D192" s="9" t="inlineStr">
        <is>
          <t>Short</t>
        </is>
      </c>
      <c r="E192" s="10" t="n">
        <v>44964.86805555555</v>
      </c>
      <c r="F192" s="10" t="n">
        <v>44965.39236111111</v>
      </c>
      <c r="G192" s="11" t="n">
        <v>-13.35</v>
      </c>
      <c r="H192" s="11">
        <f>H191+G192</f>
        <v/>
      </c>
    </row>
    <row r="193">
      <c r="A193" s="9" t="n">
        <v>189</v>
      </c>
      <c r="B193" s="9" t="inlineStr">
        <is>
          <t>Meridian</t>
        </is>
      </c>
      <c r="C193" s="9" t="inlineStr">
        <is>
          <t>21/50 MA cross, 250-period confirm filter, VWAP</t>
        </is>
      </c>
      <c r="D193" s="9" t="inlineStr">
        <is>
          <t>Long</t>
        </is>
      </c>
      <c r="E193" s="10" t="n">
        <v>44965.59027777778</v>
      </c>
      <c r="F193" s="10" t="n">
        <v>44965.61805555555</v>
      </c>
      <c r="G193" s="11" t="n">
        <v>-3.4</v>
      </c>
      <c r="H193" s="11">
        <f>H192+G193</f>
        <v/>
      </c>
    </row>
    <row r="194">
      <c r="A194" s="9" t="n">
        <v>190</v>
      </c>
      <c r="B194" s="9" t="inlineStr">
        <is>
          <t>Meridian</t>
        </is>
      </c>
      <c r="C194" s="9" t="inlineStr">
        <is>
          <t>21/50 MA cross, 250-period confirm filter, VWAP</t>
        </is>
      </c>
      <c r="D194" s="9" t="inlineStr">
        <is>
          <t>Long</t>
        </is>
      </c>
      <c r="E194" s="10" t="n">
        <v>44965.84722222222</v>
      </c>
      <c r="F194" s="10" t="n">
        <v>44965.91666666666</v>
      </c>
      <c r="G194" s="11" t="n">
        <v>-4.14</v>
      </c>
      <c r="H194" s="11">
        <f>H193+G194</f>
        <v/>
      </c>
    </row>
    <row r="195">
      <c r="A195" s="9" t="n">
        <v>191</v>
      </c>
      <c r="B195" s="9" t="inlineStr">
        <is>
          <t>Meridian</t>
        </is>
      </c>
      <c r="C195" s="9" t="inlineStr">
        <is>
          <t>21/50 MA cross, 250-period confirm filter, VWAP</t>
        </is>
      </c>
      <c r="D195" s="9" t="inlineStr">
        <is>
          <t>Short</t>
        </is>
      </c>
      <c r="E195" s="10" t="n">
        <v>44965.92361111111</v>
      </c>
      <c r="F195" s="10" t="n">
        <v>44966.16666666666</v>
      </c>
      <c r="G195" s="11" t="n">
        <v>-2.97</v>
      </c>
      <c r="H195" s="11">
        <f>H194+G195</f>
        <v/>
      </c>
    </row>
    <row r="196">
      <c r="A196" s="9" t="n">
        <v>192</v>
      </c>
      <c r="B196" s="9" t="inlineStr">
        <is>
          <t>Meridian</t>
        </is>
      </c>
      <c r="C196" s="9" t="inlineStr">
        <is>
          <t>21/50 MA cross, 250-period confirm filter, VWAP</t>
        </is>
      </c>
      <c r="D196" s="9" t="inlineStr">
        <is>
          <t>Long</t>
        </is>
      </c>
      <c r="E196" s="10" t="n">
        <v>44966.66319444445</v>
      </c>
      <c r="F196" s="10" t="n">
        <v>44966.6875</v>
      </c>
      <c r="G196" s="11" t="n">
        <v>-4.25</v>
      </c>
      <c r="H196" s="11">
        <f>H195+G196</f>
        <v/>
      </c>
    </row>
    <row r="197">
      <c r="A197" s="9" t="n">
        <v>193</v>
      </c>
      <c r="B197" s="9" t="inlineStr">
        <is>
          <t>Ratchet</t>
        </is>
      </c>
      <c r="C197" s="9" t="inlineStr">
        <is>
          <t>Stochastic scalp with give-back trail exit</t>
        </is>
      </c>
      <c r="D197" s="9" t="inlineStr">
        <is>
          <t>Short</t>
        </is>
      </c>
      <c r="E197" s="10" t="n">
        <v>44966.87152777778</v>
      </c>
      <c r="F197" s="10" t="n">
        <v>44966.88888888889</v>
      </c>
      <c r="G197" s="11" t="n">
        <v>-3.25</v>
      </c>
      <c r="H197" s="11">
        <f>H196+G197</f>
        <v/>
      </c>
    </row>
    <row r="198">
      <c r="A198" s="9" t="n">
        <v>194</v>
      </c>
      <c r="B198" s="9" t="inlineStr">
        <is>
          <t>Ratchet</t>
        </is>
      </c>
      <c r="C198" s="9" t="inlineStr">
        <is>
          <t>Stochastic scalp with give-back trail exit</t>
        </is>
      </c>
      <c r="D198" s="9" t="inlineStr">
        <is>
          <t>Short</t>
        </is>
      </c>
      <c r="E198" s="10" t="n">
        <v>44966.89236111111</v>
      </c>
      <c r="F198" s="10" t="n">
        <v>44966.99652777778</v>
      </c>
      <c r="G198" s="11" t="n">
        <v>3.71</v>
      </c>
      <c r="H198" s="11">
        <f>H197+G198</f>
        <v/>
      </c>
    </row>
    <row r="199">
      <c r="A199" s="9" t="n">
        <v>195</v>
      </c>
      <c r="B199" s="9" t="inlineStr">
        <is>
          <t>Ratchet</t>
        </is>
      </c>
      <c r="C199" s="9" t="inlineStr">
        <is>
          <t>Stochastic scalp with give-back trail exit</t>
        </is>
      </c>
      <c r="D199" s="9" t="inlineStr">
        <is>
          <t>Short</t>
        </is>
      </c>
      <c r="E199" s="10" t="n">
        <v>44967.09375</v>
      </c>
      <c r="F199" s="10" t="n">
        <v>44967.09722222222</v>
      </c>
      <c r="G199" s="11" t="n">
        <v>-0</v>
      </c>
      <c r="H199" s="11">
        <f>H198+G199</f>
        <v/>
      </c>
    </row>
    <row r="200">
      <c r="A200" s="9" t="n">
        <v>196</v>
      </c>
      <c r="B200" s="9" t="inlineStr">
        <is>
          <t>Meridian</t>
        </is>
      </c>
      <c r="C200" s="9" t="inlineStr">
        <is>
          <t>21/50 MA cross, 250-period confirm filter, VWAP</t>
        </is>
      </c>
      <c r="D200" s="9" t="inlineStr">
        <is>
          <t>Short</t>
        </is>
      </c>
      <c r="E200" s="10" t="n">
        <v>44967.55208333334</v>
      </c>
      <c r="F200" s="10" t="n">
        <v>44967.58333333334</v>
      </c>
      <c r="G200" s="11" t="n">
        <v>-3.61</v>
      </c>
      <c r="H200" s="11">
        <f>H199+G200</f>
        <v/>
      </c>
    </row>
    <row r="201">
      <c r="A201" s="9" t="n">
        <v>197</v>
      </c>
      <c r="B201" s="9" t="inlineStr">
        <is>
          <t>Ratchet</t>
        </is>
      </c>
      <c r="C201" s="9" t="inlineStr">
        <is>
          <t>Stochastic scalp with give-back trail exit</t>
        </is>
      </c>
      <c r="D201" s="9" t="inlineStr">
        <is>
          <t>Short</t>
        </is>
      </c>
      <c r="E201" s="10" t="n">
        <v>44967.75347222222</v>
      </c>
      <c r="F201" s="10" t="n">
        <v>44967.77430555555</v>
      </c>
      <c r="G201" s="11" t="n">
        <v>0.49</v>
      </c>
      <c r="H201" s="11">
        <f>H200+G201</f>
        <v/>
      </c>
    </row>
    <row r="202">
      <c r="A202" s="9" t="n">
        <v>198</v>
      </c>
      <c r="B202" s="9" t="inlineStr">
        <is>
          <t>Vanguard_M5</t>
        </is>
      </c>
      <c r="C202" s="9" t="inlineStr">
        <is>
          <t>Trendline breakout (fractal swing line) + VWAP/S-R distance gate</t>
        </is>
      </c>
      <c r="D202" s="9" t="inlineStr">
        <is>
          <t>Short</t>
        </is>
      </c>
      <c r="E202" s="10" t="n">
        <v>44966.72916666666</v>
      </c>
      <c r="F202" s="10" t="n">
        <v>44967.8125</v>
      </c>
      <c r="G202" s="11" t="n">
        <v>11.48</v>
      </c>
      <c r="H202" s="11">
        <f>H201+G202</f>
        <v/>
      </c>
    </row>
    <row r="203">
      <c r="A203" s="9" t="n">
        <v>199</v>
      </c>
      <c r="B203" s="9" t="inlineStr">
        <is>
          <t>Vanguard_M15</t>
        </is>
      </c>
      <c r="C203" s="9" t="inlineStr">
        <is>
          <t>Trendline breakout (fractal swing line) + VWAP/S-R distance gate - M15 chart</t>
        </is>
      </c>
      <c r="D203" s="9" t="inlineStr">
        <is>
          <t>Short</t>
        </is>
      </c>
      <c r="E203" s="10" t="n">
        <v>44966.73958333334</v>
      </c>
      <c r="F203" s="10" t="n">
        <v>44967.83333333334</v>
      </c>
      <c r="G203" s="11" t="n">
        <v>10.06</v>
      </c>
      <c r="H203" s="11">
        <f>H202+G203</f>
        <v/>
      </c>
    </row>
    <row r="204">
      <c r="A204" s="9" t="n">
        <v>200</v>
      </c>
      <c r="B204" s="9" t="inlineStr">
        <is>
          <t>Meridian</t>
        </is>
      </c>
      <c r="C204" s="9" t="inlineStr">
        <is>
          <t>21/50 MA cross, 250-period confirm filter, VWAP</t>
        </is>
      </c>
      <c r="D204" s="9" t="inlineStr">
        <is>
          <t>Short</t>
        </is>
      </c>
      <c r="E204" s="10" t="n">
        <v>44970.09375</v>
      </c>
      <c r="F204" s="10" t="n">
        <v>44970.11805555555</v>
      </c>
      <c r="G204" s="11" t="n">
        <v>-2.04</v>
      </c>
      <c r="H204" s="11">
        <f>H203+G204</f>
        <v/>
      </c>
    </row>
    <row r="205">
      <c r="A205" s="9" t="n">
        <v>201</v>
      </c>
      <c r="B205" s="9" t="inlineStr">
        <is>
          <t>Vanguard_M15</t>
        </is>
      </c>
      <c r="C205" s="9" t="inlineStr">
        <is>
          <t>Trendline breakout (fractal swing line) + VWAP/S-R distance gate - M15 chart</t>
        </is>
      </c>
      <c r="D205" s="9" t="inlineStr">
        <is>
          <t>Long</t>
        </is>
      </c>
      <c r="E205" s="10" t="n">
        <v>44967.84375</v>
      </c>
      <c r="F205" s="10" t="n">
        <v>44970.23958333334</v>
      </c>
      <c r="G205" s="11" t="n">
        <v>-4.3</v>
      </c>
      <c r="H205" s="11">
        <f>H204+G205</f>
        <v/>
      </c>
    </row>
    <row r="206">
      <c r="A206" s="9" t="n">
        <v>202</v>
      </c>
      <c r="B206" s="9" t="inlineStr">
        <is>
          <t>Vanguard_M5</t>
        </is>
      </c>
      <c r="C206" s="9" t="inlineStr">
        <is>
          <t>Trendline breakout (fractal swing line) + VWAP/S-R distance gate</t>
        </is>
      </c>
      <c r="D206" s="9" t="inlineStr">
        <is>
          <t>Long</t>
        </is>
      </c>
      <c r="E206" s="10" t="n">
        <v>44967.81597222222</v>
      </c>
      <c r="F206" s="10" t="n">
        <v>44970.24305555555</v>
      </c>
      <c r="G206" s="11" t="n">
        <v>-3.96</v>
      </c>
      <c r="H206" s="11">
        <f>H205+G206</f>
        <v/>
      </c>
    </row>
    <row r="207">
      <c r="A207" s="9" t="n">
        <v>203</v>
      </c>
      <c r="B207" s="9" t="inlineStr">
        <is>
          <t>Aurelius_M5</t>
        </is>
      </c>
      <c r="C207" s="9" t="inlineStr">
        <is>
          <t>MA alignment (EMA21&gt;EMA50&gt;SMA250&gt;SMMA500 vs EMA2400 trend filter)</t>
        </is>
      </c>
      <c r="D207" s="9" t="inlineStr">
        <is>
          <t>Short</t>
        </is>
      </c>
      <c r="E207" s="10" t="n">
        <v>44970.17708333334</v>
      </c>
      <c r="F207" s="10" t="n">
        <v>44970.35069444445</v>
      </c>
      <c r="G207" s="11" t="n">
        <v>-3.05</v>
      </c>
      <c r="H207" s="11">
        <f>H206+G207</f>
        <v/>
      </c>
    </row>
    <row r="208">
      <c r="A208" s="9" t="n">
        <v>204</v>
      </c>
      <c r="B208" s="9" t="inlineStr">
        <is>
          <t>Vanguard_M5</t>
        </is>
      </c>
      <c r="C208" s="9" t="inlineStr">
        <is>
          <t>Trendline breakout (fractal swing line) + VWAP/S-R distance gate</t>
        </is>
      </c>
      <c r="D208" s="9" t="inlineStr">
        <is>
          <t>Short</t>
        </is>
      </c>
      <c r="E208" s="10" t="n">
        <v>44970.24652777778</v>
      </c>
      <c r="F208" s="10" t="n">
        <v>44970.35069444445</v>
      </c>
      <c r="G208" s="11" t="n">
        <v>-3.51</v>
      </c>
      <c r="H208" s="11">
        <f>H207+G208</f>
        <v/>
      </c>
    </row>
    <row r="209">
      <c r="A209" s="9" t="n">
        <v>205</v>
      </c>
      <c r="B209" s="9" t="inlineStr">
        <is>
          <t>Vanguard_M15</t>
        </is>
      </c>
      <c r="C209" s="9" t="inlineStr">
        <is>
          <t>Trendline breakout (fractal swing line) + VWAP/S-R distance gate - M15 chart</t>
        </is>
      </c>
      <c r="D209" s="9" t="inlineStr">
        <is>
          <t>Short</t>
        </is>
      </c>
      <c r="E209" s="10" t="n">
        <v>44970.25</v>
      </c>
      <c r="F209" s="10" t="n">
        <v>44970.35416666666</v>
      </c>
      <c r="G209" s="11" t="n">
        <v>-5.37</v>
      </c>
      <c r="H209" s="11">
        <f>H208+G209</f>
        <v/>
      </c>
    </row>
    <row r="210">
      <c r="A210" s="9" t="n">
        <v>206</v>
      </c>
      <c r="B210" s="9" t="inlineStr">
        <is>
          <t>Meridian</t>
        </is>
      </c>
      <c r="C210" s="9" t="inlineStr">
        <is>
          <t>21/50 MA cross, 250-period confirm filter, VWAP</t>
        </is>
      </c>
      <c r="D210" s="9" t="inlineStr">
        <is>
          <t>Long</t>
        </is>
      </c>
      <c r="E210" s="10" t="n">
        <v>44970.35416666666</v>
      </c>
      <c r="F210" s="10" t="n">
        <v>44970.43402777778</v>
      </c>
      <c r="G210" s="11" t="n">
        <v>-2.7</v>
      </c>
      <c r="H210" s="11">
        <f>H209+G210</f>
        <v/>
      </c>
    </row>
    <row r="211">
      <c r="A211" s="9" t="n">
        <v>207</v>
      </c>
      <c r="B211" s="9" t="inlineStr">
        <is>
          <t>Aurelius_M5</t>
        </is>
      </c>
      <c r="C211" s="9" t="inlineStr">
        <is>
          <t>MA alignment (EMA21&gt;EMA50&gt;SMA250&gt;SMMA500 vs EMA2400 trend filter)</t>
        </is>
      </c>
      <c r="D211" s="9" t="inlineStr">
        <is>
          <t>Short</t>
        </is>
      </c>
      <c r="E211" s="10" t="n">
        <v>44970.48263888889</v>
      </c>
      <c r="F211" s="10" t="n">
        <v>44970.55902777778</v>
      </c>
      <c r="G211" s="11" t="n">
        <v>-3.63</v>
      </c>
      <c r="H211" s="11">
        <f>H210+G211</f>
        <v/>
      </c>
    </row>
    <row r="212">
      <c r="A212" s="9" t="n">
        <v>208</v>
      </c>
      <c r="B212" s="9" t="inlineStr">
        <is>
          <t>Meridian</t>
        </is>
      </c>
      <c r="C212" s="9" t="inlineStr">
        <is>
          <t>21/50 MA cross, 250-period confirm filter, VWAP</t>
        </is>
      </c>
      <c r="D212" s="9" t="inlineStr">
        <is>
          <t>Short</t>
        </is>
      </c>
      <c r="E212" s="10" t="n">
        <v>44970.46875</v>
      </c>
      <c r="F212" s="10" t="n">
        <v>44970.57291666666</v>
      </c>
      <c r="G212" s="11" t="n">
        <v>-2.02</v>
      </c>
      <c r="H212" s="11">
        <f>H211+G212</f>
        <v/>
      </c>
    </row>
    <row r="213">
      <c r="A213" s="9" t="n">
        <v>209</v>
      </c>
      <c r="B213" s="9" t="inlineStr">
        <is>
          <t>Aurelius_M5</t>
        </is>
      </c>
      <c r="C213" s="9" t="inlineStr">
        <is>
          <t>MA alignment (EMA21&gt;EMA50&gt;SMA250&gt;SMMA500 vs EMA2400 trend filter)</t>
        </is>
      </c>
      <c r="D213" s="9" t="inlineStr">
        <is>
          <t>Short</t>
        </is>
      </c>
      <c r="E213" s="10" t="n">
        <v>44970.66319444445</v>
      </c>
      <c r="F213" s="10" t="n">
        <v>44970.69444444445</v>
      </c>
      <c r="G213" s="11" t="n">
        <v>-3.46</v>
      </c>
      <c r="H213" s="11">
        <f>H212+G213</f>
        <v/>
      </c>
    </row>
    <row r="214">
      <c r="A214" s="9" t="n">
        <v>210</v>
      </c>
      <c r="B214" s="9" t="inlineStr">
        <is>
          <t>Ratchet</t>
        </is>
      </c>
      <c r="C214" s="9" t="inlineStr">
        <is>
          <t>Stochastic scalp with give-back trail exit</t>
        </is>
      </c>
      <c r="D214" s="9" t="inlineStr">
        <is>
          <t>Short</t>
        </is>
      </c>
      <c r="E214" s="10" t="n">
        <v>44970.8125</v>
      </c>
      <c r="F214" s="10" t="n">
        <v>44970.82291666666</v>
      </c>
      <c r="G214" s="11" t="n">
        <v>0.24</v>
      </c>
      <c r="H214" s="11">
        <f>H213+G214</f>
        <v/>
      </c>
    </row>
    <row r="215">
      <c r="A215" s="9" t="n">
        <v>211</v>
      </c>
      <c r="B215" s="9" t="inlineStr">
        <is>
          <t>Aurelius_M5</t>
        </is>
      </c>
      <c r="C215" s="9" t="inlineStr">
        <is>
          <t>MA alignment (EMA21&gt;EMA50&gt;SMA250&gt;SMMA500 vs EMA2400 trend filter)</t>
        </is>
      </c>
      <c r="D215" s="9" t="inlineStr">
        <is>
          <t>Short</t>
        </is>
      </c>
      <c r="E215" s="10" t="n">
        <v>44970.72916666666</v>
      </c>
      <c r="F215" s="10" t="n">
        <v>44970.88194444445</v>
      </c>
      <c r="G215" s="11" t="n">
        <v>2.13</v>
      </c>
      <c r="H215" s="11">
        <f>H214+G215</f>
        <v/>
      </c>
    </row>
    <row r="216">
      <c r="A216" s="9" t="n">
        <v>212</v>
      </c>
      <c r="B216" s="9" t="inlineStr">
        <is>
          <t>Ratchet</t>
        </is>
      </c>
      <c r="C216" s="9" t="inlineStr">
        <is>
          <t>Stochastic scalp with give-back trail exit</t>
        </is>
      </c>
      <c r="D216" s="9" t="inlineStr">
        <is>
          <t>Short</t>
        </is>
      </c>
      <c r="E216" s="10" t="n">
        <v>44970.90625</v>
      </c>
      <c r="F216" s="10" t="n">
        <v>44970.90972222222</v>
      </c>
      <c r="G216" s="11" t="n">
        <v>0.3</v>
      </c>
      <c r="H216" s="11">
        <f>H215+G216</f>
        <v/>
      </c>
    </row>
    <row r="217">
      <c r="A217" s="9" t="n">
        <v>213</v>
      </c>
      <c r="B217" s="9" t="inlineStr">
        <is>
          <t>Meridian</t>
        </is>
      </c>
      <c r="C217" s="9" t="inlineStr">
        <is>
          <t>21/50 MA cross, 250-period confirm filter, VWAP</t>
        </is>
      </c>
      <c r="D217" s="9" t="inlineStr">
        <is>
          <t>Short</t>
        </is>
      </c>
      <c r="E217" s="10" t="n">
        <v>44970.64583333334</v>
      </c>
      <c r="F217" s="10" t="n">
        <v>44971.06597222222</v>
      </c>
      <c r="G217" s="11" t="n">
        <v>3.29</v>
      </c>
      <c r="H217" s="11">
        <f>H216+G217</f>
        <v/>
      </c>
    </row>
    <row r="218">
      <c r="A218" s="9" t="n">
        <v>214</v>
      </c>
      <c r="B218" s="9" t="inlineStr">
        <is>
          <t>Aurelius_M15</t>
        </is>
      </c>
      <c r="C218" s="9" t="inlineStr">
        <is>
          <t>MA alignment (EMA21&gt;EMA50&gt;SMA250&gt;SMMA500 vs EMA2400 trend filter) - M15 chart</t>
        </is>
      </c>
      <c r="D218" s="9" t="inlineStr">
        <is>
          <t>Short</t>
        </is>
      </c>
      <c r="E218" s="10" t="n">
        <v>44970.64583333334</v>
      </c>
      <c r="F218" s="10" t="n">
        <v>44971.23958333334</v>
      </c>
      <c r="G218" s="11" t="n">
        <v>0.29</v>
      </c>
      <c r="H218" s="11">
        <f>H217+G218</f>
        <v/>
      </c>
    </row>
    <row r="219">
      <c r="A219" s="9" t="n">
        <v>215</v>
      </c>
      <c r="B219" s="9" t="inlineStr">
        <is>
          <t>Vanguard_M15</t>
        </is>
      </c>
      <c r="C219" s="9" t="inlineStr">
        <is>
          <t>Trendline breakout (fractal swing line) + VWAP/S-R distance gate - M15 chart</t>
        </is>
      </c>
      <c r="D219" s="9" t="inlineStr">
        <is>
          <t>Short</t>
        </is>
      </c>
      <c r="E219" s="10" t="n">
        <v>44970.46875</v>
      </c>
      <c r="F219" s="10" t="n">
        <v>44971.33333333334</v>
      </c>
      <c r="G219" s="11" t="n">
        <v>-0.07000000000000001</v>
      </c>
      <c r="H219" s="11">
        <f>H218+G219</f>
        <v/>
      </c>
    </row>
    <row r="220">
      <c r="A220" s="9" t="n">
        <v>216</v>
      </c>
      <c r="B220" s="9" t="inlineStr">
        <is>
          <t>Vanguard_M5</t>
        </is>
      </c>
      <c r="C220" s="9" t="inlineStr">
        <is>
          <t>Trendline breakout (fractal swing line) + VWAP/S-R distance gate</t>
        </is>
      </c>
      <c r="D220" s="9" t="inlineStr">
        <is>
          <t>Short</t>
        </is>
      </c>
      <c r="E220" s="10" t="n">
        <v>44970.44097222222</v>
      </c>
      <c r="F220" s="10" t="n">
        <v>44971.35763888889</v>
      </c>
      <c r="G220" s="11" t="n">
        <v>-0.63</v>
      </c>
      <c r="H220" s="11">
        <f>H219+G220</f>
        <v/>
      </c>
    </row>
    <row r="221">
      <c r="A221" s="9" t="n">
        <v>217</v>
      </c>
      <c r="B221" s="9" t="inlineStr">
        <is>
          <t>Vanguard_M5</t>
        </is>
      </c>
      <c r="C221" s="9" t="inlineStr">
        <is>
          <t>Trendline breakout (fractal swing line) + VWAP/S-R distance gate</t>
        </is>
      </c>
      <c r="D221" s="9" t="inlineStr">
        <is>
          <t>Long</t>
        </is>
      </c>
      <c r="E221" s="10" t="n">
        <v>44971.36111111111</v>
      </c>
      <c r="F221" s="10" t="n">
        <v>44971.38888888889</v>
      </c>
      <c r="G221" s="11" t="n">
        <v>-3.36</v>
      </c>
      <c r="H221" s="11">
        <f>H220+G221</f>
        <v/>
      </c>
    </row>
    <row r="222">
      <c r="A222" s="9" t="n">
        <v>218</v>
      </c>
      <c r="B222" s="9" t="inlineStr">
        <is>
          <t>Vanguard_M15</t>
        </is>
      </c>
      <c r="C222" s="9" t="inlineStr">
        <is>
          <t>Trendline breakout (fractal swing line) + VWAP/S-R distance gate - M15 chart</t>
        </is>
      </c>
      <c r="D222" s="9" t="inlineStr">
        <is>
          <t>Long</t>
        </is>
      </c>
      <c r="E222" s="10" t="n">
        <v>44971.36458333334</v>
      </c>
      <c r="F222" s="10" t="n">
        <v>44971.54166666666</v>
      </c>
      <c r="G222" s="11" t="n">
        <v>-4.05</v>
      </c>
      <c r="H222" s="11">
        <f>H221+G222</f>
        <v/>
      </c>
    </row>
    <row r="223">
      <c r="A223" s="9" t="n">
        <v>219</v>
      </c>
      <c r="B223" s="9" t="inlineStr">
        <is>
          <t>Vanguard_M5</t>
        </is>
      </c>
      <c r="C223" s="9" t="inlineStr">
        <is>
          <t>Trendline breakout (fractal swing line) + VWAP/S-R distance gate</t>
        </is>
      </c>
      <c r="D223" s="9" t="inlineStr">
        <is>
          <t>Long</t>
        </is>
      </c>
      <c r="E223" s="10" t="n">
        <v>44971.43055555555</v>
      </c>
      <c r="F223" s="10" t="n">
        <v>44971.5625</v>
      </c>
      <c r="G223" s="11" t="n">
        <v>-5.59</v>
      </c>
      <c r="H223" s="11">
        <f>H222+G223</f>
        <v/>
      </c>
    </row>
    <row r="224">
      <c r="A224" s="9" t="n">
        <v>220</v>
      </c>
      <c r="B224" s="9" t="inlineStr">
        <is>
          <t>Vanguard_M15</t>
        </is>
      </c>
      <c r="C224" s="9" t="inlineStr">
        <is>
          <t>Trendline breakout (fractal swing line) + VWAP/S-R distance gate - M15 chart</t>
        </is>
      </c>
      <c r="D224" s="9" t="inlineStr">
        <is>
          <t>Long</t>
        </is>
      </c>
      <c r="E224" s="10" t="n">
        <v>44971.60416666666</v>
      </c>
      <c r="F224" s="10" t="n">
        <v>44971.64583333334</v>
      </c>
      <c r="G224" s="11" t="n">
        <v>-6.26</v>
      </c>
      <c r="H224" s="11">
        <f>H223+G224</f>
        <v/>
      </c>
    </row>
    <row r="225">
      <c r="A225" s="9" t="n">
        <v>221</v>
      </c>
      <c r="B225" s="9" t="inlineStr">
        <is>
          <t>Vanguard_M5</t>
        </is>
      </c>
      <c r="C225" s="9" t="inlineStr">
        <is>
          <t>Trendline breakout (fractal swing line) + VWAP/S-R distance gate</t>
        </is>
      </c>
      <c r="D225" s="9" t="inlineStr">
        <is>
          <t>Long</t>
        </is>
      </c>
      <c r="E225" s="10" t="n">
        <v>44971.60416666666</v>
      </c>
      <c r="F225" s="10" t="n">
        <v>44971.64583333334</v>
      </c>
      <c r="G225" s="11" t="n">
        <v>-4.97</v>
      </c>
      <c r="H225" s="11">
        <f>H224+G225</f>
        <v/>
      </c>
    </row>
    <row r="226">
      <c r="A226" s="9" t="n">
        <v>222</v>
      </c>
      <c r="B226" s="9" t="inlineStr">
        <is>
          <t>Meridian</t>
        </is>
      </c>
      <c r="C226" s="9" t="inlineStr">
        <is>
          <t>21/50 MA cross, 250-period confirm filter, VWAP</t>
        </is>
      </c>
      <c r="D226" s="9" t="inlineStr">
        <is>
          <t>Long</t>
        </is>
      </c>
      <c r="E226" s="10" t="n">
        <v>44971.64930555555</v>
      </c>
      <c r="F226" s="10" t="n">
        <v>44971.65277777778</v>
      </c>
      <c r="G226" s="11" t="n">
        <v>-7.98</v>
      </c>
      <c r="H226" s="11">
        <f>H225+G226</f>
        <v/>
      </c>
    </row>
    <row r="227">
      <c r="A227" s="9" t="n">
        <v>223</v>
      </c>
      <c r="B227" s="9" t="inlineStr">
        <is>
          <t>Vanguard_M15</t>
        </is>
      </c>
      <c r="C227" s="9" t="inlineStr">
        <is>
          <t>Trendline breakout (fractal swing line) + VWAP/S-R distance gate - M15 chart</t>
        </is>
      </c>
      <c r="D227" s="9" t="inlineStr">
        <is>
          <t>Long</t>
        </is>
      </c>
      <c r="E227" s="10" t="n">
        <v>44971.71875</v>
      </c>
      <c r="F227" s="10" t="n">
        <v>44971.77083333334</v>
      </c>
      <c r="G227" s="11" t="n">
        <v>-17.89</v>
      </c>
      <c r="H227" s="11">
        <f>H226+G227</f>
        <v/>
      </c>
    </row>
    <row r="228">
      <c r="A228" s="9" t="n">
        <v>224</v>
      </c>
      <c r="B228" s="9" t="inlineStr">
        <is>
          <t>Vanguard_M5</t>
        </is>
      </c>
      <c r="C228" s="9" t="inlineStr">
        <is>
          <t>Trendline breakout (fractal swing line) + VWAP/S-R distance gate</t>
        </is>
      </c>
      <c r="D228" s="9" t="inlineStr">
        <is>
          <t>Long</t>
        </is>
      </c>
      <c r="E228" s="10" t="n">
        <v>44971.71180555555</v>
      </c>
      <c r="F228" s="10" t="n">
        <v>44972.36111111111</v>
      </c>
      <c r="G228" s="11" t="n">
        <v>-18.61</v>
      </c>
      <c r="H228" s="11">
        <f>H227+G228</f>
        <v/>
      </c>
    </row>
    <row r="229">
      <c r="A229" s="9" t="n">
        <v>225</v>
      </c>
      <c r="B229" s="9" t="inlineStr">
        <is>
          <t>Ratchet</t>
        </is>
      </c>
      <c r="C229" s="9" t="inlineStr">
        <is>
          <t>Stochastic scalp with give-back trail exit</t>
        </is>
      </c>
      <c r="D229" s="9" t="inlineStr">
        <is>
          <t>Short</t>
        </is>
      </c>
      <c r="E229" s="10" t="n">
        <v>44972.21527777778</v>
      </c>
      <c r="F229" s="10" t="n">
        <v>44972.49305555555</v>
      </c>
      <c r="G229" s="11" t="n">
        <v>14.08</v>
      </c>
      <c r="H229" s="11">
        <f>H228+G229</f>
        <v/>
      </c>
    </row>
    <row r="230">
      <c r="A230" s="9" t="n">
        <v>226</v>
      </c>
      <c r="B230" s="9" t="inlineStr">
        <is>
          <t>Ratchet</t>
        </is>
      </c>
      <c r="C230" s="9" t="inlineStr">
        <is>
          <t>Stochastic scalp with give-back trail exit</t>
        </is>
      </c>
      <c r="D230" s="9" t="inlineStr">
        <is>
          <t>Short</t>
        </is>
      </c>
      <c r="E230" s="10" t="n">
        <v>44972.55208333334</v>
      </c>
      <c r="F230" s="10" t="n">
        <v>44972.59027777778</v>
      </c>
      <c r="G230" s="11" t="n">
        <v>-2.33</v>
      </c>
      <c r="H230" s="11">
        <f>H229+G230</f>
        <v/>
      </c>
    </row>
    <row r="231">
      <c r="A231" s="9" t="n">
        <v>227</v>
      </c>
      <c r="B231" s="9" t="inlineStr">
        <is>
          <t>Aurelius_M5</t>
        </is>
      </c>
      <c r="C231" s="9" t="inlineStr">
        <is>
          <t>MA alignment (EMA21&gt;EMA50&gt;SMA250&gt;SMMA500 vs EMA2400 trend filter)</t>
        </is>
      </c>
      <c r="D231" s="9" t="inlineStr">
        <is>
          <t>Short</t>
        </is>
      </c>
      <c r="E231" s="10" t="n">
        <v>44972.62847222222</v>
      </c>
      <c r="F231" s="10" t="n">
        <v>44972.65972222222</v>
      </c>
      <c r="G231" s="11" t="n">
        <v>-3.28</v>
      </c>
      <c r="H231" s="11">
        <f>H230+G231</f>
        <v/>
      </c>
    </row>
    <row r="232">
      <c r="A232" s="9" t="n">
        <v>228</v>
      </c>
      <c r="B232" s="9" t="inlineStr">
        <is>
          <t>Meridian</t>
        </is>
      </c>
      <c r="C232" s="9" t="inlineStr">
        <is>
          <t>21/50 MA cross, 250-period confirm filter, VWAP</t>
        </is>
      </c>
      <c r="D232" s="9" t="inlineStr">
        <is>
          <t>Short</t>
        </is>
      </c>
      <c r="E232" s="10" t="n">
        <v>44972.21180555555</v>
      </c>
      <c r="F232" s="10" t="n">
        <v>44972.80208333334</v>
      </c>
      <c r="G232" s="11" t="n">
        <v>15.38</v>
      </c>
      <c r="H232" s="11">
        <f>H231+G232</f>
        <v/>
      </c>
    </row>
    <row r="233">
      <c r="A233" s="9" t="n">
        <v>229</v>
      </c>
      <c r="B233" s="9" t="inlineStr">
        <is>
          <t>Aurelius_M5</t>
        </is>
      </c>
      <c r="C233" s="9" t="inlineStr">
        <is>
          <t>MA alignment (EMA21&gt;EMA50&gt;SMA250&gt;SMMA500 vs EMA2400 trend filter)</t>
        </is>
      </c>
      <c r="D233" s="9" t="inlineStr">
        <is>
          <t>Short</t>
        </is>
      </c>
      <c r="E233" s="10" t="n">
        <v>44972.74652777778</v>
      </c>
      <c r="F233" s="10" t="n">
        <v>44972.80208333334</v>
      </c>
      <c r="G233" s="11" t="n">
        <v>-1.44</v>
      </c>
      <c r="H233" s="11">
        <f>H232+G233</f>
        <v/>
      </c>
    </row>
    <row r="234">
      <c r="A234" s="9" t="n">
        <v>230</v>
      </c>
      <c r="B234" s="9" t="inlineStr">
        <is>
          <t>Ratchet</t>
        </is>
      </c>
      <c r="C234" s="9" t="inlineStr">
        <is>
          <t>Stochastic scalp with give-back trail exit</t>
        </is>
      </c>
      <c r="D234" s="9" t="inlineStr">
        <is>
          <t>Short</t>
        </is>
      </c>
      <c r="E234" s="10" t="n">
        <v>44972.8125</v>
      </c>
      <c r="F234" s="10" t="n">
        <v>44972.81597222222</v>
      </c>
      <c r="G234" s="11" t="n">
        <v>-0</v>
      </c>
      <c r="H234" s="11">
        <f>H233+G234</f>
        <v/>
      </c>
    </row>
    <row r="235">
      <c r="A235" s="9" t="n">
        <v>231</v>
      </c>
      <c r="B235" s="9" t="inlineStr">
        <is>
          <t>Meridian</t>
        </is>
      </c>
      <c r="C235" s="9" t="inlineStr">
        <is>
          <t>21/50 MA cross, 250-period confirm filter, VWAP</t>
        </is>
      </c>
      <c r="D235" s="9" t="inlineStr">
        <is>
          <t>Short</t>
        </is>
      </c>
      <c r="E235" s="10" t="n">
        <v>44972.80555555555</v>
      </c>
      <c r="F235" s="10" t="n">
        <v>44972.86805555555</v>
      </c>
      <c r="G235" s="11" t="n">
        <v>-1.36</v>
      </c>
      <c r="H235" s="11">
        <f>H234+G235</f>
        <v/>
      </c>
    </row>
    <row r="236">
      <c r="A236" s="9" t="n">
        <v>232</v>
      </c>
      <c r="B236" s="9" t="inlineStr">
        <is>
          <t>Meridian</t>
        </is>
      </c>
      <c r="C236" s="9" t="inlineStr">
        <is>
          <t>21/50 MA cross, 250-period confirm filter, VWAP</t>
        </is>
      </c>
      <c r="D236" s="9" t="inlineStr">
        <is>
          <t>Short</t>
        </is>
      </c>
      <c r="E236" s="10" t="n">
        <v>44973.12847222222</v>
      </c>
      <c r="F236" s="10" t="n">
        <v>44973.13888888889</v>
      </c>
      <c r="G236" s="11" t="n">
        <v>-1.93</v>
      </c>
      <c r="H236" s="11">
        <f>H235+G236</f>
        <v/>
      </c>
    </row>
    <row r="237">
      <c r="A237" s="9" t="n">
        <v>233</v>
      </c>
      <c r="B237" s="9" t="inlineStr">
        <is>
          <t>Meridian</t>
        </is>
      </c>
      <c r="C237" s="9" t="inlineStr">
        <is>
          <t>21/50 MA cross, 250-period confirm filter, VWAP</t>
        </is>
      </c>
      <c r="D237" s="9" t="inlineStr">
        <is>
          <t>Long</t>
        </is>
      </c>
      <c r="E237" s="10" t="n">
        <v>44973.14583333334</v>
      </c>
      <c r="F237" s="10" t="n">
        <v>44973.31597222222</v>
      </c>
      <c r="G237" s="11" t="n">
        <v>-1.8</v>
      </c>
      <c r="H237" s="11">
        <f>H236+G237</f>
        <v/>
      </c>
    </row>
    <row r="238">
      <c r="A238" s="9" t="n">
        <v>234</v>
      </c>
      <c r="B238" s="9" t="inlineStr">
        <is>
          <t>Vanguard_M5</t>
        </is>
      </c>
      <c r="C238" s="9" t="inlineStr">
        <is>
          <t>Trendline breakout (fractal swing line) + VWAP/S-R distance gate</t>
        </is>
      </c>
      <c r="D238" s="9" t="inlineStr">
        <is>
          <t>Long</t>
        </is>
      </c>
      <c r="E238" s="10" t="n">
        <v>44973.14930555555</v>
      </c>
      <c r="F238" s="10" t="n">
        <v>44973.32291666666</v>
      </c>
      <c r="G238" s="11" t="n">
        <v>-4.19</v>
      </c>
      <c r="H238" s="11">
        <f>H237+G238</f>
        <v/>
      </c>
    </row>
    <row r="239">
      <c r="A239" s="9" t="n">
        <v>235</v>
      </c>
      <c r="B239" s="9" t="inlineStr">
        <is>
          <t>Vanguard_M15</t>
        </is>
      </c>
      <c r="C239" s="9" t="inlineStr">
        <is>
          <t>Trendline breakout (fractal swing line) + VWAP/S-R distance gate - M15 chart</t>
        </is>
      </c>
      <c r="D239" s="9" t="inlineStr">
        <is>
          <t>Long</t>
        </is>
      </c>
      <c r="E239" s="10" t="n">
        <v>44973.15625</v>
      </c>
      <c r="F239" s="10" t="n">
        <v>44973.32291666666</v>
      </c>
      <c r="G239" s="11" t="n">
        <v>-5.31</v>
      </c>
      <c r="H239" s="11">
        <f>H238+G239</f>
        <v/>
      </c>
    </row>
    <row r="240">
      <c r="A240" s="9" t="n">
        <v>236</v>
      </c>
      <c r="B240" s="9" t="inlineStr">
        <is>
          <t>Ratchet</t>
        </is>
      </c>
      <c r="C240" s="9" t="inlineStr">
        <is>
          <t>Stochastic scalp with give-back trail exit</t>
        </is>
      </c>
      <c r="D240" s="9" t="inlineStr">
        <is>
          <t>Short</t>
        </is>
      </c>
      <c r="E240" s="10" t="n">
        <v>44973.37152777778</v>
      </c>
      <c r="F240" s="10" t="n">
        <v>44973.375</v>
      </c>
      <c r="G240" s="11" t="n">
        <v>-2.22</v>
      </c>
      <c r="H240" s="11">
        <f>H239+G240</f>
        <v/>
      </c>
    </row>
    <row r="241">
      <c r="A241" s="9" t="n">
        <v>237</v>
      </c>
      <c r="B241" s="9" t="inlineStr">
        <is>
          <t>Meridian</t>
        </is>
      </c>
      <c r="C241" s="9" t="inlineStr">
        <is>
          <t>21/50 MA cross, 250-period confirm filter, VWAP</t>
        </is>
      </c>
      <c r="D241" s="9" t="inlineStr">
        <is>
          <t>Long</t>
        </is>
      </c>
      <c r="E241" s="10" t="n">
        <v>44973.41319444445</v>
      </c>
      <c r="F241" s="10" t="n">
        <v>44973.44791666666</v>
      </c>
      <c r="G241" s="11" t="n">
        <v>-2.92</v>
      </c>
      <c r="H241" s="11">
        <f>H240+G241</f>
        <v/>
      </c>
    </row>
    <row r="242">
      <c r="A242" s="9" t="n">
        <v>238</v>
      </c>
      <c r="B242" s="9" t="inlineStr">
        <is>
          <t>Meridian</t>
        </is>
      </c>
      <c r="C242" s="9" t="inlineStr">
        <is>
          <t>21/50 MA cross, 250-period confirm filter, VWAP</t>
        </is>
      </c>
      <c r="D242" s="9" t="inlineStr">
        <is>
          <t>Short</t>
        </is>
      </c>
      <c r="E242" s="10" t="n">
        <v>44973.48611111111</v>
      </c>
      <c r="F242" s="10" t="n">
        <v>44973.52430555555</v>
      </c>
      <c r="G242" s="11" t="n">
        <v>-3.29</v>
      </c>
      <c r="H242" s="11">
        <f>H241+G242</f>
        <v/>
      </c>
    </row>
    <row r="243">
      <c r="A243" s="9" t="n">
        <v>239</v>
      </c>
      <c r="B243" s="9" t="inlineStr">
        <is>
          <t>Ratchet</t>
        </is>
      </c>
      <c r="C243" s="9" t="inlineStr">
        <is>
          <t>Stochastic scalp with give-back trail exit</t>
        </is>
      </c>
      <c r="D243" s="9" t="inlineStr">
        <is>
          <t>Short</t>
        </is>
      </c>
      <c r="E243" s="10" t="n">
        <v>44973.51041666666</v>
      </c>
      <c r="F243" s="10" t="n">
        <v>44973.52430555555</v>
      </c>
      <c r="G243" s="11" t="n">
        <v>-1.9</v>
      </c>
      <c r="H243" s="11">
        <f>H242+G243</f>
        <v/>
      </c>
    </row>
    <row r="244">
      <c r="A244" s="9" t="n">
        <v>240</v>
      </c>
      <c r="B244" s="9" t="inlineStr">
        <is>
          <t>Meridian</t>
        </is>
      </c>
      <c r="C244" s="9" t="inlineStr">
        <is>
          <t>21/50 MA cross, 250-period confirm filter, VWAP</t>
        </is>
      </c>
      <c r="D244" s="9" t="inlineStr">
        <is>
          <t>Long</t>
        </is>
      </c>
      <c r="E244" s="10" t="n">
        <v>44973.625</v>
      </c>
      <c r="F244" s="10" t="n">
        <v>44973.63888888889</v>
      </c>
      <c r="G244" s="11" t="n">
        <v>-2.75</v>
      </c>
      <c r="H244" s="11">
        <f>H243+G244</f>
        <v/>
      </c>
    </row>
    <row r="245">
      <c r="A245" s="9" t="n">
        <v>241</v>
      </c>
      <c r="B245" s="9" t="inlineStr">
        <is>
          <t>Ratchet</t>
        </is>
      </c>
      <c r="C245" s="9" t="inlineStr">
        <is>
          <t>Stochastic scalp with give-back trail exit</t>
        </is>
      </c>
      <c r="D245" s="9" t="inlineStr">
        <is>
          <t>Short</t>
        </is>
      </c>
      <c r="E245" s="10" t="n">
        <v>44973.69097222222</v>
      </c>
      <c r="F245" s="10" t="n">
        <v>44973.71527777778</v>
      </c>
      <c r="G245" s="11" t="n">
        <v>0.96</v>
      </c>
      <c r="H245" s="11">
        <f>H244+G245</f>
        <v/>
      </c>
    </row>
    <row r="246">
      <c r="A246" s="9" t="n">
        <v>242</v>
      </c>
      <c r="B246" s="9" t="inlineStr">
        <is>
          <t>Meridian</t>
        </is>
      </c>
      <c r="C246" s="9" t="inlineStr">
        <is>
          <t>21/50 MA cross, 250-period confirm filter, VWAP</t>
        </is>
      </c>
      <c r="D246" s="9" t="inlineStr">
        <is>
          <t>Short</t>
        </is>
      </c>
      <c r="E246" s="10" t="n">
        <v>44973.64930555555</v>
      </c>
      <c r="F246" s="10" t="n">
        <v>44973.77083333334</v>
      </c>
      <c r="G246" s="11" t="n">
        <v>-3.82</v>
      </c>
      <c r="H246" s="11">
        <f>H245+G246</f>
        <v/>
      </c>
    </row>
    <row r="247">
      <c r="A247" s="9" t="n">
        <v>243</v>
      </c>
      <c r="B247" s="9" t="inlineStr">
        <is>
          <t>Aurelius_M15</t>
        </is>
      </c>
      <c r="C247" s="9" t="inlineStr">
        <is>
          <t>MA alignment (EMA21&gt;EMA50&gt;SMA250&gt;SMMA500 vs EMA2400 trend filter) - M15 chart</t>
        </is>
      </c>
      <c r="D247" s="9" t="inlineStr">
        <is>
          <t>Short</t>
        </is>
      </c>
      <c r="E247" s="10" t="n">
        <v>44973.64583333334</v>
      </c>
      <c r="F247" s="10" t="n">
        <v>44973.78125</v>
      </c>
      <c r="G247" s="11" t="n">
        <v>-5.24</v>
      </c>
      <c r="H247" s="11">
        <f>H246+G247</f>
        <v/>
      </c>
    </row>
    <row r="248">
      <c r="A248" s="9" t="n">
        <v>244</v>
      </c>
      <c r="B248" s="9" t="inlineStr">
        <is>
          <t>Aurelius_M5</t>
        </is>
      </c>
      <c r="C248" s="9" t="inlineStr">
        <is>
          <t>MA alignment (EMA21&gt;EMA50&gt;SMA250&gt;SMMA500 vs EMA2400 trend filter)</t>
        </is>
      </c>
      <c r="D248" s="9" t="inlineStr">
        <is>
          <t>Short</t>
        </is>
      </c>
      <c r="E248" s="10" t="n">
        <v>44973.67361111111</v>
      </c>
      <c r="F248" s="10" t="n">
        <v>44973.78125</v>
      </c>
      <c r="G248" s="11" t="n">
        <v>-2.79</v>
      </c>
      <c r="H248" s="11">
        <f>H247+G248</f>
        <v/>
      </c>
    </row>
    <row r="249">
      <c r="A249" s="9" t="n">
        <v>245</v>
      </c>
      <c r="B249" s="9" t="inlineStr">
        <is>
          <t>Meridian</t>
        </is>
      </c>
      <c r="C249" s="9" t="inlineStr">
        <is>
          <t>21/50 MA cross, 250-period confirm filter, VWAP</t>
        </is>
      </c>
      <c r="D249" s="9" t="inlineStr">
        <is>
          <t>Long</t>
        </is>
      </c>
      <c r="E249" s="10" t="n">
        <v>44973.78125</v>
      </c>
      <c r="F249" s="10" t="n">
        <v>44973.95486111111</v>
      </c>
      <c r="G249" s="11" t="n">
        <v>-0.3</v>
      </c>
      <c r="H249" s="11">
        <f>H248+G249</f>
        <v/>
      </c>
    </row>
    <row r="250">
      <c r="A250" s="9" t="n">
        <v>246</v>
      </c>
      <c r="B250" s="9" t="inlineStr">
        <is>
          <t>Vanguard_M5</t>
        </is>
      </c>
      <c r="C250" s="9" t="inlineStr">
        <is>
          <t>Trendline breakout (fractal swing line) + VWAP/S-R distance gate</t>
        </is>
      </c>
      <c r="D250" s="9" t="inlineStr">
        <is>
          <t>Long</t>
        </is>
      </c>
      <c r="E250" s="10" t="n">
        <v>44973.78472222222</v>
      </c>
      <c r="F250" s="10" t="n">
        <v>44974.07638888889</v>
      </c>
      <c r="G250" s="11" t="n">
        <v>-9.07</v>
      </c>
      <c r="H250" s="11">
        <f>H249+G250</f>
        <v/>
      </c>
    </row>
    <row r="251">
      <c r="A251" s="9" t="n">
        <v>247</v>
      </c>
      <c r="B251" s="9" t="inlineStr">
        <is>
          <t>Vanguard_M15</t>
        </is>
      </c>
      <c r="C251" s="9" t="inlineStr">
        <is>
          <t>Trendline breakout (fractal swing line) + VWAP/S-R distance gate - M15 chart</t>
        </is>
      </c>
      <c r="D251" s="9" t="inlineStr">
        <is>
          <t>Long</t>
        </is>
      </c>
      <c r="E251" s="10" t="n">
        <v>44973.79166666666</v>
      </c>
      <c r="F251" s="10" t="n">
        <v>44974.15625</v>
      </c>
      <c r="G251" s="11" t="n">
        <v>-10.55</v>
      </c>
      <c r="H251" s="11">
        <f>H250+G251</f>
        <v/>
      </c>
    </row>
    <row r="252">
      <c r="A252" s="9" t="n">
        <v>248</v>
      </c>
      <c r="B252" s="9" t="inlineStr">
        <is>
          <t>Ratchet</t>
        </is>
      </c>
      <c r="C252" s="9" t="inlineStr">
        <is>
          <t>Stochastic scalp with give-back trail exit</t>
        </is>
      </c>
      <c r="D252" s="9" t="inlineStr">
        <is>
          <t>Short</t>
        </is>
      </c>
      <c r="E252" s="10" t="n">
        <v>44974.05902777778</v>
      </c>
      <c r="F252" s="10" t="n">
        <v>44974.33680555555</v>
      </c>
      <c r="G252" s="11" t="n">
        <v>7</v>
      </c>
      <c r="H252" s="11">
        <f>H251+G252</f>
        <v/>
      </c>
    </row>
    <row r="253">
      <c r="A253" s="9" t="n">
        <v>249</v>
      </c>
      <c r="B253" s="9" t="inlineStr">
        <is>
          <t>Ratchet</t>
        </is>
      </c>
      <c r="C253" s="9" t="inlineStr">
        <is>
          <t>Stochastic scalp with give-back trail exit</t>
        </is>
      </c>
      <c r="D253" s="9" t="inlineStr">
        <is>
          <t>Short</t>
        </is>
      </c>
      <c r="E253" s="10" t="n">
        <v>44974.34722222222</v>
      </c>
      <c r="F253" s="10" t="n">
        <v>44974.40277777778</v>
      </c>
      <c r="G253" s="11" t="n">
        <v>1.22</v>
      </c>
      <c r="H253" s="11">
        <f>H252+G253</f>
        <v/>
      </c>
    </row>
    <row r="254">
      <c r="A254" s="9" t="n">
        <v>250</v>
      </c>
      <c r="B254" s="9" t="inlineStr">
        <is>
          <t>Ratchet</t>
        </is>
      </c>
      <c r="C254" s="9" t="inlineStr">
        <is>
          <t>Stochastic scalp with give-back trail exit</t>
        </is>
      </c>
      <c r="D254" s="9" t="inlineStr">
        <is>
          <t>Short</t>
        </is>
      </c>
      <c r="E254" s="10" t="n">
        <v>44974.43055555555</v>
      </c>
      <c r="F254" s="10" t="n">
        <v>44974.4375</v>
      </c>
      <c r="G254" s="11" t="n">
        <v>-0</v>
      </c>
      <c r="H254" s="11">
        <f>H253+G254</f>
        <v/>
      </c>
    </row>
    <row r="255">
      <c r="A255" s="9" t="n">
        <v>251</v>
      </c>
      <c r="B255" s="9" t="inlineStr">
        <is>
          <t>Ratchet</t>
        </is>
      </c>
      <c r="C255" s="9" t="inlineStr">
        <is>
          <t>Stochastic scalp with give-back trail exit</t>
        </is>
      </c>
      <c r="D255" s="9" t="inlineStr">
        <is>
          <t>Short</t>
        </is>
      </c>
      <c r="E255" s="10" t="n">
        <v>44974.53125</v>
      </c>
      <c r="F255" s="10" t="n">
        <v>44974.54513888889</v>
      </c>
      <c r="G255" s="11" t="n">
        <v>-0</v>
      </c>
      <c r="H255" s="11">
        <f>H254+G255</f>
        <v/>
      </c>
    </row>
    <row r="256">
      <c r="A256" s="9" t="n">
        <v>252</v>
      </c>
      <c r="B256" s="9" t="inlineStr">
        <is>
          <t>Meridian</t>
        </is>
      </c>
      <c r="C256" s="9" t="inlineStr">
        <is>
          <t>21/50 MA cross, 250-period confirm filter, VWAP</t>
        </is>
      </c>
      <c r="D256" s="9" t="inlineStr">
        <is>
          <t>Long</t>
        </is>
      </c>
      <c r="E256" s="10" t="n">
        <v>44977.18055555555</v>
      </c>
      <c r="F256" s="10" t="n">
        <v>44977.52430555555</v>
      </c>
      <c r="G256" s="11" t="n">
        <v>1.32</v>
      </c>
      <c r="H256" s="11">
        <f>H255+G256</f>
        <v/>
      </c>
    </row>
    <row r="257">
      <c r="A257" s="9" t="n">
        <v>253</v>
      </c>
      <c r="B257" s="9" t="inlineStr">
        <is>
          <t>Meridian</t>
        </is>
      </c>
      <c r="C257" s="9" t="inlineStr">
        <is>
          <t>21/50 MA cross, 250-period confirm filter, VWAP</t>
        </is>
      </c>
      <c r="D257" s="9" t="inlineStr">
        <is>
          <t>Long</t>
        </is>
      </c>
      <c r="E257" s="10" t="n">
        <v>44977.55902777778</v>
      </c>
      <c r="F257" s="10" t="n">
        <v>44977.60069444445</v>
      </c>
      <c r="G257" s="11" t="n">
        <v>-1.29</v>
      </c>
      <c r="H257" s="11">
        <f>H256+G257</f>
        <v/>
      </c>
    </row>
    <row r="258">
      <c r="A258" s="9" t="n">
        <v>254</v>
      </c>
      <c r="B258" s="9" t="inlineStr">
        <is>
          <t>Meridian</t>
        </is>
      </c>
      <c r="C258" s="9" t="inlineStr">
        <is>
          <t>21/50 MA cross, 250-period confirm filter, VWAP</t>
        </is>
      </c>
      <c r="D258" s="9" t="inlineStr">
        <is>
          <t>Long</t>
        </is>
      </c>
      <c r="E258" s="10" t="n">
        <v>44977.64930555555</v>
      </c>
      <c r="F258" s="10" t="n">
        <v>44977.72569444445</v>
      </c>
      <c r="G258" s="11" t="n">
        <v>-2.4</v>
      </c>
      <c r="H258" s="11">
        <f>H257+G258</f>
        <v/>
      </c>
    </row>
    <row r="259">
      <c r="A259" s="9" t="n">
        <v>255</v>
      </c>
      <c r="B259" s="9" t="inlineStr">
        <is>
          <t>Meridian</t>
        </is>
      </c>
      <c r="C259" s="9" t="inlineStr">
        <is>
          <t>21/50 MA cross, 250-period confirm filter, VWAP</t>
        </is>
      </c>
      <c r="D259" s="9" t="inlineStr">
        <is>
          <t>Short</t>
        </is>
      </c>
      <c r="E259" s="10" t="n">
        <v>44978.125</v>
      </c>
      <c r="F259" s="10" t="n">
        <v>44978.1875</v>
      </c>
      <c r="G259" s="11" t="n">
        <v>-1.24</v>
      </c>
      <c r="H259" s="11">
        <f>H258+G259</f>
        <v/>
      </c>
    </row>
    <row r="260">
      <c r="A260" s="9" t="n">
        <v>256</v>
      </c>
      <c r="B260" s="9" t="inlineStr">
        <is>
          <t>Vanguard_M5</t>
        </is>
      </c>
      <c r="C260" s="9" t="inlineStr">
        <is>
          <t>Trendline breakout (fractal swing line) + VWAP/S-R distance gate</t>
        </is>
      </c>
      <c r="D260" s="9" t="inlineStr">
        <is>
          <t>Long</t>
        </is>
      </c>
      <c r="E260" s="10" t="n">
        <v>44974.71180555555</v>
      </c>
      <c r="F260" s="10" t="n">
        <v>44978.44097222222</v>
      </c>
      <c r="G260" s="11" t="n">
        <v>-0.02</v>
      </c>
      <c r="H260" s="11">
        <f>H259+G260</f>
        <v/>
      </c>
    </row>
    <row r="261">
      <c r="A261" s="9" t="n">
        <v>257</v>
      </c>
      <c r="B261" s="9" t="inlineStr">
        <is>
          <t>Ratchet</t>
        </is>
      </c>
      <c r="C261" s="9" t="inlineStr">
        <is>
          <t>Stochastic scalp with give-back trail exit</t>
        </is>
      </c>
      <c r="D261" s="9" t="inlineStr">
        <is>
          <t>Short</t>
        </is>
      </c>
      <c r="E261" s="10" t="n">
        <v>44978.53819444445</v>
      </c>
      <c r="F261" s="10" t="n">
        <v>44978.55902777778</v>
      </c>
      <c r="G261" s="11" t="n">
        <v>-2.13</v>
      </c>
      <c r="H261" s="11">
        <f>H260+G261</f>
        <v/>
      </c>
    </row>
    <row r="262">
      <c r="A262" s="9" t="n">
        <v>258</v>
      </c>
      <c r="B262" s="9" t="inlineStr">
        <is>
          <t>Aurelius_M5</t>
        </is>
      </c>
      <c r="C262" s="9" t="inlineStr">
        <is>
          <t>MA alignment (EMA21&gt;EMA50&gt;SMA250&gt;SMMA500 vs EMA2400 trend filter)</t>
        </is>
      </c>
      <c r="D262" s="9" t="inlineStr">
        <is>
          <t>Short</t>
        </is>
      </c>
      <c r="E262" s="10" t="n">
        <v>44978.58680555555</v>
      </c>
      <c r="F262" s="10" t="n">
        <v>44978.63541666666</v>
      </c>
      <c r="G262" s="11" t="n">
        <v>-2.87</v>
      </c>
      <c r="H262" s="11">
        <f>H261+G262</f>
        <v/>
      </c>
    </row>
    <row r="263">
      <c r="A263" s="9" t="n">
        <v>259</v>
      </c>
      <c r="B263" s="9" t="inlineStr">
        <is>
          <t>Meridian</t>
        </is>
      </c>
      <c r="C263" s="9" t="inlineStr">
        <is>
          <t>21/50 MA cross, 250-period confirm filter, VWAP</t>
        </is>
      </c>
      <c r="D263" s="9" t="inlineStr">
        <is>
          <t>Short</t>
        </is>
      </c>
      <c r="E263" s="10" t="n">
        <v>44978.21527777778</v>
      </c>
      <c r="F263" s="10" t="n">
        <v>44978.65277777778</v>
      </c>
      <c r="G263" s="11" t="n">
        <v>4.65</v>
      </c>
      <c r="H263" s="11">
        <f>H262+G263</f>
        <v/>
      </c>
    </row>
    <row r="264">
      <c r="A264" s="9" t="n">
        <v>260</v>
      </c>
      <c r="B264" s="9" t="inlineStr">
        <is>
          <t>Aurelius_M15</t>
        </is>
      </c>
      <c r="C264" s="9" t="inlineStr">
        <is>
          <t>MA alignment (EMA21&gt;EMA50&gt;SMA250&gt;SMMA500 vs EMA2400 trend filter) - M15 chart</t>
        </is>
      </c>
      <c r="D264" s="9" t="inlineStr">
        <is>
          <t>Short</t>
        </is>
      </c>
      <c r="E264" s="10" t="n">
        <v>44978.70833333334</v>
      </c>
      <c r="F264" s="10" t="n">
        <v>44978.72916666666</v>
      </c>
      <c r="G264" s="11" t="n">
        <v>-6.77</v>
      </c>
      <c r="H264" s="11">
        <f>H263+G264</f>
        <v/>
      </c>
    </row>
    <row r="265">
      <c r="A265" s="9" t="n">
        <v>261</v>
      </c>
      <c r="B265" s="9" t="inlineStr">
        <is>
          <t>Ratchet</t>
        </is>
      </c>
      <c r="C265" s="9" t="inlineStr">
        <is>
          <t>Stochastic scalp with give-back trail exit</t>
        </is>
      </c>
      <c r="D265" s="9" t="inlineStr">
        <is>
          <t>Short</t>
        </is>
      </c>
      <c r="E265" s="10" t="n">
        <v>44978.79513888889</v>
      </c>
      <c r="F265" s="10" t="n">
        <v>44978.81597222222</v>
      </c>
      <c r="G265" s="11" t="n">
        <v>-2.83</v>
      </c>
      <c r="H265" s="11">
        <f>H264+G265</f>
        <v/>
      </c>
    </row>
    <row r="266">
      <c r="A266" s="9" t="n">
        <v>262</v>
      </c>
      <c r="B266" s="9" t="inlineStr">
        <is>
          <t>Ratchet</t>
        </is>
      </c>
      <c r="C266" s="9" t="inlineStr">
        <is>
          <t>Stochastic scalp with give-back trail exit</t>
        </is>
      </c>
      <c r="D266" s="9" t="inlineStr">
        <is>
          <t>Short</t>
        </is>
      </c>
      <c r="E266" s="10" t="n">
        <v>44978.85763888889</v>
      </c>
      <c r="F266" s="10" t="n">
        <v>44978.86458333334</v>
      </c>
      <c r="G266" s="11" t="n">
        <v>-0</v>
      </c>
      <c r="H266" s="11">
        <f>H265+G266</f>
        <v/>
      </c>
    </row>
    <row r="267">
      <c r="A267" s="9" t="n">
        <v>263</v>
      </c>
      <c r="B267" s="9" t="inlineStr">
        <is>
          <t>Meridian</t>
        </is>
      </c>
      <c r="C267" s="9" t="inlineStr">
        <is>
          <t>21/50 MA cross, 250-period confirm filter, VWAP</t>
        </is>
      </c>
      <c r="D267" s="9" t="inlineStr">
        <is>
          <t>Short</t>
        </is>
      </c>
      <c r="E267" s="10" t="n">
        <v>44978.78819444445</v>
      </c>
      <c r="F267" s="10" t="n">
        <v>44978.95486111111</v>
      </c>
      <c r="G267" s="11" t="n">
        <v>-1.35</v>
      </c>
      <c r="H267" s="11">
        <f>H266+G267</f>
        <v/>
      </c>
    </row>
    <row r="268">
      <c r="A268" s="9" t="n">
        <v>264</v>
      </c>
      <c r="B268" s="9" t="inlineStr">
        <is>
          <t>Meridian</t>
        </is>
      </c>
      <c r="C268" s="9" t="inlineStr">
        <is>
          <t>21/50 MA cross, 250-period confirm filter, VWAP</t>
        </is>
      </c>
      <c r="D268" s="9" t="inlineStr">
        <is>
          <t>Short</t>
        </is>
      </c>
      <c r="E268" s="10" t="n">
        <v>44978.98611111111</v>
      </c>
      <c r="F268" s="10" t="n">
        <v>44978.99652777778</v>
      </c>
      <c r="G268" s="11" t="n">
        <v>-0.36</v>
      </c>
      <c r="H268" s="11">
        <f>H267+G268</f>
        <v/>
      </c>
    </row>
    <row r="269">
      <c r="A269" s="9" t="n">
        <v>265</v>
      </c>
      <c r="B269" s="9" t="inlineStr">
        <is>
          <t>Aurelius_M15</t>
        </is>
      </c>
      <c r="C269" s="9" t="inlineStr">
        <is>
          <t>MA alignment (EMA21&gt;EMA50&gt;SMA250&gt;SMMA500 vs EMA2400 trend filter) - M15 chart</t>
        </is>
      </c>
      <c r="D269" s="9" t="inlineStr">
        <is>
          <t>Short</t>
        </is>
      </c>
      <c r="E269" s="10" t="n">
        <v>44979.13541666666</v>
      </c>
      <c r="F269" s="10" t="n">
        <v>44979.21875</v>
      </c>
      <c r="G269" s="11" t="n">
        <v>-1.8</v>
      </c>
      <c r="H269" s="11">
        <f>H268+G269</f>
        <v/>
      </c>
    </row>
    <row r="270">
      <c r="A270" s="9" t="n">
        <v>266</v>
      </c>
      <c r="B270" s="9" t="inlineStr">
        <is>
          <t>Meridian</t>
        </is>
      </c>
      <c r="C270" s="9" t="inlineStr">
        <is>
          <t>21/50 MA cross, 250-period confirm filter, VWAP</t>
        </is>
      </c>
      <c r="D270" s="9" t="inlineStr">
        <is>
          <t>Long</t>
        </is>
      </c>
      <c r="E270" s="10" t="n">
        <v>44979.29861111111</v>
      </c>
      <c r="F270" s="10" t="n">
        <v>44979.30902777778</v>
      </c>
      <c r="G270" s="11" t="n">
        <v>-0.98</v>
      </c>
      <c r="H270" s="11">
        <f>H269+G270</f>
        <v/>
      </c>
    </row>
    <row r="271">
      <c r="A271" s="9" t="n">
        <v>267</v>
      </c>
      <c r="B271" s="9" t="inlineStr">
        <is>
          <t>Meridian</t>
        </is>
      </c>
      <c r="C271" s="9" t="inlineStr">
        <is>
          <t>21/50 MA cross, 250-period confirm filter, VWAP</t>
        </is>
      </c>
      <c r="D271" s="9" t="inlineStr">
        <is>
          <t>Long</t>
        </is>
      </c>
      <c r="E271" s="10" t="n">
        <v>44979.34027777778</v>
      </c>
      <c r="F271" s="10" t="n">
        <v>44979.36111111111</v>
      </c>
      <c r="G271" s="11" t="n">
        <v>-1.26</v>
      </c>
      <c r="H271" s="11">
        <f>H270+G271</f>
        <v/>
      </c>
    </row>
    <row r="272">
      <c r="A272" s="9" t="n">
        <v>268</v>
      </c>
      <c r="B272" s="9" t="inlineStr">
        <is>
          <t>Meridian</t>
        </is>
      </c>
      <c r="C272" s="9" t="inlineStr">
        <is>
          <t>21/50 MA cross, 250-period confirm filter, VWAP</t>
        </is>
      </c>
      <c r="D272" s="9" t="inlineStr">
        <is>
          <t>Long</t>
        </is>
      </c>
      <c r="E272" s="10" t="n">
        <v>44979.40625</v>
      </c>
      <c r="F272" s="10" t="n">
        <v>44979.44097222222</v>
      </c>
      <c r="G272" s="11" t="n">
        <v>-2.23</v>
      </c>
      <c r="H272" s="11">
        <f>H271+G272</f>
        <v/>
      </c>
    </row>
    <row r="273">
      <c r="A273" s="9" t="n">
        <v>269</v>
      </c>
      <c r="B273" s="9" t="inlineStr">
        <is>
          <t>Ratchet</t>
        </is>
      </c>
      <c r="C273" s="9" t="inlineStr">
        <is>
          <t>Stochastic scalp with give-back trail exit</t>
        </is>
      </c>
      <c r="D273" s="9" t="inlineStr">
        <is>
          <t>Short</t>
        </is>
      </c>
      <c r="E273" s="10" t="n">
        <v>44979.47569444445</v>
      </c>
      <c r="F273" s="10" t="n">
        <v>44979.50347222222</v>
      </c>
      <c r="G273" s="11" t="n">
        <v>-0</v>
      </c>
      <c r="H273" s="11">
        <f>H272+G273</f>
        <v/>
      </c>
    </row>
    <row r="274">
      <c r="A274" s="9" t="n">
        <v>270</v>
      </c>
      <c r="B274" s="9" t="inlineStr">
        <is>
          <t>Meridian</t>
        </is>
      </c>
      <c r="C274" s="9" t="inlineStr">
        <is>
          <t>21/50 MA cross, 250-period confirm filter, VWAP</t>
        </is>
      </c>
      <c r="D274" s="9" t="inlineStr">
        <is>
          <t>Short</t>
        </is>
      </c>
      <c r="E274" s="10" t="n">
        <v>44979.45486111111</v>
      </c>
      <c r="F274" s="10" t="n">
        <v>44979.54861111111</v>
      </c>
      <c r="G274" s="11" t="n">
        <v>-3.17</v>
      </c>
      <c r="H274" s="11">
        <f>H273+G274</f>
        <v/>
      </c>
    </row>
    <row r="275">
      <c r="A275" s="9" t="n">
        <v>271</v>
      </c>
      <c r="B275" s="9" t="inlineStr">
        <is>
          <t>Vanguard_M15</t>
        </is>
      </c>
      <c r="C275" s="9" t="inlineStr">
        <is>
          <t>Trendline breakout (fractal swing line) + VWAP/S-R distance gate - M15 chart</t>
        </is>
      </c>
      <c r="D275" s="9" t="inlineStr">
        <is>
          <t>Short</t>
        </is>
      </c>
      <c r="E275" s="10" t="n">
        <v>44979.44791666666</v>
      </c>
      <c r="F275" s="10" t="n">
        <v>44979.55208333334</v>
      </c>
      <c r="G275" s="11" t="n">
        <v>-5.43</v>
      </c>
      <c r="H275" s="11">
        <f>H274+G275</f>
        <v/>
      </c>
    </row>
    <row r="276">
      <c r="A276" s="9" t="n">
        <v>272</v>
      </c>
      <c r="B276" s="9" t="inlineStr">
        <is>
          <t>Aurelius_M5</t>
        </is>
      </c>
      <c r="C276" s="9" t="inlineStr">
        <is>
          <t>MA alignment (EMA21&gt;EMA50&gt;SMA250&gt;SMMA500 vs EMA2400 trend filter)</t>
        </is>
      </c>
      <c r="D276" s="9" t="inlineStr">
        <is>
          <t>Short</t>
        </is>
      </c>
      <c r="E276" s="10" t="n">
        <v>44979.49305555555</v>
      </c>
      <c r="F276" s="10" t="n">
        <v>44979.55555555555</v>
      </c>
      <c r="G276" s="11" t="n">
        <v>-3.1</v>
      </c>
      <c r="H276" s="11">
        <f>H275+G276</f>
        <v/>
      </c>
    </row>
    <row r="277">
      <c r="A277" s="9" t="n">
        <v>273</v>
      </c>
      <c r="B277" s="9" t="inlineStr">
        <is>
          <t>Vanguard_M5</t>
        </is>
      </c>
      <c r="C277" s="9" t="inlineStr">
        <is>
          <t>Trendline breakout (fractal swing line) + VWAP/S-R distance gate</t>
        </is>
      </c>
      <c r="D277" s="9" t="inlineStr">
        <is>
          <t>Short</t>
        </is>
      </c>
      <c r="E277" s="10" t="n">
        <v>44979.44444444445</v>
      </c>
      <c r="F277" s="10" t="n">
        <v>44979.55902777778</v>
      </c>
      <c r="G277" s="11" t="n">
        <v>-4.9</v>
      </c>
      <c r="H277" s="11">
        <f>H276+G277</f>
        <v/>
      </c>
    </row>
    <row r="278">
      <c r="A278" s="9" t="n">
        <v>274</v>
      </c>
      <c r="B278" s="9" t="inlineStr">
        <is>
          <t>Vanguard_M5</t>
        </is>
      </c>
      <c r="C278" s="9" t="inlineStr">
        <is>
          <t>Trendline breakout (fractal swing line) + VWAP/S-R distance gate</t>
        </is>
      </c>
      <c r="D278" s="9" t="inlineStr">
        <is>
          <t>Long</t>
        </is>
      </c>
      <c r="E278" s="10" t="n">
        <v>44979.59722222222</v>
      </c>
      <c r="F278" s="10" t="n">
        <v>44979.64583333334</v>
      </c>
      <c r="G278" s="11" t="n">
        <v>-5.49</v>
      </c>
      <c r="H278" s="11">
        <f>H277+G278</f>
        <v/>
      </c>
    </row>
    <row r="279">
      <c r="A279" s="9" t="n">
        <v>275</v>
      </c>
      <c r="B279" s="9" t="inlineStr">
        <is>
          <t>Vanguard_M15</t>
        </is>
      </c>
      <c r="C279" s="9" t="inlineStr">
        <is>
          <t>Trendline breakout (fractal swing line) + VWAP/S-R distance gate - M15 chart</t>
        </is>
      </c>
      <c r="D279" s="9" t="inlineStr">
        <is>
          <t>Long</t>
        </is>
      </c>
      <c r="E279" s="10" t="n">
        <v>44979.60416666666</v>
      </c>
      <c r="F279" s="10" t="n">
        <v>44979.64583333334</v>
      </c>
      <c r="G279" s="11" t="n">
        <v>-6.83</v>
      </c>
      <c r="H279" s="11">
        <f>H278+G279</f>
        <v/>
      </c>
    </row>
    <row r="280">
      <c r="A280" s="9" t="n">
        <v>276</v>
      </c>
      <c r="B280" s="9" t="inlineStr">
        <is>
          <t>Meridian</t>
        </is>
      </c>
      <c r="C280" s="9" t="inlineStr">
        <is>
          <t>21/50 MA cross, 250-period confirm filter, VWAP</t>
        </is>
      </c>
      <c r="D280" s="9" t="inlineStr">
        <is>
          <t>Long</t>
        </is>
      </c>
      <c r="E280" s="10" t="n">
        <v>44979.55902777778</v>
      </c>
      <c r="F280" s="10" t="n">
        <v>44979.64930555555</v>
      </c>
      <c r="G280" s="11" t="n">
        <v>-3.13</v>
      </c>
      <c r="H280" s="11">
        <f>H279+G280</f>
        <v/>
      </c>
    </row>
    <row r="281">
      <c r="A281" s="9" t="n">
        <v>277</v>
      </c>
      <c r="B281" s="9" t="inlineStr">
        <is>
          <t>Ratchet</t>
        </is>
      </c>
      <c r="C281" s="9" t="inlineStr">
        <is>
          <t>Stochastic scalp with give-back trail exit</t>
        </is>
      </c>
      <c r="D281" s="9" t="inlineStr">
        <is>
          <t>Short</t>
        </is>
      </c>
      <c r="E281" s="10" t="n">
        <v>44979.78125</v>
      </c>
      <c r="F281" s="10" t="n">
        <v>44979.78819444445</v>
      </c>
      <c r="G281" s="11" t="n">
        <v>-0</v>
      </c>
      <c r="H281" s="11">
        <f>H280+G281</f>
        <v/>
      </c>
    </row>
    <row r="282">
      <c r="A282" s="9" t="n">
        <v>278</v>
      </c>
      <c r="B282" s="9" t="inlineStr">
        <is>
          <t>Aurelius_M5</t>
        </is>
      </c>
      <c r="C282" s="9" t="inlineStr">
        <is>
          <t>MA alignment (EMA21&gt;EMA50&gt;SMA250&gt;SMMA500 vs EMA2400 trend filter)</t>
        </is>
      </c>
      <c r="D282" s="9" t="inlineStr">
        <is>
          <t>Short</t>
        </is>
      </c>
      <c r="E282" s="10" t="n">
        <v>44979.87847222222</v>
      </c>
      <c r="F282" s="10" t="n">
        <v>44980.04166666666</v>
      </c>
      <c r="G282" s="11" t="n">
        <v>7.73</v>
      </c>
      <c r="H282" s="11">
        <f>H281+G282</f>
        <v/>
      </c>
    </row>
    <row r="283">
      <c r="A283" s="9" t="n">
        <v>279</v>
      </c>
      <c r="B283" s="9" t="inlineStr">
        <is>
          <t>Ratchet</t>
        </is>
      </c>
      <c r="C283" s="9" t="inlineStr">
        <is>
          <t>Stochastic scalp with give-back trail exit</t>
        </is>
      </c>
      <c r="D283" s="9" t="inlineStr">
        <is>
          <t>Short</t>
        </is>
      </c>
      <c r="E283" s="10" t="n">
        <v>44980.07986111111</v>
      </c>
      <c r="F283" s="10" t="n">
        <v>44980.08680555555</v>
      </c>
      <c r="G283" s="11" t="n">
        <v>0.16</v>
      </c>
      <c r="H283" s="11">
        <f>H282+G283</f>
        <v/>
      </c>
    </row>
    <row r="284">
      <c r="A284" s="9" t="n">
        <v>280</v>
      </c>
      <c r="B284" s="9" t="inlineStr">
        <is>
          <t>Ratchet</t>
        </is>
      </c>
      <c r="C284" s="9" t="inlineStr">
        <is>
          <t>Stochastic scalp with give-back trail exit</t>
        </is>
      </c>
      <c r="D284" s="9" t="inlineStr">
        <is>
          <t>Short</t>
        </is>
      </c>
      <c r="E284" s="10" t="n">
        <v>44980.10069444445</v>
      </c>
      <c r="F284" s="10" t="n">
        <v>44980.11111111111</v>
      </c>
      <c r="G284" s="11" t="n">
        <v>0.22</v>
      </c>
      <c r="H284" s="11">
        <f>H283+G284</f>
        <v/>
      </c>
    </row>
    <row r="285">
      <c r="A285" s="9" t="n">
        <v>281</v>
      </c>
      <c r="B285" s="9" t="inlineStr">
        <is>
          <t>Aurelius_M15</t>
        </is>
      </c>
      <c r="C285" s="9" t="inlineStr">
        <is>
          <t>MA alignment (EMA21&gt;EMA50&gt;SMA250&gt;SMMA500 vs EMA2400 trend filter) - M15 chart</t>
        </is>
      </c>
      <c r="D285" s="9" t="inlineStr">
        <is>
          <t>Short</t>
        </is>
      </c>
      <c r="E285" s="10" t="n">
        <v>44979.88541666666</v>
      </c>
      <c r="F285" s="10" t="n">
        <v>44980.20833333334</v>
      </c>
      <c r="G285" s="11" t="n">
        <v>-1.07</v>
      </c>
      <c r="H285" s="11">
        <f>H284+G285</f>
        <v/>
      </c>
    </row>
    <row r="286">
      <c r="A286" s="9" t="n">
        <v>282</v>
      </c>
      <c r="B286" s="9" t="inlineStr">
        <is>
          <t>Ratchet</t>
        </is>
      </c>
      <c r="C286" s="9" t="inlineStr">
        <is>
          <t>Stochastic scalp with give-back trail exit</t>
        </is>
      </c>
      <c r="D286" s="9" t="inlineStr">
        <is>
          <t>Short</t>
        </is>
      </c>
      <c r="E286" s="10" t="n">
        <v>44980.56597222222</v>
      </c>
      <c r="F286" s="10" t="n">
        <v>44980.57986111111</v>
      </c>
      <c r="G286" s="11" t="n">
        <v>-1.88</v>
      </c>
      <c r="H286" s="11">
        <f>H285+G286</f>
        <v/>
      </c>
    </row>
    <row r="287">
      <c r="A287" s="9" t="n">
        <v>283</v>
      </c>
      <c r="B287" s="9" t="inlineStr">
        <is>
          <t>Aurelius_M5</t>
        </is>
      </c>
      <c r="C287" s="9" t="inlineStr">
        <is>
          <t>MA alignment (EMA21&gt;EMA50&gt;SMA250&gt;SMMA500 vs EMA2400 trend filter)</t>
        </is>
      </c>
      <c r="D287" s="9" t="inlineStr">
        <is>
          <t>Short</t>
        </is>
      </c>
      <c r="E287" s="10" t="n">
        <v>44980.46180555555</v>
      </c>
      <c r="F287" s="10" t="n">
        <v>44980.68055555555</v>
      </c>
      <c r="G287" s="11" t="n">
        <v>-2.88</v>
      </c>
      <c r="H287" s="11">
        <f>H286+G287</f>
        <v/>
      </c>
    </row>
    <row r="288">
      <c r="A288" s="9" t="n">
        <v>284</v>
      </c>
      <c r="B288" s="9" t="inlineStr">
        <is>
          <t>Ratchet</t>
        </is>
      </c>
      <c r="C288" s="9" t="inlineStr">
        <is>
          <t>Stochastic scalp with give-back trail exit</t>
        </is>
      </c>
      <c r="D288" s="9" t="inlineStr">
        <is>
          <t>Short</t>
        </is>
      </c>
      <c r="E288" s="10" t="n">
        <v>44980.85416666666</v>
      </c>
      <c r="F288" s="10" t="n">
        <v>44980.86111111111</v>
      </c>
      <c r="G288" s="11" t="n">
        <v>-1.88</v>
      </c>
      <c r="H288" s="11">
        <f>H287+G288</f>
        <v/>
      </c>
    </row>
    <row r="289">
      <c r="A289" s="9" t="n">
        <v>285</v>
      </c>
      <c r="B289" s="9" t="inlineStr">
        <is>
          <t>Aurelius_M5</t>
        </is>
      </c>
      <c r="C289" s="9" t="inlineStr">
        <is>
          <t>MA alignment (EMA21&gt;EMA50&gt;SMA250&gt;SMMA500 vs EMA2400 trend filter)</t>
        </is>
      </c>
      <c r="D289" s="9" t="inlineStr">
        <is>
          <t>Short</t>
        </is>
      </c>
      <c r="E289" s="10" t="n">
        <v>44980.76388888889</v>
      </c>
      <c r="F289" s="10" t="n">
        <v>44980.88888888889</v>
      </c>
      <c r="G289" s="11" t="n">
        <v>-4.47</v>
      </c>
      <c r="H289" s="11">
        <f>H288+G289</f>
        <v/>
      </c>
    </row>
    <row r="290">
      <c r="A290" s="9" t="n">
        <v>286</v>
      </c>
      <c r="B290" s="9" t="inlineStr">
        <is>
          <t>Meridian</t>
        </is>
      </c>
      <c r="C290" s="9" t="inlineStr">
        <is>
          <t>21/50 MA cross, 250-period confirm filter, VWAP</t>
        </is>
      </c>
      <c r="D290" s="9" t="inlineStr">
        <is>
          <t>Short</t>
        </is>
      </c>
      <c r="E290" s="10" t="n">
        <v>44980.4375</v>
      </c>
      <c r="F290" s="10" t="n">
        <v>44980.90277777778</v>
      </c>
      <c r="G290" s="11" t="n">
        <v>4.27</v>
      </c>
      <c r="H290" s="11">
        <f>H289+G290</f>
        <v/>
      </c>
    </row>
    <row r="291">
      <c r="A291" s="9" t="n">
        <v>287</v>
      </c>
      <c r="B291" s="9" t="inlineStr">
        <is>
          <t>Ratchet</t>
        </is>
      </c>
      <c r="C291" s="9" t="inlineStr">
        <is>
          <t>Stochastic scalp with give-back trail exit</t>
        </is>
      </c>
      <c r="D291" s="9" t="inlineStr">
        <is>
          <t>Short</t>
        </is>
      </c>
      <c r="E291" s="10" t="n">
        <v>44981.04861111111</v>
      </c>
      <c r="F291" s="10" t="n">
        <v>44981.05902777778</v>
      </c>
      <c r="G291" s="11" t="n">
        <v>-0.87</v>
      </c>
      <c r="H291" s="11">
        <f>H290+G291</f>
        <v/>
      </c>
    </row>
    <row r="292">
      <c r="A292" s="9" t="n">
        <v>288</v>
      </c>
      <c r="B292" s="9" t="inlineStr">
        <is>
          <t>Vanguard_M15</t>
        </is>
      </c>
      <c r="C292" s="9" t="inlineStr">
        <is>
          <t>Trendline breakout (fractal swing line) + VWAP/S-R distance gate - M15 chart</t>
        </is>
      </c>
      <c r="D292" s="9" t="inlineStr">
        <is>
          <t>Short</t>
        </is>
      </c>
      <c r="E292" s="10" t="n">
        <v>44979.69791666666</v>
      </c>
      <c r="F292" s="10" t="n">
        <v>44981.07291666666</v>
      </c>
      <c r="G292" s="11" t="n">
        <v>12.03</v>
      </c>
      <c r="H292" s="11">
        <f>H291+G292</f>
        <v/>
      </c>
    </row>
    <row r="293">
      <c r="A293" s="9" t="n">
        <v>289</v>
      </c>
      <c r="B293" s="9" t="inlineStr">
        <is>
          <t>Vanguard_M5</t>
        </is>
      </c>
      <c r="C293" s="9" t="inlineStr">
        <is>
          <t>Trendline breakout (fractal swing line) + VWAP/S-R distance gate</t>
        </is>
      </c>
      <c r="D293" s="9" t="inlineStr">
        <is>
          <t>Short</t>
        </is>
      </c>
      <c r="E293" s="10" t="n">
        <v>44979.69791666666</v>
      </c>
      <c r="F293" s="10" t="n">
        <v>44981.07291666666</v>
      </c>
      <c r="G293" s="11" t="n">
        <v>11.94</v>
      </c>
      <c r="H293" s="11">
        <f>H292+G293</f>
        <v/>
      </c>
    </row>
    <row r="294">
      <c r="A294" s="9" t="n">
        <v>290</v>
      </c>
      <c r="B294" s="9" t="inlineStr">
        <is>
          <t>Meridian</t>
        </is>
      </c>
      <c r="C294" s="9" t="inlineStr">
        <is>
          <t>21/50 MA cross, 250-period confirm filter, VWAP</t>
        </is>
      </c>
      <c r="D294" s="9" t="inlineStr">
        <is>
          <t>Short</t>
        </is>
      </c>
      <c r="E294" s="10" t="n">
        <v>44980.98958333334</v>
      </c>
      <c r="F294" s="10" t="n">
        <v>44981.07638888889</v>
      </c>
      <c r="G294" s="11" t="n">
        <v>-1.06</v>
      </c>
      <c r="H294" s="11">
        <f>H293+G294</f>
        <v/>
      </c>
    </row>
    <row r="295">
      <c r="A295" s="9" t="n">
        <v>291</v>
      </c>
      <c r="B295" s="9" t="inlineStr">
        <is>
          <t>Meridian</t>
        </is>
      </c>
      <c r="C295" s="9" t="inlineStr">
        <is>
          <t>21/50 MA cross, 250-period confirm filter, VWAP</t>
        </is>
      </c>
      <c r="D295" s="9" t="inlineStr">
        <is>
          <t>Short</t>
        </is>
      </c>
      <c r="E295" s="10" t="n">
        <v>44981.31597222222</v>
      </c>
      <c r="F295" s="10" t="n">
        <v>44981.38541666666</v>
      </c>
      <c r="G295" s="11" t="n">
        <v>-1.64</v>
      </c>
      <c r="H295" s="11">
        <f>H294+G295</f>
        <v/>
      </c>
    </row>
    <row r="296">
      <c r="A296" s="9" t="n">
        <v>292</v>
      </c>
      <c r="B296" s="9" t="inlineStr">
        <is>
          <t>Vanguard_M5</t>
        </is>
      </c>
      <c r="C296" s="9" t="inlineStr">
        <is>
          <t>Trendline breakout (fractal swing line) + VWAP/S-R distance gate</t>
        </is>
      </c>
      <c r="D296" s="9" t="inlineStr">
        <is>
          <t>Long</t>
        </is>
      </c>
      <c r="E296" s="10" t="n">
        <v>44981.07638888889</v>
      </c>
      <c r="F296" s="10" t="n">
        <v>44981.41666666666</v>
      </c>
      <c r="G296" s="11" t="n">
        <v>-2.42</v>
      </c>
      <c r="H296" s="11">
        <f>H295+G296</f>
        <v/>
      </c>
    </row>
    <row r="297">
      <c r="A297" s="9" t="n">
        <v>293</v>
      </c>
      <c r="B297" s="9" t="inlineStr">
        <is>
          <t>Aurelius_M5</t>
        </is>
      </c>
      <c r="C297" s="9" t="inlineStr">
        <is>
          <t>MA alignment (EMA21&gt;EMA50&gt;SMA250&gt;SMMA500 vs EMA2400 trend filter)</t>
        </is>
      </c>
      <c r="D297" s="9" t="inlineStr">
        <is>
          <t>Short</t>
        </is>
      </c>
      <c r="E297" s="10" t="n">
        <v>44981.42361111111</v>
      </c>
      <c r="F297" s="10" t="n">
        <v>44981.4375</v>
      </c>
      <c r="G297" s="11" t="n">
        <v>-2.86</v>
      </c>
      <c r="H297" s="11">
        <f>H296+G297</f>
        <v/>
      </c>
    </row>
    <row r="298">
      <c r="A298" s="9" t="n">
        <v>294</v>
      </c>
      <c r="B298" s="9" t="inlineStr">
        <is>
          <t>Aurelius_M5</t>
        </is>
      </c>
      <c r="C298" s="9" t="inlineStr">
        <is>
          <t>MA alignment (EMA21&gt;EMA50&gt;SMA250&gt;SMMA500 vs EMA2400 trend filter)</t>
        </is>
      </c>
      <c r="D298" s="9" t="inlineStr">
        <is>
          <t>Short</t>
        </is>
      </c>
      <c r="E298" s="10" t="n">
        <v>44981.45486111111</v>
      </c>
      <c r="F298" s="10" t="n">
        <v>44981.46527777778</v>
      </c>
      <c r="G298" s="11" t="n">
        <v>-3.33</v>
      </c>
      <c r="H298" s="11">
        <f>H297+G298</f>
        <v/>
      </c>
    </row>
    <row r="299">
      <c r="A299" s="9" t="n">
        <v>295</v>
      </c>
      <c r="B299" s="9" t="inlineStr">
        <is>
          <t>Ratchet</t>
        </is>
      </c>
      <c r="C299" s="9" t="inlineStr">
        <is>
          <t>Stochastic scalp with give-back trail exit</t>
        </is>
      </c>
      <c r="D299" s="9" t="inlineStr">
        <is>
          <t>Short</t>
        </is>
      </c>
      <c r="E299" s="10" t="n">
        <v>44981.48958333334</v>
      </c>
      <c r="F299" s="10" t="n">
        <v>44981.50347222222</v>
      </c>
      <c r="G299" s="11" t="n">
        <v>-0</v>
      </c>
      <c r="H299" s="11">
        <f>H298+G299</f>
        <v/>
      </c>
    </row>
    <row r="300">
      <c r="A300" s="9" t="n">
        <v>296</v>
      </c>
      <c r="B300" s="9" t="inlineStr">
        <is>
          <t>Vanguard_M15</t>
        </is>
      </c>
      <c r="C300" s="9" t="inlineStr">
        <is>
          <t>Trendline breakout (fractal swing line) + VWAP/S-R distance gate - M15 chart</t>
        </is>
      </c>
      <c r="D300" s="9" t="inlineStr">
        <is>
          <t>Long</t>
        </is>
      </c>
      <c r="E300" s="10" t="n">
        <v>44981.08333333334</v>
      </c>
      <c r="F300" s="10" t="n">
        <v>44981.5625</v>
      </c>
      <c r="G300" s="11" t="n">
        <v>-4.57</v>
      </c>
      <c r="H300" s="11">
        <f>H299+G300</f>
        <v/>
      </c>
    </row>
    <row r="301">
      <c r="A301" s="9" t="n">
        <v>297</v>
      </c>
      <c r="B301" s="9" t="inlineStr">
        <is>
          <t>Ratchet</t>
        </is>
      </c>
      <c r="C301" s="9" t="inlineStr">
        <is>
          <t>Stochastic scalp with give-back trail exit</t>
        </is>
      </c>
      <c r="D301" s="9" t="inlineStr">
        <is>
          <t>Short</t>
        </is>
      </c>
      <c r="E301" s="10" t="n">
        <v>44981.55902777778</v>
      </c>
      <c r="F301" s="10" t="n">
        <v>44981.83680555555</v>
      </c>
      <c r="G301" s="11" t="n">
        <v>11.33</v>
      </c>
      <c r="H301" s="11">
        <f>H300+G301</f>
        <v/>
      </c>
    </row>
    <row r="302">
      <c r="A302" s="9" t="n">
        <v>298</v>
      </c>
      <c r="B302" s="9" t="inlineStr">
        <is>
          <t>Aurelius_M5</t>
        </is>
      </c>
      <c r="C302" s="9" t="inlineStr">
        <is>
          <t>MA alignment (EMA21&gt;EMA50&gt;SMA250&gt;SMMA500 vs EMA2400 trend filter)</t>
        </is>
      </c>
      <c r="D302" s="9" t="inlineStr">
        <is>
          <t>Short</t>
        </is>
      </c>
      <c r="E302" s="10" t="n">
        <v>44981.54861111111</v>
      </c>
      <c r="F302" s="10" t="n">
        <v>44981.92013888889</v>
      </c>
      <c r="G302" s="11" t="n">
        <v>10.26</v>
      </c>
      <c r="H302" s="11">
        <f>H301+G302</f>
        <v/>
      </c>
    </row>
    <row r="303">
      <c r="A303" s="9" t="n">
        <v>299</v>
      </c>
      <c r="B303" s="9" t="inlineStr">
        <is>
          <t>Ratchet</t>
        </is>
      </c>
      <c r="C303" s="9" t="inlineStr">
        <is>
          <t>Stochastic scalp with give-back trail exit</t>
        </is>
      </c>
      <c r="D303" s="9" t="inlineStr">
        <is>
          <t>Short</t>
        </is>
      </c>
      <c r="E303" s="10" t="n">
        <v>44984.30555555555</v>
      </c>
      <c r="F303" s="10" t="n">
        <v>44984.30902777778</v>
      </c>
      <c r="G303" s="11" t="n">
        <v>0.23</v>
      </c>
      <c r="H303" s="11">
        <f>H302+G303</f>
        <v/>
      </c>
    </row>
    <row r="304">
      <c r="A304" s="9" t="n">
        <v>300</v>
      </c>
      <c r="B304" s="9" t="inlineStr">
        <is>
          <t>Ratchet</t>
        </is>
      </c>
      <c r="C304" s="9" t="inlineStr">
        <is>
          <t>Stochastic scalp with give-back trail exit</t>
        </is>
      </c>
      <c r="D304" s="9" t="inlineStr">
        <is>
          <t>Short</t>
        </is>
      </c>
      <c r="E304" s="10" t="n">
        <v>44984.375</v>
      </c>
      <c r="F304" s="10" t="n">
        <v>44984.39236111111</v>
      </c>
      <c r="G304" s="11" t="n">
        <v>-1.88</v>
      </c>
      <c r="H304" s="11">
        <f>H303+G304</f>
        <v/>
      </c>
    </row>
    <row r="305">
      <c r="A305" s="9" t="n">
        <v>301</v>
      </c>
      <c r="B305" s="9" t="inlineStr">
        <is>
          <t>Meridian</t>
        </is>
      </c>
      <c r="C305" s="9" t="inlineStr">
        <is>
          <t>21/50 MA cross, 250-period confirm filter, VWAP</t>
        </is>
      </c>
      <c r="D305" s="9" t="inlineStr">
        <is>
          <t>Short</t>
        </is>
      </c>
      <c r="E305" s="10" t="n">
        <v>44984.21527777778</v>
      </c>
      <c r="F305" s="10" t="n">
        <v>44984.41666666666</v>
      </c>
      <c r="G305" s="11" t="n">
        <v>-2.03</v>
      </c>
      <c r="H305" s="11">
        <f>H304+G305</f>
        <v/>
      </c>
    </row>
    <row r="306">
      <c r="A306" s="9" t="n">
        <v>302</v>
      </c>
      <c r="B306" s="9" t="inlineStr">
        <is>
          <t>Ratchet</t>
        </is>
      </c>
      <c r="C306" s="9" t="inlineStr">
        <is>
          <t>Stochastic scalp with give-back trail exit</t>
        </is>
      </c>
      <c r="D306" s="9" t="inlineStr">
        <is>
          <t>Short</t>
        </is>
      </c>
      <c r="E306" s="10" t="n">
        <v>44984.49652777778</v>
      </c>
      <c r="F306" s="10" t="n">
        <v>44984.5</v>
      </c>
      <c r="G306" s="11" t="n">
        <v>-0</v>
      </c>
      <c r="H306" s="11">
        <f>H305+G306</f>
        <v/>
      </c>
    </row>
    <row r="307">
      <c r="A307" s="9" t="n">
        <v>303</v>
      </c>
      <c r="B307" s="9" t="inlineStr">
        <is>
          <t>Ratchet</t>
        </is>
      </c>
      <c r="C307" s="9" t="inlineStr">
        <is>
          <t>Stochastic scalp with give-back trail exit</t>
        </is>
      </c>
      <c r="D307" s="9" t="inlineStr">
        <is>
          <t>Short</t>
        </is>
      </c>
      <c r="E307" s="10" t="n">
        <v>44984.51041666666</v>
      </c>
      <c r="F307" s="10" t="n">
        <v>44984.53472222222</v>
      </c>
      <c r="G307" s="11" t="n">
        <v>-1.85</v>
      </c>
      <c r="H307" s="11">
        <f>H306+G307</f>
        <v/>
      </c>
    </row>
    <row r="308">
      <c r="A308" s="9" t="n">
        <v>304</v>
      </c>
      <c r="B308" s="9" t="inlineStr">
        <is>
          <t>Meridian</t>
        </is>
      </c>
      <c r="C308" s="9" t="inlineStr">
        <is>
          <t>21/50 MA cross, 250-period confirm filter, VWAP</t>
        </is>
      </c>
      <c r="D308" s="9" t="inlineStr">
        <is>
          <t>Long</t>
        </is>
      </c>
      <c r="E308" s="10" t="n">
        <v>44984.54513888889</v>
      </c>
      <c r="F308" s="10" t="n">
        <v>44984.96180555555</v>
      </c>
      <c r="G308" s="11" t="n">
        <v>4.73</v>
      </c>
      <c r="H308" s="11">
        <f>H307+G308</f>
        <v/>
      </c>
    </row>
    <row r="309">
      <c r="A309" s="9" t="n">
        <v>305</v>
      </c>
      <c r="B309" s="9" t="inlineStr">
        <is>
          <t>Meridian</t>
        </is>
      </c>
      <c r="C309" s="9" t="inlineStr">
        <is>
          <t>21/50 MA cross, 250-period confirm filter, VWAP</t>
        </is>
      </c>
      <c r="D309" s="9" t="inlineStr">
        <is>
          <t>Long</t>
        </is>
      </c>
      <c r="E309" s="10" t="n">
        <v>44985.05208333334</v>
      </c>
      <c r="F309" s="10" t="n">
        <v>44985.11805555555</v>
      </c>
      <c r="G309" s="11" t="n">
        <v>-1.29</v>
      </c>
      <c r="H309" s="11">
        <f>H308+G309</f>
        <v/>
      </c>
    </row>
    <row r="310">
      <c r="A310" s="9" t="n">
        <v>306</v>
      </c>
      <c r="B310" s="9" t="inlineStr">
        <is>
          <t>Meridian</t>
        </is>
      </c>
      <c r="C310" s="9" t="inlineStr">
        <is>
          <t>21/50 MA cross, 250-period confirm filter, VWAP</t>
        </is>
      </c>
      <c r="D310" s="9" t="inlineStr">
        <is>
          <t>Long</t>
        </is>
      </c>
      <c r="E310" s="10" t="n">
        <v>44985.18402777778</v>
      </c>
      <c r="F310" s="10" t="n">
        <v>44985.21875</v>
      </c>
      <c r="G310" s="11" t="n">
        <v>-1.86</v>
      </c>
      <c r="H310" s="11">
        <f>H309+G310</f>
        <v/>
      </c>
    </row>
    <row r="311">
      <c r="A311" s="9" t="n">
        <v>307</v>
      </c>
      <c r="B311" s="9" t="inlineStr">
        <is>
          <t>Ratchet</t>
        </is>
      </c>
      <c r="C311" s="9" t="inlineStr">
        <is>
          <t>Stochastic scalp with give-back trail exit</t>
        </is>
      </c>
      <c r="D311" s="9" t="inlineStr">
        <is>
          <t>Short</t>
        </is>
      </c>
      <c r="E311" s="10" t="n">
        <v>44985.52777777778</v>
      </c>
      <c r="F311" s="10" t="n">
        <v>44985.54861111111</v>
      </c>
      <c r="G311" s="11" t="n">
        <v>0.52</v>
      </c>
      <c r="H311" s="11">
        <f>H310+G311</f>
        <v/>
      </c>
    </row>
    <row r="312">
      <c r="A312" s="9" t="n">
        <v>308</v>
      </c>
      <c r="B312" s="9" t="inlineStr">
        <is>
          <t>Ratchet</t>
        </is>
      </c>
      <c r="C312" s="9" t="inlineStr">
        <is>
          <t>Stochastic scalp with give-back trail exit</t>
        </is>
      </c>
      <c r="D312" s="9" t="inlineStr">
        <is>
          <t>Short</t>
        </is>
      </c>
      <c r="E312" s="10" t="n">
        <v>44985.59375</v>
      </c>
      <c r="F312" s="10" t="n">
        <v>44985.60416666666</v>
      </c>
      <c r="G312" s="11" t="n">
        <v>-0</v>
      </c>
      <c r="H312" s="11">
        <f>H311+G312</f>
        <v/>
      </c>
    </row>
    <row r="313">
      <c r="A313" s="9" t="n">
        <v>309</v>
      </c>
      <c r="B313" s="9" t="inlineStr">
        <is>
          <t>Ratchet</t>
        </is>
      </c>
      <c r="C313" s="9" t="inlineStr">
        <is>
          <t>Stochastic scalp with give-back trail exit</t>
        </is>
      </c>
      <c r="D313" s="9" t="inlineStr">
        <is>
          <t>Short</t>
        </is>
      </c>
      <c r="E313" s="10" t="n">
        <v>44985.61805555555</v>
      </c>
      <c r="F313" s="10" t="n">
        <v>44985.65277777778</v>
      </c>
      <c r="G313" s="11" t="n">
        <v>0.3</v>
      </c>
      <c r="H313" s="11">
        <f>H312+G313</f>
        <v/>
      </c>
    </row>
    <row r="314">
      <c r="A314" s="9" t="n">
        <v>310</v>
      </c>
      <c r="B314" s="9" t="inlineStr">
        <is>
          <t>Aurelius_M15</t>
        </is>
      </c>
      <c r="C314" s="9" t="inlineStr">
        <is>
          <t>MA alignment (EMA21&gt;EMA50&gt;SMA250&gt;SMMA500 vs EMA2400 trend filter) - M15 chart</t>
        </is>
      </c>
      <c r="D314" s="9" t="inlineStr">
        <is>
          <t>Short</t>
        </is>
      </c>
      <c r="E314" s="10" t="n">
        <v>44985.4375</v>
      </c>
      <c r="F314" s="10" t="n">
        <v>44985.66666666666</v>
      </c>
      <c r="G314" s="11" t="n">
        <v>-5.08</v>
      </c>
      <c r="H314" s="11">
        <f>H313+G314</f>
        <v/>
      </c>
    </row>
    <row r="315">
      <c r="A315" s="9" t="n">
        <v>311</v>
      </c>
      <c r="B315" s="9" t="inlineStr">
        <is>
          <t>Aurelius_M5</t>
        </is>
      </c>
      <c r="C315" s="9" t="inlineStr">
        <is>
          <t>MA alignment (EMA21&gt;EMA50&gt;SMA250&gt;SMMA500 vs EMA2400 trend filter)</t>
        </is>
      </c>
      <c r="D315" s="9" t="inlineStr">
        <is>
          <t>Short</t>
        </is>
      </c>
      <c r="E315" s="10" t="n">
        <v>44985.37847222222</v>
      </c>
      <c r="F315" s="10" t="n">
        <v>44985.67013888889</v>
      </c>
      <c r="G315" s="11" t="n">
        <v>-0.05</v>
      </c>
      <c r="H315" s="11">
        <f>H314+G315</f>
        <v/>
      </c>
    </row>
    <row r="316">
      <c r="A316" s="9" t="n">
        <v>312</v>
      </c>
      <c r="B316" s="9" t="inlineStr">
        <is>
          <t>Ratchet</t>
        </is>
      </c>
      <c r="C316" s="9" t="inlineStr">
        <is>
          <t>Stochastic scalp with give-back trail exit</t>
        </is>
      </c>
      <c r="D316" s="9" t="inlineStr">
        <is>
          <t>Long</t>
        </is>
      </c>
      <c r="E316" s="10" t="n">
        <v>44985.88194444445</v>
      </c>
      <c r="F316" s="10" t="n">
        <v>44985.92708333334</v>
      </c>
      <c r="G316" s="11" t="n">
        <v>-1.87</v>
      </c>
      <c r="H316" s="11">
        <f>H315+G316</f>
        <v/>
      </c>
    </row>
    <row r="317">
      <c r="A317" s="9" t="n">
        <v>313</v>
      </c>
      <c r="B317" s="9" t="inlineStr">
        <is>
          <t>Aurelius_M5</t>
        </is>
      </c>
      <c r="C317" s="9" t="inlineStr">
        <is>
          <t>MA alignment (EMA21&gt;EMA50&gt;SMA250&gt;SMMA500 vs EMA2400 trend filter)</t>
        </is>
      </c>
      <c r="D317" s="9" t="inlineStr">
        <is>
          <t>Long</t>
        </is>
      </c>
      <c r="E317" s="10" t="n">
        <v>44986.44791666666</v>
      </c>
      <c r="F317" s="10" t="n">
        <v>44986.47222222222</v>
      </c>
      <c r="G317" s="11" t="n">
        <v>-3.4</v>
      </c>
      <c r="H317" s="11">
        <f>H316+G317</f>
        <v/>
      </c>
    </row>
    <row r="318">
      <c r="A318" s="9" t="n">
        <v>314</v>
      </c>
      <c r="B318" s="9" t="inlineStr">
        <is>
          <t>Meridian</t>
        </is>
      </c>
      <c r="C318" s="9" t="inlineStr">
        <is>
          <t>21/50 MA cross, 250-period confirm filter, VWAP</t>
        </is>
      </c>
      <c r="D318" s="9" t="inlineStr">
        <is>
          <t>Long</t>
        </is>
      </c>
      <c r="E318" s="10" t="n">
        <v>44986.17013888889</v>
      </c>
      <c r="F318" s="10" t="n">
        <v>44986.50347222222</v>
      </c>
      <c r="G318" s="11" t="n">
        <v>3.94</v>
      </c>
      <c r="H318" s="11">
        <f>H317+G318</f>
        <v/>
      </c>
    </row>
    <row r="319">
      <c r="A319" s="9" t="n">
        <v>315</v>
      </c>
      <c r="B319" s="9" t="inlineStr">
        <is>
          <t>Ratchet</t>
        </is>
      </c>
      <c r="C319" s="9" t="inlineStr">
        <is>
          <t>Stochastic scalp with give-back trail exit</t>
        </is>
      </c>
      <c r="D319" s="9" t="inlineStr">
        <is>
          <t>Long</t>
        </is>
      </c>
      <c r="E319" s="10" t="n">
        <v>44986.55555555555</v>
      </c>
      <c r="F319" s="10" t="n">
        <v>44986.56597222222</v>
      </c>
      <c r="G319" s="11" t="n">
        <v>0.5600000000000001</v>
      </c>
      <c r="H319" s="11">
        <f>H318+G319</f>
        <v/>
      </c>
    </row>
    <row r="320">
      <c r="A320" s="9" t="n">
        <v>316</v>
      </c>
      <c r="B320" s="9" t="inlineStr">
        <is>
          <t>Aurelius_M5</t>
        </is>
      </c>
      <c r="C320" s="9" t="inlineStr">
        <is>
          <t>MA alignment (EMA21&gt;EMA50&gt;SMA250&gt;SMMA500 vs EMA2400 trend filter)</t>
        </is>
      </c>
      <c r="D320" s="9" t="inlineStr">
        <is>
          <t>Long</t>
        </is>
      </c>
      <c r="E320" s="10" t="n">
        <v>44986.5625</v>
      </c>
      <c r="F320" s="10" t="n">
        <v>44986.57638888889</v>
      </c>
      <c r="G320" s="11" t="n">
        <v>-3.07</v>
      </c>
      <c r="H320" s="11">
        <f>H319+G320</f>
        <v/>
      </c>
    </row>
    <row r="321">
      <c r="A321" s="9" t="n">
        <v>317</v>
      </c>
      <c r="B321" s="9" t="inlineStr">
        <is>
          <t>Ratchet</t>
        </is>
      </c>
      <c r="C321" s="9" t="inlineStr">
        <is>
          <t>Stochastic scalp with give-back trail exit</t>
        </is>
      </c>
      <c r="D321" s="9" t="inlineStr">
        <is>
          <t>Long</t>
        </is>
      </c>
      <c r="E321" s="10" t="n">
        <v>44986.60416666666</v>
      </c>
      <c r="F321" s="10" t="n">
        <v>44986.61805555555</v>
      </c>
      <c r="G321" s="11" t="n">
        <v>0.24</v>
      </c>
      <c r="H321" s="11">
        <f>H320+G321</f>
        <v/>
      </c>
    </row>
    <row r="322">
      <c r="A322" s="9" t="n">
        <v>318</v>
      </c>
      <c r="B322" s="9" t="inlineStr">
        <is>
          <t>Ratchet</t>
        </is>
      </c>
      <c r="C322" s="9" t="inlineStr">
        <is>
          <t>Stochastic scalp with give-back trail exit</t>
        </is>
      </c>
      <c r="D322" s="9" t="inlineStr">
        <is>
          <t>Long</t>
        </is>
      </c>
      <c r="E322" s="10" t="n">
        <v>44986.67361111111</v>
      </c>
      <c r="F322" s="10" t="n">
        <v>44986.70833333334</v>
      </c>
      <c r="G322" s="11" t="n">
        <v>1.06</v>
      </c>
      <c r="H322" s="11">
        <f>H321+G322</f>
        <v/>
      </c>
    </row>
    <row r="323">
      <c r="A323" s="9" t="n">
        <v>319</v>
      </c>
      <c r="B323" s="9" t="inlineStr">
        <is>
          <t>Aurelius_M15</t>
        </is>
      </c>
      <c r="C323" s="9" t="inlineStr">
        <is>
          <t>MA alignment (EMA21&gt;EMA50&gt;SMA250&gt;SMMA500 vs EMA2400 trend filter) - M15 chart</t>
        </is>
      </c>
      <c r="D323" s="9" t="inlineStr">
        <is>
          <t>Long</t>
        </is>
      </c>
      <c r="E323" s="10" t="n">
        <v>44986.72916666666</v>
      </c>
      <c r="F323" s="10" t="n">
        <v>44986.77083333334</v>
      </c>
      <c r="G323" s="11" t="n">
        <v>-0.57</v>
      </c>
      <c r="H323" s="11">
        <f>H322+G323</f>
        <v/>
      </c>
    </row>
    <row r="324">
      <c r="A324" s="9" t="n">
        <v>320</v>
      </c>
      <c r="B324" s="9" t="inlineStr">
        <is>
          <t>Ratchet</t>
        </is>
      </c>
      <c r="C324" s="9" t="inlineStr">
        <is>
          <t>Stochastic scalp with give-back trail exit</t>
        </is>
      </c>
      <c r="D324" s="9" t="inlineStr">
        <is>
          <t>Long</t>
        </is>
      </c>
      <c r="E324" s="10" t="n">
        <v>44986.74305555555</v>
      </c>
      <c r="F324" s="10" t="n">
        <v>44986.80902777778</v>
      </c>
      <c r="G324" s="11" t="n">
        <v>-5.09</v>
      </c>
      <c r="H324" s="11">
        <f>H323+G324</f>
        <v/>
      </c>
    </row>
    <row r="325">
      <c r="A325" s="9" t="n">
        <v>321</v>
      </c>
      <c r="B325" s="9" t="inlineStr">
        <is>
          <t>Meridian</t>
        </is>
      </c>
      <c r="C325" s="9" t="inlineStr">
        <is>
          <t>21/50 MA cross, 250-period confirm filter, VWAP</t>
        </is>
      </c>
      <c r="D325" s="9" t="inlineStr">
        <is>
          <t>Long</t>
        </is>
      </c>
      <c r="E325" s="10" t="n">
        <v>44986.54513888889</v>
      </c>
      <c r="F325" s="10" t="n">
        <v>44986.83680555555</v>
      </c>
      <c r="G325" s="11" t="n">
        <v>1.64</v>
      </c>
      <c r="H325" s="11">
        <f>H324+G325</f>
        <v/>
      </c>
    </row>
    <row r="326">
      <c r="A326" s="9" t="n">
        <v>322</v>
      </c>
      <c r="B326" s="9" t="inlineStr">
        <is>
          <t>Aurelius_M5</t>
        </is>
      </c>
      <c r="C326" s="9" t="inlineStr">
        <is>
          <t>MA alignment (EMA21&gt;EMA50&gt;SMA250&gt;SMMA500 vs EMA2400 trend filter)</t>
        </is>
      </c>
      <c r="D326" s="9" t="inlineStr">
        <is>
          <t>Long</t>
        </is>
      </c>
      <c r="E326" s="10" t="n">
        <v>44986.66319444445</v>
      </c>
      <c r="F326" s="10" t="n">
        <v>44986.83680555555</v>
      </c>
      <c r="G326" s="11" t="n">
        <v>0.32</v>
      </c>
      <c r="H326" s="11">
        <f>H325+G326</f>
        <v/>
      </c>
    </row>
    <row r="327">
      <c r="A327" s="9" t="n">
        <v>323</v>
      </c>
      <c r="B327" s="9" t="inlineStr">
        <is>
          <t>Meridian</t>
        </is>
      </c>
      <c r="C327" s="9" t="inlineStr">
        <is>
          <t>21/50 MA cross, 250-period confirm filter, VWAP</t>
        </is>
      </c>
      <c r="D327" s="9" t="inlineStr">
        <is>
          <t>Short</t>
        </is>
      </c>
      <c r="E327" s="10" t="n">
        <v>44987.49305555555</v>
      </c>
      <c r="F327" s="10" t="n">
        <v>44987.5625</v>
      </c>
      <c r="G327" s="11" t="n">
        <v>-2.72</v>
      </c>
      <c r="H327" s="11">
        <f>H326+G327</f>
        <v/>
      </c>
    </row>
    <row r="328">
      <c r="A328" s="9" t="n">
        <v>324</v>
      </c>
      <c r="B328" s="9" t="inlineStr">
        <is>
          <t>Meridian</t>
        </is>
      </c>
      <c r="C328" s="9" t="inlineStr">
        <is>
          <t>21/50 MA cross, 250-period confirm filter, VWAP</t>
        </is>
      </c>
      <c r="D328" s="9" t="inlineStr">
        <is>
          <t>Short</t>
        </is>
      </c>
      <c r="E328" s="10" t="n">
        <v>44987.63194444445</v>
      </c>
      <c r="F328" s="10" t="n">
        <v>44987.6875</v>
      </c>
      <c r="G328" s="11" t="n">
        <v>-3.49</v>
      </c>
      <c r="H328" s="11">
        <f>H327+G328</f>
        <v/>
      </c>
    </row>
    <row r="329">
      <c r="A329" s="9" t="n">
        <v>325</v>
      </c>
      <c r="B329" s="9" t="inlineStr">
        <is>
          <t>Ratchet</t>
        </is>
      </c>
      <c r="C329" s="9" t="inlineStr">
        <is>
          <t>Stochastic scalp with give-back trail exit</t>
        </is>
      </c>
      <c r="D329" s="9" t="inlineStr">
        <is>
          <t>Long</t>
        </is>
      </c>
      <c r="E329" s="10" t="n">
        <v>44987.73263888889</v>
      </c>
      <c r="F329" s="10" t="n">
        <v>44987.80208333334</v>
      </c>
      <c r="G329" s="11" t="n">
        <v>-3.93</v>
      </c>
      <c r="H329" s="11">
        <f>H328+G329</f>
        <v/>
      </c>
    </row>
    <row r="330">
      <c r="A330" s="9" t="n">
        <v>326</v>
      </c>
      <c r="B330" s="9" t="inlineStr">
        <is>
          <t>Aurelius_M5</t>
        </is>
      </c>
      <c r="C330" s="9" t="inlineStr">
        <is>
          <t>MA alignment (EMA21&gt;EMA50&gt;SMA250&gt;SMMA500 vs EMA2400 trend filter)</t>
        </is>
      </c>
      <c r="D330" s="9" t="inlineStr">
        <is>
          <t>Long</t>
        </is>
      </c>
      <c r="E330" s="10" t="n">
        <v>44987.74652777778</v>
      </c>
      <c r="F330" s="10" t="n">
        <v>44987.80208333334</v>
      </c>
      <c r="G330" s="11" t="n">
        <v>-4.71</v>
      </c>
      <c r="H330" s="11">
        <f>H329+G330</f>
        <v/>
      </c>
    </row>
    <row r="331">
      <c r="A331" s="9" t="n">
        <v>327</v>
      </c>
      <c r="B331" s="9" t="inlineStr">
        <is>
          <t>Ratchet</t>
        </is>
      </c>
      <c r="C331" s="9" t="inlineStr">
        <is>
          <t>Stochastic scalp with give-back trail exit</t>
        </is>
      </c>
      <c r="D331" s="9" t="inlineStr">
        <is>
          <t>Long</t>
        </is>
      </c>
      <c r="E331" s="10" t="n">
        <v>44987.92708333334</v>
      </c>
      <c r="F331" s="10" t="n">
        <v>44987.95138888889</v>
      </c>
      <c r="G331" s="11" t="n">
        <v>0.4</v>
      </c>
      <c r="H331" s="11">
        <f>H330+G331</f>
        <v/>
      </c>
    </row>
    <row r="332">
      <c r="A332" s="9" t="n">
        <v>328</v>
      </c>
      <c r="B332" s="9" t="inlineStr">
        <is>
          <t>Vanguard_M5</t>
        </is>
      </c>
      <c r="C332" s="9" t="inlineStr">
        <is>
          <t>Trendline breakout (fractal swing line) + VWAP/S-R distance gate</t>
        </is>
      </c>
      <c r="D332" s="9" t="inlineStr">
        <is>
          <t>Short</t>
        </is>
      </c>
      <c r="E332" s="10" t="n">
        <v>44987.80208333334</v>
      </c>
      <c r="F332" s="10" t="n">
        <v>44988.08333333334</v>
      </c>
      <c r="G332" s="11" t="n">
        <v>-5.4</v>
      </c>
      <c r="H332" s="11">
        <f>H331+G332</f>
        <v/>
      </c>
    </row>
    <row r="333">
      <c r="A333" s="9" t="n">
        <v>329</v>
      </c>
      <c r="B333" s="9" t="inlineStr">
        <is>
          <t>Vanguard_M5</t>
        </is>
      </c>
      <c r="C333" s="9" t="inlineStr">
        <is>
          <t>Trendline breakout (fractal swing line) + VWAP/S-R distance gate</t>
        </is>
      </c>
      <c r="D333" s="9" t="inlineStr">
        <is>
          <t>Short</t>
        </is>
      </c>
      <c r="E333" s="10" t="n">
        <v>44988.10416666666</v>
      </c>
      <c r="F333" s="10" t="n">
        <v>44988.13194444445</v>
      </c>
      <c r="G333" s="11" t="n">
        <v>-3.06</v>
      </c>
      <c r="H333" s="11">
        <f>H332+G333</f>
        <v/>
      </c>
    </row>
    <row r="334">
      <c r="A334" s="9" t="n">
        <v>330</v>
      </c>
      <c r="B334" s="9" t="inlineStr">
        <is>
          <t>Ratchet</t>
        </is>
      </c>
      <c r="C334" s="9" t="inlineStr">
        <is>
          <t>Stochastic scalp with give-back trail exit</t>
        </is>
      </c>
      <c r="D334" s="9" t="inlineStr">
        <is>
          <t>Long</t>
        </is>
      </c>
      <c r="E334" s="10" t="n">
        <v>44988.11458333334</v>
      </c>
      <c r="F334" s="10" t="n">
        <v>44988.14583333334</v>
      </c>
      <c r="G334" s="11" t="n">
        <v>0.87</v>
      </c>
      <c r="H334" s="11">
        <f>H333+G334</f>
        <v/>
      </c>
    </row>
    <row r="335">
      <c r="A335" s="9" t="n">
        <v>331</v>
      </c>
      <c r="B335" s="9" t="inlineStr">
        <is>
          <t>Meridian</t>
        </is>
      </c>
      <c r="C335" s="9" t="inlineStr">
        <is>
          <t>21/50 MA cross, 250-period confirm filter, VWAP</t>
        </is>
      </c>
      <c r="D335" s="9" t="inlineStr">
        <is>
          <t>Long</t>
        </is>
      </c>
      <c r="E335" s="10" t="n">
        <v>44987.88541666666</v>
      </c>
      <c r="F335" s="10" t="n">
        <v>44988.29166666666</v>
      </c>
      <c r="G335" s="11" t="n">
        <v>2.59</v>
      </c>
      <c r="H335" s="11">
        <f>H334+G335</f>
        <v/>
      </c>
    </row>
    <row r="336">
      <c r="A336" s="9" t="n">
        <v>332</v>
      </c>
      <c r="B336" s="9" t="inlineStr">
        <is>
          <t>Vanguard_M15</t>
        </is>
      </c>
      <c r="C336" s="9" t="inlineStr">
        <is>
          <t>Trendline breakout (fractal swing line) + VWAP/S-R distance gate - M15 chart</t>
        </is>
      </c>
      <c r="D336" s="9" t="inlineStr">
        <is>
          <t>Short</t>
        </is>
      </c>
      <c r="E336" s="10" t="n">
        <v>44987.80208333334</v>
      </c>
      <c r="F336" s="10" t="n">
        <v>44988.34375</v>
      </c>
      <c r="G336" s="11" t="n">
        <v>-7.79</v>
      </c>
      <c r="H336" s="11">
        <f>H335+G336</f>
        <v/>
      </c>
    </row>
    <row r="337">
      <c r="A337" s="9" t="n">
        <v>333</v>
      </c>
      <c r="B337" s="9" t="inlineStr">
        <is>
          <t>Vanguard_M5</t>
        </is>
      </c>
      <c r="C337" s="9" t="inlineStr">
        <is>
          <t>Trendline breakout (fractal swing line) + VWAP/S-R distance gate</t>
        </is>
      </c>
      <c r="D337" s="9" t="inlineStr">
        <is>
          <t>Short</t>
        </is>
      </c>
      <c r="E337" s="10" t="n">
        <v>44988.14930555555</v>
      </c>
      <c r="F337" s="10" t="n">
        <v>44988.35416666666</v>
      </c>
      <c r="G337" s="11" t="n">
        <v>-3.83</v>
      </c>
      <c r="H337" s="11">
        <f>H336+G337</f>
        <v/>
      </c>
    </row>
    <row r="338">
      <c r="A338" s="9" t="n">
        <v>334</v>
      </c>
      <c r="B338" s="9" t="inlineStr">
        <is>
          <t>Ratchet</t>
        </is>
      </c>
      <c r="C338" s="9" t="inlineStr">
        <is>
          <t>Stochastic scalp with give-back trail exit</t>
        </is>
      </c>
      <c r="D338" s="9" t="inlineStr">
        <is>
          <t>Long</t>
        </is>
      </c>
      <c r="E338" s="10" t="n">
        <v>44988.39583333334</v>
      </c>
      <c r="F338" s="10" t="n">
        <v>44988.42013888889</v>
      </c>
      <c r="G338" s="11" t="n">
        <v>0.23</v>
      </c>
      <c r="H338" s="11">
        <f>H337+G338</f>
        <v/>
      </c>
    </row>
    <row r="339">
      <c r="A339" s="9" t="n">
        <v>335</v>
      </c>
      <c r="B339" s="9" t="inlineStr">
        <is>
          <t>Ratchet</t>
        </is>
      </c>
      <c r="C339" s="9" t="inlineStr">
        <is>
          <t>Stochastic scalp with give-back trail exit</t>
        </is>
      </c>
      <c r="D339" s="9" t="inlineStr">
        <is>
          <t>Long</t>
        </is>
      </c>
      <c r="E339" s="10" t="n">
        <v>44988.42708333334</v>
      </c>
      <c r="F339" s="10" t="n">
        <v>44988.43402777778</v>
      </c>
      <c r="G339" s="11" t="n">
        <v>0</v>
      </c>
      <c r="H339" s="11">
        <f>H338+G339</f>
        <v/>
      </c>
    </row>
    <row r="340">
      <c r="A340" s="9" t="n">
        <v>336</v>
      </c>
      <c r="B340" s="9" t="inlineStr">
        <is>
          <t>Ratchet</t>
        </is>
      </c>
      <c r="C340" s="9" t="inlineStr">
        <is>
          <t>Stochastic scalp with give-back trail exit</t>
        </is>
      </c>
      <c r="D340" s="9" t="inlineStr">
        <is>
          <t>Long</t>
        </is>
      </c>
      <c r="E340" s="10" t="n">
        <v>44988.56944444445</v>
      </c>
      <c r="F340" s="10" t="n">
        <v>44988.58333333334</v>
      </c>
      <c r="G340" s="11" t="n">
        <v>0</v>
      </c>
      <c r="H340" s="11">
        <f>H339+G340</f>
        <v/>
      </c>
    </row>
    <row r="341">
      <c r="A341" s="9" t="n">
        <v>337</v>
      </c>
      <c r="B341" s="9" t="inlineStr">
        <is>
          <t>Meridian</t>
        </is>
      </c>
      <c r="C341" s="9" t="inlineStr">
        <is>
          <t>21/50 MA cross, 250-period confirm filter, VWAP</t>
        </is>
      </c>
      <c r="D341" s="9" t="inlineStr">
        <is>
          <t>Long</t>
        </is>
      </c>
      <c r="E341" s="10" t="n">
        <v>44988.32291666666</v>
      </c>
      <c r="F341" s="10" t="n">
        <v>44988.69097222222</v>
      </c>
      <c r="G341" s="11" t="n">
        <v>4.23</v>
      </c>
      <c r="H341" s="11">
        <f>H340+G341</f>
        <v/>
      </c>
    </row>
    <row r="342">
      <c r="A342" s="9" t="n">
        <v>338</v>
      </c>
      <c r="B342" s="9" t="inlineStr">
        <is>
          <t>Aurelius_M5</t>
        </is>
      </c>
      <c r="C342" s="9" t="inlineStr">
        <is>
          <t>MA alignment (EMA21&gt;EMA50&gt;SMA250&gt;SMMA500 vs EMA2400 trend filter)</t>
        </is>
      </c>
      <c r="D342" s="9" t="inlineStr">
        <is>
          <t>Long</t>
        </is>
      </c>
      <c r="E342" s="10" t="n">
        <v>44988.34722222222</v>
      </c>
      <c r="F342" s="10" t="n">
        <v>44988.69097222222</v>
      </c>
      <c r="G342" s="11" t="n">
        <v>2.42</v>
      </c>
      <c r="H342" s="11">
        <f>H341+G342</f>
        <v/>
      </c>
    </row>
    <row r="343">
      <c r="A343" s="9" t="n">
        <v>339</v>
      </c>
      <c r="B343" s="9" t="inlineStr">
        <is>
          <t>Meridian</t>
        </is>
      </c>
      <c r="C343" s="9" t="inlineStr">
        <is>
          <t>21/50 MA cross, 250-period confirm filter, VWAP</t>
        </is>
      </c>
      <c r="D343" s="9" t="inlineStr">
        <is>
          <t>Long</t>
        </is>
      </c>
      <c r="E343" s="10" t="n">
        <v>44988.78819444445</v>
      </c>
      <c r="F343" s="10" t="n">
        <v>44988.91666666666</v>
      </c>
      <c r="G343" s="11" t="n">
        <v>5.62</v>
      </c>
      <c r="H343" s="11">
        <f>H342+G343</f>
        <v/>
      </c>
    </row>
    <row r="344">
      <c r="A344" s="9" t="n">
        <v>340</v>
      </c>
      <c r="B344" s="9" t="inlineStr">
        <is>
          <t>Ratchet</t>
        </is>
      </c>
      <c r="C344" s="9" t="inlineStr">
        <is>
          <t>Stochastic scalp with give-back trail exit</t>
        </is>
      </c>
      <c r="D344" s="9" t="inlineStr">
        <is>
          <t>Long</t>
        </is>
      </c>
      <c r="E344" s="10" t="n">
        <v>44991.15625</v>
      </c>
      <c r="F344" s="10" t="n">
        <v>44991.16666666666</v>
      </c>
      <c r="G344" s="11" t="n">
        <v>-1.66</v>
      </c>
      <c r="H344" s="11">
        <f>H343+G344</f>
        <v/>
      </c>
    </row>
    <row r="345">
      <c r="A345" s="9" t="n">
        <v>341</v>
      </c>
      <c r="B345" s="9" t="inlineStr">
        <is>
          <t>Meridian</t>
        </is>
      </c>
      <c r="C345" s="9" t="inlineStr">
        <is>
          <t>21/50 MA cross, 250-period confirm filter, VWAP</t>
        </is>
      </c>
      <c r="D345" s="9" t="inlineStr">
        <is>
          <t>Long</t>
        </is>
      </c>
      <c r="E345" s="10" t="n">
        <v>44991.14930555555</v>
      </c>
      <c r="F345" s="10" t="n">
        <v>44991.17013888889</v>
      </c>
      <c r="G345" s="11" t="n">
        <v>-2.06</v>
      </c>
      <c r="H345" s="11">
        <f>H344+G345</f>
        <v/>
      </c>
    </row>
    <row r="346">
      <c r="A346" s="9" t="n">
        <v>342</v>
      </c>
      <c r="B346" s="9" t="inlineStr">
        <is>
          <t>Ratchet</t>
        </is>
      </c>
      <c r="C346" s="9" t="inlineStr">
        <is>
          <t>Stochastic scalp with give-back trail exit</t>
        </is>
      </c>
      <c r="D346" s="9" t="inlineStr">
        <is>
          <t>Long</t>
        </is>
      </c>
      <c r="E346" s="10" t="n">
        <v>44991.22222222222</v>
      </c>
      <c r="F346" s="10" t="n">
        <v>44991.22569444445</v>
      </c>
      <c r="G346" s="11" t="n">
        <v>0.14</v>
      </c>
      <c r="H346" s="11">
        <f>H345+G346</f>
        <v/>
      </c>
    </row>
    <row r="347">
      <c r="A347" s="9" t="n">
        <v>343</v>
      </c>
      <c r="B347" s="9" t="inlineStr">
        <is>
          <t>Meridian</t>
        </is>
      </c>
      <c r="C347" s="9" t="inlineStr">
        <is>
          <t>21/50 MA cross, 250-period confirm filter, VWAP</t>
        </is>
      </c>
      <c r="D347" s="9" t="inlineStr">
        <is>
          <t>Long</t>
        </is>
      </c>
      <c r="E347" s="10" t="n">
        <v>44991.20833333334</v>
      </c>
      <c r="F347" s="10" t="n">
        <v>44991.37152777778</v>
      </c>
      <c r="G347" s="11" t="n">
        <v>-0.05</v>
      </c>
      <c r="H347" s="11">
        <f>H346+G347</f>
        <v/>
      </c>
    </row>
    <row r="348">
      <c r="A348" s="9" t="n">
        <v>344</v>
      </c>
      <c r="B348" s="9" t="inlineStr">
        <is>
          <t>Aurelius_M5</t>
        </is>
      </c>
      <c r="C348" s="9" t="inlineStr">
        <is>
          <t>MA alignment (EMA21&gt;EMA50&gt;SMA250&gt;SMMA500 vs EMA2400 trend filter)</t>
        </is>
      </c>
      <c r="D348" s="9" t="inlineStr">
        <is>
          <t>Long</t>
        </is>
      </c>
      <c r="E348" s="10" t="n">
        <v>44991.33333333334</v>
      </c>
      <c r="F348" s="10" t="n">
        <v>44991.37152777778</v>
      </c>
      <c r="G348" s="11" t="n">
        <v>-0.53</v>
      </c>
      <c r="H348" s="11">
        <f>H347+G348</f>
        <v/>
      </c>
    </row>
    <row r="349">
      <c r="A349" s="9" t="n">
        <v>345</v>
      </c>
      <c r="B349" s="9" t="inlineStr">
        <is>
          <t>Ratchet</t>
        </is>
      </c>
      <c r="C349" s="9" t="inlineStr">
        <is>
          <t>Stochastic scalp with give-back trail exit</t>
        </is>
      </c>
      <c r="D349" s="9" t="inlineStr">
        <is>
          <t>Long</t>
        </is>
      </c>
      <c r="E349" s="10" t="n">
        <v>44991.40625</v>
      </c>
      <c r="F349" s="10" t="n">
        <v>44991.41666666666</v>
      </c>
      <c r="G349" s="11" t="n">
        <v>-1.82</v>
      </c>
      <c r="H349" s="11">
        <f>H348+G349</f>
        <v/>
      </c>
    </row>
    <row r="350">
      <c r="A350" s="9" t="n">
        <v>346</v>
      </c>
      <c r="B350" s="9" t="inlineStr">
        <is>
          <t>Ratchet</t>
        </is>
      </c>
      <c r="C350" s="9" t="inlineStr">
        <is>
          <t>Stochastic scalp with give-back trail exit</t>
        </is>
      </c>
      <c r="D350" s="9" t="inlineStr">
        <is>
          <t>Long</t>
        </is>
      </c>
      <c r="E350" s="10" t="n">
        <v>44991.42013888889</v>
      </c>
      <c r="F350" s="10" t="n">
        <v>44991.42708333334</v>
      </c>
      <c r="G350" s="11" t="n">
        <v>0.19</v>
      </c>
      <c r="H350" s="11">
        <f>H349+G350</f>
        <v/>
      </c>
    </row>
    <row r="351">
      <c r="A351" s="9" t="n">
        <v>347</v>
      </c>
      <c r="B351" s="9" t="inlineStr">
        <is>
          <t>Meridian</t>
        </is>
      </c>
      <c r="C351" s="9" t="inlineStr">
        <is>
          <t>21/50 MA cross, 250-period confirm filter, VWAP</t>
        </is>
      </c>
      <c r="D351" s="9" t="inlineStr">
        <is>
          <t>Long</t>
        </is>
      </c>
      <c r="E351" s="10" t="n">
        <v>44991.68055555555</v>
      </c>
      <c r="F351" s="10" t="n">
        <v>44991.71180555555</v>
      </c>
      <c r="G351" s="11" t="n">
        <v>-2.68</v>
      </c>
      <c r="H351" s="11">
        <f>H350+G351</f>
        <v/>
      </c>
    </row>
    <row r="352">
      <c r="A352" s="9" t="n">
        <v>348</v>
      </c>
      <c r="B352" s="9" t="inlineStr">
        <is>
          <t>Meridian</t>
        </is>
      </c>
      <c r="C352" s="9" t="inlineStr">
        <is>
          <t>21/50 MA cross, 250-period confirm filter, VWAP</t>
        </is>
      </c>
      <c r="D352" s="9" t="inlineStr">
        <is>
          <t>Short</t>
        </is>
      </c>
      <c r="E352" s="10" t="n">
        <v>44991.76736111111</v>
      </c>
      <c r="F352" s="10" t="n">
        <v>44992.17013888889</v>
      </c>
      <c r="G352" s="11" t="n">
        <v>1.96</v>
      </c>
      <c r="H352" s="11">
        <f>H351+G352</f>
        <v/>
      </c>
    </row>
    <row r="353">
      <c r="A353" s="9" t="n">
        <v>349</v>
      </c>
      <c r="B353" s="9" t="inlineStr">
        <is>
          <t>Vanguard_M5</t>
        </is>
      </c>
      <c r="C353" s="9" t="inlineStr">
        <is>
          <t>Trendline breakout (fractal swing line) + VWAP/S-R distance gate</t>
        </is>
      </c>
      <c r="D353" s="9" t="inlineStr">
        <is>
          <t>Short</t>
        </is>
      </c>
      <c r="E353" s="10" t="n">
        <v>44991.875</v>
      </c>
      <c r="F353" s="10" t="n">
        <v>44992.39236111111</v>
      </c>
      <c r="G353" s="11" t="n">
        <v>-4.21</v>
      </c>
      <c r="H353" s="11">
        <f>H352+G353</f>
        <v/>
      </c>
    </row>
    <row r="354">
      <c r="A354" s="9" t="n">
        <v>350</v>
      </c>
      <c r="B354" s="9" t="inlineStr">
        <is>
          <t>Meridian</t>
        </is>
      </c>
      <c r="C354" s="9" t="inlineStr">
        <is>
          <t>21/50 MA cross, 250-period confirm filter, VWAP</t>
        </is>
      </c>
      <c r="D354" s="9" t="inlineStr">
        <is>
          <t>Long</t>
        </is>
      </c>
      <c r="E354" s="10" t="n">
        <v>44992.39583333334</v>
      </c>
      <c r="F354" s="10" t="n">
        <v>44992.40625</v>
      </c>
      <c r="G354" s="11" t="n">
        <v>-2.62</v>
      </c>
      <c r="H354" s="11">
        <f>H353+G354</f>
        <v/>
      </c>
    </row>
    <row r="355">
      <c r="A355" s="9" t="n">
        <v>351</v>
      </c>
      <c r="B355" s="9" t="inlineStr">
        <is>
          <t>Ratchet</t>
        </is>
      </c>
      <c r="C355" s="9" t="inlineStr">
        <is>
          <t>Stochastic scalp with give-back trail exit</t>
        </is>
      </c>
      <c r="D355" s="9" t="inlineStr">
        <is>
          <t>Short</t>
        </is>
      </c>
      <c r="E355" s="10" t="n">
        <v>44992.78819444445</v>
      </c>
      <c r="F355" s="10" t="n">
        <v>44992.90625</v>
      </c>
      <c r="G355" s="11" t="n">
        <v>6.52</v>
      </c>
      <c r="H355" s="11">
        <f>H354+G355</f>
        <v/>
      </c>
    </row>
    <row r="356">
      <c r="A356" s="9" t="n">
        <v>352</v>
      </c>
      <c r="B356" s="9" t="inlineStr">
        <is>
          <t>Ratchet</t>
        </is>
      </c>
      <c r="C356" s="9" t="inlineStr">
        <is>
          <t>Stochastic scalp with give-back trail exit</t>
        </is>
      </c>
      <c r="D356" s="9" t="inlineStr">
        <is>
          <t>Short</t>
        </is>
      </c>
      <c r="E356" s="10" t="n">
        <v>44992.95833333334</v>
      </c>
      <c r="F356" s="10" t="n">
        <v>44992.99652777778</v>
      </c>
      <c r="G356" s="11" t="n">
        <v>0.24</v>
      </c>
      <c r="H356" s="11">
        <f>H355+G356</f>
        <v/>
      </c>
    </row>
    <row r="357">
      <c r="A357" s="9" t="n">
        <v>353</v>
      </c>
      <c r="B357" s="9" t="inlineStr">
        <is>
          <t>Ratchet</t>
        </is>
      </c>
      <c r="C357" s="9" t="inlineStr">
        <is>
          <t>Stochastic scalp with give-back trail exit</t>
        </is>
      </c>
      <c r="D357" s="9" t="inlineStr">
        <is>
          <t>Short</t>
        </is>
      </c>
      <c r="E357" s="10" t="n">
        <v>44993.11458333334</v>
      </c>
      <c r="F357" s="10" t="n">
        <v>44993.13541666666</v>
      </c>
      <c r="G357" s="11" t="n">
        <v>0.37</v>
      </c>
      <c r="H357" s="11">
        <f>H356+G357</f>
        <v/>
      </c>
    </row>
    <row r="358">
      <c r="A358" s="9" t="n">
        <v>354</v>
      </c>
      <c r="B358" s="9" t="inlineStr">
        <is>
          <t>Ratchet</t>
        </is>
      </c>
      <c r="C358" s="9" t="inlineStr">
        <is>
          <t>Stochastic scalp with give-back trail exit</t>
        </is>
      </c>
      <c r="D358" s="9" t="inlineStr">
        <is>
          <t>Short</t>
        </is>
      </c>
      <c r="E358" s="10" t="n">
        <v>44993.20138888889</v>
      </c>
      <c r="F358" s="10" t="n">
        <v>44993.20486111111</v>
      </c>
      <c r="G358" s="11" t="n">
        <v>-0</v>
      </c>
      <c r="H358" s="11">
        <f>H357+G358</f>
        <v/>
      </c>
    </row>
    <row r="359">
      <c r="A359" s="9" t="n">
        <v>355</v>
      </c>
      <c r="B359" s="9" t="inlineStr">
        <is>
          <t>Meridian</t>
        </is>
      </c>
      <c r="C359" s="9" t="inlineStr">
        <is>
          <t>21/50 MA cross, 250-period confirm filter, VWAP</t>
        </is>
      </c>
      <c r="D359" s="9" t="inlineStr">
        <is>
          <t>Short</t>
        </is>
      </c>
      <c r="E359" s="10" t="n">
        <v>44992.44097222222</v>
      </c>
      <c r="F359" s="10" t="n">
        <v>44993.34027777778</v>
      </c>
      <c r="G359" s="11" t="n">
        <v>34.86</v>
      </c>
      <c r="H359" s="11">
        <f>H358+G359</f>
        <v/>
      </c>
    </row>
    <row r="360">
      <c r="A360" s="9" t="n">
        <v>356</v>
      </c>
      <c r="B360" s="9" t="inlineStr">
        <is>
          <t>Ratchet</t>
        </is>
      </c>
      <c r="C360" s="9" t="inlineStr">
        <is>
          <t>Stochastic scalp with give-back trail exit</t>
        </is>
      </c>
      <c r="D360" s="9" t="inlineStr">
        <is>
          <t>Short</t>
        </is>
      </c>
      <c r="E360" s="10" t="n">
        <v>44993.65277777778</v>
      </c>
      <c r="F360" s="10" t="n">
        <v>44993.66319444445</v>
      </c>
      <c r="G360" s="11" t="n">
        <v>-0</v>
      </c>
      <c r="H360" s="11">
        <f>H359+G360</f>
        <v/>
      </c>
    </row>
    <row r="361">
      <c r="A361" s="9" t="n">
        <v>357</v>
      </c>
      <c r="B361" s="9" t="inlineStr">
        <is>
          <t>Meridian</t>
        </is>
      </c>
      <c r="C361" s="9" t="inlineStr">
        <is>
          <t>21/50 MA cross, 250-period confirm filter, VWAP</t>
        </is>
      </c>
      <c r="D361" s="9" t="inlineStr">
        <is>
          <t>Long</t>
        </is>
      </c>
      <c r="E361" s="10" t="n">
        <v>44993.69791666666</v>
      </c>
      <c r="F361" s="10" t="n">
        <v>44993.83333333334</v>
      </c>
      <c r="G361" s="11" t="n">
        <v>-1.14</v>
      </c>
      <c r="H361" s="11">
        <f>H360+G361</f>
        <v/>
      </c>
    </row>
    <row r="362">
      <c r="A362" s="9" t="n">
        <v>358</v>
      </c>
      <c r="B362" s="9" t="inlineStr">
        <is>
          <t>Meridian</t>
        </is>
      </c>
      <c r="C362" s="9" t="inlineStr">
        <is>
          <t>21/50 MA cross, 250-period confirm filter, VWAP</t>
        </is>
      </c>
      <c r="D362" s="9" t="inlineStr">
        <is>
          <t>Long</t>
        </is>
      </c>
      <c r="E362" s="10" t="n">
        <v>44994.10416666666</v>
      </c>
      <c r="F362" s="10" t="n">
        <v>44994.14583333334</v>
      </c>
      <c r="G362" s="11" t="n">
        <v>-1.27</v>
      </c>
      <c r="H362" s="11">
        <f>H361+G362</f>
        <v/>
      </c>
    </row>
    <row r="363">
      <c r="A363" s="9" t="n">
        <v>359</v>
      </c>
      <c r="B363" s="9" t="inlineStr">
        <is>
          <t>Vanguard_M15</t>
        </is>
      </c>
      <c r="C363" s="9" t="inlineStr">
        <is>
          <t>Trendline breakout (fractal swing line) + VWAP/S-R distance gate - M15 chart</t>
        </is>
      </c>
      <c r="D363" s="9" t="inlineStr">
        <is>
          <t>Short</t>
        </is>
      </c>
      <c r="E363" s="10" t="n">
        <v>44991.875</v>
      </c>
      <c r="F363" s="10" t="n">
        <v>44994.28125</v>
      </c>
      <c r="G363" s="11" t="n">
        <v>32.61</v>
      </c>
      <c r="H363" s="11">
        <f>H362+G363</f>
        <v/>
      </c>
    </row>
    <row r="364">
      <c r="A364" s="9" t="n">
        <v>360</v>
      </c>
      <c r="B364" s="9" t="inlineStr">
        <is>
          <t>Vanguard_M5</t>
        </is>
      </c>
      <c r="C364" s="9" t="inlineStr">
        <is>
          <t>Trendline breakout (fractal swing line) + VWAP/S-R distance gate</t>
        </is>
      </c>
      <c r="D364" s="9" t="inlineStr">
        <is>
          <t>Short</t>
        </is>
      </c>
      <c r="E364" s="10" t="n">
        <v>44992.47222222222</v>
      </c>
      <c r="F364" s="10" t="n">
        <v>44994.28125</v>
      </c>
      <c r="G364" s="11" t="n">
        <v>31.34</v>
      </c>
      <c r="H364" s="11">
        <f>H363+G364</f>
        <v/>
      </c>
    </row>
    <row r="365">
      <c r="A365" s="9" t="n">
        <v>361</v>
      </c>
      <c r="B365" s="9" t="inlineStr">
        <is>
          <t>Meridian</t>
        </is>
      </c>
      <c r="C365" s="9" t="inlineStr">
        <is>
          <t>21/50 MA cross, 250-period confirm filter, VWAP</t>
        </is>
      </c>
      <c r="D365" s="9" t="inlineStr">
        <is>
          <t>Long</t>
        </is>
      </c>
      <c r="E365" s="10" t="n">
        <v>44994.30208333334</v>
      </c>
      <c r="F365" s="10" t="n">
        <v>44994.34027777778</v>
      </c>
      <c r="G365" s="11" t="n">
        <v>-1.39</v>
      </c>
      <c r="H365" s="11">
        <f>H364+G365</f>
        <v/>
      </c>
    </row>
    <row r="366">
      <c r="A366" s="9" t="n">
        <v>362</v>
      </c>
      <c r="B366" s="9" t="inlineStr">
        <is>
          <t>Ratchet</t>
        </is>
      </c>
      <c r="C366" s="9" t="inlineStr">
        <is>
          <t>Stochastic scalp with give-back trail exit</t>
        </is>
      </c>
      <c r="D366" s="9" t="inlineStr">
        <is>
          <t>Short</t>
        </is>
      </c>
      <c r="E366" s="10" t="n">
        <v>44994.38541666666</v>
      </c>
      <c r="F366" s="10" t="n">
        <v>44994.38888888889</v>
      </c>
      <c r="G366" s="11" t="n">
        <v>-0</v>
      </c>
      <c r="H366" s="11">
        <f>H365+G366</f>
        <v/>
      </c>
    </row>
    <row r="367">
      <c r="A367" s="9" t="n">
        <v>363</v>
      </c>
      <c r="B367" s="9" t="inlineStr">
        <is>
          <t>Meridian</t>
        </is>
      </c>
      <c r="C367" s="9" t="inlineStr">
        <is>
          <t>21/50 MA cross, 250-period confirm filter, VWAP</t>
        </is>
      </c>
      <c r="D367" s="9" t="inlineStr">
        <is>
          <t>Short</t>
        </is>
      </c>
      <c r="E367" s="10" t="n">
        <v>44994.37847222222</v>
      </c>
      <c r="F367" s="10" t="n">
        <v>44994.39583333334</v>
      </c>
      <c r="G367" s="11" t="n">
        <v>-1.67</v>
      </c>
      <c r="H367" s="11">
        <f>H366+G367</f>
        <v/>
      </c>
    </row>
    <row r="368">
      <c r="A368" s="9" t="n">
        <v>364</v>
      </c>
      <c r="B368" s="9" t="inlineStr">
        <is>
          <t>Ratchet</t>
        </is>
      </c>
      <c r="C368" s="9" t="inlineStr">
        <is>
          <t>Stochastic scalp with give-back trail exit</t>
        </is>
      </c>
      <c r="D368" s="9" t="inlineStr">
        <is>
          <t>Long</t>
        </is>
      </c>
      <c r="E368" s="10" t="n">
        <v>44994.84375</v>
      </c>
      <c r="F368" s="10" t="n">
        <v>44994.89583333334</v>
      </c>
      <c r="G368" s="11" t="n">
        <v>1.37</v>
      </c>
      <c r="H368" s="11">
        <f>H367+G368</f>
        <v/>
      </c>
    </row>
    <row r="369">
      <c r="A369" s="9" t="n">
        <v>365</v>
      </c>
      <c r="B369" s="9" t="inlineStr">
        <is>
          <t>Ratchet</t>
        </is>
      </c>
      <c r="C369" s="9" t="inlineStr">
        <is>
          <t>Stochastic scalp with give-back trail exit</t>
        </is>
      </c>
      <c r="D369" s="9" t="inlineStr">
        <is>
          <t>Long</t>
        </is>
      </c>
      <c r="E369" s="10" t="n">
        <v>44995.09027777778</v>
      </c>
      <c r="F369" s="10" t="n">
        <v>44995.125</v>
      </c>
      <c r="G369" s="11" t="n">
        <v>0.74</v>
      </c>
      <c r="H369" s="11">
        <f>H368+G369</f>
        <v/>
      </c>
    </row>
    <row r="370">
      <c r="A370" s="9" t="n">
        <v>366</v>
      </c>
      <c r="B370" s="9" t="inlineStr">
        <is>
          <t>Meridian</t>
        </is>
      </c>
      <c r="C370" s="9" t="inlineStr">
        <is>
          <t>21/50 MA cross, 250-period confirm filter, VWAP</t>
        </is>
      </c>
      <c r="D370" s="9" t="inlineStr">
        <is>
          <t>Long</t>
        </is>
      </c>
      <c r="E370" s="10" t="n">
        <v>44994.40277777778</v>
      </c>
      <c r="F370" s="10" t="n">
        <v>44995.19097222222</v>
      </c>
      <c r="G370" s="11" t="n">
        <v>12.67</v>
      </c>
      <c r="H370" s="11">
        <f>H369+G370</f>
        <v/>
      </c>
    </row>
    <row r="371">
      <c r="A371" s="9" t="n">
        <v>367</v>
      </c>
      <c r="B371" s="9" t="inlineStr">
        <is>
          <t>Ratchet</t>
        </is>
      </c>
      <c r="C371" s="9" t="inlineStr">
        <is>
          <t>Stochastic scalp with give-back trail exit</t>
        </is>
      </c>
      <c r="D371" s="9" t="inlineStr">
        <is>
          <t>Long</t>
        </is>
      </c>
      <c r="E371" s="10" t="n">
        <v>44995.44444444445</v>
      </c>
      <c r="F371" s="10" t="n">
        <v>44995.48263888889</v>
      </c>
      <c r="G371" s="11" t="n">
        <v>0</v>
      </c>
      <c r="H371" s="11">
        <f>H370+G371</f>
        <v/>
      </c>
    </row>
    <row r="372">
      <c r="A372" s="9" t="n">
        <v>368</v>
      </c>
      <c r="B372" s="9" t="inlineStr">
        <is>
          <t>Ratchet</t>
        </is>
      </c>
      <c r="C372" s="9" t="inlineStr">
        <is>
          <t>Stochastic scalp with give-back trail exit</t>
        </is>
      </c>
      <c r="D372" s="9" t="inlineStr">
        <is>
          <t>Long</t>
        </is>
      </c>
      <c r="E372" s="10" t="n">
        <v>44995.55555555555</v>
      </c>
      <c r="F372" s="10" t="n">
        <v>44995.57291666666</v>
      </c>
      <c r="G372" s="11" t="n">
        <v>0.44</v>
      </c>
      <c r="H372" s="11">
        <f>H371+G372</f>
        <v/>
      </c>
    </row>
    <row r="373">
      <c r="A373" s="9" t="n">
        <v>369</v>
      </c>
      <c r="B373" s="9" t="inlineStr">
        <is>
          <t>Meridian</t>
        </is>
      </c>
      <c r="C373" s="9" t="inlineStr">
        <is>
          <t>21/50 MA cross, 250-period confirm filter, VWAP</t>
        </is>
      </c>
      <c r="D373" s="9" t="inlineStr">
        <is>
          <t>Long</t>
        </is>
      </c>
      <c r="E373" s="10" t="n">
        <v>44995.34027777778</v>
      </c>
      <c r="F373" s="10" t="n">
        <v>44995.91666666666</v>
      </c>
      <c r="G373" s="11" t="n">
        <v>31.77</v>
      </c>
      <c r="H373" s="11">
        <f>H372+G373</f>
        <v/>
      </c>
    </row>
    <row r="374">
      <c r="A374" s="9" t="n">
        <v>370</v>
      </c>
      <c r="B374" s="9" t="inlineStr">
        <is>
          <t>Aurelius_M5</t>
        </is>
      </c>
      <c r="C374" s="9" t="inlineStr">
        <is>
          <t>MA alignment (EMA21&gt;EMA50&gt;SMA250&gt;SMMA500 vs EMA2400 trend filter)</t>
        </is>
      </c>
      <c r="D374" s="9" t="inlineStr">
        <is>
          <t>Long</t>
        </is>
      </c>
      <c r="E374" s="10" t="n">
        <v>44995.37847222222</v>
      </c>
      <c r="F374" s="10" t="n">
        <v>44995.92013888889</v>
      </c>
      <c r="G374" s="11" t="n">
        <v>31.96</v>
      </c>
      <c r="H374" s="11">
        <f>H373+G374</f>
        <v/>
      </c>
    </row>
    <row r="375">
      <c r="A375" s="9" t="n">
        <v>371</v>
      </c>
      <c r="B375" s="9" t="inlineStr">
        <is>
          <t>Aurelius_M15</t>
        </is>
      </c>
      <c r="C375" s="9" t="inlineStr">
        <is>
          <t>MA alignment (EMA21&gt;EMA50&gt;SMA250&gt;SMMA500 vs EMA2400 trend filter) - M15 chart</t>
        </is>
      </c>
      <c r="D375" s="9" t="inlineStr">
        <is>
          <t>Long</t>
        </is>
      </c>
      <c r="E375" s="10" t="n">
        <v>44995.66666666666</v>
      </c>
      <c r="F375" s="10" t="n">
        <v>44995.92708333334</v>
      </c>
      <c r="G375" s="11" t="n">
        <v>22.71</v>
      </c>
      <c r="H375" s="11">
        <f>H374+G375</f>
        <v/>
      </c>
    </row>
    <row r="376">
      <c r="A376" s="9" t="n">
        <v>372</v>
      </c>
      <c r="B376" s="9" t="inlineStr">
        <is>
          <t>Ratchet</t>
        </is>
      </c>
      <c r="C376" s="9" t="inlineStr">
        <is>
          <t>Stochastic scalp with give-back trail exit</t>
        </is>
      </c>
      <c r="D376" s="9" t="inlineStr">
        <is>
          <t>Long</t>
        </is>
      </c>
      <c r="E376" s="10" t="n">
        <v>44998.23958333334</v>
      </c>
      <c r="F376" s="10" t="n">
        <v>44998.29166666666</v>
      </c>
      <c r="G376" s="11" t="n">
        <v>-2.99</v>
      </c>
      <c r="H376" s="11">
        <f>H375+G376</f>
        <v/>
      </c>
    </row>
    <row r="377">
      <c r="A377" s="9" t="n">
        <v>373</v>
      </c>
      <c r="B377" s="9" t="inlineStr">
        <is>
          <t>Aurelius_M5</t>
        </is>
      </c>
      <c r="C377" s="9" t="inlineStr">
        <is>
          <t>MA alignment (EMA21&gt;EMA50&gt;SMA250&gt;SMMA500 vs EMA2400 trend filter)</t>
        </is>
      </c>
      <c r="D377" s="9" t="inlineStr">
        <is>
          <t>Long</t>
        </is>
      </c>
      <c r="E377" s="10" t="n">
        <v>44998.46527777778</v>
      </c>
      <c r="F377" s="10" t="n">
        <v>44998.53125</v>
      </c>
      <c r="G377" s="11" t="n">
        <v>-4.96</v>
      </c>
      <c r="H377" s="11">
        <f>H376+G377</f>
        <v/>
      </c>
    </row>
    <row r="378">
      <c r="A378" s="9" t="n">
        <v>374</v>
      </c>
      <c r="B378" s="9" t="inlineStr">
        <is>
          <t>Ratchet</t>
        </is>
      </c>
      <c r="C378" s="9" t="inlineStr">
        <is>
          <t>Stochastic scalp with give-back trail exit</t>
        </is>
      </c>
      <c r="D378" s="9" t="inlineStr">
        <is>
          <t>Long</t>
        </is>
      </c>
      <c r="E378" s="10" t="n">
        <v>44998.60069444445</v>
      </c>
      <c r="F378" s="10" t="n">
        <v>44998.61111111111</v>
      </c>
      <c r="G378" s="11" t="n">
        <v>1.29</v>
      </c>
      <c r="H378" s="11">
        <f>H377+G378</f>
        <v/>
      </c>
    </row>
    <row r="379">
      <c r="A379" s="9" t="n">
        <v>375</v>
      </c>
      <c r="B379" s="9" t="inlineStr">
        <is>
          <t>Aurelius_M5</t>
        </is>
      </c>
      <c r="C379" s="9" t="inlineStr">
        <is>
          <t>MA alignment (EMA21&gt;EMA50&gt;SMA250&gt;SMMA500 vs EMA2400 trend filter)</t>
        </is>
      </c>
      <c r="D379" s="9" t="inlineStr">
        <is>
          <t>Long</t>
        </is>
      </c>
      <c r="E379" s="10" t="n">
        <v>44998.54861111111</v>
      </c>
      <c r="F379" s="10" t="n">
        <v>44999.04513888889</v>
      </c>
      <c r="G379" s="11" t="n">
        <v>25.32</v>
      </c>
      <c r="H379" s="11">
        <f>H378+G379</f>
        <v/>
      </c>
    </row>
    <row r="380">
      <c r="A380" s="9" t="n">
        <v>376</v>
      </c>
      <c r="B380" s="9" t="inlineStr">
        <is>
          <t>Meridian</t>
        </is>
      </c>
      <c r="C380" s="9" t="inlineStr">
        <is>
          <t>21/50 MA cross, 250-period confirm filter, VWAP</t>
        </is>
      </c>
      <c r="D380" s="9" t="inlineStr">
        <is>
          <t>Long</t>
        </is>
      </c>
      <c r="E380" s="10" t="n">
        <v>44998.45486111111</v>
      </c>
      <c r="F380" s="10" t="n">
        <v>44999.14930555555</v>
      </c>
      <c r="G380" s="11" t="n">
        <v>24.38</v>
      </c>
      <c r="H380" s="11">
        <f>H379+G380</f>
        <v/>
      </c>
    </row>
    <row r="381">
      <c r="A381" s="9" t="n">
        <v>377</v>
      </c>
      <c r="B381" s="9" t="inlineStr">
        <is>
          <t>Aurelius_M15</t>
        </is>
      </c>
      <c r="C381" s="9" t="inlineStr">
        <is>
          <t>MA alignment (EMA21&gt;EMA50&gt;SMA250&gt;SMMA500 vs EMA2400 trend filter) - M15 chart</t>
        </is>
      </c>
      <c r="D381" s="9" t="inlineStr">
        <is>
          <t>Long</t>
        </is>
      </c>
      <c r="E381" s="10" t="n">
        <v>44998.45833333334</v>
      </c>
      <c r="F381" s="10" t="n">
        <v>44999.20833333334</v>
      </c>
      <c r="G381" s="11" t="n">
        <v>18.78</v>
      </c>
      <c r="H381" s="11">
        <f>H380+G381</f>
        <v/>
      </c>
    </row>
    <row r="382">
      <c r="A382" s="9" t="n">
        <v>378</v>
      </c>
      <c r="B382" s="9" t="inlineStr">
        <is>
          <t>Vanguard_M15</t>
        </is>
      </c>
      <c r="C382" s="9" t="inlineStr">
        <is>
          <t>Trendline breakout (fractal swing line) + VWAP/S-R distance gate - M15 chart</t>
        </is>
      </c>
      <c r="D382" s="9" t="inlineStr">
        <is>
          <t>Long</t>
        </is>
      </c>
      <c r="E382" s="10" t="n">
        <v>44994.29166666666</v>
      </c>
      <c r="F382" s="10" t="n">
        <v>44999.23958333334</v>
      </c>
      <c r="G382" s="11" t="n">
        <v>88.45</v>
      </c>
      <c r="H382" s="11">
        <f>H381+G382</f>
        <v/>
      </c>
    </row>
    <row r="383">
      <c r="A383" s="9" t="n">
        <v>379</v>
      </c>
      <c r="B383" s="9" t="inlineStr">
        <is>
          <t>Vanguard_M15</t>
        </is>
      </c>
      <c r="C383" s="9" t="inlineStr">
        <is>
          <t>Trendline breakout (fractal swing line) + VWAP/S-R distance gate - M15 chart</t>
        </is>
      </c>
      <c r="D383" s="9" t="inlineStr">
        <is>
          <t>Short</t>
        </is>
      </c>
      <c r="E383" s="10" t="n">
        <v>44999.25</v>
      </c>
      <c r="F383" s="10" t="n">
        <v>44999.33333333334</v>
      </c>
      <c r="G383" s="11" t="n">
        <v>-6.64</v>
      </c>
      <c r="H383" s="11">
        <f>H382+G383</f>
        <v/>
      </c>
    </row>
    <row r="384">
      <c r="A384" s="9" t="n">
        <v>380</v>
      </c>
      <c r="B384" s="9" t="inlineStr">
        <is>
          <t>Vanguard_M5</t>
        </is>
      </c>
      <c r="C384" s="9" t="inlineStr">
        <is>
          <t>Trendline breakout (fractal swing line) + VWAP/S-R distance gate</t>
        </is>
      </c>
      <c r="D384" s="9" t="inlineStr">
        <is>
          <t>Short</t>
        </is>
      </c>
      <c r="E384" s="10" t="n">
        <v>44999.24652777778</v>
      </c>
      <c r="F384" s="10" t="n">
        <v>44999.34027777778</v>
      </c>
      <c r="G384" s="11" t="n">
        <v>-4.51</v>
      </c>
      <c r="H384" s="11">
        <f>H383+G384</f>
        <v/>
      </c>
    </row>
    <row r="385">
      <c r="A385" s="9" t="n">
        <v>381</v>
      </c>
      <c r="B385" s="9" t="inlineStr">
        <is>
          <t>Ratchet</t>
        </is>
      </c>
      <c r="C385" s="9" t="inlineStr">
        <is>
          <t>Stochastic scalp with give-back trail exit</t>
        </is>
      </c>
      <c r="D385" s="9" t="inlineStr">
        <is>
          <t>Long</t>
        </is>
      </c>
      <c r="E385" s="10" t="n">
        <v>44999.35763888889</v>
      </c>
      <c r="F385" s="10" t="n">
        <v>44999.37152777778</v>
      </c>
      <c r="G385" s="11" t="n">
        <v>0</v>
      </c>
      <c r="H385" s="11">
        <f>H384+G385</f>
        <v/>
      </c>
    </row>
    <row r="386">
      <c r="A386" s="9" t="n">
        <v>382</v>
      </c>
      <c r="B386" s="9" t="inlineStr">
        <is>
          <t>Ratchet</t>
        </is>
      </c>
      <c r="C386" s="9" t="inlineStr">
        <is>
          <t>Stochastic scalp with give-back trail exit</t>
        </is>
      </c>
      <c r="D386" s="9" t="inlineStr">
        <is>
          <t>Long</t>
        </is>
      </c>
      <c r="E386" s="10" t="n">
        <v>44999.375</v>
      </c>
      <c r="F386" s="10" t="n">
        <v>44999.37847222222</v>
      </c>
      <c r="G386" s="11" t="n">
        <v>0.5</v>
      </c>
      <c r="H386" s="11">
        <f>H385+G386</f>
        <v/>
      </c>
    </row>
    <row r="387">
      <c r="A387" s="9" t="n">
        <v>383</v>
      </c>
      <c r="B387" s="9" t="inlineStr">
        <is>
          <t>Meridian</t>
        </is>
      </c>
      <c r="C387" s="9" t="inlineStr">
        <is>
          <t>21/50 MA cross, 250-period confirm filter, VWAP</t>
        </is>
      </c>
      <c r="D387" s="9" t="inlineStr">
        <is>
          <t>Long</t>
        </is>
      </c>
      <c r="E387" s="10" t="n">
        <v>44999.35069444445</v>
      </c>
      <c r="F387" s="10" t="n">
        <v>44999.44097222222</v>
      </c>
      <c r="G387" s="11" t="n">
        <v>-4.29</v>
      </c>
      <c r="H387" s="11">
        <f>H386+G387</f>
        <v/>
      </c>
    </row>
    <row r="388">
      <c r="A388" s="9" t="n">
        <v>384</v>
      </c>
      <c r="B388" s="9" t="inlineStr">
        <is>
          <t>Aurelius_M5</t>
        </is>
      </c>
      <c r="C388" s="9" t="inlineStr">
        <is>
          <t>MA alignment (EMA21&gt;EMA50&gt;SMA250&gt;SMMA500 vs EMA2400 trend filter)</t>
        </is>
      </c>
      <c r="D388" s="9" t="inlineStr">
        <is>
          <t>Long</t>
        </is>
      </c>
      <c r="E388" s="10" t="n">
        <v>44999.37152777778</v>
      </c>
      <c r="F388" s="10" t="n">
        <v>44999.44097222222</v>
      </c>
      <c r="G388" s="11" t="n">
        <v>-4.32</v>
      </c>
      <c r="H388" s="11">
        <f>H387+G388</f>
        <v/>
      </c>
    </row>
    <row r="389">
      <c r="A389" s="9" t="n">
        <v>385</v>
      </c>
      <c r="B389" s="9" t="inlineStr">
        <is>
          <t>Meridian</t>
        </is>
      </c>
      <c r="C389" s="9" t="inlineStr">
        <is>
          <t>21/50 MA cross, 250-period confirm filter, VWAP</t>
        </is>
      </c>
      <c r="D389" s="9" t="inlineStr">
        <is>
          <t>Short</t>
        </is>
      </c>
      <c r="E389" s="10" t="n">
        <v>44999.45486111111</v>
      </c>
      <c r="F389" s="10" t="n">
        <v>44999.59722222222</v>
      </c>
      <c r="G389" s="11" t="n">
        <v>-3.78</v>
      </c>
      <c r="H389" s="11">
        <f>H388+G389</f>
        <v/>
      </c>
    </row>
    <row r="390">
      <c r="A390" s="9" t="n">
        <v>386</v>
      </c>
      <c r="B390" s="9" t="inlineStr">
        <is>
          <t>Meridian</t>
        </is>
      </c>
      <c r="C390" s="9" t="inlineStr">
        <is>
          <t>21/50 MA cross, 250-period confirm filter, VWAP</t>
        </is>
      </c>
      <c r="D390" s="9" t="inlineStr">
        <is>
          <t>Short</t>
        </is>
      </c>
      <c r="E390" s="10" t="n">
        <v>44999.65972222222</v>
      </c>
      <c r="F390" s="10" t="n">
        <v>44999.67013888889</v>
      </c>
      <c r="G390" s="11" t="n">
        <v>-8.81</v>
      </c>
      <c r="H390" s="11">
        <f>H389+G390</f>
        <v/>
      </c>
    </row>
    <row r="391">
      <c r="A391" s="9" t="n">
        <v>387</v>
      </c>
      <c r="B391" s="9" t="inlineStr">
        <is>
          <t>Meridian</t>
        </is>
      </c>
      <c r="C391" s="9" t="inlineStr">
        <is>
          <t>21/50 MA cross, 250-period confirm filter, VWAP</t>
        </is>
      </c>
      <c r="D391" s="9" t="inlineStr">
        <is>
          <t>Short</t>
        </is>
      </c>
      <c r="E391" s="10" t="n">
        <v>44999.76041666666</v>
      </c>
      <c r="F391" s="10" t="n">
        <v>44999.78819444445</v>
      </c>
      <c r="G391" s="11" t="n">
        <v>-4.53</v>
      </c>
      <c r="H391" s="11">
        <f>H390+G391</f>
        <v/>
      </c>
    </row>
    <row r="392">
      <c r="A392" s="9" t="n">
        <v>388</v>
      </c>
      <c r="B392" s="9" t="inlineStr">
        <is>
          <t>Ratchet</t>
        </is>
      </c>
      <c r="C392" s="9" t="inlineStr">
        <is>
          <t>Stochastic scalp with give-back trail exit</t>
        </is>
      </c>
      <c r="D392" s="9" t="inlineStr">
        <is>
          <t>Long</t>
        </is>
      </c>
      <c r="E392" s="10" t="n">
        <v>44999.79166666666</v>
      </c>
      <c r="F392" s="10" t="n">
        <v>44999.80208333334</v>
      </c>
      <c r="G392" s="11" t="n">
        <v>0</v>
      </c>
      <c r="H392" s="11">
        <f>H391+G392</f>
        <v/>
      </c>
    </row>
    <row r="393">
      <c r="A393" s="9" t="n">
        <v>389</v>
      </c>
      <c r="B393" s="9" t="inlineStr">
        <is>
          <t>Ratchet</t>
        </is>
      </c>
      <c r="C393" s="9" t="inlineStr">
        <is>
          <t>Stochastic scalp with give-back trail exit</t>
        </is>
      </c>
      <c r="D393" s="9" t="inlineStr">
        <is>
          <t>Long</t>
        </is>
      </c>
      <c r="E393" s="10" t="n">
        <v>44999.85069444445</v>
      </c>
      <c r="F393" s="10" t="n">
        <v>44999.87152777778</v>
      </c>
      <c r="G393" s="11" t="n">
        <v>-2.76</v>
      </c>
      <c r="H393" s="11">
        <f>H392+G393</f>
        <v/>
      </c>
    </row>
    <row r="394">
      <c r="A394" s="9" t="n">
        <v>390</v>
      </c>
      <c r="B394" s="9" t="inlineStr">
        <is>
          <t>Aurelius_M15</t>
        </is>
      </c>
      <c r="C394" s="9" t="inlineStr">
        <is>
          <t>MA alignment (EMA21&gt;EMA50&gt;SMA250&gt;SMMA500 vs EMA2400 trend filter) - M15 chart</t>
        </is>
      </c>
      <c r="D394" s="9" t="inlineStr">
        <is>
          <t>Long</t>
        </is>
      </c>
      <c r="E394" s="10" t="n">
        <v>44999.88541666666</v>
      </c>
      <c r="F394" s="10" t="n">
        <v>44999.94791666666</v>
      </c>
      <c r="G394" s="11" t="n">
        <v>-3.13</v>
      </c>
      <c r="H394" s="11">
        <f>H393+G394</f>
        <v/>
      </c>
    </row>
    <row r="395">
      <c r="A395" s="9" t="n">
        <v>391</v>
      </c>
      <c r="B395" s="9" t="inlineStr">
        <is>
          <t>Vanguard_M5</t>
        </is>
      </c>
      <c r="C395" s="9" t="inlineStr">
        <is>
          <t>Trendline breakout (fractal swing line) + VWAP/S-R distance gate</t>
        </is>
      </c>
      <c r="D395" s="9" t="inlineStr">
        <is>
          <t>Short</t>
        </is>
      </c>
      <c r="E395" s="10" t="n">
        <v>45000.08680555555</v>
      </c>
      <c r="F395" s="10" t="n">
        <v>45000.15277777778</v>
      </c>
      <c r="G395" s="11" t="n">
        <v>-2.72</v>
      </c>
      <c r="H395" s="11">
        <f>H394+G395</f>
        <v/>
      </c>
    </row>
    <row r="396">
      <c r="A396" s="9" t="n">
        <v>392</v>
      </c>
      <c r="B396" s="9" t="inlineStr">
        <is>
          <t>Vanguard_M15</t>
        </is>
      </c>
      <c r="C396" s="9" t="inlineStr">
        <is>
          <t>Trendline breakout (fractal swing line) + VWAP/S-R distance gate - M15 chart</t>
        </is>
      </c>
      <c r="D396" s="9" t="inlineStr">
        <is>
          <t>Short</t>
        </is>
      </c>
      <c r="E396" s="10" t="n">
        <v>45000.09375</v>
      </c>
      <c r="F396" s="10" t="n">
        <v>45000.16666666666</v>
      </c>
      <c r="G396" s="11" t="n">
        <v>-5.5</v>
      </c>
      <c r="H396" s="11">
        <f>H395+G396</f>
        <v/>
      </c>
    </row>
    <row r="397">
      <c r="A397" s="9" t="n">
        <v>393</v>
      </c>
      <c r="B397" s="9" t="inlineStr">
        <is>
          <t>Meridian</t>
        </is>
      </c>
      <c r="C397" s="9" t="inlineStr">
        <is>
          <t>21/50 MA cross, 250-period confirm filter, VWAP</t>
        </is>
      </c>
      <c r="D397" s="9" t="inlineStr">
        <is>
          <t>Short</t>
        </is>
      </c>
      <c r="E397" s="10" t="n">
        <v>44999.90277777778</v>
      </c>
      <c r="F397" s="10" t="n">
        <v>45000.18055555555</v>
      </c>
      <c r="G397" s="11" t="n">
        <v>-0.2</v>
      </c>
      <c r="H397" s="11">
        <f>H396+G397</f>
        <v/>
      </c>
    </row>
    <row r="398">
      <c r="A398" s="9" t="n">
        <v>394</v>
      </c>
      <c r="B398" s="9" t="inlineStr">
        <is>
          <t>Meridian</t>
        </is>
      </c>
      <c r="C398" s="9" t="inlineStr">
        <is>
          <t>21/50 MA cross, 250-period confirm filter, VWAP</t>
        </is>
      </c>
      <c r="D398" s="9" t="inlineStr">
        <is>
          <t>Short</t>
        </is>
      </c>
      <c r="E398" s="10" t="n">
        <v>45000.24652777778</v>
      </c>
      <c r="F398" s="10" t="n">
        <v>45000.50347222222</v>
      </c>
      <c r="G398" s="11" t="n">
        <v>-1.85</v>
      </c>
      <c r="H398" s="11">
        <f>H397+G398</f>
        <v/>
      </c>
    </row>
    <row r="399">
      <c r="A399" s="9" t="n">
        <v>395</v>
      </c>
      <c r="B399" s="9" t="inlineStr">
        <is>
          <t>Meridian</t>
        </is>
      </c>
      <c r="C399" s="9" t="inlineStr">
        <is>
          <t>21/50 MA cross, 250-period confirm filter, VWAP</t>
        </is>
      </c>
      <c r="D399" s="9" t="inlineStr">
        <is>
          <t>Long</t>
        </is>
      </c>
      <c r="E399" s="10" t="n">
        <v>45000.51388888889</v>
      </c>
      <c r="F399" s="10" t="n">
        <v>45000.85763888889</v>
      </c>
      <c r="G399" s="11" t="n">
        <v>8.26</v>
      </c>
      <c r="H399" s="11">
        <f>H398+G399</f>
        <v/>
      </c>
    </row>
    <row r="400">
      <c r="A400" s="9" t="n">
        <v>396</v>
      </c>
      <c r="B400" s="9" t="inlineStr">
        <is>
          <t>Ratchet</t>
        </is>
      </c>
      <c r="C400" s="9" t="inlineStr">
        <is>
          <t>Stochastic scalp with give-back trail exit</t>
        </is>
      </c>
      <c r="D400" s="9" t="inlineStr">
        <is>
          <t>Long</t>
        </is>
      </c>
      <c r="E400" s="10" t="n">
        <v>45001.07291666666</v>
      </c>
      <c r="F400" s="10" t="n">
        <v>45001.07986111111</v>
      </c>
      <c r="G400" s="11" t="n">
        <v>0.27</v>
      </c>
      <c r="H400" s="11">
        <f>H399+G400</f>
        <v/>
      </c>
    </row>
    <row r="401">
      <c r="A401" s="9" t="n">
        <v>397</v>
      </c>
      <c r="B401" s="9" t="inlineStr">
        <is>
          <t>Meridian</t>
        </is>
      </c>
      <c r="C401" s="9" t="inlineStr">
        <is>
          <t>21/50 MA cross, 250-period confirm filter, VWAP</t>
        </is>
      </c>
      <c r="D401" s="9" t="inlineStr">
        <is>
          <t>Long</t>
        </is>
      </c>
      <c r="E401" s="10" t="n">
        <v>45001.0625</v>
      </c>
      <c r="F401" s="10" t="n">
        <v>45001.11805555555</v>
      </c>
      <c r="G401" s="11" t="n">
        <v>-2.67</v>
      </c>
      <c r="H401" s="11">
        <f>H400+G401</f>
        <v/>
      </c>
    </row>
    <row r="402">
      <c r="A402" s="9" t="n">
        <v>398</v>
      </c>
      <c r="B402" s="9" t="inlineStr">
        <is>
          <t>Meridian</t>
        </is>
      </c>
      <c r="C402" s="9" t="inlineStr">
        <is>
          <t>21/50 MA cross, 250-period confirm filter, VWAP</t>
        </is>
      </c>
      <c r="D402" s="9" t="inlineStr">
        <is>
          <t>Short</t>
        </is>
      </c>
      <c r="E402" s="10" t="n">
        <v>45001.12847222222</v>
      </c>
      <c r="F402" s="10" t="n">
        <v>45001.31597222222</v>
      </c>
      <c r="G402" s="11" t="n">
        <v>-4.22</v>
      </c>
      <c r="H402" s="11">
        <f>H401+G402</f>
        <v/>
      </c>
    </row>
    <row r="403">
      <c r="A403" s="9" t="n">
        <v>399</v>
      </c>
      <c r="B403" s="9" t="inlineStr">
        <is>
          <t>Ratchet</t>
        </is>
      </c>
      <c r="C403" s="9" t="inlineStr">
        <is>
          <t>Stochastic scalp with give-back trail exit</t>
        </is>
      </c>
      <c r="D403" s="9" t="inlineStr">
        <is>
          <t>Long</t>
        </is>
      </c>
      <c r="E403" s="10" t="n">
        <v>45001.51736111111</v>
      </c>
      <c r="F403" s="10" t="n">
        <v>45001.52083333334</v>
      </c>
      <c r="G403" s="11" t="n">
        <v>-2.16</v>
      </c>
      <c r="H403" s="11">
        <f>H402+G403</f>
        <v/>
      </c>
    </row>
    <row r="404">
      <c r="A404" s="9" t="n">
        <v>400</v>
      </c>
      <c r="B404" s="9" t="inlineStr">
        <is>
          <t>Ratchet</t>
        </is>
      </c>
      <c r="C404" s="9" t="inlineStr">
        <is>
          <t>Stochastic scalp with give-back trail exit</t>
        </is>
      </c>
      <c r="D404" s="9" t="inlineStr">
        <is>
          <t>Long</t>
        </is>
      </c>
      <c r="E404" s="10" t="n">
        <v>45001.61111111111</v>
      </c>
      <c r="F404" s="10" t="n">
        <v>45001.61458333334</v>
      </c>
      <c r="G404" s="11" t="n">
        <v>0.68</v>
      </c>
      <c r="H404" s="11">
        <f>H403+G404</f>
        <v/>
      </c>
    </row>
    <row r="405">
      <c r="A405" s="9" t="n">
        <v>401</v>
      </c>
      <c r="B405" s="9" t="inlineStr">
        <is>
          <t>Ratchet</t>
        </is>
      </c>
      <c r="C405" s="9" t="inlineStr">
        <is>
          <t>Stochastic scalp with give-back trail exit</t>
        </is>
      </c>
      <c r="D405" s="9" t="inlineStr">
        <is>
          <t>Long</t>
        </is>
      </c>
      <c r="E405" s="10" t="n">
        <v>45001.63888888889</v>
      </c>
      <c r="F405" s="10" t="n">
        <v>45001.64930555555</v>
      </c>
      <c r="G405" s="11" t="n">
        <v>-5.65</v>
      </c>
      <c r="H405" s="11">
        <f>H404+G405</f>
        <v/>
      </c>
    </row>
    <row r="406">
      <c r="A406" s="9" t="n">
        <v>402</v>
      </c>
      <c r="B406" s="9" t="inlineStr">
        <is>
          <t>Aurelius_M15</t>
        </is>
      </c>
      <c r="C406" s="9" t="inlineStr">
        <is>
          <t>MA alignment (EMA21&gt;EMA50&gt;SMA250&gt;SMMA500 vs EMA2400 trend filter) - M15 chart</t>
        </is>
      </c>
      <c r="D406" s="9" t="inlineStr">
        <is>
          <t>Long</t>
        </is>
      </c>
      <c r="E406" s="10" t="n">
        <v>45001.61458333334</v>
      </c>
      <c r="F406" s="10" t="n">
        <v>45001.69791666666</v>
      </c>
      <c r="G406" s="11" t="n">
        <v>-8.31</v>
      </c>
      <c r="H406" s="11">
        <f>H405+G406</f>
        <v/>
      </c>
    </row>
    <row r="407">
      <c r="A407" s="9" t="n">
        <v>403</v>
      </c>
      <c r="B407" s="9" t="inlineStr">
        <is>
          <t>Ratchet</t>
        </is>
      </c>
      <c r="C407" s="9" t="inlineStr">
        <is>
          <t>Stochastic scalp with give-back trail exit</t>
        </is>
      </c>
      <c r="D407" s="9" t="inlineStr">
        <is>
          <t>Long</t>
        </is>
      </c>
      <c r="E407" s="10" t="n">
        <v>45001.68055555555</v>
      </c>
      <c r="F407" s="10" t="n">
        <v>45001.69791666666</v>
      </c>
      <c r="G407" s="11" t="n">
        <v>0.79</v>
      </c>
      <c r="H407" s="11">
        <f>H406+G407</f>
        <v/>
      </c>
    </row>
    <row r="408">
      <c r="A408" s="9" t="n">
        <v>404</v>
      </c>
      <c r="B408" s="9" t="inlineStr">
        <is>
          <t>Aurelius_M5</t>
        </is>
      </c>
      <c r="C408" s="9" t="inlineStr">
        <is>
          <t>MA alignment (EMA21&gt;EMA50&gt;SMA250&gt;SMMA500 vs EMA2400 trend filter)</t>
        </is>
      </c>
      <c r="D408" s="9" t="inlineStr">
        <is>
          <t>Long</t>
        </is>
      </c>
      <c r="E408" s="10" t="n">
        <v>45001.67708333334</v>
      </c>
      <c r="F408" s="10" t="n">
        <v>45001.70486111111</v>
      </c>
      <c r="G408" s="11" t="n">
        <v>-7.41</v>
      </c>
      <c r="H408" s="11">
        <f>H407+G408</f>
        <v/>
      </c>
    </row>
    <row r="409">
      <c r="A409" s="9" t="n">
        <v>405</v>
      </c>
      <c r="B409" s="9" t="inlineStr">
        <is>
          <t>Meridian</t>
        </is>
      </c>
      <c r="C409" s="9" t="inlineStr">
        <is>
          <t>21/50 MA cross, 250-period confirm filter, VWAP</t>
        </is>
      </c>
      <c r="D409" s="9" t="inlineStr">
        <is>
          <t>Short</t>
        </is>
      </c>
      <c r="E409" s="10" t="n">
        <v>45001.72222222222</v>
      </c>
      <c r="F409" s="10" t="n">
        <v>45002.04166666666</v>
      </c>
      <c r="G409" s="11" t="n">
        <v>-1.77</v>
      </c>
      <c r="H409" s="11">
        <f>H408+G409</f>
        <v/>
      </c>
    </row>
    <row r="410">
      <c r="A410" s="9" t="n">
        <v>406</v>
      </c>
      <c r="B410" s="9" t="inlineStr">
        <is>
          <t>Ratchet</t>
        </is>
      </c>
      <c r="C410" s="9" t="inlineStr">
        <is>
          <t>Stochastic scalp with give-back trail exit</t>
        </is>
      </c>
      <c r="D410" s="9" t="inlineStr">
        <is>
          <t>Long</t>
        </is>
      </c>
      <c r="E410" s="10" t="n">
        <v>45002.16666666666</v>
      </c>
      <c r="F410" s="10" t="n">
        <v>45002.18055555555</v>
      </c>
      <c r="G410" s="11" t="n">
        <v>0.19</v>
      </c>
      <c r="H410" s="11">
        <f>H409+G410</f>
        <v/>
      </c>
    </row>
    <row r="411">
      <c r="A411" s="9" t="n">
        <v>407</v>
      </c>
      <c r="B411" s="9" t="inlineStr">
        <is>
          <t>Ratchet</t>
        </is>
      </c>
      <c r="C411" s="9" t="inlineStr">
        <is>
          <t>Stochastic scalp with give-back trail exit</t>
        </is>
      </c>
      <c r="D411" s="9" t="inlineStr">
        <is>
          <t>Long</t>
        </is>
      </c>
      <c r="E411" s="10" t="n">
        <v>45002.25</v>
      </c>
      <c r="F411" s="10" t="n">
        <v>45002.27083333334</v>
      </c>
      <c r="G411" s="11" t="n">
        <v>0.17</v>
      </c>
      <c r="H411" s="11">
        <f>H410+G411</f>
        <v/>
      </c>
    </row>
    <row r="412">
      <c r="A412" s="9" t="n">
        <v>408</v>
      </c>
      <c r="B412" s="9" t="inlineStr">
        <is>
          <t>Vanguard_M5</t>
        </is>
      </c>
      <c r="C412" s="9" t="inlineStr">
        <is>
          <t>Trendline breakout (fractal swing line) + VWAP/S-R distance gate</t>
        </is>
      </c>
      <c r="D412" s="9" t="inlineStr">
        <is>
          <t>Short</t>
        </is>
      </c>
      <c r="E412" s="10" t="n">
        <v>45001.70486111111</v>
      </c>
      <c r="F412" s="10" t="n">
        <v>45002.28819444445</v>
      </c>
      <c r="G412" s="11" t="n">
        <v>-9.640000000000001</v>
      </c>
      <c r="H412" s="11">
        <f>H411+G412</f>
        <v/>
      </c>
    </row>
    <row r="413">
      <c r="A413" s="9" t="n">
        <v>409</v>
      </c>
      <c r="B413" s="9" t="inlineStr">
        <is>
          <t>Ratchet</t>
        </is>
      </c>
      <c r="C413" s="9" t="inlineStr">
        <is>
          <t>Stochastic scalp with give-back trail exit</t>
        </is>
      </c>
      <c r="D413" s="9" t="inlineStr">
        <is>
          <t>Long</t>
        </is>
      </c>
      <c r="E413" s="10" t="n">
        <v>45002.27430555555</v>
      </c>
      <c r="F413" s="10" t="n">
        <v>45002.32986111111</v>
      </c>
      <c r="G413" s="11" t="n">
        <v>1.17</v>
      </c>
      <c r="H413" s="11">
        <f>H412+G413</f>
        <v/>
      </c>
    </row>
    <row r="414">
      <c r="A414" s="9" t="n">
        <v>410</v>
      </c>
      <c r="B414" s="9" t="inlineStr">
        <is>
          <t>Ratchet</t>
        </is>
      </c>
      <c r="C414" s="9" t="inlineStr">
        <is>
          <t>Stochastic scalp with give-back trail exit</t>
        </is>
      </c>
      <c r="D414" s="9" t="inlineStr">
        <is>
          <t>Long</t>
        </is>
      </c>
      <c r="E414" s="10" t="n">
        <v>45002.35416666666</v>
      </c>
      <c r="F414" s="10" t="n">
        <v>45002.37847222222</v>
      </c>
      <c r="G414" s="11" t="n">
        <v>0.45</v>
      </c>
      <c r="H414" s="11">
        <f>H413+G414</f>
        <v/>
      </c>
    </row>
    <row r="415">
      <c r="A415" s="9" t="n">
        <v>411</v>
      </c>
      <c r="B415" s="9" t="inlineStr">
        <is>
          <t>Vanguard_M5</t>
        </is>
      </c>
      <c r="C415" s="9" t="inlineStr">
        <is>
          <t>Trendline breakout (fractal swing line) + VWAP/S-R distance gate</t>
        </is>
      </c>
      <c r="D415" s="9" t="inlineStr">
        <is>
          <t>Long</t>
        </is>
      </c>
      <c r="E415" s="10" t="n">
        <v>45002.29166666666</v>
      </c>
      <c r="F415" s="10" t="n">
        <v>45002.42708333334</v>
      </c>
      <c r="G415" s="11" t="n">
        <v>-3.68</v>
      </c>
      <c r="H415" s="11">
        <f>H414+G415</f>
        <v/>
      </c>
    </row>
    <row r="416">
      <c r="A416" s="9" t="n">
        <v>412</v>
      </c>
      <c r="B416" s="9" t="inlineStr">
        <is>
          <t>Ratchet</t>
        </is>
      </c>
      <c r="C416" s="9" t="inlineStr">
        <is>
          <t>Stochastic scalp with give-back trail exit</t>
        </is>
      </c>
      <c r="D416" s="9" t="inlineStr">
        <is>
          <t>Long</t>
        </is>
      </c>
      <c r="E416" s="10" t="n">
        <v>45002.47222222222</v>
      </c>
      <c r="F416" s="10" t="n">
        <v>45002.48611111111</v>
      </c>
      <c r="G416" s="11" t="n">
        <v>0.35</v>
      </c>
      <c r="H416" s="11">
        <f>H415+G416</f>
        <v/>
      </c>
    </row>
    <row r="417">
      <c r="A417" s="9" t="n">
        <v>413</v>
      </c>
      <c r="B417" s="9" t="inlineStr">
        <is>
          <t>Ratchet</t>
        </is>
      </c>
      <c r="C417" s="9" t="inlineStr">
        <is>
          <t>Stochastic scalp with give-back trail exit</t>
        </is>
      </c>
      <c r="D417" s="9" t="inlineStr">
        <is>
          <t>Long</t>
        </is>
      </c>
      <c r="E417" s="10" t="n">
        <v>45002.49305555555</v>
      </c>
      <c r="F417" s="10" t="n">
        <v>45002.50694444445</v>
      </c>
      <c r="G417" s="11" t="n">
        <v>0.46</v>
      </c>
      <c r="H417" s="11">
        <f>H416+G417</f>
        <v/>
      </c>
    </row>
    <row r="418">
      <c r="A418" s="9" t="n">
        <v>414</v>
      </c>
      <c r="B418" s="9" t="inlineStr">
        <is>
          <t>Vanguard_M15</t>
        </is>
      </c>
      <c r="C418" s="9" t="inlineStr">
        <is>
          <t>Trendline breakout (fractal swing line) + VWAP/S-R distance gate - M15 chart</t>
        </is>
      </c>
      <c r="D418" s="9" t="inlineStr">
        <is>
          <t>Long</t>
        </is>
      </c>
      <c r="E418" s="10" t="n">
        <v>45002.29166666666</v>
      </c>
      <c r="F418" s="10" t="n">
        <v>45002.70833333334</v>
      </c>
      <c r="G418" s="11" t="n">
        <v>25.95</v>
      </c>
      <c r="H418" s="11">
        <f>H417+G418</f>
        <v/>
      </c>
    </row>
    <row r="419">
      <c r="A419" s="9" t="n">
        <v>415</v>
      </c>
      <c r="B419" s="9" t="inlineStr">
        <is>
          <t>Aurelius_M5</t>
        </is>
      </c>
      <c r="C419" s="9" t="inlineStr">
        <is>
          <t>MA alignment (EMA21&gt;EMA50&gt;SMA250&gt;SMMA500 vs EMA2400 trend filter)</t>
        </is>
      </c>
      <c r="D419" s="9" t="inlineStr">
        <is>
          <t>Long</t>
        </is>
      </c>
      <c r="E419" s="10" t="n">
        <v>45002.42361111111</v>
      </c>
      <c r="F419" s="10" t="n">
        <v>45002.87847222222</v>
      </c>
      <c r="G419" s="11" t="n">
        <v>52.88</v>
      </c>
      <c r="H419" s="11">
        <f>H418+G419</f>
        <v/>
      </c>
    </row>
    <row r="420">
      <c r="A420" s="9" t="n">
        <v>416</v>
      </c>
      <c r="B420" s="9" t="inlineStr">
        <is>
          <t>Vanguard_M15</t>
        </is>
      </c>
      <c r="C420" s="9" t="inlineStr">
        <is>
          <t>Trendline breakout (fractal swing line) + VWAP/S-R distance gate - M15 chart</t>
        </is>
      </c>
      <c r="D420" s="9" t="inlineStr">
        <is>
          <t>Short</t>
        </is>
      </c>
      <c r="E420" s="10" t="n">
        <v>45005.13541666666</v>
      </c>
      <c r="F420" s="10" t="n">
        <v>45005.32291666666</v>
      </c>
      <c r="G420" s="11" t="n">
        <v>-11.64</v>
      </c>
      <c r="H420" s="11">
        <f>H419+G420</f>
        <v/>
      </c>
    </row>
    <row r="421">
      <c r="A421" s="9" t="n">
        <v>417</v>
      </c>
      <c r="B421" s="9" t="inlineStr">
        <is>
          <t>Ratchet</t>
        </is>
      </c>
      <c r="C421" s="9" t="inlineStr">
        <is>
          <t>Stochastic scalp with give-back trail exit</t>
        </is>
      </c>
      <c r="D421" s="9" t="inlineStr">
        <is>
          <t>Long</t>
        </is>
      </c>
      <c r="E421" s="10" t="n">
        <v>45005.43055555555</v>
      </c>
      <c r="F421" s="10" t="n">
        <v>45005.45486111111</v>
      </c>
      <c r="G421" s="11" t="n">
        <v>-7.46</v>
      </c>
      <c r="H421" s="11">
        <f>H420+G421</f>
        <v/>
      </c>
    </row>
    <row r="422">
      <c r="A422" s="9" t="n">
        <v>418</v>
      </c>
      <c r="B422" s="9" t="inlineStr">
        <is>
          <t>Ratchet</t>
        </is>
      </c>
      <c r="C422" s="9" t="inlineStr">
        <is>
          <t>Stochastic scalp with give-back trail exit</t>
        </is>
      </c>
      <c r="D422" s="9" t="inlineStr">
        <is>
          <t>Long</t>
        </is>
      </c>
      <c r="E422" s="10" t="n">
        <v>45005.90277777778</v>
      </c>
      <c r="F422" s="10" t="n">
        <v>45005.90972222222</v>
      </c>
      <c r="G422" s="11" t="n">
        <v>-2.76</v>
      </c>
      <c r="H422" s="11">
        <f>H421+G422</f>
        <v/>
      </c>
    </row>
    <row r="423">
      <c r="A423" s="9" t="n">
        <v>419</v>
      </c>
      <c r="B423" s="9" t="inlineStr">
        <is>
          <t>Vanguard_M5</t>
        </is>
      </c>
      <c r="C423" s="9" t="inlineStr">
        <is>
          <t>Trendline breakout (fractal swing line) + VWAP/S-R distance gate</t>
        </is>
      </c>
      <c r="D423" s="9" t="inlineStr">
        <is>
          <t>Long</t>
        </is>
      </c>
      <c r="E423" s="10" t="n">
        <v>45002.4375</v>
      </c>
      <c r="F423" s="10" t="n">
        <v>45006.09722222222</v>
      </c>
      <c r="G423" s="11" t="n">
        <v>45.61</v>
      </c>
      <c r="H423" s="11">
        <f>H422+G423</f>
        <v/>
      </c>
    </row>
    <row r="424">
      <c r="A424" s="9" t="n">
        <v>420</v>
      </c>
      <c r="B424" s="9" t="inlineStr">
        <is>
          <t>Vanguard_M5</t>
        </is>
      </c>
      <c r="C424" s="9" t="inlineStr">
        <is>
          <t>Trendline breakout (fractal swing line) + VWAP/S-R distance gate</t>
        </is>
      </c>
      <c r="D424" s="9" t="inlineStr">
        <is>
          <t>Short</t>
        </is>
      </c>
      <c r="E424" s="10" t="n">
        <v>45006.10069444445</v>
      </c>
      <c r="F424" s="10" t="n">
        <v>45006.11805555555</v>
      </c>
      <c r="G424" s="11" t="n">
        <v>-4.36</v>
      </c>
      <c r="H424" s="11">
        <f>H423+G424</f>
        <v/>
      </c>
    </row>
    <row r="425">
      <c r="A425" s="9" t="n">
        <v>421</v>
      </c>
      <c r="B425" s="9" t="inlineStr">
        <is>
          <t>Ratchet</t>
        </is>
      </c>
      <c r="C425" s="9" t="inlineStr">
        <is>
          <t>Stochastic scalp with give-back trail exit</t>
        </is>
      </c>
      <c r="D425" s="9" t="inlineStr">
        <is>
          <t>Long</t>
        </is>
      </c>
      <c r="E425" s="10" t="n">
        <v>45006.14236111111</v>
      </c>
      <c r="F425" s="10" t="n">
        <v>45006.15277777778</v>
      </c>
      <c r="G425" s="11" t="n">
        <v>0.38</v>
      </c>
      <c r="H425" s="11">
        <f>H424+G425</f>
        <v/>
      </c>
    </row>
    <row r="426">
      <c r="A426" s="9" t="n">
        <v>422</v>
      </c>
      <c r="B426" s="9" t="inlineStr">
        <is>
          <t>Ratchet</t>
        </is>
      </c>
      <c r="C426" s="9" t="inlineStr">
        <is>
          <t>Stochastic scalp with give-back trail exit</t>
        </is>
      </c>
      <c r="D426" s="9" t="inlineStr">
        <is>
          <t>Long</t>
        </is>
      </c>
      <c r="E426" s="10" t="n">
        <v>45006.19097222222</v>
      </c>
      <c r="F426" s="10" t="n">
        <v>45006.26388888889</v>
      </c>
      <c r="G426" s="11" t="n">
        <v>1.29</v>
      </c>
      <c r="H426" s="11">
        <f>H425+G426</f>
        <v/>
      </c>
    </row>
    <row r="427">
      <c r="A427" s="9" t="n">
        <v>423</v>
      </c>
      <c r="B427" s="9" t="inlineStr">
        <is>
          <t>Meridian</t>
        </is>
      </c>
      <c r="C427" s="9" t="inlineStr">
        <is>
          <t>21/50 MA cross, 250-period confirm filter, VWAP</t>
        </is>
      </c>
      <c r="D427" s="9" t="inlineStr">
        <is>
          <t>Short</t>
        </is>
      </c>
      <c r="E427" s="10" t="n">
        <v>45006.35069444445</v>
      </c>
      <c r="F427" s="10" t="n">
        <v>45007.05902777778</v>
      </c>
      <c r="G427" s="11" t="n">
        <v>35.83</v>
      </c>
      <c r="H427" s="11">
        <f>H426+G427</f>
        <v/>
      </c>
    </row>
    <row r="428">
      <c r="A428" s="9" t="n">
        <v>424</v>
      </c>
      <c r="B428" s="9" t="inlineStr">
        <is>
          <t>Meridian</t>
        </is>
      </c>
      <c r="C428" s="9" t="inlineStr">
        <is>
          <t>21/50 MA cross, 250-period confirm filter, VWAP</t>
        </is>
      </c>
      <c r="D428" s="9" t="inlineStr">
        <is>
          <t>Short</t>
        </is>
      </c>
      <c r="E428" s="10" t="n">
        <v>45007.1875</v>
      </c>
      <c r="F428" s="10" t="n">
        <v>45007.36111111111</v>
      </c>
      <c r="G428" s="11" t="n">
        <v>-1.79</v>
      </c>
      <c r="H428" s="11">
        <f>H427+G428</f>
        <v/>
      </c>
    </row>
    <row r="429">
      <c r="A429" s="9" t="n">
        <v>425</v>
      </c>
      <c r="B429" s="9" t="inlineStr">
        <is>
          <t>Meridian</t>
        </is>
      </c>
      <c r="C429" s="9" t="inlineStr">
        <is>
          <t>21/50 MA cross, 250-period confirm filter, VWAP</t>
        </is>
      </c>
      <c r="D429" s="9" t="inlineStr">
        <is>
          <t>Short</t>
        </is>
      </c>
      <c r="E429" s="10" t="n">
        <v>45007.38888888889</v>
      </c>
      <c r="F429" s="10" t="n">
        <v>45007.42361111111</v>
      </c>
      <c r="G429" s="11" t="n">
        <v>-3.45</v>
      </c>
      <c r="H429" s="11">
        <f>H428+G429</f>
        <v/>
      </c>
    </row>
    <row r="430">
      <c r="A430" s="9" t="n">
        <v>426</v>
      </c>
      <c r="B430" s="9" t="inlineStr">
        <is>
          <t>Vanguard_M15</t>
        </is>
      </c>
      <c r="C430" s="9" t="inlineStr">
        <is>
          <t>Trendline breakout (fractal swing line) + VWAP/S-R distance gate - M15 chart</t>
        </is>
      </c>
      <c r="D430" s="9" t="inlineStr">
        <is>
          <t>Short</t>
        </is>
      </c>
      <c r="E430" s="10" t="n">
        <v>45005.52083333334</v>
      </c>
      <c r="F430" s="10" t="n">
        <v>45007.65625</v>
      </c>
      <c r="G430" s="11" t="n">
        <v>40.64</v>
      </c>
      <c r="H430" s="11">
        <f>H429+G430</f>
        <v/>
      </c>
    </row>
    <row r="431">
      <c r="A431" s="9" t="n">
        <v>427</v>
      </c>
      <c r="B431" s="9" t="inlineStr">
        <is>
          <t>Meridian</t>
        </is>
      </c>
      <c r="C431" s="9" t="inlineStr">
        <is>
          <t>21/50 MA cross, 250-period confirm filter, VWAP</t>
        </is>
      </c>
      <c r="D431" s="9" t="inlineStr">
        <is>
          <t>Short</t>
        </is>
      </c>
      <c r="E431" s="10" t="n">
        <v>45007.57291666666</v>
      </c>
      <c r="F431" s="10" t="n">
        <v>45007.67361111111</v>
      </c>
      <c r="G431" s="11" t="n">
        <v>-3.42</v>
      </c>
      <c r="H431" s="11">
        <f>H430+G431</f>
        <v/>
      </c>
    </row>
    <row r="432">
      <c r="A432" s="9" t="n">
        <v>428</v>
      </c>
      <c r="B432" s="9" t="inlineStr">
        <is>
          <t>Ratchet</t>
        </is>
      </c>
      <c r="C432" s="9" t="inlineStr">
        <is>
          <t>Stochastic scalp with give-back trail exit</t>
        </is>
      </c>
      <c r="D432" s="9" t="inlineStr">
        <is>
          <t>Long</t>
        </is>
      </c>
      <c r="E432" s="10" t="n">
        <v>45008.09375</v>
      </c>
      <c r="F432" s="10" t="n">
        <v>45008.12152777778</v>
      </c>
      <c r="G432" s="11" t="n">
        <v>0.42</v>
      </c>
      <c r="H432" s="11">
        <f>H431+G432</f>
        <v/>
      </c>
    </row>
    <row r="433">
      <c r="A433" s="9" t="n">
        <v>429</v>
      </c>
      <c r="B433" s="9" t="inlineStr">
        <is>
          <t>Ratchet</t>
        </is>
      </c>
      <c r="C433" s="9" t="inlineStr">
        <is>
          <t>Stochastic scalp with give-back trail exit</t>
        </is>
      </c>
      <c r="D433" s="9" t="inlineStr">
        <is>
          <t>Long</t>
        </is>
      </c>
      <c r="E433" s="10" t="n">
        <v>45008.17361111111</v>
      </c>
      <c r="F433" s="10" t="n">
        <v>45008.18402777778</v>
      </c>
      <c r="G433" s="11" t="n">
        <v>1.68</v>
      </c>
      <c r="H433" s="11">
        <f>H432+G433</f>
        <v/>
      </c>
    </row>
    <row r="434">
      <c r="A434" s="9" t="n">
        <v>430</v>
      </c>
      <c r="B434" s="9" t="inlineStr">
        <is>
          <t>Aurelius_M5</t>
        </is>
      </c>
      <c r="C434" s="9" t="inlineStr">
        <is>
          <t>MA alignment (EMA21&gt;EMA50&gt;SMA250&gt;SMMA500 vs EMA2400 trend filter)</t>
        </is>
      </c>
      <c r="D434" s="9" t="inlineStr">
        <is>
          <t>Long</t>
        </is>
      </c>
      <c r="E434" s="10" t="n">
        <v>45008.42013888889</v>
      </c>
      <c r="F434" s="10" t="n">
        <v>45008.45486111111</v>
      </c>
      <c r="G434" s="11" t="n">
        <v>-3.14</v>
      </c>
      <c r="H434" s="11">
        <f>H433+G434</f>
        <v/>
      </c>
    </row>
    <row r="435">
      <c r="A435" s="9" t="n">
        <v>431</v>
      </c>
      <c r="B435" s="9" t="inlineStr">
        <is>
          <t>Meridian</t>
        </is>
      </c>
      <c r="C435" s="9" t="inlineStr">
        <is>
          <t>21/50 MA cross, 250-period confirm filter, VWAP</t>
        </is>
      </c>
      <c r="D435" s="9" t="inlineStr">
        <is>
          <t>Long</t>
        </is>
      </c>
      <c r="E435" s="10" t="n">
        <v>45008.51041666666</v>
      </c>
      <c r="F435" s="10" t="n">
        <v>45008.60763888889</v>
      </c>
      <c r="G435" s="11" t="n">
        <v>-4.24</v>
      </c>
      <c r="H435" s="11">
        <f>H434+G435</f>
        <v/>
      </c>
    </row>
    <row r="436">
      <c r="A436" s="9" t="n">
        <v>432</v>
      </c>
      <c r="B436" s="9" t="inlineStr">
        <is>
          <t>Aurelius_M5</t>
        </is>
      </c>
      <c r="C436" s="9" t="inlineStr">
        <is>
          <t>MA alignment (EMA21&gt;EMA50&gt;SMA250&gt;SMMA500 vs EMA2400 trend filter)</t>
        </is>
      </c>
      <c r="D436" s="9" t="inlineStr">
        <is>
          <t>Long</t>
        </is>
      </c>
      <c r="E436" s="10" t="n">
        <v>45008.6875</v>
      </c>
      <c r="F436" s="10" t="n">
        <v>45008.70833333334</v>
      </c>
      <c r="G436" s="11" t="n">
        <v>-6.31</v>
      </c>
      <c r="H436" s="11">
        <f>H435+G436</f>
        <v/>
      </c>
    </row>
    <row r="437">
      <c r="A437" s="9" t="n">
        <v>433</v>
      </c>
      <c r="B437" s="9" t="inlineStr">
        <is>
          <t>Meridian</t>
        </is>
      </c>
      <c r="C437" s="9" t="inlineStr">
        <is>
          <t>21/50 MA cross, 250-period confirm filter, VWAP</t>
        </is>
      </c>
      <c r="D437" s="9" t="inlineStr">
        <is>
          <t>Long</t>
        </is>
      </c>
      <c r="E437" s="10" t="n">
        <v>45008.66319444445</v>
      </c>
      <c r="F437" s="10" t="n">
        <v>45009.14583333334</v>
      </c>
      <c r="G437" s="11" t="n">
        <v>9.99</v>
      </c>
      <c r="H437" s="11">
        <f>H436+G437</f>
        <v/>
      </c>
    </row>
    <row r="438">
      <c r="A438" s="9" t="n">
        <v>434</v>
      </c>
      <c r="B438" s="9" t="inlineStr">
        <is>
          <t>Ratchet</t>
        </is>
      </c>
      <c r="C438" s="9" t="inlineStr">
        <is>
          <t>Stochastic scalp with give-back trail exit</t>
        </is>
      </c>
      <c r="D438" s="9" t="inlineStr">
        <is>
          <t>Long</t>
        </is>
      </c>
      <c r="E438" s="10" t="n">
        <v>45009.27430555555</v>
      </c>
      <c r="F438" s="10" t="n">
        <v>45009.27777777778</v>
      </c>
      <c r="G438" s="11" t="n">
        <v>-1.44</v>
      </c>
      <c r="H438" s="11">
        <f>H437+G438</f>
        <v/>
      </c>
    </row>
    <row r="439">
      <c r="A439" s="9" t="n">
        <v>435</v>
      </c>
      <c r="B439" s="9" t="inlineStr">
        <is>
          <t>Meridian</t>
        </is>
      </c>
      <c r="C439" s="9" t="inlineStr">
        <is>
          <t>21/50 MA cross, 250-period confirm filter, VWAP</t>
        </is>
      </c>
      <c r="D439" s="9" t="inlineStr">
        <is>
          <t>Long</t>
        </is>
      </c>
      <c r="E439" s="10" t="n">
        <v>45009.27083333334</v>
      </c>
      <c r="F439" s="10" t="n">
        <v>45009.28472222222</v>
      </c>
      <c r="G439" s="11" t="n">
        <v>-1.04</v>
      </c>
      <c r="H439" s="11">
        <f>H438+G439</f>
        <v/>
      </c>
    </row>
    <row r="440">
      <c r="A440" s="9" t="n">
        <v>436</v>
      </c>
      <c r="B440" s="9" t="inlineStr">
        <is>
          <t>Meridian</t>
        </is>
      </c>
      <c r="C440" s="9" t="inlineStr">
        <is>
          <t>21/50 MA cross, 250-period confirm filter, VWAP</t>
        </is>
      </c>
      <c r="D440" s="9" t="inlineStr">
        <is>
          <t>Long</t>
        </is>
      </c>
      <c r="E440" s="10" t="n">
        <v>45009.29166666666</v>
      </c>
      <c r="F440" s="10" t="n">
        <v>45009.30208333334</v>
      </c>
      <c r="G440" s="11" t="n">
        <v>-2.35</v>
      </c>
      <c r="H440" s="11">
        <f>H439+G440</f>
        <v/>
      </c>
    </row>
    <row r="441">
      <c r="A441" s="9" t="n">
        <v>437</v>
      </c>
      <c r="B441" s="9" t="inlineStr">
        <is>
          <t>Vanguard_M5</t>
        </is>
      </c>
      <c r="C441" s="9" t="inlineStr">
        <is>
          <t>Trendline breakout (fractal swing line) + VWAP/S-R distance gate</t>
        </is>
      </c>
      <c r="D441" s="9" t="inlineStr">
        <is>
          <t>Long</t>
        </is>
      </c>
      <c r="E441" s="10" t="n">
        <v>45007.64930555555</v>
      </c>
      <c r="F441" s="10" t="n">
        <v>45009.37152777778</v>
      </c>
      <c r="G441" s="11" t="n">
        <v>42.87</v>
      </c>
      <c r="H441" s="11">
        <f>H440+G441</f>
        <v/>
      </c>
    </row>
    <row r="442">
      <c r="A442" s="9" t="n">
        <v>438</v>
      </c>
      <c r="B442" s="9" t="inlineStr">
        <is>
          <t>Aurelius_M15</t>
        </is>
      </c>
      <c r="C442" s="9" t="inlineStr">
        <is>
          <t>MA alignment (EMA21&gt;EMA50&gt;SMA250&gt;SMMA500 vs EMA2400 trend filter) - M15 chart</t>
        </is>
      </c>
      <c r="D442" s="9" t="inlineStr">
        <is>
          <t>Long</t>
        </is>
      </c>
      <c r="E442" s="10" t="n">
        <v>45008.64583333334</v>
      </c>
      <c r="F442" s="10" t="n">
        <v>45009.38541666666</v>
      </c>
      <c r="G442" s="11" t="n">
        <v>9.18</v>
      </c>
      <c r="H442" s="11">
        <f>H441+G442</f>
        <v/>
      </c>
    </row>
    <row r="443">
      <c r="A443" s="9" t="n">
        <v>439</v>
      </c>
      <c r="B443" s="9" t="inlineStr">
        <is>
          <t>Vanguard_M5</t>
        </is>
      </c>
      <c r="C443" s="9" t="inlineStr">
        <is>
          <t>Trendline breakout (fractal swing line) + VWAP/S-R distance gate</t>
        </is>
      </c>
      <c r="D443" s="9" t="inlineStr">
        <is>
          <t>Short</t>
        </is>
      </c>
      <c r="E443" s="10" t="n">
        <v>45009.375</v>
      </c>
      <c r="F443" s="10" t="n">
        <v>45009.42013888889</v>
      </c>
      <c r="G443" s="11" t="n">
        <v>-5.3</v>
      </c>
      <c r="H443" s="11">
        <f>H442+G443</f>
        <v/>
      </c>
    </row>
    <row r="444">
      <c r="A444" s="9" t="n">
        <v>440</v>
      </c>
      <c r="B444" s="9" t="inlineStr">
        <is>
          <t>Vanguard_M15</t>
        </is>
      </c>
      <c r="C444" s="9" t="inlineStr">
        <is>
          <t>Trendline breakout (fractal swing line) + VWAP/S-R distance gate - M15 chart</t>
        </is>
      </c>
      <c r="D444" s="9" t="inlineStr">
        <is>
          <t>Long</t>
        </is>
      </c>
      <c r="E444" s="10" t="n">
        <v>45007.66666666666</v>
      </c>
      <c r="F444" s="10" t="n">
        <v>45009.42708333334</v>
      </c>
      <c r="G444" s="11" t="n">
        <v>43.97</v>
      </c>
      <c r="H444" s="11">
        <f>H443+G444</f>
        <v/>
      </c>
    </row>
    <row r="445">
      <c r="A445" s="9" t="n">
        <v>441</v>
      </c>
      <c r="B445" s="9" t="inlineStr">
        <is>
          <t>Vanguard_M5</t>
        </is>
      </c>
      <c r="C445" s="9" t="inlineStr">
        <is>
          <t>Trendline breakout (fractal swing line) + VWAP/S-R distance gate</t>
        </is>
      </c>
      <c r="D445" s="9" t="inlineStr">
        <is>
          <t>Short</t>
        </is>
      </c>
      <c r="E445" s="10" t="n">
        <v>45009.4375</v>
      </c>
      <c r="F445" s="10" t="n">
        <v>45009.49652777778</v>
      </c>
      <c r="G445" s="11" t="n">
        <v>-7.09</v>
      </c>
      <c r="H445" s="11">
        <f>H444+G445</f>
        <v/>
      </c>
    </row>
    <row r="446">
      <c r="A446" s="9" t="n">
        <v>442</v>
      </c>
      <c r="B446" s="9" t="inlineStr">
        <is>
          <t>Vanguard_M15</t>
        </is>
      </c>
      <c r="C446" s="9" t="inlineStr">
        <is>
          <t>Trendline breakout (fractal swing line) + VWAP/S-R distance gate - M15 chart</t>
        </is>
      </c>
      <c r="D446" s="9" t="inlineStr">
        <is>
          <t>Short</t>
        </is>
      </c>
      <c r="E446" s="10" t="n">
        <v>45009.4375</v>
      </c>
      <c r="F446" s="10" t="n">
        <v>45009.5</v>
      </c>
      <c r="G446" s="11" t="n">
        <v>-8.07</v>
      </c>
      <c r="H446" s="11">
        <f>H445+G446</f>
        <v/>
      </c>
    </row>
    <row r="447">
      <c r="A447" s="9" t="n">
        <v>443</v>
      </c>
      <c r="B447" s="9" t="inlineStr">
        <is>
          <t>Ratchet</t>
        </is>
      </c>
      <c r="C447" s="9" t="inlineStr">
        <is>
          <t>Stochastic scalp with give-back trail exit</t>
        </is>
      </c>
      <c r="D447" s="9" t="inlineStr">
        <is>
          <t>Long</t>
        </is>
      </c>
      <c r="E447" s="10" t="n">
        <v>45009.58680555555</v>
      </c>
      <c r="F447" s="10" t="n">
        <v>45009.60763888889</v>
      </c>
      <c r="G447" s="11" t="n">
        <v>1.04</v>
      </c>
      <c r="H447" s="11">
        <f>H446+G447</f>
        <v/>
      </c>
    </row>
    <row r="448">
      <c r="A448" s="9" t="n">
        <v>444</v>
      </c>
      <c r="B448" s="9" t="inlineStr">
        <is>
          <t>Meridian</t>
        </is>
      </c>
      <c r="C448" s="9" t="inlineStr">
        <is>
          <t>21/50 MA cross, 250-period confirm filter, VWAP</t>
        </is>
      </c>
      <c r="D448" s="9" t="inlineStr">
        <is>
          <t>Long</t>
        </is>
      </c>
      <c r="E448" s="10" t="n">
        <v>45009.49652777778</v>
      </c>
      <c r="F448" s="10" t="n">
        <v>45009.66319444445</v>
      </c>
      <c r="G448" s="11" t="n">
        <v>-5.02</v>
      </c>
      <c r="H448" s="11">
        <f>H447+G448</f>
        <v/>
      </c>
    </row>
    <row r="449">
      <c r="A449" s="9" t="n">
        <v>445</v>
      </c>
      <c r="B449" s="9" t="inlineStr">
        <is>
          <t>Aurelius_M5</t>
        </is>
      </c>
      <c r="C449" s="9" t="inlineStr">
        <is>
          <t>MA alignment (EMA21&gt;EMA50&gt;SMA250&gt;SMMA500 vs EMA2400 trend filter)</t>
        </is>
      </c>
      <c r="D449" s="9" t="inlineStr">
        <is>
          <t>Long</t>
        </is>
      </c>
      <c r="E449" s="10" t="n">
        <v>45009.59027777778</v>
      </c>
      <c r="F449" s="10" t="n">
        <v>45009.66319444445</v>
      </c>
      <c r="G449" s="11" t="n">
        <v>-4.85</v>
      </c>
      <c r="H449" s="11">
        <f>H448+G449</f>
        <v/>
      </c>
    </row>
    <row r="450">
      <c r="A450" s="9" t="n">
        <v>446</v>
      </c>
      <c r="B450" s="9" t="inlineStr">
        <is>
          <t>Aurelius_M5</t>
        </is>
      </c>
      <c r="C450" s="9" t="inlineStr">
        <is>
          <t>MA alignment (EMA21&gt;EMA50&gt;SMA250&gt;SMMA500 vs EMA2400 trend filter)</t>
        </is>
      </c>
      <c r="D450" s="9" t="inlineStr">
        <is>
          <t>Long</t>
        </is>
      </c>
      <c r="E450" s="10" t="n">
        <v>45009.68055555555</v>
      </c>
      <c r="F450" s="10" t="n">
        <v>45009.72222222222</v>
      </c>
      <c r="G450" s="11" t="n">
        <v>-4.12</v>
      </c>
      <c r="H450" s="11">
        <f>H449+G450</f>
        <v/>
      </c>
    </row>
    <row r="451">
      <c r="A451" s="9" t="n">
        <v>447</v>
      </c>
      <c r="B451" s="9" t="inlineStr">
        <is>
          <t>Aurelius_M15</t>
        </is>
      </c>
      <c r="C451" s="9" t="inlineStr">
        <is>
          <t>MA alignment (EMA21&gt;EMA50&gt;SMA250&gt;SMMA500 vs EMA2400 trend filter) - M15 chart</t>
        </is>
      </c>
      <c r="D451" s="9" t="inlineStr">
        <is>
          <t>Long</t>
        </is>
      </c>
      <c r="E451" s="10" t="n">
        <v>45009.59375</v>
      </c>
      <c r="F451" s="10" t="n">
        <v>45009.75</v>
      </c>
      <c r="G451" s="11" t="n">
        <v>-8.359999999999999</v>
      </c>
      <c r="H451" s="11">
        <f>H450+G451</f>
        <v/>
      </c>
    </row>
    <row r="452">
      <c r="A452" s="9" t="n">
        <v>448</v>
      </c>
      <c r="B452" s="9" t="inlineStr">
        <is>
          <t>Meridian</t>
        </is>
      </c>
      <c r="C452" s="9" t="inlineStr">
        <is>
          <t>21/50 MA cross, 250-period confirm filter, VWAP</t>
        </is>
      </c>
      <c r="D452" s="9" t="inlineStr">
        <is>
          <t>Short</t>
        </is>
      </c>
      <c r="E452" s="10" t="n">
        <v>45009.72222222222</v>
      </c>
      <c r="F452" s="10" t="n">
        <v>45009.91666666666</v>
      </c>
      <c r="G452" s="11" t="n">
        <v>16.13</v>
      </c>
      <c r="H452" s="11">
        <f>H451+G452</f>
        <v/>
      </c>
    </row>
    <row r="453">
      <c r="A453" s="9" t="n">
        <v>449</v>
      </c>
      <c r="B453" s="9" t="inlineStr">
        <is>
          <t>Meridian</t>
        </is>
      </c>
      <c r="C453" s="9" t="inlineStr">
        <is>
          <t>21/50 MA cross, 250-period confirm filter, VWAP</t>
        </is>
      </c>
      <c r="D453" s="9" t="inlineStr">
        <is>
          <t>Short</t>
        </is>
      </c>
      <c r="E453" s="10" t="n">
        <v>45012.85763888889</v>
      </c>
      <c r="F453" s="10" t="n">
        <v>45012.90625</v>
      </c>
      <c r="G453" s="11" t="n">
        <v>-4.3</v>
      </c>
      <c r="H453" s="11">
        <f>H452+G453</f>
        <v/>
      </c>
    </row>
    <row r="454">
      <c r="A454" s="9" t="n">
        <v>450</v>
      </c>
      <c r="B454" s="9" t="inlineStr">
        <is>
          <t>Ratchet</t>
        </is>
      </c>
      <c r="C454" s="9" t="inlineStr">
        <is>
          <t>Stochastic scalp with give-back trail exit</t>
        </is>
      </c>
      <c r="D454" s="9" t="inlineStr">
        <is>
          <t>Short</t>
        </is>
      </c>
      <c r="E454" s="10" t="n">
        <v>45013.50694444445</v>
      </c>
      <c r="F454" s="10" t="n">
        <v>45013.53125</v>
      </c>
      <c r="G454" s="11" t="n">
        <v>-2.78</v>
      </c>
      <c r="H454" s="11">
        <f>H453+G454</f>
        <v/>
      </c>
    </row>
    <row r="455">
      <c r="A455" s="9" t="n">
        <v>451</v>
      </c>
      <c r="B455" s="9" t="inlineStr">
        <is>
          <t>Vanguard_M15</t>
        </is>
      </c>
      <c r="C455" s="9" t="inlineStr">
        <is>
          <t>Trendline breakout (fractal swing line) + VWAP/S-R distance gate - M15 chart</t>
        </is>
      </c>
      <c r="D455" s="9" t="inlineStr">
        <is>
          <t>Short</t>
        </is>
      </c>
      <c r="E455" s="10" t="n">
        <v>45009.66666666666</v>
      </c>
      <c r="F455" s="10" t="n">
        <v>45013.54166666666</v>
      </c>
      <c r="G455" s="11" t="n">
        <v>34.59</v>
      </c>
      <c r="H455" s="11">
        <f>H454+G455</f>
        <v/>
      </c>
    </row>
    <row r="456">
      <c r="A456" s="9" t="n">
        <v>452</v>
      </c>
      <c r="B456" s="9" t="inlineStr">
        <is>
          <t>Meridian</t>
        </is>
      </c>
      <c r="C456" s="9" t="inlineStr">
        <is>
          <t>21/50 MA cross, 250-period confirm filter, VWAP</t>
        </is>
      </c>
      <c r="D456" s="9" t="inlineStr">
        <is>
          <t>Long</t>
        </is>
      </c>
      <c r="E456" s="10" t="n">
        <v>45013.57291666666</v>
      </c>
      <c r="F456" s="10" t="n">
        <v>45014.14236111111</v>
      </c>
      <c r="G456" s="11" t="n">
        <v>14.19</v>
      </c>
      <c r="H456" s="11">
        <f>H455+G456</f>
        <v/>
      </c>
    </row>
    <row r="457">
      <c r="A457" s="9" t="n">
        <v>453</v>
      </c>
      <c r="B457" s="9" t="inlineStr">
        <is>
          <t>Meridian</t>
        </is>
      </c>
      <c r="C457" s="9" t="inlineStr">
        <is>
          <t>21/50 MA cross, 250-period confirm filter, VWAP</t>
        </is>
      </c>
      <c r="D457" s="9" t="inlineStr">
        <is>
          <t>Short</t>
        </is>
      </c>
      <c r="E457" s="10" t="n">
        <v>45014.65972222222</v>
      </c>
      <c r="F457" s="10" t="n">
        <v>45014.71875</v>
      </c>
      <c r="G457" s="11" t="n">
        <v>-3.22</v>
      </c>
      <c r="H457" s="11">
        <f>H456+G457</f>
        <v/>
      </c>
    </row>
    <row r="458">
      <c r="A458" s="9" t="n">
        <v>454</v>
      </c>
      <c r="B458" s="9" t="inlineStr">
        <is>
          <t>Meridian</t>
        </is>
      </c>
      <c r="C458" s="9" t="inlineStr">
        <is>
          <t>21/50 MA cross, 250-period confirm filter, VWAP</t>
        </is>
      </c>
      <c r="D458" s="9" t="inlineStr">
        <is>
          <t>Short</t>
        </is>
      </c>
      <c r="E458" s="10" t="n">
        <v>45014.79166666666</v>
      </c>
      <c r="F458" s="10" t="n">
        <v>45014.85416666666</v>
      </c>
      <c r="G458" s="11" t="n">
        <v>-5.33</v>
      </c>
      <c r="H458" s="11">
        <f>H457+G458</f>
        <v/>
      </c>
    </row>
    <row r="459">
      <c r="A459" s="9" t="n">
        <v>455</v>
      </c>
      <c r="B459" s="9" t="inlineStr">
        <is>
          <t>Meridian</t>
        </is>
      </c>
      <c r="C459" s="9" t="inlineStr">
        <is>
          <t>21/50 MA cross, 250-period confirm filter, VWAP</t>
        </is>
      </c>
      <c r="D459" s="9" t="inlineStr">
        <is>
          <t>Long</t>
        </is>
      </c>
      <c r="E459" s="10" t="n">
        <v>45014.86458333334</v>
      </c>
      <c r="F459" s="10" t="n">
        <v>45014.93402777778</v>
      </c>
      <c r="G459" s="11" t="n">
        <v>-3.66</v>
      </c>
      <c r="H459" s="11">
        <f>H458+G459</f>
        <v/>
      </c>
    </row>
    <row r="460">
      <c r="A460" s="9" t="n">
        <v>456</v>
      </c>
      <c r="B460" s="9" t="inlineStr">
        <is>
          <t>Meridian</t>
        </is>
      </c>
      <c r="C460" s="9" t="inlineStr">
        <is>
          <t>21/50 MA cross, 250-period confirm filter, VWAP</t>
        </is>
      </c>
      <c r="D460" s="9" t="inlineStr">
        <is>
          <t>Short</t>
        </is>
      </c>
      <c r="E460" s="10" t="n">
        <v>45014.94097222222</v>
      </c>
      <c r="F460" s="10" t="n">
        <v>45015.34375</v>
      </c>
      <c r="G460" s="11" t="n">
        <v>2.08</v>
      </c>
      <c r="H460" s="11">
        <f>H459+G460</f>
        <v/>
      </c>
    </row>
    <row r="461">
      <c r="A461" s="9" t="n">
        <v>457</v>
      </c>
      <c r="B461" s="9" t="inlineStr">
        <is>
          <t>Vanguard_M5</t>
        </is>
      </c>
      <c r="C461" s="9" t="inlineStr">
        <is>
          <t>Trendline breakout (fractal swing line) + VWAP/S-R distance gate</t>
        </is>
      </c>
      <c r="D461" s="9" t="inlineStr">
        <is>
          <t>Short</t>
        </is>
      </c>
      <c r="E461" s="10" t="n">
        <v>45014.79166666666</v>
      </c>
      <c r="F461" s="10" t="n">
        <v>45015.41666666666</v>
      </c>
      <c r="G461" s="11" t="n">
        <v>-8.529999999999999</v>
      </c>
      <c r="H461" s="11">
        <f>H460+G461</f>
        <v/>
      </c>
    </row>
    <row r="462">
      <c r="A462" s="9" t="n">
        <v>458</v>
      </c>
      <c r="B462" s="9" t="inlineStr">
        <is>
          <t>Vanguard_M5</t>
        </is>
      </c>
      <c r="C462" s="9" t="inlineStr">
        <is>
          <t>Trendline breakout (fractal swing line) + VWAP/S-R distance gate</t>
        </is>
      </c>
      <c r="D462" s="9" t="inlineStr">
        <is>
          <t>Long</t>
        </is>
      </c>
      <c r="E462" s="10" t="n">
        <v>45015.42013888889</v>
      </c>
      <c r="F462" s="10" t="n">
        <v>45015.42013888889</v>
      </c>
      <c r="G462" s="11" t="n">
        <v>-0.55</v>
      </c>
      <c r="H462" s="11">
        <f>H461+G462</f>
        <v/>
      </c>
    </row>
    <row r="463">
      <c r="A463" s="9" t="n">
        <v>459</v>
      </c>
      <c r="B463" s="9" t="inlineStr">
        <is>
          <t>Vanguard_M15</t>
        </is>
      </c>
      <c r="C463" s="9" t="inlineStr">
        <is>
          <t>Trendline breakout (fractal swing line) + VWAP/S-R distance gate - M15 chart</t>
        </is>
      </c>
      <c r="D463" s="9" t="inlineStr">
        <is>
          <t>Short</t>
        </is>
      </c>
      <c r="E463" s="10" t="n">
        <v>45014.79166666666</v>
      </c>
      <c r="F463" s="10" t="n">
        <v>45015.4375</v>
      </c>
      <c r="G463" s="11" t="n">
        <v>-7.41</v>
      </c>
      <c r="H463" s="11">
        <f>H462+G463</f>
        <v/>
      </c>
    </row>
    <row r="464">
      <c r="A464" s="9" t="n">
        <v>460</v>
      </c>
      <c r="B464" s="9" t="inlineStr">
        <is>
          <t>Ratchet</t>
        </is>
      </c>
      <c r="C464" s="9" t="inlineStr">
        <is>
          <t>Stochastic scalp with give-back trail exit</t>
        </is>
      </c>
      <c r="D464" s="9" t="inlineStr">
        <is>
          <t>Long</t>
        </is>
      </c>
      <c r="E464" s="10" t="n">
        <v>45015.63888888889</v>
      </c>
      <c r="F464" s="10" t="n">
        <v>45015.64930555555</v>
      </c>
      <c r="G464" s="11" t="n">
        <v>0.99</v>
      </c>
      <c r="H464" s="11">
        <f>H463+G464</f>
        <v/>
      </c>
    </row>
    <row r="465">
      <c r="A465" s="9" t="n">
        <v>461</v>
      </c>
      <c r="B465" s="9" t="inlineStr">
        <is>
          <t>Ratchet</t>
        </is>
      </c>
      <c r="C465" s="9" t="inlineStr">
        <is>
          <t>Stochastic scalp with give-back trail exit</t>
        </is>
      </c>
      <c r="D465" s="9" t="inlineStr">
        <is>
          <t>Long</t>
        </is>
      </c>
      <c r="E465" s="10" t="n">
        <v>45015.65277777778</v>
      </c>
      <c r="F465" s="10" t="n">
        <v>45015.65277777778</v>
      </c>
      <c r="G465" s="11" t="n">
        <v>-2.91</v>
      </c>
      <c r="H465" s="11">
        <f>H464+G465</f>
        <v/>
      </c>
    </row>
    <row r="466">
      <c r="A466" s="9" t="n">
        <v>462</v>
      </c>
      <c r="B466" s="9" t="inlineStr">
        <is>
          <t>Ratchet</t>
        </is>
      </c>
      <c r="C466" s="9" t="inlineStr">
        <is>
          <t>Stochastic scalp with give-back trail exit</t>
        </is>
      </c>
      <c r="D466" s="9" t="inlineStr">
        <is>
          <t>Long</t>
        </is>
      </c>
      <c r="E466" s="10" t="n">
        <v>45015.74652777778</v>
      </c>
      <c r="F466" s="10" t="n">
        <v>45015.75</v>
      </c>
      <c r="G466" s="11" t="n">
        <v>0</v>
      </c>
      <c r="H466" s="11">
        <f>H465+G466</f>
        <v/>
      </c>
    </row>
    <row r="467">
      <c r="A467" s="9" t="n">
        <v>463</v>
      </c>
      <c r="B467" s="9" t="inlineStr">
        <is>
          <t>Ratchet</t>
        </is>
      </c>
      <c r="C467" s="9" t="inlineStr">
        <is>
          <t>Stochastic scalp with give-back trail exit</t>
        </is>
      </c>
      <c r="D467" s="9" t="inlineStr">
        <is>
          <t>Long</t>
        </is>
      </c>
      <c r="E467" s="10" t="n">
        <v>45015.75694444445</v>
      </c>
      <c r="F467" s="10" t="n">
        <v>45015.76388888889</v>
      </c>
      <c r="G467" s="11" t="n">
        <v>0</v>
      </c>
      <c r="H467" s="11">
        <f>H466+G467</f>
        <v/>
      </c>
    </row>
    <row r="468">
      <c r="A468" s="9" t="n">
        <v>464</v>
      </c>
      <c r="B468" s="9" t="inlineStr">
        <is>
          <t>Ratchet</t>
        </is>
      </c>
      <c r="C468" s="9" t="inlineStr">
        <is>
          <t>Stochastic scalp with give-back trail exit</t>
        </is>
      </c>
      <c r="D468" s="9" t="inlineStr">
        <is>
          <t>Long</t>
        </is>
      </c>
      <c r="E468" s="10" t="n">
        <v>45015.89583333334</v>
      </c>
      <c r="F468" s="10" t="n">
        <v>45015.90277777778</v>
      </c>
      <c r="G468" s="11" t="n">
        <v>-1.94</v>
      </c>
      <c r="H468" s="11">
        <f>H467+G468</f>
        <v/>
      </c>
    </row>
    <row r="469">
      <c r="A469" s="9" t="n">
        <v>465</v>
      </c>
      <c r="B469" s="9" t="inlineStr">
        <is>
          <t>Ratchet</t>
        </is>
      </c>
      <c r="C469" s="9" t="inlineStr">
        <is>
          <t>Stochastic scalp with give-back trail exit</t>
        </is>
      </c>
      <c r="D469" s="9" t="inlineStr">
        <is>
          <t>Long</t>
        </is>
      </c>
      <c r="E469" s="10" t="n">
        <v>45015.92013888889</v>
      </c>
      <c r="F469" s="10" t="n">
        <v>45015.9375</v>
      </c>
      <c r="G469" s="11" t="n">
        <v>0</v>
      </c>
      <c r="H469" s="11">
        <f>H468+G469</f>
        <v/>
      </c>
    </row>
    <row r="470">
      <c r="A470" s="9" t="n">
        <v>466</v>
      </c>
      <c r="B470" s="9" t="inlineStr">
        <is>
          <t>Meridian</t>
        </is>
      </c>
      <c r="C470" s="9" t="inlineStr">
        <is>
          <t>21/50 MA cross, 250-period confirm filter, VWAP</t>
        </is>
      </c>
      <c r="D470" s="9" t="inlineStr">
        <is>
          <t>Long</t>
        </is>
      </c>
      <c r="E470" s="10" t="n">
        <v>45015.73611111111</v>
      </c>
      <c r="F470" s="10" t="n">
        <v>45016.10069444445</v>
      </c>
      <c r="G470" s="11" t="n">
        <v>7.67</v>
      </c>
      <c r="H470" s="11">
        <f>H469+G470</f>
        <v/>
      </c>
    </row>
    <row r="471">
      <c r="A471" s="9" t="n">
        <v>467</v>
      </c>
      <c r="B471" s="9" t="inlineStr">
        <is>
          <t>Meridian</t>
        </is>
      </c>
      <c r="C471" s="9" t="inlineStr">
        <is>
          <t>21/50 MA cross, 250-period confirm filter, VWAP</t>
        </is>
      </c>
      <c r="D471" s="9" t="inlineStr">
        <is>
          <t>Long</t>
        </is>
      </c>
      <c r="E471" s="10" t="n">
        <v>45016.18402777778</v>
      </c>
      <c r="F471" s="10" t="n">
        <v>45016.33680555555</v>
      </c>
      <c r="G471" s="11" t="n">
        <v>-2.35</v>
      </c>
      <c r="H471" s="11">
        <f>H470+G471</f>
        <v/>
      </c>
    </row>
    <row r="472">
      <c r="A472" s="9" t="n">
        <v>468</v>
      </c>
      <c r="B472" s="9" t="inlineStr">
        <is>
          <t>Aurelius_M5</t>
        </is>
      </c>
      <c r="C472" s="9" t="inlineStr">
        <is>
          <t>MA alignment (EMA21&gt;EMA50&gt;SMA250&gt;SMMA500 vs EMA2400 trend filter)</t>
        </is>
      </c>
      <c r="D472" s="9" t="inlineStr">
        <is>
          <t>Long</t>
        </is>
      </c>
      <c r="E472" s="10" t="n">
        <v>45016.20138888889</v>
      </c>
      <c r="F472" s="10" t="n">
        <v>45016.33680555555</v>
      </c>
      <c r="G472" s="11" t="n">
        <v>-2.72</v>
      </c>
      <c r="H472" s="11">
        <f>H471+G472</f>
        <v/>
      </c>
    </row>
    <row r="473">
      <c r="A473" s="9" t="n">
        <v>469</v>
      </c>
      <c r="B473" s="9" t="inlineStr">
        <is>
          <t>Ratchet</t>
        </is>
      </c>
      <c r="C473" s="9" t="inlineStr">
        <is>
          <t>Stochastic scalp with give-back trail exit</t>
        </is>
      </c>
      <c r="D473" s="9" t="inlineStr">
        <is>
          <t>Long</t>
        </is>
      </c>
      <c r="E473" s="10" t="n">
        <v>45016.22222222222</v>
      </c>
      <c r="F473" s="10" t="n">
        <v>45016.33680555555</v>
      </c>
      <c r="G473" s="11" t="n">
        <v>-2.38</v>
      </c>
      <c r="H473" s="11">
        <f>H472+G473</f>
        <v/>
      </c>
    </row>
    <row r="474">
      <c r="A474" s="9" t="n">
        <v>470</v>
      </c>
      <c r="B474" s="9" t="inlineStr">
        <is>
          <t>Ratchet</t>
        </is>
      </c>
      <c r="C474" s="9" t="inlineStr">
        <is>
          <t>Stochastic scalp with give-back trail exit</t>
        </is>
      </c>
      <c r="D474" s="9" t="inlineStr">
        <is>
          <t>Long</t>
        </is>
      </c>
      <c r="E474" s="10" t="n">
        <v>45016.40972222222</v>
      </c>
      <c r="F474" s="10" t="n">
        <v>45016.41666666666</v>
      </c>
      <c r="G474" s="11" t="n">
        <v>0.5</v>
      </c>
      <c r="H474" s="11">
        <f>H473+G474</f>
        <v/>
      </c>
    </row>
    <row r="475">
      <c r="A475" s="9" t="n">
        <v>471</v>
      </c>
      <c r="B475" s="9" t="inlineStr">
        <is>
          <t>Ratchet</t>
        </is>
      </c>
      <c r="C475" s="9" t="inlineStr">
        <is>
          <t>Stochastic scalp with give-back trail exit</t>
        </is>
      </c>
      <c r="D475" s="9" t="inlineStr">
        <is>
          <t>Long</t>
        </is>
      </c>
      <c r="E475" s="10" t="n">
        <v>45016.42361111111</v>
      </c>
      <c r="F475" s="10" t="n">
        <v>45016.42708333334</v>
      </c>
      <c r="G475" s="11" t="n">
        <v>-2.29</v>
      </c>
      <c r="H475" s="11">
        <f>H474+G475</f>
        <v/>
      </c>
    </row>
    <row r="476">
      <c r="A476" s="9" t="n">
        <v>472</v>
      </c>
      <c r="B476" s="9" t="inlineStr">
        <is>
          <t>Meridian</t>
        </is>
      </c>
      <c r="C476" s="9" t="inlineStr">
        <is>
          <t>21/50 MA cross, 250-period confirm filter, VWAP</t>
        </is>
      </c>
      <c r="D476" s="9" t="inlineStr">
        <is>
          <t>Long</t>
        </is>
      </c>
      <c r="E476" s="10" t="n">
        <v>45016.39930555555</v>
      </c>
      <c r="F476" s="10" t="n">
        <v>45016.43055555555</v>
      </c>
      <c r="G476" s="11" t="n">
        <v>-2.43</v>
      </c>
      <c r="H476" s="11">
        <f>H475+G476</f>
        <v/>
      </c>
    </row>
    <row r="477">
      <c r="A477" s="9" t="n">
        <v>473</v>
      </c>
      <c r="B477" s="9" t="inlineStr">
        <is>
          <t>Aurelius_M15</t>
        </is>
      </c>
      <c r="C477" s="9" t="inlineStr">
        <is>
          <t>MA alignment (EMA21&gt;EMA50&gt;SMA250&gt;SMMA500 vs EMA2400 trend filter) - M15 chart</t>
        </is>
      </c>
      <c r="D477" s="9" t="inlineStr">
        <is>
          <t>Long</t>
        </is>
      </c>
      <c r="E477" s="10" t="n">
        <v>45015.76041666666</v>
      </c>
      <c r="F477" s="10" t="n">
        <v>45016.51041666666</v>
      </c>
      <c r="G477" s="11" t="n">
        <v>3.28</v>
      </c>
      <c r="H477" s="11">
        <f>H476+G477</f>
        <v/>
      </c>
    </row>
    <row r="478">
      <c r="A478" s="9" t="n">
        <v>474</v>
      </c>
      <c r="B478" s="9" t="inlineStr">
        <is>
          <t>Meridian</t>
        </is>
      </c>
      <c r="C478" s="9" t="inlineStr">
        <is>
          <t>21/50 MA cross, 250-period confirm filter, VWAP</t>
        </is>
      </c>
      <c r="D478" s="9" t="inlineStr">
        <is>
          <t>Short</t>
        </is>
      </c>
      <c r="E478" s="10" t="n">
        <v>45016.44097222222</v>
      </c>
      <c r="F478" s="10" t="n">
        <v>45016.56597222222</v>
      </c>
      <c r="G478" s="11" t="n">
        <v>-3.54</v>
      </c>
      <c r="H478" s="11">
        <f>H477+G478</f>
        <v/>
      </c>
    </row>
    <row r="479">
      <c r="A479" s="9" t="n">
        <v>475</v>
      </c>
      <c r="B479" s="9" t="inlineStr">
        <is>
          <t>Ratchet</t>
        </is>
      </c>
      <c r="C479" s="9" t="inlineStr">
        <is>
          <t>Stochastic scalp with give-back trail exit</t>
        </is>
      </c>
      <c r="D479" s="9" t="inlineStr">
        <is>
          <t>Long</t>
        </is>
      </c>
      <c r="E479" s="10" t="n">
        <v>45016.59027777778</v>
      </c>
      <c r="F479" s="10" t="n">
        <v>45016.59722222222</v>
      </c>
      <c r="G479" s="11" t="n">
        <v>0</v>
      </c>
      <c r="H479" s="11">
        <f>H478+G479</f>
        <v/>
      </c>
    </row>
    <row r="480">
      <c r="A480" s="9" t="n">
        <v>476</v>
      </c>
      <c r="B480" s="9" t="inlineStr">
        <is>
          <t>Ratchet</t>
        </is>
      </c>
      <c r="C480" s="9" t="inlineStr">
        <is>
          <t>Stochastic scalp with give-back trail exit</t>
        </is>
      </c>
      <c r="D480" s="9" t="inlineStr">
        <is>
          <t>Long</t>
        </is>
      </c>
      <c r="E480" s="10" t="n">
        <v>45016.61111111111</v>
      </c>
      <c r="F480" s="10" t="n">
        <v>45016.61805555555</v>
      </c>
      <c r="G480" s="11" t="n">
        <v>-1.77</v>
      </c>
      <c r="H480" s="11">
        <f>H479+G480</f>
        <v/>
      </c>
    </row>
    <row r="481">
      <c r="A481" s="9" t="n">
        <v>477</v>
      </c>
      <c r="B481" s="9" t="inlineStr">
        <is>
          <t>Meridian</t>
        </is>
      </c>
      <c r="C481" s="9" t="inlineStr">
        <is>
          <t>21/50 MA cross, 250-period confirm filter, VWAP</t>
        </is>
      </c>
      <c r="D481" s="9" t="inlineStr">
        <is>
          <t>Long</t>
        </is>
      </c>
      <c r="E481" s="10" t="n">
        <v>45016.57291666666</v>
      </c>
      <c r="F481" s="10" t="n">
        <v>45016.63541666666</v>
      </c>
      <c r="G481" s="11" t="n">
        <v>-2.91</v>
      </c>
      <c r="H481" s="11">
        <f>H480+G481</f>
        <v/>
      </c>
    </row>
    <row r="482">
      <c r="A482" s="9" t="n">
        <v>478</v>
      </c>
      <c r="B482" s="9" t="inlineStr">
        <is>
          <t>Vanguard_M15</t>
        </is>
      </c>
      <c r="C482" s="9" t="inlineStr">
        <is>
          <t>Trendline breakout (fractal swing line) + VWAP/S-R distance gate - M15 chart</t>
        </is>
      </c>
      <c r="D482" s="9" t="inlineStr">
        <is>
          <t>Long</t>
        </is>
      </c>
      <c r="E482" s="10" t="n">
        <v>45015.44791666666</v>
      </c>
      <c r="F482" s="10" t="n">
        <v>45016.84375</v>
      </c>
      <c r="G482" s="11" t="n">
        <v>-0.59</v>
      </c>
      <c r="H482" s="11">
        <f>H481+G482</f>
        <v/>
      </c>
    </row>
    <row r="483">
      <c r="A483" s="9" t="n">
        <v>479</v>
      </c>
      <c r="B483" s="9" t="inlineStr">
        <is>
          <t>Vanguard_M5</t>
        </is>
      </c>
      <c r="C483" s="9" t="inlineStr">
        <is>
          <t>Trendline breakout (fractal swing line) + VWAP/S-R distance gate</t>
        </is>
      </c>
      <c r="D483" s="9" t="inlineStr">
        <is>
          <t>Long</t>
        </is>
      </c>
      <c r="E483" s="10" t="n">
        <v>45015.44444444445</v>
      </c>
      <c r="F483" s="10" t="n">
        <v>45016.85069444445</v>
      </c>
      <c r="G483" s="11" t="n">
        <v>-0.28</v>
      </c>
      <c r="H483" s="11">
        <f>H482+G483</f>
        <v/>
      </c>
    </row>
    <row r="484">
      <c r="A484" s="9" t="n">
        <v>480</v>
      </c>
      <c r="B484" s="9" t="inlineStr">
        <is>
          <t>Meridian</t>
        </is>
      </c>
      <c r="C484" s="9" t="inlineStr">
        <is>
          <t>21/50 MA cross, 250-period confirm filter, VWAP</t>
        </is>
      </c>
      <c r="D484" s="9" t="inlineStr">
        <is>
          <t>Short</t>
        </is>
      </c>
      <c r="E484" s="10" t="n">
        <v>45016.72222222222</v>
      </c>
      <c r="F484" s="10" t="n">
        <v>45016.91666666666</v>
      </c>
      <c r="G484" s="11" t="n">
        <v>6.24</v>
      </c>
      <c r="H484" s="11">
        <f>H483+G484</f>
        <v/>
      </c>
    </row>
    <row r="485">
      <c r="A485" s="9" t="n">
        <v>481</v>
      </c>
      <c r="B485" s="9" t="inlineStr">
        <is>
          <t>Ratchet</t>
        </is>
      </c>
      <c r="C485" s="9" t="inlineStr">
        <is>
          <t>Stochastic scalp with give-back trail exit</t>
        </is>
      </c>
      <c r="D485" s="9" t="inlineStr">
        <is>
          <t>Short</t>
        </is>
      </c>
      <c r="E485" s="10" t="n">
        <v>45019.09722222222</v>
      </c>
      <c r="F485" s="10" t="n">
        <v>45019.10069444445</v>
      </c>
      <c r="G485" s="11" t="n">
        <v>-0</v>
      </c>
      <c r="H485" s="11">
        <f>H484+G485</f>
        <v/>
      </c>
    </row>
    <row r="486">
      <c r="A486" s="9" t="n">
        <v>482</v>
      </c>
      <c r="B486" s="9" t="inlineStr">
        <is>
          <t>Ratchet</t>
        </is>
      </c>
      <c r="C486" s="9" t="inlineStr">
        <is>
          <t>Stochastic scalp with give-back trail exit</t>
        </is>
      </c>
      <c r="D486" s="9" t="inlineStr">
        <is>
          <t>Short</t>
        </is>
      </c>
      <c r="E486" s="10" t="n">
        <v>45019.10763888889</v>
      </c>
      <c r="F486" s="10" t="n">
        <v>45019.12847222222</v>
      </c>
      <c r="G486" s="11" t="n">
        <v>0.98</v>
      </c>
      <c r="H486" s="11">
        <f>H485+G486</f>
        <v/>
      </c>
    </row>
    <row r="487">
      <c r="A487" s="9" t="n">
        <v>483</v>
      </c>
      <c r="B487" s="9" t="inlineStr">
        <is>
          <t>Ratchet</t>
        </is>
      </c>
      <c r="C487" s="9" t="inlineStr">
        <is>
          <t>Stochastic scalp with give-back trail exit</t>
        </is>
      </c>
      <c r="D487" s="9" t="inlineStr">
        <is>
          <t>Short</t>
        </is>
      </c>
      <c r="E487" s="10" t="n">
        <v>45019.20833333334</v>
      </c>
      <c r="F487" s="10" t="n">
        <v>45019.40277777778</v>
      </c>
      <c r="G487" s="11" t="n">
        <v>3.02</v>
      </c>
      <c r="H487" s="11">
        <f>H486+G487</f>
        <v/>
      </c>
    </row>
    <row r="488">
      <c r="A488" s="9" t="n">
        <v>484</v>
      </c>
      <c r="B488" s="9" t="inlineStr">
        <is>
          <t>Ratchet</t>
        </is>
      </c>
      <c r="C488" s="9" t="inlineStr">
        <is>
          <t>Stochastic scalp with give-back trail exit</t>
        </is>
      </c>
      <c r="D488" s="9" t="inlineStr">
        <is>
          <t>Long</t>
        </is>
      </c>
      <c r="E488" s="10" t="n">
        <v>45019.79513888889</v>
      </c>
      <c r="F488" s="10" t="n">
        <v>45019.81597222222</v>
      </c>
      <c r="G488" s="11" t="n">
        <v>0.54</v>
      </c>
      <c r="H488" s="11">
        <f>H487+G488</f>
        <v/>
      </c>
    </row>
    <row r="489">
      <c r="A489" s="9" t="n">
        <v>485</v>
      </c>
      <c r="B489" s="9" t="inlineStr">
        <is>
          <t>Meridian</t>
        </is>
      </c>
      <c r="C489" s="9" t="inlineStr">
        <is>
          <t>21/50 MA cross, 250-period confirm filter, VWAP</t>
        </is>
      </c>
      <c r="D489" s="9" t="inlineStr">
        <is>
          <t>Long</t>
        </is>
      </c>
      <c r="E489" s="10" t="n">
        <v>45019.93055555555</v>
      </c>
      <c r="F489" s="10" t="n">
        <v>45019.99652777778</v>
      </c>
      <c r="G489" s="11" t="n">
        <v>-1.49</v>
      </c>
      <c r="H489" s="11">
        <f>H488+G489</f>
        <v/>
      </c>
    </row>
    <row r="490">
      <c r="A490" s="9" t="n">
        <v>486</v>
      </c>
      <c r="B490" s="9" t="inlineStr">
        <is>
          <t>Meridian</t>
        </is>
      </c>
      <c r="C490" s="9" t="inlineStr">
        <is>
          <t>21/50 MA cross, 250-period confirm filter, VWAP</t>
        </is>
      </c>
      <c r="D490" s="9" t="inlineStr">
        <is>
          <t>Long</t>
        </is>
      </c>
      <c r="E490" s="10" t="n">
        <v>45020.04513888889</v>
      </c>
      <c r="F490" s="10" t="n">
        <v>45020.06944444445</v>
      </c>
      <c r="G490" s="11" t="n">
        <v>-1.84</v>
      </c>
      <c r="H490" s="11">
        <f>H489+G490</f>
        <v/>
      </c>
    </row>
    <row r="491">
      <c r="A491" s="9" t="n">
        <v>487</v>
      </c>
      <c r="B491" s="9" t="inlineStr">
        <is>
          <t>Ratchet</t>
        </is>
      </c>
      <c r="C491" s="9" t="inlineStr">
        <is>
          <t>Stochastic scalp with give-back trail exit</t>
        </is>
      </c>
      <c r="D491" s="9" t="inlineStr">
        <is>
          <t>Long</t>
        </is>
      </c>
      <c r="E491" s="10" t="n">
        <v>45020.10763888889</v>
      </c>
      <c r="F491" s="10" t="n">
        <v>45020.11111111111</v>
      </c>
      <c r="G491" s="11" t="n">
        <v>0</v>
      </c>
      <c r="H491" s="11">
        <f>H490+G491</f>
        <v/>
      </c>
    </row>
    <row r="492">
      <c r="A492" s="9" t="n">
        <v>488</v>
      </c>
      <c r="B492" s="9" t="inlineStr">
        <is>
          <t>Meridian</t>
        </is>
      </c>
      <c r="C492" s="9" t="inlineStr">
        <is>
          <t>21/50 MA cross, 250-period confirm filter, VWAP</t>
        </is>
      </c>
      <c r="D492" s="9" t="inlineStr">
        <is>
          <t>Long</t>
        </is>
      </c>
      <c r="E492" s="10" t="n">
        <v>45020.10763888889</v>
      </c>
      <c r="F492" s="10" t="n">
        <v>45020.12847222222</v>
      </c>
      <c r="G492" s="11" t="n">
        <v>-1.38</v>
      </c>
      <c r="H492" s="11">
        <f>H491+G492</f>
        <v/>
      </c>
    </row>
    <row r="493">
      <c r="A493" s="9" t="n">
        <v>489</v>
      </c>
      <c r="B493" s="9" t="inlineStr">
        <is>
          <t>Ratchet</t>
        </is>
      </c>
      <c r="C493" s="9" t="inlineStr">
        <is>
          <t>Stochastic scalp with give-back trail exit</t>
        </is>
      </c>
      <c r="D493" s="9" t="inlineStr">
        <is>
          <t>Long</t>
        </is>
      </c>
      <c r="E493" s="10" t="n">
        <v>45020.52430555555</v>
      </c>
      <c r="F493" s="10" t="n">
        <v>45020.5625</v>
      </c>
      <c r="G493" s="11" t="n">
        <v>0</v>
      </c>
      <c r="H493" s="11">
        <f>H492+G493</f>
        <v/>
      </c>
    </row>
    <row r="494">
      <c r="A494" s="9" t="n">
        <v>490</v>
      </c>
      <c r="B494" s="9" t="inlineStr">
        <is>
          <t>Meridian</t>
        </is>
      </c>
      <c r="C494" s="9" t="inlineStr">
        <is>
          <t>21/50 MA cross, 250-period confirm filter, VWAP</t>
        </is>
      </c>
      <c r="D494" s="9" t="inlineStr">
        <is>
          <t>Long</t>
        </is>
      </c>
      <c r="E494" s="10" t="n">
        <v>45020.42013888889</v>
      </c>
      <c r="F494" s="10" t="n">
        <v>45020.60416666666</v>
      </c>
      <c r="G494" s="11" t="n">
        <v>-0.59</v>
      </c>
      <c r="H494" s="11">
        <f>H493+G494</f>
        <v/>
      </c>
    </row>
    <row r="495">
      <c r="A495" s="9" t="n">
        <v>491</v>
      </c>
      <c r="B495" s="9" t="inlineStr">
        <is>
          <t>Ratchet</t>
        </is>
      </c>
      <c r="C495" s="9" t="inlineStr">
        <is>
          <t>Stochastic scalp with give-back trail exit</t>
        </is>
      </c>
      <c r="D495" s="9" t="inlineStr">
        <is>
          <t>Long</t>
        </is>
      </c>
      <c r="E495" s="10" t="n">
        <v>45020.65625</v>
      </c>
      <c r="F495" s="10" t="n">
        <v>45020.67013888889</v>
      </c>
      <c r="G495" s="11" t="n">
        <v>0</v>
      </c>
      <c r="H495" s="11">
        <f>H494+G495</f>
        <v/>
      </c>
    </row>
    <row r="496">
      <c r="A496" s="9" t="n">
        <v>492</v>
      </c>
      <c r="B496" s="9" t="inlineStr">
        <is>
          <t>Aurelius_M5</t>
        </is>
      </c>
      <c r="C496" s="9" t="inlineStr">
        <is>
          <t>MA alignment (EMA21&gt;EMA50&gt;SMA250&gt;SMMA500 vs EMA2400 trend filter)</t>
        </is>
      </c>
      <c r="D496" s="9" t="inlineStr">
        <is>
          <t>Long</t>
        </is>
      </c>
      <c r="E496" s="10" t="n">
        <v>45020.6875</v>
      </c>
      <c r="F496" s="10" t="n">
        <v>45021.04166666666</v>
      </c>
      <c r="G496" s="11" t="n">
        <v>33.13</v>
      </c>
      <c r="H496" s="11">
        <f>H495+G496</f>
        <v/>
      </c>
    </row>
    <row r="497">
      <c r="A497" s="9" t="n">
        <v>493</v>
      </c>
      <c r="B497" s="9" t="inlineStr">
        <is>
          <t>Ratchet</t>
        </is>
      </c>
      <c r="C497" s="9" t="inlineStr">
        <is>
          <t>Stochastic scalp with give-back trail exit</t>
        </is>
      </c>
      <c r="D497" s="9" t="inlineStr">
        <is>
          <t>Long</t>
        </is>
      </c>
      <c r="E497" s="10" t="n">
        <v>45021.0625</v>
      </c>
      <c r="F497" s="10" t="n">
        <v>45021.11111111111</v>
      </c>
      <c r="G497" s="11" t="n">
        <v>0.61</v>
      </c>
      <c r="H497" s="11">
        <f>H496+G497</f>
        <v/>
      </c>
    </row>
    <row r="498">
      <c r="A498" s="9" t="n">
        <v>494</v>
      </c>
      <c r="B498" s="9" t="inlineStr">
        <is>
          <t>Ratchet</t>
        </is>
      </c>
      <c r="C498" s="9" t="inlineStr">
        <is>
          <t>Stochastic scalp with give-back trail exit</t>
        </is>
      </c>
      <c r="D498" s="9" t="inlineStr">
        <is>
          <t>Long</t>
        </is>
      </c>
      <c r="E498" s="10" t="n">
        <v>45021.22916666666</v>
      </c>
      <c r="F498" s="10" t="n">
        <v>45021.25347222222</v>
      </c>
      <c r="G498" s="11" t="n">
        <v>0.92</v>
      </c>
      <c r="H498" s="11">
        <f>H497+G498</f>
        <v/>
      </c>
    </row>
    <row r="499">
      <c r="A499" s="9" t="n">
        <v>495</v>
      </c>
      <c r="B499" s="9" t="inlineStr">
        <is>
          <t>Ratchet</t>
        </is>
      </c>
      <c r="C499" s="9" t="inlineStr">
        <is>
          <t>Stochastic scalp with give-back trail exit</t>
        </is>
      </c>
      <c r="D499" s="9" t="inlineStr">
        <is>
          <t>Long</t>
        </is>
      </c>
      <c r="E499" s="10" t="n">
        <v>45021.25694444445</v>
      </c>
      <c r="F499" s="10" t="n">
        <v>45021.34027777778</v>
      </c>
      <c r="G499" s="11" t="n">
        <v>0</v>
      </c>
      <c r="H499" s="11">
        <f>H498+G499</f>
        <v/>
      </c>
    </row>
    <row r="500">
      <c r="A500" s="9" t="n">
        <v>496</v>
      </c>
      <c r="B500" s="9" t="inlineStr">
        <is>
          <t>Ratchet</t>
        </is>
      </c>
      <c r="C500" s="9" t="inlineStr">
        <is>
          <t>Stochastic scalp with give-back trail exit</t>
        </is>
      </c>
      <c r="D500" s="9" t="inlineStr">
        <is>
          <t>Long</t>
        </is>
      </c>
      <c r="E500" s="10" t="n">
        <v>45021.35069444445</v>
      </c>
      <c r="F500" s="10" t="n">
        <v>45021.375</v>
      </c>
      <c r="G500" s="11" t="n">
        <v>0.19</v>
      </c>
      <c r="H500" s="11">
        <f>H499+G500</f>
        <v/>
      </c>
    </row>
    <row r="501">
      <c r="A501" s="9" t="n">
        <v>497</v>
      </c>
      <c r="B501" s="9" t="inlineStr">
        <is>
          <t>Ratchet</t>
        </is>
      </c>
      <c r="C501" s="9" t="inlineStr">
        <is>
          <t>Stochastic scalp with give-back trail exit</t>
        </is>
      </c>
      <c r="D501" s="9" t="inlineStr">
        <is>
          <t>Long</t>
        </is>
      </c>
      <c r="E501" s="10" t="n">
        <v>45021.42013888889</v>
      </c>
      <c r="F501" s="10" t="n">
        <v>45021.42708333334</v>
      </c>
      <c r="G501" s="11" t="n">
        <v>0.42</v>
      </c>
      <c r="H501" s="11">
        <f>H500+G501</f>
        <v/>
      </c>
    </row>
    <row r="502">
      <c r="A502" s="9" t="n">
        <v>498</v>
      </c>
      <c r="B502" s="9" t="inlineStr">
        <is>
          <t>Ratchet</t>
        </is>
      </c>
      <c r="C502" s="9" t="inlineStr">
        <is>
          <t>Stochastic scalp with give-back trail exit</t>
        </is>
      </c>
      <c r="D502" s="9" t="inlineStr">
        <is>
          <t>Long</t>
        </is>
      </c>
      <c r="E502" s="10" t="n">
        <v>45021.43402777778</v>
      </c>
      <c r="F502" s="10" t="n">
        <v>45021.44097222222</v>
      </c>
      <c r="G502" s="11" t="n">
        <v>0.48</v>
      </c>
      <c r="H502" s="11">
        <f>H501+G502</f>
        <v/>
      </c>
    </row>
    <row r="503">
      <c r="A503" s="9" t="n">
        <v>499</v>
      </c>
      <c r="B503" s="9" t="inlineStr">
        <is>
          <t>Ratchet</t>
        </is>
      </c>
      <c r="C503" s="9" t="inlineStr">
        <is>
          <t>Stochastic scalp with give-back trail exit</t>
        </is>
      </c>
      <c r="D503" s="9" t="inlineStr">
        <is>
          <t>Long</t>
        </is>
      </c>
      <c r="E503" s="10" t="n">
        <v>45021.44791666666</v>
      </c>
      <c r="F503" s="10" t="n">
        <v>45021.47916666666</v>
      </c>
      <c r="G503" s="11" t="n">
        <v>0.43</v>
      </c>
      <c r="H503" s="11">
        <f>H502+G503</f>
        <v/>
      </c>
    </row>
    <row r="504">
      <c r="A504" s="9" t="n">
        <v>500</v>
      </c>
      <c r="B504" s="9" t="inlineStr">
        <is>
          <t>Meridian</t>
        </is>
      </c>
      <c r="C504" s="9" t="inlineStr">
        <is>
          <t>21/50 MA cross, 250-period confirm filter, VWAP</t>
        </is>
      </c>
      <c r="D504" s="9" t="inlineStr">
        <is>
          <t>Long</t>
        </is>
      </c>
      <c r="E504" s="10" t="n">
        <v>45021.22916666666</v>
      </c>
      <c r="F504" s="10" t="n">
        <v>45021.51736111111</v>
      </c>
      <c r="G504" s="11" t="n">
        <v>0.7</v>
      </c>
      <c r="H504" s="11">
        <f>H503+G504</f>
        <v/>
      </c>
    </row>
    <row r="505">
      <c r="A505" s="9" t="n">
        <v>501</v>
      </c>
      <c r="B505" s="9" t="inlineStr">
        <is>
          <t>Aurelius_M5</t>
        </is>
      </c>
      <c r="C505" s="9" t="inlineStr">
        <is>
          <t>MA alignment (EMA21&gt;EMA50&gt;SMA250&gt;SMMA500 vs EMA2400 trend filter)</t>
        </is>
      </c>
      <c r="D505" s="9" t="inlineStr">
        <is>
          <t>Long</t>
        </is>
      </c>
      <c r="E505" s="10" t="n">
        <v>45021.25694444445</v>
      </c>
      <c r="F505" s="10" t="n">
        <v>45021.51736111111</v>
      </c>
      <c r="G505" s="11" t="n">
        <v>-0.77</v>
      </c>
      <c r="H505" s="11">
        <f>H504+G505</f>
        <v/>
      </c>
    </row>
    <row r="506">
      <c r="A506" s="9" t="n">
        <v>502</v>
      </c>
      <c r="B506" s="9" t="inlineStr">
        <is>
          <t>Meridian</t>
        </is>
      </c>
      <c r="C506" s="9" t="inlineStr">
        <is>
          <t>21/50 MA cross, 250-period confirm filter, VWAP</t>
        </is>
      </c>
      <c r="D506" s="9" t="inlineStr">
        <is>
          <t>Long</t>
        </is>
      </c>
      <c r="E506" s="10" t="n">
        <v>45021.64236111111</v>
      </c>
      <c r="F506" s="10" t="n">
        <v>45021.68402777778</v>
      </c>
      <c r="G506" s="11" t="n">
        <v>-3.63</v>
      </c>
      <c r="H506" s="11">
        <f>H505+G506</f>
        <v/>
      </c>
    </row>
    <row r="507">
      <c r="A507" s="9" t="n">
        <v>503</v>
      </c>
      <c r="B507" s="9" t="inlineStr">
        <is>
          <t>Aurelius_M5</t>
        </is>
      </c>
      <c r="C507" s="9" t="inlineStr">
        <is>
          <t>MA alignment (EMA21&gt;EMA50&gt;SMA250&gt;SMMA500 vs EMA2400 trend filter)</t>
        </is>
      </c>
      <c r="D507" s="9" t="inlineStr">
        <is>
          <t>Long</t>
        </is>
      </c>
      <c r="E507" s="10" t="n">
        <v>45021.65277777778</v>
      </c>
      <c r="F507" s="10" t="n">
        <v>45021.68402777778</v>
      </c>
      <c r="G507" s="11" t="n">
        <v>-4.21</v>
      </c>
      <c r="H507" s="11">
        <f>H506+G507</f>
        <v/>
      </c>
    </row>
    <row r="508">
      <c r="A508" s="9" t="n">
        <v>504</v>
      </c>
      <c r="B508" s="9" t="inlineStr">
        <is>
          <t>Ratchet</t>
        </is>
      </c>
      <c r="C508" s="9" t="inlineStr">
        <is>
          <t>Stochastic scalp with give-back trail exit</t>
        </is>
      </c>
      <c r="D508" s="9" t="inlineStr">
        <is>
          <t>Long</t>
        </is>
      </c>
      <c r="E508" s="10" t="n">
        <v>45021.66666666666</v>
      </c>
      <c r="F508" s="10" t="n">
        <v>45021.68402777778</v>
      </c>
      <c r="G508" s="11" t="n">
        <v>-3.81</v>
      </c>
      <c r="H508" s="11">
        <f>H507+G508</f>
        <v/>
      </c>
    </row>
    <row r="509">
      <c r="A509" s="9" t="n">
        <v>505</v>
      </c>
      <c r="B509" s="9" t="inlineStr">
        <is>
          <t>Aurelius_M15</t>
        </is>
      </c>
      <c r="C509" s="9" t="inlineStr">
        <is>
          <t>MA alignment (EMA21&gt;EMA50&gt;SMA250&gt;SMMA500 vs EMA2400 trend filter) - M15 chart</t>
        </is>
      </c>
      <c r="D509" s="9" t="inlineStr">
        <is>
          <t>Long</t>
        </is>
      </c>
      <c r="E509" s="10" t="n">
        <v>45020.64583333334</v>
      </c>
      <c r="F509" s="10" t="n">
        <v>45021.88541666666</v>
      </c>
      <c r="G509" s="11" t="n">
        <v>39.26</v>
      </c>
      <c r="H509" s="11">
        <f>H508+G509</f>
        <v/>
      </c>
    </row>
    <row r="510">
      <c r="A510" s="9" t="n">
        <v>506</v>
      </c>
      <c r="B510" s="9" t="inlineStr">
        <is>
          <t>Meridian</t>
        </is>
      </c>
      <c r="C510" s="9" t="inlineStr">
        <is>
          <t>21/50 MA cross, 250-period confirm filter, VWAP</t>
        </is>
      </c>
      <c r="D510" s="9" t="inlineStr">
        <is>
          <t>Short</t>
        </is>
      </c>
      <c r="E510" s="10" t="n">
        <v>45021.72569444445</v>
      </c>
      <c r="F510" s="10" t="n">
        <v>45021.91319444445</v>
      </c>
      <c r="G510" s="11" t="n">
        <v>-2.5</v>
      </c>
      <c r="H510" s="11">
        <f>H509+G510</f>
        <v/>
      </c>
    </row>
    <row r="511">
      <c r="A511" s="9" t="n">
        <v>507</v>
      </c>
      <c r="B511" s="9" t="inlineStr">
        <is>
          <t>Meridian</t>
        </is>
      </c>
      <c r="C511" s="9" t="inlineStr">
        <is>
          <t>21/50 MA cross, 250-period confirm filter, VWAP</t>
        </is>
      </c>
      <c r="D511" s="9" t="inlineStr">
        <is>
          <t>Short</t>
        </is>
      </c>
      <c r="E511" s="10" t="n">
        <v>45021.96527777778</v>
      </c>
      <c r="F511" s="10" t="n">
        <v>45022.37152777778</v>
      </c>
      <c r="G511" s="11" t="n">
        <v>4.92</v>
      </c>
      <c r="H511" s="11">
        <f>H510+G511</f>
        <v/>
      </c>
    </row>
    <row r="512">
      <c r="A512" s="9" t="n">
        <v>508</v>
      </c>
      <c r="B512" s="9" t="inlineStr">
        <is>
          <t>Ratchet</t>
        </is>
      </c>
      <c r="C512" s="9" t="inlineStr">
        <is>
          <t>Stochastic scalp with give-back trail exit</t>
        </is>
      </c>
      <c r="D512" s="9" t="inlineStr">
        <is>
          <t>Long</t>
        </is>
      </c>
      <c r="E512" s="10" t="n">
        <v>45022.54166666666</v>
      </c>
      <c r="F512" s="10" t="n">
        <v>45022.54513888889</v>
      </c>
      <c r="G512" s="11" t="n">
        <v>-1.99</v>
      </c>
      <c r="H512" s="11">
        <f>H511+G512</f>
        <v/>
      </c>
    </row>
    <row r="513">
      <c r="A513" s="9" t="n">
        <v>509</v>
      </c>
      <c r="B513" s="9" t="inlineStr">
        <is>
          <t>Meridian</t>
        </is>
      </c>
      <c r="C513" s="9" t="inlineStr">
        <is>
          <t>21/50 MA cross, 250-period confirm filter, VWAP</t>
        </is>
      </c>
      <c r="D513" s="9" t="inlineStr">
        <is>
          <t>Short</t>
        </is>
      </c>
      <c r="E513" s="10" t="n">
        <v>45022.65277777778</v>
      </c>
      <c r="F513" s="10" t="n">
        <v>45022.81944444445</v>
      </c>
      <c r="G513" s="11" t="n">
        <v>1.56</v>
      </c>
      <c r="H513" s="11">
        <f>H512+G513</f>
        <v/>
      </c>
    </row>
    <row r="514">
      <c r="A514" s="9" t="n">
        <v>510</v>
      </c>
      <c r="B514" s="9" t="inlineStr">
        <is>
          <t>Meridian</t>
        </is>
      </c>
      <c r="C514" s="9" t="inlineStr">
        <is>
          <t>21/50 MA cross, 250-period confirm filter, VWAP</t>
        </is>
      </c>
      <c r="D514" s="9" t="inlineStr">
        <is>
          <t>Short</t>
        </is>
      </c>
      <c r="E514" s="10" t="n">
        <v>45022.84027777778</v>
      </c>
      <c r="F514" s="10" t="n">
        <v>45026.41666666666</v>
      </c>
      <c r="G514" s="11" t="n">
        <v>14.4</v>
      </c>
      <c r="H514" s="11">
        <f>H513+G514</f>
        <v/>
      </c>
    </row>
    <row r="515">
      <c r="A515" s="9" t="n">
        <v>511</v>
      </c>
      <c r="B515" s="9" t="inlineStr">
        <is>
          <t>Aurelius_M5</t>
        </is>
      </c>
      <c r="C515" s="9" t="inlineStr">
        <is>
          <t>MA alignment (EMA21&gt;EMA50&gt;SMA250&gt;SMMA500 vs EMA2400 trend filter)</t>
        </is>
      </c>
      <c r="D515" s="9" t="inlineStr">
        <is>
          <t>Short</t>
        </is>
      </c>
      <c r="E515" s="10" t="n">
        <v>45026.67013888889</v>
      </c>
      <c r="F515" s="10" t="n">
        <v>45026.67361111111</v>
      </c>
      <c r="G515" s="11" t="n">
        <v>-0.72</v>
      </c>
      <c r="H515" s="11">
        <f>H514+G515</f>
        <v/>
      </c>
    </row>
    <row r="516">
      <c r="A516" s="9" t="n">
        <v>512</v>
      </c>
      <c r="B516" s="9" t="inlineStr">
        <is>
          <t>Ratchet</t>
        </is>
      </c>
      <c r="C516" s="9" t="inlineStr">
        <is>
          <t>Stochastic scalp with give-back trail exit</t>
        </is>
      </c>
      <c r="D516" s="9" t="inlineStr">
        <is>
          <t>Short</t>
        </is>
      </c>
      <c r="E516" s="10" t="n">
        <v>45026.73263888889</v>
      </c>
      <c r="F516" s="10" t="n">
        <v>45026.73958333334</v>
      </c>
      <c r="G516" s="11" t="n">
        <v>0.55</v>
      </c>
      <c r="H516" s="11">
        <f>H515+G516</f>
        <v/>
      </c>
    </row>
    <row r="517">
      <c r="A517" s="9" t="n">
        <v>513</v>
      </c>
      <c r="B517" s="9" t="inlineStr">
        <is>
          <t>Aurelius_M5</t>
        </is>
      </c>
      <c r="C517" s="9" t="inlineStr">
        <is>
          <t>MA alignment (EMA21&gt;EMA50&gt;SMA250&gt;SMMA500 vs EMA2400 trend filter)</t>
        </is>
      </c>
      <c r="D517" s="9" t="inlineStr">
        <is>
          <t>Short</t>
        </is>
      </c>
      <c r="E517" s="10" t="n">
        <v>45026.85416666666</v>
      </c>
      <c r="F517" s="10" t="n">
        <v>45026.86458333334</v>
      </c>
      <c r="G517" s="11" t="n">
        <v>-0.41</v>
      </c>
      <c r="H517" s="11">
        <f>H516+G517</f>
        <v/>
      </c>
    </row>
    <row r="518">
      <c r="A518" s="9" t="n">
        <v>514</v>
      </c>
      <c r="B518" s="9" t="inlineStr">
        <is>
          <t>Meridian</t>
        </is>
      </c>
      <c r="C518" s="9" t="inlineStr">
        <is>
          <t>21/50 MA cross, 250-period confirm filter, VWAP</t>
        </is>
      </c>
      <c r="D518" s="9" t="inlineStr">
        <is>
          <t>Short</t>
        </is>
      </c>
      <c r="E518" s="10" t="n">
        <v>45026.66319444445</v>
      </c>
      <c r="F518" s="10" t="n">
        <v>45026.9375</v>
      </c>
      <c r="G518" s="11" t="n">
        <v>0.78</v>
      </c>
      <c r="H518" s="11">
        <f>H517+G518</f>
        <v/>
      </c>
    </row>
    <row r="519">
      <c r="A519" s="9" t="n">
        <v>515</v>
      </c>
      <c r="B519" s="9" t="inlineStr">
        <is>
          <t>Vanguard_M15</t>
        </is>
      </c>
      <c r="C519" s="9" t="inlineStr">
        <is>
          <t>Trendline breakout (fractal swing line) + VWAP/S-R distance gate - M15 chart</t>
        </is>
      </c>
      <c r="D519" s="9" t="inlineStr">
        <is>
          <t>Short</t>
        </is>
      </c>
      <c r="E519" s="10" t="n">
        <v>45022.14583333334</v>
      </c>
      <c r="F519" s="10" t="n">
        <v>45027.125</v>
      </c>
      <c r="G519" s="11" t="n">
        <v>23.81</v>
      </c>
      <c r="H519" s="11">
        <f>H518+G519</f>
        <v/>
      </c>
    </row>
    <row r="520">
      <c r="A520" s="9" t="n">
        <v>516</v>
      </c>
      <c r="B520" s="9" t="inlineStr">
        <is>
          <t>Vanguard_M5</t>
        </is>
      </c>
      <c r="C520" s="9" t="inlineStr">
        <is>
          <t>Trendline breakout (fractal swing line) + VWAP/S-R distance gate</t>
        </is>
      </c>
      <c r="D520" s="9" t="inlineStr">
        <is>
          <t>Short</t>
        </is>
      </c>
      <c r="E520" s="10" t="n">
        <v>45022.14583333334</v>
      </c>
      <c r="F520" s="10" t="n">
        <v>45027.13194444445</v>
      </c>
      <c r="G520" s="11" t="n">
        <v>23.81</v>
      </c>
      <c r="H520" s="11">
        <f>H519+G520</f>
        <v/>
      </c>
    </row>
    <row r="521">
      <c r="A521" s="9" t="n">
        <v>517</v>
      </c>
      <c r="B521" s="9" t="inlineStr">
        <is>
          <t>Vanguard_M5</t>
        </is>
      </c>
      <c r="C521" s="9" t="inlineStr">
        <is>
          <t>Trendline breakout (fractal swing line) + VWAP/S-R distance gate</t>
        </is>
      </c>
      <c r="D521" s="9" t="inlineStr">
        <is>
          <t>Long</t>
        </is>
      </c>
      <c r="E521" s="10" t="n">
        <v>45027.13541666666</v>
      </c>
      <c r="F521" s="10" t="n">
        <v>45027.16666666666</v>
      </c>
      <c r="G521" s="11" t="n">
        <v>-2.7</v>
      </c>
      <c r="H521" s="11">
        <f>H520+G521</f>
        <v/>
      </c>
    </row>
    <row r="522">
      <c r="A522" s="9" t="n">
        <v>518</v>
      </c>
      <c r="B522" s="9" t="inlineStr">
        <is>
          <t>Vanguard_M15</t>
        </is>
      </c>
      <c r="C522" s="9" t="inlineStr">
        <is>
          <t>Trendline breakout (fractal swing line) + VWAP/S-R distance gate - M15 chart</t>
        </is>
      </c>
      <c r="D522" s="9" t="inlineStr">
        <is>
          <t>Long</t>
        </is>
      </c>
      <c r="E522" s="10" t="n">
        <v>45027.13541666666</v>
      </c>
      <c r="F522" s="10" t="n">
        <v>45027.17708333334</v>
      </c>
      <c r="G522" s="11" t="n">
        <v>-4.23</v>
      </c>
      <c r="H522" s="11">
        <f>H521+G522</f>
        <v/>
      </c>
    </row>
    <row r="523">
      <c r="A523" s="9" t="n">
        <v>519</v>
      </c>
      <c r="B523" s="9" t="inlineStr">
        <is>
          <t>Meridian</t>
        </is>
      </c>
      <c r="C523" s="9" t="inlineStr">
        <is>
          <t>21/50 MA cross, 250-period confirm filter, VWAP</t>
        </is>
      </c>
      <c r="D523" s="9" t="inlineStr">
        <is>
          <t>Short</t>
        </is>
      </c>
      <c r="E523" s="10" t="n">
        <v>45027.20138888889</v>
      </c>
      <c r="F523" s="10" t="n">
        <v>45027.21180555555</v>
      </c>
      <c r="G523" s="11" t="n">
        <v>-2.52</v>
      </c>
      <c r="H523" s="11">
        <f>H522+G523</f>
        <v/>
      </c>
    </row>
    <row r="524">
      <c r="A524" s="9" t="n">
        <v>520</v>
      </c>
      <c r="B524" s="9" t="inlineStr">
        <is>
          <t>Ratchet</t>
        </is>
      </c>
      <c r="C524" s="9" t="inlineStr">
        <is>
          <t>Stochastic scalp with give-back trail exit</t>
        </is>
      </c>
      <c r="D524" s="9" t="inlineStr">
        <is>
          <t>Long</t>
        </is>
      </c>
      <c r="E524" s="10" t="n">
        <v>45027.75</v>
      </c>
      <c r="F524" s="10" t="n">
        <v>45027.76736111111</v>
      </c>
      <c r="G524" s="11" t="n">
        <v>0.99</v>
      </c>
      <c r="H524" s="11">
        <f>H523+G524</f>
        <v/>
      </c>
    </row>
    <row r="525">
      <c r="A525" s="9" t="n">
        <v>521</v>
      </c>
      <c r="B525" s="9" t="inlineStr">
        <is>
          <t>Meridian</t>
        </is>
      </c>
      <c r="C525" s="9" t="inlineStr">
        <is>
          <t>21/50 MA cross, 250-period confirm filter, VWAP</t>
        </is>
      </c>
      <c r="D525" s="9" t="inlineStr">
        <is>
          <t>Long</t>
        </is>
      </c>
      <c r="E525" s="10" t="n">
        <v>45027.73263888889</v>
      </c>
      <c r="F525" s="10" t="n">
        <v>45027.98611111111</v>
      </c>
      <c r="G525" s="11" t="n">
        <v>-0.55</v>
      </c>
      <c r="H525" s="11">
        <f>H524+G525</f>
        <v/>
      </c>
    </row>
    <row r="526">
      <c r="A526" s="9" t="n">
        <v>522</v>
      </c>
      <c r="B526" s="9" t="inlineStr">
        <is>
          <t>Meridian</t>
        </is>
      </c>
      <c r="C526" s="9" t="inlineStr">
        <is>
          <t>21/50 MA cross, 250-period confirm filter, VWAP</t>
        </is>
      </c>
      <c r="D526" s="9" t="inlineStr">
        <is>
          <t>Long</t>
        </is>
      </c>
      <c r="E526" s="10" t="n">
        <v>45028.12152777778</v>
      </c>
      <c r="F526" s="10" t="n">
        <v>45028.12847222222</v>
      </c>
      <c r="G526" s="11" t="n">
        <v>-1.05</v>
      </c>
      <c r="H526" s="11">
        <f>H525+G526</f>
        <v/>
      </c>
    </row>
    <row r="527">
      <c r="A527" s="9" t="n">
        <v>523</v>
      </c>
      <c r="B527" s="9" t="inlineStr">
        <is>
          <t>Ratchet</t>
        </is>
      </c>
      <c r="C527" s="9" t="inlineStr">
        <is>
          <t>Stochastic scalp with give-back trail exit</t>
        </is>
      </c>
      <c r="D527" s="9" t="inlineStr">
        <is>
          <t>Long</t>
        </is>
      </c>
      <c r="E527" s="10" t="n">
        <v>45028.13888888889</v>
      </c>
      <c r="F527" s="10" t="n">
        <v>45028.13888888889</v>
      </c>
      <c r="G527" s="11" t="n">
        <v>-0.87</v>
      </c>
      <c r="H527" s="11">
        <f>H526+G527</f>
        <v/>
      </c>
    </row>
    <row r="528">
      <c r="A528" s="9" t="n">
        <v>524</v>
      </c>
      <c r="B528" s="9" t="inlineStr">
        <is>
          <t>Aurelius_M5</t>
        </is>
      </c>
      <c r="C528" s="9" t="inlineStr">
        <is>
          <t>MA alignment (EMA21&gt;EMA50&gt;SMA250&gt;SMMA500 vs EMA2400 trend filter)</t>
        </is>
      </c>
      <c r="D528" s="9" t="inlineStr">
        <is>
          <t>Long</t>
        </is>
      </c>
      <c r="E528" s="10" t="n">
        <v>45028.16319444445</v>
      </c>
      <c r="F528" s="10" t="n">
        <v>45028.17013888889</v>
      </c>
      <c r="G528" s="11" t="n">
        <v>-1.36</v>
      </c>
      <c r="H528" s="11">
        <f>H527+G528</f>
        <v/>
      </c>
    </row>
    <row r="529">
      <c r="A529" s="9" t="n">
        <v>525</v>
      </c>
      <c r="B529" s="9" t="inlineStr">
        <is>
          <t>Aurelius_M5</t>
        </is>
      </c>
      <c r="C529" s="9" t="inlineStr">
        <is>
          <t>MA alignment (EMA21&gt;EMA50&gt;SMA250&gt;SMMA500 vs EMA2400 trend filter)</t>
        </is>
      </c>
      <c r="D529" s="9" t="inlineStr">
        <is>
          <t>Long</t>
        </is>
      </c>
      <c r="E529" s="10" t="n">
        <v>45028.1875</v>
      </c>
      <c r="F529" s="10" t="n">
        <v>45028.40625</v>
      </c>
      <c r="G529" s="11" t="n">
        <v>5.21</v>
      </c>
      <c r="H529" s="11">
        <f>H528+G529</f>
        <v/>
      </c>
    </row>
    <row r="530">
      <c r="A530" s="9" t="n">
        <v>526</v>
      </c>
      <c r="B530" s="9" t="inlineStr">
        <is>
          <t>Aurelius_M15</t>
        </is>
      </c>
      <c r="C530" s="9" t="inlineStr">
        <is>
          <t>MA alignment (EMA21&gt;EMA50&gt;SMA250&gt;SMMA500 vs EMA2400 trend filter) - M15 chart</t>
        </is>
      </c>
      <c r="D530" s="9" t="inlineStr">
        <is>
          <t>Long</t>
        </is>
      </c>
      <c r="E530" s="10" t="n">
        <v>45027.70833333334</v>
      </c>
      <c r="F530" s="10" t="n">
        <v>45028.52083333334</v>
      </c>
      <c r="G530" s="11" t="n">
        <v>8.1</v>
      </c>
      <c r="H530" s="11">
        <f>H529+G530</f>
        <v/>
      </c>
    </row>
    <row r="531">
      <c r="A531" s="9" t="n">
        <v>527</v>
      </c>
      <c r="B531" s="9" t="inlineStr">
        <is>
          <t>Vanguard_M15</t>
        </is>
      </c>
      <c r="C531" s="9" t="inlineStr">
        <is>
          <t>Trendline breakout (fractal swing line) + VWAP/S-R distance gate - M15 chart</t>
        </is>
      </c>
      <c r="D531" s="9" t="inlineStr">
        <is>
          <t>Long</t>
        </is>
      </c>
      <c r="E531" s="10" t="n">
        <v>45027.21875</v>
      </c>
      <c r="F531" s="10" t="n">
        <v>45028.55208333334</v>
      </c>
      <c r="G531" s="11" t="n">
        <v>12.13</v>
      </c>
      <c r="H531" s="11">
        <f>H530+G531</f>
        <v/>
      </c>
    </row>
    <row r="532">
      <c r="A532" s="9" t="n">
        <v>528</v>
      </c>
      <c r="B532" s="9" t="inlineStr">
        <is>
          <t>Vanguard_M5</t>
        </is>
      </c>
      <c r="C532" s="9" t="inlineStr">
        <is>
          <t>Trendline breakout (fractal swing line) + VWAP/S-R distance gate</t>
        </is>
      </c>
      <c r="D532" s="9" t="inlineStr">
        <is>
          <t>Long</t>
        </is>
      </c>
      <c r="E532" s="10" t="n">
        <v>45027.21527777778</v>
      </c>
      <c r="F532" s="10" t="n">
        <v>45028.55902777778</v>
      </c>
      <c r="G532" s="11" t="n">
        <v>13.19</v>
      </c>
      <c r="H532" s="11">
        <f>H531+G532</f>
        <v/>
      </c>
    </row>
    <row r="533">
      <c r="A533" s="9" t="n">
        <v>529</v>
      </c>
      <c r="B533" s="9" t="inlineStr">
        <is>
          <t>Vanguard_M15</t>
        </is>
      </c>
      <c r="C533" s="9" t="inlineStr">
        <is>
          <t>Trendline breakout (fractal swing line) + VWAP/S-R distance gate - M15 chart</t>
        </is>
      </c>
      <c r="D533" s="9" t="inlineStr">
        <is>
          <t>Short</t>
        </is>
      </c>
      <c r="E533" s="10" t="n">
        <v>45028.5625</v>
      </c>
      <c r="F533" s="10" t="n">
        <v>45028.64583333334</v>
      </c>
      <c r="G533" s="11" t="n">
        <v>-6.41</v>
      </c>
      <c r="H533" s="11">
        <f>H532+G533</f>
        <v/>
      </c>
    </row>
    <row r="534">
      <c r="A534" s="9" t="n">
        <v>530</v>
      </c>
      <c r="B534" s="9" t="inlineStr">
        <is>
          <t>Vanguard_M5</t>
        </is>
      </c>
      <c r="C534" s="9" t="inlineStr">
        <is>
          <t>Trendline breakout (fractal swing line) + VWAP/S-R distance gate</t>
        </is>
      </c>
      <c r="D534" s="9" t="inlineStr">
        <is>
          <t>Short</t>
        </is>
      </c>
      <c r="E534" s="10" t="n">
        <v>45028.5625</v>
      </c>
      <c r="F534" s="10" t="n">
        <v>45028.64583333334</v>
      </c>
      <c r="G534" s="11" t="n">
        <v>-4.79</v>
      </c>
      <c r="H534" s="11">
        <f>H533+G534</f>
        <v/>
      </c>
    </row>
    <row r="535">
      <c r="A535" s="9" t="n">
        <v>531</v>
      </c>
      <c r="B535" s="9" t="inlineStr">
        <is>
          <t>Meridian</t>
        </is>
      </c>
      <c r="C535" s="9" t="inlineStr">
        <is>
          <t>21/50 MA cross, 250-period confirm filter, VWAP</t>
        </is>
      </c>
      <c r="D535" s="9" t="inlineStr">
        <is>
          <t>Long</t>
        </is>
      </c>
      <c r="E535" s="10" t="n">
        <v>45028.65277777778</v>
      </c>
      <c r="F535" s="10" t="n">
        <v>45028.65625</v>
      </c>
      <c r="G535" s="11" t="n">
        <v>-6.19</v>
      </c>
      <c r="H535" s="11">
        <f>H534+G535</f>
        <v/>
      </c>
    </row>
    <row r="536">
      <c r="A536" s="9" t="n">
        <v>532</v>
      </c>
      <c r="B536" s="9" t="inlineStr">
        <is>
          <t>Ratchet</t>
        </is>
      </c>
      <c r="C536" s="9" t="inlineStr">
        <is>
          <t>Stochastic scalp with give-back trail exit</t>
        </is>
      </c>
      <c r="D536" s="9" t="inlineStr">
        <is>
          <t>Long</t>
        </is>
      </c>
      <c r="E536" s="10" t="n">
        <v>45028.65972222222</v>
      </c>
      <c r="F536" s="10" t="n">
        <v>45028.67361111111</v>
      </c>
      <c r="G536" s="11" t="n">
        <v>-5.51</v>
      </c>
      <c r="H536" s="11">
        <f>H535+G536</f>
        <v/>
      </c>
    </row>
    <row r="537">
      <c r="A537" s="9" t="n">
        <v>533</v>
      </c>
      <c r="B537" s="9" t="inlineStr">
        <is>
          <t>Ratchet</t>
        </is>
      </c>
      <c r="C537" s="9" t="inlineStr">
        <is>
          <t>Stochastic scalp with give-back trail exit</t>
        </is>
      </c>
      <c r="D537" s="9" t="inlineStr">
        <is>
          <t>Long</t>
        </is>
      </c>
      <c r="E537" s="10" t="n">
        <v>45028.67708333334</v>
      </c>
      <c r="F537" s="10" t="n">
        <v>45028.6875</v>
      </c>
      <c r="G537" s="11" t="n">
        <v>-7.19</v>
      </c>
      <c r="H537" s="11">
        <f>H536+G537</f>
        <v/>
      </c>
    </row>
    <row r="538">
      <c r="A538" s="9" t="n">
        <v>534</v>
      </c>
      <c r="B538" s="9" t="inlineStr">
        <is>
          <t>Meridian</t>
        </is>
      </c>
      <c r="C538" s="9" t="inlineStr">
        <is>
          <t>21/50 MA cross, 250-period confirm filter, VWAP</t>
        </is>
      </c>
      <c r="D538" s="9" t="inlineStr">
        <is>
          <t>Short</t>
        </is>
      </c>
      <c r="E538" s="10" t="n">
        <v>45028.71527777778</v>
      </c>
      <c r="F538" s="10" t="n">
        <v>45028.87152777778</v>
      </c>
      <c r="G538" s="11" t="n">
        <v>-3.01</v>
      </c>
      <c r="H538" s="11">
        <f>H537+G538</f>
        <v/>
      </c>
    </row>
    <row r="539">
      <c r="A539" s="9" t="n">
        <v>535</v>
      </c>
      <c r="B539" s="9" t="inlineStr">
        <is>
          <t>Ratchet</t>
        </is>
      </c>
      <c r="C539" s="9" t="inlineStr">
        <is>
          <t>Stochastic scalp with give-back trail exit</t>
        </is>
      </c>
      <c r="D539" s="9" t="inlineStr">
        <is>
          <t>Long</t>
        </is>
      </c>
      <c r="E539" s="10" t="n">
        <v>45028.90277777778</v>
      </c>
      <c r="F539" s="10" t="n">
        <v>45028.90625</v>
      </c>
      <c r="G539" s="11" t="n">
        <v>0</v>
      </c>
      <c r="H539" s="11">
        <f>H538+G539</f>
        <v/>
      </c>
    </row>
    <row r="540">
      <c r="A540" s="9" t="n">
        <v>536</v>
      </c>
      <c r="B540" s="9" t="inlineStr">
        <is>
          <t>Ratchet</t>
        </is>
      </c>
      <c r="C540" s="9" t="inlineStr">
        <is>
          <t>Stochastic scalp with give-back trail exit</t>
        </is>
      </c>
      <c r="D540" s="9" t="inlineStr">
        <is>
          <t>Long</t>
        </is>
      </c>
      <c r="E540" s="10" t="n">
        <v>45028.92361111111</v>
      </c>
      <c r="F540" s="10" t="n">
        <v>45028.93402777778</v>
      </c>
      <c r="G540" s="11" t="n">
        <v>0</v>
      </c>
      <c r="H540" s="11">
        <f>H539+G540</f>
        <v/>
      </c>
    </row>
    <row r="541">
      <c r="A541" s="9" t="n">
        <v>537</v>
      </c>
      <c r="B541" s="9" t="inlineStr">
        <is>
          <t>Ratchet</t>
        </is>
      </c>
      <c r="C541" s="9" t="inlineStr">
        <is>
          <t>Stochastic scalp with give-back trail exit</t>
        </is>
      </c>
      <c r="D541" s="9" t="inlineStr">
        <is>
          <t>Long</t>
        </is>
      </c>
      <c r="E541" s="10" t="n">
        <v>45029.07291666666</v>
      </c>
      <c r="F541" s="10" t="n">
        <v>45029.17013888889</v>
      </c>
      <c r="G541" s="11" t="n">
        <v>1.27</v>
      </c>
      <c r="H541" s="11">
        <f>H540+G541</f>
        <v/>
      </c>
    </row>
    <row r="542">
      <c r="A542" s="9" t="n">
        <v>538</v>
      </c>
      <c r="B542" s="9" t="inlineStr">
        <is>
          <t>Ratchet</t>
        </is>
      </c>
      <c r="C542" s="9" t="inlineStr">
        <is>
          <t>Stochastic scalp with give-back trail exit</t>
        </is>
      </c>
      <c r="D542" s="9" t="inlineStr">
        <is>
          <t>Long</t>
        </is>
      </c>
      <c r="E542" s="10" t="n">
        <v>45029.33680555555</v>
      </c>
      <c r="F542" s="10" t="n">
        <v>45029.33680555555</v>
      </c>
      <c r="G542" s="11" t="n">
        <v>-1.19</v>
      </c>
      <c r="H542" s="11">
        <f>H541+G542</f>
        <v/>
      </c>
    </row>
    <row r="543">
      <c r="A543" s="9" t="n">
        <v>539</v>
      </c>
      <c r="B543" s="9" t="inlineStr">
        <is>
          <t>Aurelius_M5</t>
        </is>
      </c>
      <c r="C543" s="9" t="inlineStr">
        <is>
          <t>MA alignment (EMA21&gt;EMA50&gt;SMA250&gt;SMMA500 vs EMA2400 trend filter)</t>
        </is>
      </c>
      <c r="D543" s="9" t="inlineStr">
        <is>
          <t>Long</t>
        </is>
      </c>
      <c r="E543" s="10" t="n">
        <v>45029.23611111111</v>
      </c>
      <c r="F543" s="10" t="n">
        <v>45029.37152777778</v>
      </c>
      <c r="G543" s="11" t="n">
        <v>-1.48</v>
      </c>
      <c r="H543" s="11">
        <f>H542+G543</f>
        <v/>
      </c>
    </row>
    <row r="544">
      <c r="A544" s="9" t="n">
        <v>540</v>
      </c>
      <c r="B544" s="9" t="inlineStr">
        <is>
          <t>Vanguard_M15</t>
        </is>
      </c>
      <c r="C544" s="9" t="inlineStr">
        <is>
          <t>Trendline breakout (fractal swing line) + VWAP/S-R distance gate - M15 chart</t>
        </is>
      </c>
      <c r="D544" s="9" t="inlineStr">
        <is>
          <t>Short</t>
        </is>
      </c>
      <c r="E544" s="10" t="n">
        <v>45028.69791666666</v>
      </c>
      <c r="F544" s="10" t="n">
        <v>45029.39583333334</v>
      </c>
      <c r="G544" s="11" t="n">
        <v>-13.23</v>
      </c>
      <c r="H544" s="11">
        <f>H543+G544</f>
        <v/>
      </c>
    </row>
    <row r="545">
      <c r="A545" s="9" t="n">
        <v>541</v>
      </c>
      <c r="B545" s="9" t="inlineStr">
        <is>
          <t>Ratchet</t>
        </is>
      </c>
      <c r="C545" s="9" t="inlineStr">
        <is>
          <t>Stochastic scalp with give-back trail exit</t>
        </is>
      </c>
      <c r="D545" s="9" t="inlineStr">
        <is>
          <t>Long</t>
        </is>
      </c>
      <c r="E545" s="10" t="n">
        <v>45029.40277777778</v>
      </c>
      <c r="F545" s="10" t="n">
        <v>45029.40625</v>
      </c>
      <c r="G545" s="11" t="n">
        <v>0.55</v>
      </c>
      <c r="H545" s="11">
        <f>H544+G545</f>
        <v/>
      </c>
    </row>
    <row r="546">
      <c r="A546" s="9" t="n">
        <v>542</v>
      </c>
      <c r="B546" s="9" t="inlineStr">
        <is>
          <t>Vanguard_M5</t>
        </is>
      </c>
      <c r="C546" s="9" t="inlineStr">
        <is>
          <t>Trendline breakout (fractal swing line) + VWAP/S-R distance gate</t>
        </is>
      </c>
      <c r="D546" s="9" t="inlineStr">
        <is>
          <t>Short</t>
        </is>
      </c>
      <c r="E546" s="10" t="n">
        <v>45028.69791666666</v>
      </c>
      <c r="F546" s="10" t="n">
        <v>45029.4375</v>
      </c>
      <c r="G546" s="11" t="n">
        <v>-15.15</v>
      </c>
      <c r="H546" s="11">
        <f>H545+G546</f>
        <v/>
      </c>
    </row>
    <row r="547">
      <c r="A547" s="9" t="n">
        <v>543</v>
      </c>
      <c r="B547" s="9" t="inlineStr">
        <is>
          <t>Ratchet</t>
        </is>
      </c>
      <c r="C547" s="9" t="inlineStr">
        <is>
          <t>Stochastic scalp with give-back trail exit</t>
        </is>
      </c>
      <c r="D547" s="9" t="inlineStr">
        <is>
          <t>Long</t>
        </is>
      </c>
      <c r="E547" s="10" t="n">
        <v>45029.64583333334</v>
      </c>
      <c r="F547" s="10" t="n">
        <v>45029.64583333334</v>
      </c>
      <c r="G547" s="11" t="n">
        <v>-2.21</v>
      </c>
      <c r="H547" s="11">
        <f>H546+G547</f>
        <v/>
      </c>
    </row>
    <row r="548">
      <c r="A548" s="9" t="n">
        <v>544</v>
      </c>
      <c r="B548" s="9" t="inlineStr">
        <is>
          <t>Ratchet</t>
        </is>
      </c>
      <c r="C548" s="9" t="inlineStr">
        <is>
          <t>Stochastic scalp with give-back trail exit</t>
        </is>
      </c>
      <c r="D548" s="9" t="inlineStr">
        <is>
          <t>Long</t>
        </is>
      </c>
      <c r="E548" s="10" t="n">
        <v>45029.64930555555</v>
      </c>
      <c r="F548" s="10" t="n">
        <v>45029.73958333334</v>
      </c>
      <c r="G548" s="11" t="n">
        <v>5.12</v>
      </c>
      <c r="H548" s="11">
        <f>H547+G548</f>
        <v/>
      </c>
    </row>
    <row r="549">
      <c r="A549" s="9" t="n">
        <v>545</v>
      </c>
      <c r="B549" s="9" t="inlineStr">
        <is>
          <t>Aurelius_M5</t>
        </is>
      </c>
      <c r="C549" s="9" t="inlineStr">
        <is>
          <t>MA alignment (EMA21&gt;EMA50&gt;SMA250&gt;SMMA500 vs EMA2400 trend filter)</t>
        </is>
      </c>
      <c r="D549" s="9" t="inlineStr">
        <is>
          <t>Long</t>
        </is>
      </c>
      <c r="E549" s="10" t="n">
        <v>45029.41319444445</v>
      </c>
      <c r="F549" s="10" t="n">
        <v>45029.92361111111</v>
      </c>
      <c r="G549" s="11" t="n">
        <v>16.08</v>
      </c>
      <c r="H549" s="11">
        <f>H548+G549</f>
        <v/>
      </c>
    </row>
    <row r="550">
      <c r="A550" s="9" t="n">
        <v>546</v>
      </c>
      <c r="B550" s="9" t="inlineStr">
        <is>
          <t>Meridian</t>
        </is>
      </c>
      <c r="C550" s="9" t="inlineStr">
        <is>
          <t>21/50 MA cross, 250-period confirm filter, VWAP</t>
        </is>
      </c>
      <c r="D550" s="9" t="inlineStr">
        <is>
          <t>Long</t>
        </is>
      </c>
      <c r="E550" s="10" t="n">
        <v>45029.39236111111</v>
      </c>
      <c r="F550" s="10" t="n">
        <v>45029.93402777778</v>
      </c>
      <c r="G550" s="11" t="n">
        <v>19.44</v>
      </c>
      <c r="H550" s="11">
        <f>H549+G550</f>
        <v/>
      </c>
    </row>
    <row r="551">
      <c r="A551" s="9" t="n">
        <v>547</v>
      </c>
      <c r="B551" s="9" t="inlineStr">
        <is>
          <t>Ratchet</t>
        </is>
      </c>
      <c r="C551" s="9" t="inlineStr">
        <is>
          <t>Stochastic scalp with give-back trail exit</t>
        </is>
      </c>
      <c r="D551" s="9" t="inlineStr">
        <is>
          <t>Long</t>
        </is>
      </c>
      <c r="E551" s="10" t="n">
        <v>45029.96180555555</v>
      </c>
      <c r="F551" s="10" t="n">
        <v>45029.99652777778</v>
      </c>
      <c r="G551" s="11" t="n">
        <v>-0.2</v>
      </c>
      <c r="H551" s="11">
        <f>H550+G551</f>
        <v/>
      </c>
    </row>
    <row r="552">
      <c r="A552" s="9" t="n">
        <v>548</v>
      </c>
      <c r="B552" s="9" t="inlineStr">
        <is>
          <t>Meridian</t>
        </is>
      </c>
      <c r="C552" s="9" t="inlineStr">
        <is>
          <t>21/50 MA cross, 250-period confirm filter, VWAP</t>
        </is>
      </c>
      <c r="D552" s="9" t="inlineStr">
        <is>
          <t>Long</t>
        </is>
      </c>
      <c r="E552" s="10" t="n">
        <v>45029.95138888889</v>
      </c>
      <c r="F552" s="10" t="n">
        <v>45030.11111111111</v>
      </c>
      <c r="G552" s="11" t="n">
        <v>-1.21</v>
      </c>
      <c r="H552" s="11">
        <f>H551+G552</f>
        <v/>
      </c>
    </row>
    <row r="553">
      <c r="A553" s="9" t="n">
        <v>549</v>
      </c>
      <c r="B553" s="9" t="inlineStr">
        <is>
          <t>Aurelius_M5</t>
        </is>
      </c>
      <c r="C553" s="9" t="inlineStr">
        <is>
          <t>MA alignment (EMA21&gt;EMA50&gt;SMA250&gt;SMMA500 vs EMA2400 trend filter)</t>
        </is>
      </c>
      <c r="D553" s="9" t="inlineStr">
        <is>
          <t>Long</t>
        </is>
      </c>
      <c r="E553" s="10" t="n">
        <v>45030.17013888889</v>
      </c>
      <c r="F553" s="10" t="n">
        <v>45030.34027777778</v>
      </c>
      <c r="G553" s="11" t="n">
        <v>0.15</v>
      </c>
      <c r="H553" s="11">
        <f>H552+G553</f>
        <v/>
      </c>
    </row>
    <row r="554">
      <c r="A554" s="9" t="n">
        <v>550</v>
      </c>
      <c r="B554" s="9" t="inlineStr">
        <is>
          <t>Meridian</t>
        </is>
      </c>
      <c r="C554" s="9" t="inlineStr">
        <is>
          <t>21/50 MA cross, 250-period confirm filter, VWAP</t>
        </is>
      </c>
      <c r="D554" s="9" t="inlineStr">
        <is>
          <t>Long</t>
        </is>
      </c>
      <c r="E554" s="10" t="n">
        <v>45030.15277777778</v>
      </c>
      <c r="F554" s="10" t="n">
        <v>45030.34375</v>
      </c>
      <c r="G554" s="11" t="n">
        <v>0.52</v>
      </c>
      <c r="H554" s="11">
        <f>H553+G554</f>
        <v/>
      </c>
    </row>
    <row r="555">
      <c r="A555" s="9" t="n">
        <v>551</v>
      </c>
      <c r="B555" s="9" t="inlineStr">
        <is>
          <t>Meridian</t>
        </is>
      </c>
      <c r="C555" s="9" t="inlineStr">
        <is>
          <t>21/50 MA cross, 250-period confirm filter, VWAP</t>
        </is>
      </c>
      <c r="D555" s="9" t="inlineStr">
        <is>
          <t>Short</t>
        </is>
      </c>
      <c r="E555" s="10" t="n">
        <v>45030.58680555555</v>
      </c>
      <c r="F555" s="10" t="n">
        <v>45030.64583333334</v>
      </c>
      <c r="G555" s="11" t="n">
        <v>-3.52</v>
      </c>
      <c r="H555" s="11">
        <f>H554+G555</f>
        <v/>
      </c>
    </row>
    <row r="556">
      <c r="A556" s="9" t="n">
        <v>552</v>
      </c>
      <c r="B556" s="9" t="inlineStr">
        <is>
          <t>Ratchet</t>
        </is>
      </c>
      <c r="C556" s="9" t="inlineStr">
        <is>
          <t>Stochastic scalp with give-back trail exit</t>
        </is>
      </c>
      <c r="D556" s="9" t="inlineStr">
        <is>
          <t>Short</t>
        </is>
      </c>
      <c r="E556" s="10" t="n">
        <v>45033.13541666666</v>
      </c>
      <c r="F556" s="10" t="n">
        <v>45033.13888888889</v>
      </c>
      <c r="G556" s="11" t="n">
        <v>-1.39</v>
      </c>
      <c r="H556" s="11">
        <f>H555+G556</f>
        <v/>
      </c>
    </row>
    <row r="557">
      <c r="A557" s="9" t="n">
        <v>553</v>
      </c>
      <c r="B557" s="9" t="inlineStr">
        <is>
          <t>Ratchet</t>
        </is>
      </c>
      <c r="C557" s="9" t="inlineStr">
        <is>
          <t>Stochastic scalp with give-back trail exit</t>
        </is>
      </c>
      <c r="D557" s="9" t="inlineStr">
        <is>
          <t>Short</t>
        </is>
      </c>
      <c r="E557" s="10" t="n">
        <v>45033.66319444445</v>
      </c>
      <c r="F557" s="10" t="n">
        <v>45033.66666666666</v>
      </c>
      <c r="G557" s="11" t="n">
        <v>-0</v>
      </c>
      <c r="H557" s="11">
        <f>H556+G557</f>
        <v/>
      </c>
    </row>
    <row r="558">
      <c r="A558" s="9" t="n">
        <v>554</v>
      </c>
      <c r="B558" s="9" t="inlineStr">
        <is>
          <t>Ratchet</t>
        </is>
      </c>
      <c r="C558" s="9" t="inlineStr">
        <is>
          <t>Stochastic scalp with give-back trail exit</t>
        </is>
      </c>
      <c r="D558" s="9" t="inlineStr">
        <is>
          <t>Short</t>
        </is>
      </c>
      <c r="E558" s="10" t="n">
        <v>45033.67361111111</v>
      </c>
      <c r="F558" s="10" t="n">
        <v>45033.68055555555</v>
      </c>
      <c r="G558" s="11" t="n">
        <v>0.4</v>
      </c>
      <c r="H558" s="11">
        <f>H557+G558</f>
        <v/>
      </c>
    </row>
    <row r="559">
      <c r="A559" s="9" t="n">
        <v>555</v>
      </c>
      <c r="B559" s="9" t="inlineStr">
        <is>
          <t>Ratchet</t>
        </is>
      </c>
      <c r="C559" s="9" t="inlineStr">
        <is>
          <t>Stochastic scalp with give-back trail exit</t>
        </is>
      </c>
      <c r="D559" s="9" t="inlineStr">
        <is>
          <t>Short</t>
        </is>
      </c>
      <c r="E559" s="10" t="n">
        <v>45034.06597222222</v>
      </c>
      <c r="F559" s="10" t="n">
        <v>45034.08333333334</v>
      </c>
      <c r="G559" s="11" t="n">
        <v>-0.83</v>
      </c>
      <c r="H559" s="11">
        <f>H558+G559</f>
        <v/>
      </c>
    </row>
    <row r="560">
      <c r="A560" s="9" t="n">
        <v>556</v>
      </c>
      <c r="B560" s="9" t="inlineStr">
        <is>
          <t>Vanguard_M15</t>
        </is>
      </c>
      <c r="C560" s="9" t="inlineStr">
        <is>
          <t>Trendline breakout (fractal swing line) + VWAP/S-R distance gate - M15 chart</t>
        </is>
      </c>
      <c r="D560" s="9" t="inlineStr">
        <is>
          <t>Short</t>
        </is>
      </c>
      <c r="E560" s="10" t="n">
        <v>45030.72916666666</v>
      </c>
      <c r="F560" s="10" t="n">
        <v>45034.14583333334</v>
      </c>
      <c r="G560" s="11" t="n">
        <v>14</v>
      </c>
      <c r="H560" s="11">
        <f>H559+G560</f>
        <v/>
      </c>
    </row>
    <row r="561">
      <c r="A561" s="9" t="n">
        <v>557</v>
      </c>
      <c r="B561" s="9" t="inlineStr">
        <is>
          <t>Meridian</t>
        </is>
      </c>
      <c r="C561" s="9" t="inlineStr">
        <is>
          <t>21/50 MA cross, 250-period confirm filter, VWAP</t>
        </is>
      </c>
      <c r="D561" s="9" t="inlineStr">
        <is>
          <t>Short</t>
        </is>
      </c>
      <c r="E561" s="10" t="n">
        <v>45034.0625</v>
      </c>
      <c r="F561" s="10" t="n">
        <v>45034.14930555555</v>
      </c>
      <c r="G561" s="11" t="n">
        <v>-1.48</v>
      </c>
      <c r="H561" s="11">
        <f>H560+G561</f>
        <v/>
      </c>
    </row>
    <row r="562">
      <c r="A562" s="9" t="n">
        <v>558</v>
      </c>
      <c r="B562" s="9" t="inlineStr">
        <is>
          <t>Vanguard_M5</t>
        </is>
      </c>
      <c r="C562" s="9" t="inlineStr">
        <is>
          <t>Trendline breakout (fractal swing line) + VWAP/S-R distance gate</t>
        </is>
      </c>
      <c r="D562" s="9" t="inlineStr">
        <is>
          <t>Short</t>
        </is>
      </c>
      <c r="E562" s="10" t="n">
        <v>45030.72222222222</v>
      </c>
      <c r="F562" s="10" t="n">
        <v>45034.15277777778</v>
      </c>
      <c r="G562" s="11" t="n">
        <v>15.72</v>
      </c>
      <c r="H562" s="11">
        <f>H561+G562</f>
        <v/>
      </c>
    </row>
    <row r="563">
      <c r="A563" s="9" t="n">
        <v>559</v>
      </c>
      <c r="B563" s="9" t="inlineStr">
        <is>
          <t>Vanguard_M5</t>
        </is>
      </c>
      <c r="C563" s="9" t="inlineStr">
        <is>
          <t>Trendline breakout (fractal swing line) + VWAP/S-R distance gate</t>
        </is>
      </c>
      <c r="D563" s="9" t="inlineStr">
        <is>
          <t>Long</t>
        </is>
      </c>
      <c r="E563" s="10" t="n">
        <v>45034.15625</v>
      </c>
      <c r="F563" s="10" t="n">
        <v>45034.68402777778</v>
      </c>
      <c r="G563" s="11" t="n">
        <v>-2.45</v>
      </c>
      <c r="H563" s="11">
        <f>H562+G563</f>
        <v/>
      </c>
    </row>
    <row r="564">
      <c r="A564" s="9" t="n">
        <v>560</v>
      </c>
      <c r="B564" s="9" t="inlineStr">
        <is>
          <t>Vanguard_M15</t>
        </is>
      </c>
      <c r="C564" s="9" t="inlineStr">
        <is>
          <t>Trendline breakout (fractal swing line) + VWAP/S-R distance gate - M15 chart</t>
        </is>
      </c>
      <c r="D564" s="9" t="inlineStr">
        <is>
          <t>Long</t>
        </is>
      </c>
      <c r="E564" s="10" t="n">
        <v>45034.15625</v>
      </c>
      <c r="F564" s="10" t="n">
        <v>45034.6875</v>
      </c>
      <c r="G564" s="11" t="n">
        <v>-4.31</v>
      </c>
      <c r="H564" s="11">
        <f>H563+G564</f>
        <v/>
      </c>
    </row>
    <row r="565">
      <c r="A565" s="9" t="n">
        <v>561</v>
      </c>
      <c r="B565" s="9" t="inlineStr">
        <is>
          <t>Meridian</t>
        </is>
      </c>
      <c r="C565" s="9" t="inlineStr">
        <is>
          <t>21/50 MA cross, 250-period confirm filter, VWAP</t>
        </is>
      </c>
      <c r="D565" s="9" t="inlineStr">
        <is>
          <t>Long</t>
        </is>
      </c>
      <c r="E565" s="10" t="n">
        <v>45034.72569444445</v>
      </c>
      <c r="F565" s="10" t="n">
        <v>45034.88194444445</v>
      </c>
      <c r="G565" s="11" t="n">
        <v>-2.55</v>
      </c>
      <c r="H565" s="11">
        <f>H564+G565</f>
        <v/>
      </c>
    </row>
    <row r="566">
      <c r="A566" s="9" t="n">
        <v>562</v>
      </c>
      <c r="B566" s="9" t="inlineStr">
        <is>
          <t>Meridian</t>
        </is>
      </c>
      <c r="C566" s="9" t="inlineStr">
        <is>
          <t>21/50 MA cross, 250-period confirm filter, VWAP</t>
        </is>
      </c>
      <c r="D566" s="9" t="inlineStr">
        <is>
          <t>Long</t>
        </is>
      </c>
      <c r="E566" s="10" t="n">
        <v>45035.09722222222</v>
      </c>
      <c r="F566" s="10" t="n">
        <v>45035.18055555555</v>
      </c>
      <c r="G566" s="11" t="n">
        <v>-1.31</v>
      </c>
      <c r="H566" s="11">
        <f>H565+G566</f>
        <v/>
      </c>
    </row>
    <row r="567">
      <c r="A567" s="9" t="n">
        <v>563</v>
      </c>
      <c r="B567" s="9" t="inlineStr">
        <is>
          <t>Aurelius_M5</t>
        </is>
      </c>
      <c r="C567" s="9" t="inlineStr">
        <is>
          <t>MA alignment (EMA21&gt;EMA50&gt;SMA250&gt;SMMA500 vs EMA2400 trend filter)</t>
        </is>
      </c>
      <c r="D567" s="9" t="inlineStr">
        <is>
          <t>Short</t>
        </is>
      </c>
      <c r="E567" s="10" t="n">
        <v>45035.32986111111</v>
      </c>
      <c r="F567" s="10" t="n">
        <v>45035.66666666666</v>
      </c>
      <c r="G567" s="11" t="n">
        <v>23.14</v>
      </c>
      <c r="H567" s="11">
        <f>H566+G567</f>
        <v/>
      </c>
    </row>
    <row r="568">
      <c r="A568" s="9" t="n">
        <v>564</v>
      </c>
      <c r="B568" s="9" t="inlineStr">
        <is>
          <t>Aurelius_M15</t>
        </is>
      </c>
      <c r="C568" s="9" t="inlineStr">
        <is>
          <t>MA alignment (EMA21&gt;EMA50&gt;SMA250&gt;SMMA500 vs EMA2400 trend filter) - M15 chart</t>
        </is>
      </c>
      <c r="D568" s="9" t="inlineStr">
        <is>
          <t>Short</t>
        </is>
      </c>
      <c r="E568" s="10" t="n">
        <v>45035.38541666666</v>
      </c>
      <c r="F568" s="10" t="n">
        <v>45035.77083333334</v>
      </c>
      <c r="G568" s="11" t="n">
        <v>0.26</v>
      </c>
      <c r="H568" s="11">
        <f>H567+G568</f>
        <v/>
      </c>
    </row>
    <row r="569">
      <c r="A569" s="9" t="n">
        <v>565</v>
      </c>
      <c r="B569" s="9" t="inlineStr">
        <is>
          <t>Meridian</t>
        </is>
      </c>
      <c r="C569" s="9" t="inlineStr">
        <is>
          <t>21/50 MA cross, 250-period confirm filter, VWAP</t>
        </is>
      </c>
      <c r="D569" s="9" t="inlineStr">
        <is>
          <t>Long</t>
        </is>
      </c>
      <c r="E569" s="10" t="n">
        <v>45036.13888888889</v>
      </c>
      <c r="F569" s="10" t="n">
        <v>45036.16666666666</v>
      </c>
      <c r="G569" s="11" t="n">
        <v>-1.81</v>
      </c>
      <c r="H569" s="11">
        <f>H568+G569</f>
        <v/>
      </c>
    </row>
    <row r="570">
      <c r="A570" s="9" t="n">
        <v>566</v>
      </c>
      <c r="B570" s="9" t="inlineStr">
        <is>
          <t>Vanguard_M15</t>
        </is>
      </c>
      <c r="C570" s="9" t="inlineStr">
        <is>
          <t>Trendline breakout (fractal swing line) + VWAP/S-R distance gate - M15 chart</t>
        </is>
      </c>
      <c r="D570" s="9" t="inlineStr">
        <is>
          <t>Short</t>
        </is>
      </c>
      <c r="E570" s="10" t="n">
        <v>45035.38541666666</v>
      </c>
      <c r="F570" s="10" t="n">
        <v>45036.20833333334</v>
      </c>
      <c r="G570" s="11" t="n">
        <v>-1.31</v>
      </c>
      <c r="H570" s="11">
        <f>H569+G570</f>
        <v/>
      </c>
    </row>
    <row r="571">
      <c r="A571" s="9" t="n">
        <v>567</v>
      </c>
      <c r="B571" s="9" t="inlineStr">
        <is>
          <t>Vanguard_M5</t>
        </is>
      </c>
      <c r="C571" s="9" t="inlineStr">
        <is>
          <t>Trendline breakout (fractal swing line) + VWAP/S-R distance gate</t>
        </is>
      </c>
      <c r="D571" s="9" t="inlineStr">
        <is>
          <t>Short</t>
        </is>
      </c>
      <c r="E571" s="10" t="n">
        <v>45035.38194444445</v>
      </c>
      <c r="F571" s="10" t="n">
        <v>45036.38194444445</v>
      </c>
      <c r="G571" s="11" t="n">
        <v>-0.34</v>
      </c>
      <c r="H571" s="11">
        <f>H570+G571</f>
        <v/>
      </c>
    </row>
    <row r="572">
      <c r="A572" s="9" t="n">
        <v>568</v>
      </c>
      <c r="B572" s="9" t="inlineStr">
        <is>
          <t>Meridian</t>
        </is>
      </c>
      <c r="C572" s="9" t="inlineStr">
        <is>
          <t>21/50 MA cross, 250-period confirm filter, VWAP</t>
        </is>
      </c>
      <c r="D572" s="9" t="inlineStr">
        <is>
          <t>Long</t>
        </is>
      </c>
      <c r="E572" s="10" t="n">
        <v>45036.38194444445</v>
      </c>
      <c r="F572" s="10" t="n">
        <v>45036.50694444445</v>
      </c>
      <c r="G572" s="11" t="n">
        <v>-2.65</v>
      </c>
      <c r="H572" s="11">
        <f>H571+G572</f>
        <v/>
      </c>
    </row>
    <row r="573">
      <c r="A573" s="9" t="n">
        <v>569</v>
      </c>
      <c r="B573" s="9" t="inlineStr">
        <is>
          <t>Vanguard_M5</t>
        </is>
      </c>
      <c r="C573" s="9" t="inlineStr">
        <is>
          <t>Trendline breakout (fractal swing line) + VWAP/S-R distance gate</t>
        </is>
      </c>
      <c r="D573" s="9" t="inlineStr">
        <is>
          <t>Long</t>
        </is>
      </c>
      <c r="E573" s="10" t="n">
        <v>45036.64930555555</v>
      </c>
      <c r="F573" s="10" t="n">
        <v>45036.66666666666</v>
      </c>
      <c r="G573" s="11" t="n">
        <v>-4.5</v>
      </c>
      <c r="H573" s="11">
        <f>H572+G573</f>
        <v/>
      </c>
    </row>
    <row r="574">
      <c r="A574" s="9" t="n">
        <v>570</v>
      </c>
      <c r="B574" s="9" t="inlineStr">
        <is>
          <t>Ratchet</t>
        </is>
      </c>
      <c r="C574" s="9" t="inlineStr">
        <is>
          <t>Stochastic scalp with give-back trail exit</t>
        </is>
      </c>
      <c r="D574" s="9" t="inlineStr">
        <is>
          <t>Long</t>
        </is>
      </c>
      <c r="E574" s="10" t="n">
        <v>45036.66666666666</v>
      </c>
      <c r="F574" s="10" t="n">
        <v>45036.71875</v>
      </c>
      <c r="G574" s="11" t="n">
        <v>1.32</v>
      </c>
      <c r="H574" s="11">
        <f>H573+G574</f>
        <v/>
      </c>
    </row>
    <row r="575">
      <c r="A575" s="9" t="n">
        <v>571</v>
      </c>
      <c r="B575" s="9" t="inlineStr">
        <is>
          <t>Vanguard_M15</t>
        </is>
      </c>
      <c r="C575" s="9" t="inlineStr">
        <is>
          <t>Trendline breakout (fractal swing line) + VWAP/S-R distance gate - M15 chart</t>
        </is>
      </c>
      <c r="D575" s="9" t="inlineStr">
        <is>
          <t>Long</t>
        </is>
      </c>
      <c r="E575" s="10" t="n">
        <v>45036.71875</v>
      </c>
      <c r="F575" s="10" t="n">
        <v>45036.71875</v>
      </c>
      <c r="G575" s="11" t="n">
        <v>-4.54</v>
      </c>
      <c r="H575" s="11">
        <f>H574+G575</f>
        <v/>
      </c>
    </row>
    <row r="576">
      <c r="A576" s="9" t="n">
        <v>572</v>
      </c>
      <c r="B576" s="9" t="inlineStr">
        <is>
          <t>Vanguard_M5</t>
        </is>
      </c>
      <c r="C576" s="9" t="inlineStr">
        <is>
          <t>Trendline breakout (fractal swing line) + VWAP/S-R distance gate</t>
        </is>
      </c>
      <c r="D576" s="9" t="inlineStr">
        <is>
          <t>Long</t>
        </is>
      </c>
      <c r="E576" s="10" t="n">
        <v>45036.71527777778</v>
      </c>
      <c r="F576" s="10" t="n">
        <v>45036.72222222222</v>
      </c>
      <c r="G576" s="11" t="n">
        <v>-4.53</v>
      </c>
      <c r="H576" s="11">
        <f>H575+G576</f>
        <v/>
      </c>
    </row>
    <row r="577">
      <c r="A577" s="9" t="n">
        <v>573</v>
      </c>
      <c r="B577" s="9" t="inlineStr">
        <is>
          <t>Meridian</t>
        </is>
      </c>
      <c r="C577" s="9" t="inlineStr">
        <is>
          <t>21/50 MA cross, 250-period confirm filter, VWAP</t>
        </is>
      </c>
      <c r="D577" s="9" t="inlineStr">
        <is>
          <t>Long</t>
        </is>
      </c>
      <c r="E577" s="10" t="n">
        <v>45036.53125</v>
      </c>
      <c r="F577" s="10" t="n">
        <v>45036.79166666666</v>
      </c>
      <c r="G577" s="11" t="n">
        <v>4.25</v>
      </c>
      <c r="H577" s="11">
        <f>H576+G577</f>
        <v/>
      </c>
    </row>
    <row r="578">
      <c r="A578" s="9" t="n">
        <v>574</v>
      </c>
      <c r="B578" s="9" t="inlineStr">
        <is>
          <t>Ratchet</t>
        </is>
      </c>
      <c r="C578" s="9" t="inlineStr">
        <is>
          <t>Stochastic scalp with give-back trail exit</t>
        </is>
      </c>
      <c r="D578" s="9" t="inlineStr">
        <is>
          <t>Long</t>
        </is>
      </c>
      <c r="E578" s="10" t="n">
        <v>45036.80208333334</v>
      </c>
      <c r="F578" s="10" t="n">
        <v>45036.8125</v>
      </c>
      <c r="G578" s="11" t="n">
        <v>0</v>
      </c>
      <c r="H578" s="11">
        <f>H577+G578</f>
        <v/>
      </c>
    </row>
    <row r="579">
      <c r="A579" s="9" t="n">
        <v>575</v>
      </c>
      <c r="B579" s="9" t="inlineStr">
        <is>
          <t>Ratchet</t>
        </is>
      </c>
      <c r="C579" s="9" t="inlineStr">
        <is>
          <t>Stochastic scalp with give-back trail exit</t>
        </is>
      </c>
      <c r="D579" s="9" t="inlineStr">
        <is>
          <t>Long</t>
        </is>
      </c>
      <c r="E579" s="10" t="n">
        <v>45036.82638888889</v>
      </c>
      <c r="F579" s="10" t="n">
        <v>45036.82986111111</v>
      </c>
      <c r="G579" s="11" t="n">
        <v>-2.28</v>
      </c>
      <c r="H579" s="11">
        <f>H578+G579</f>
        <v/>
      </c>
    </row>
    <row r="580">
      <c r="A580" s="9" t="n">
        <v>576</v>
      </c>
      <c r="B580" s="9" t="inlineStr">
        <is>
          <t>Meridian</t>
        </is>
      </c>
      <c r="C580" s="9" t="inlineStr">
        <is>
          <t>21/50 MA cross, 250-period confirm filter, VWAP</t>
        </is>
      </c>
      <c r="D580" s="9" t="inlineStr">
        <is>
          <t>Long</t>
        </is>
      </c>
      <c r="E580" s="10" t="n">
        <v>45036.79861111111</v>
      </c>
      <c r="F580" s="10" t="n">
        <v>45036.94791666666</v>
      </c>
      <c r="G580" s="11" t="n">
        <v>-1.26</v>
      </c>
      <c r="H580" s="11">
        <f>H579+G580</f>
        <v/>
      </c>
    </row>
    <row r="581">
      <c r="A581" s="9" t="n">
        <v>577</v>
      </c>
      <c r="B581" s="9" t="inlineStr">
        <is>
          <t>Vanguard_M5</t>
        </is>
      </c>
      <c r="C581" s="9" t="inlineStr">
        <is>
          <t>Trendline breakout (fractal swing line) + VWAP/S-R distance gate</t>
        </is>
      </c>
      <c r="D581" s="9" t="inlineStr">
        <is>
          <t>Long</t>
        </is>
      </c>
      <c r="E581" s="10" t="n">
        <v>45036.84027777778</v>
      </c>
      <c r="F581" s="10" t="n">
        <v>45037.1875</v>
      </c>
      <c r="G581" s="11" t="n">
        <v>-6.44</v>
      </c>
      <c r="H581" s="11">
        <f>H580+G581</f>
        <v/>
      </c>
    </row>
    <row r="582">
      <c r="A582" s="9" t="n">
        <v>578</v>
      </c>
      <c r="B582" s="9" t="inlineStr">
        <is>
          <t>Vanguard_M15</t>
        </is>
      </c>
      <c r="C582" s="9" t="inlineStr">
        <is>
          <t>Trendline breakout (fractal swing line) + VWAP/S-R distance gate - M15 chart</t>
        </is>
      </c>
      <c r="D582" s="9" t="inlineStr">
        <is>
          <t>Long</t>
        </is>
      </c>
      <c r="E582" s="10" t="n">
        <v>45036.84375</v>
      </c>
      <c r="F582" s="10" t="n">
        <v>45037.35416666666</v>
      </c>
      <c r="G582" s="11" t="n">
        <v>-9.81</v>
      </c>
      <c r="H582" s="11">
        <f>H581+G582</f>
        <v/>
      </c>
    </row>
    <row r="583">
      <c r="A583" s="9" t="n">
        <v>579</v>
      </c>
      <c r="B583" s="9" t="inlineStr">
        <is>
          <t>Ratchet</t>
        </is>
      </c>
      <c r="C583" s="9" t="inlineStr">
        <is>
          <t>Stochastic scalp with give-back trail exit</t>
        </is>
      </c>
      <c r="D583" s="9" t="inlineStr">
        <is>
          <t>Short</t>
        </is>
      </c>
      <c r="E583" s="10" t="n">
        <v>45037.59027777778</v>
      </c>
      <c r="F583" s="10" t="n">
        <v>45037.59722222222</v>
      </c>
      <c r="G583" s="11" t="n">
        <v>0.48</v>
      </c>
      <c r="H583" s="11">
        <f>H582+G583</f>
        <v/>
      </c>
    </row>
    <row r="584">
      <c r="A584" s="9" t="n">
        <v>580</v>
      </c>
      <c r="B584" s="9" t="inlineStr">
        <is>
          <t>Aurelius_M5</t>
        </is>
      </c>
      <c r="C584" s="9" t="inlineStr">
        <is>
          <t>MA alignment (EMA21&gt;EMA50&gt;SMA250&gt;SMMA500 vs EMA2400 trend filter)</t>
        </is>
      </c>
      <c r="D584" s="9" t="inlineStr">
        <is>
          <t>Short</t>
        </is>
      </c>
      <c r="E584" s="10" t="n">
        <v>45037.63194444445</v>
      </c>
      <c r="F584" s="10" t="n">
        <v>45037.64236111111</v>
      </c>
      <c r="G584" s="11" t="n">
        <v>-3.86</v>
      </c>
      <c r="H584" s="11">
        <f>H583+G584</f>
        <v/>
      </c>
    </row>
    <row r="585">
      <c r="A585" s="9" t="n">
        <v>581</v>
      </c>
      <c r="B585" s="9" t="inlineStr">
        <is>
          <t>Aurelius_M5</t>
        </is>
      </c>
      <c r="C585" s="9" t="inlineStr">
        <is>
          <t>MA alignment (EMA21&gt;EMA50&gt;SMA250&gt;SMMA500 vs EMA2400 trend filter)</t>
        </is>
      </c>
      <c r="D585" s="9" t="inlineStr">
        <is>
          <t>Short</t>
        </is>
      </c>
      <c r="E585" s="10" t="n">
        <v>45037.65972222222</v>
      </c>
      <c r="F585" s="10" t="n">
        <v>45037.67708333334</v>
      </c>
      <c r="G585" s="11" t="n">
        <v>-4.5</v>
      </c>
      <c r="H585" s="11">
        <f>H584+G585</f>
        <v/>
      </c>
    </row>
    <row r="586">
      <c r="A586" s="9" t="n">
        <v>582</v>
      </c>
      <c r="B586" s="9" t="inlineStr">
        <is>
          <t>Meridian</t>
        </is>
      </c>
      <c r="C586" s="9" t="inlineStr">
        <is>
          <t>21/50 MA cross, 250-period confirm filter, VWAP</t>
        </is>
      </c>
      <c r="D586" s="9" t="inlineStr">
        <is>
          <t>Short</t>
        </is>
      </c>
      <c r="E586" s="10" t="n">
        <v>45037.70486111111</v>
      </c>
      <c r="F586" s="10" t="n">
        <v>45037.71875</v>
      </c>
      <c r="G586" s="11" t="n">
        <v>-9.130000000000001</v>
      </c>
      <c r="H586" s="11">
        <f>H585+G586</f>
        <v/>
      </c>
    </row>
    <row r="587">
      <c r="A587" s="9" t="n">
        <v>583</v>
      </c>
      <c r="B587" s="9" t="inlineStr">
        <is>
          <t>Ratchet</t>
        </is>
      </c>
      <c r="C587" s="9" t="inlineStr">
        <is>
          <t>Stochastic scalp with give-back trail exit</t>
        </is>
      </c>
      <c r="D587" s="9" t="inlineStr">
        <is>
          <t>Short</t>
        </is>
      </c>
      <c r="E587" s="10" t="n">
        <v>45037.74305555555</v>
      </c>
      <c r="F587" s="10" t="n">
        <v>45037.79861111111</v>
      </c>
      <c r="G587" s="11" t="n">
        <v>-0</v>
      </c>
      <c r="H587" s="11">
        <f>H586+G587</f>
        <v/>
      </c>
    </row>
    <row r="588">
      <c r="A588" s="9" t="n">
        <v>584</v>
      </c>
      <c r="B588" s="9" t="inlineStr">
        <is>
          <t>Ratchet</t>
        </is>
      </c>
      <c r="C588" s="9" t="inlineStr">
        <is>
          <t>Stochastic scalp with give-back trail exit</t>
        </is>
      </c>
      <c r="D588" s="9" t="inlineStr">
        <is>
          <t>Short</t>
        </is>
      </c>
      <c r="E588" s="10" t="n">
        <v>45037.81597222222</v>
      </c>
      <c r="F588" s="10" t="n">
        <v>45037.83680555555</v>
      </c>
      <c r="G588" s="11" t="n">
        <v>-2.74</v>
      </c>
      <c r="H588" s="11">
        <f>H587+G588</f>
        <v/>
      </c>
    </row>
    <row r="589">
      <c r="A589" s="9" t="n">
        <v>585</v>
      </c>
      <c r="B589" s="9" t="inlineStr">
        <is>
          <t>Aurelius_M5</t>
        </is>
      </c>
      <c r="C589" s="9" t="inlineStr">
        <is>
          <t>MA alignment (EMA21&gt;EMA50&gt;SMA250&gt;SMMA500 vs EMA2400 trend filter)</t>
        </is>
      </c>
      <c r="D589" s="9" t="inlineStr">
        <is>
          <t>Short</t>
        </is>
      </c>
      <c r="E589" s="10" t="n">
        <v>45037.73263888889</v>
      </c>
      <c r="F589" s="10" t="n">
        <v>45037.88888888889</v>
      </c>
      <c r="G589" s="11" t="n">
        <v>-0.16</v>
      </c>
      <c r="H589" s="11">
        <f>H588+G589</f>
        <v/>
      </c>
    </row>
    <row r="590">
      <c r="A590" s="9" t="n">
        <v>586</v>
      </c>
      <c r="B590" s="9" t="inlineStr">
        <is>
          <t>Aurelius_M15</t>
        </is>
      </c>
      <c r="C590" s="9" t="inlineStr">
        <is>
          <t>MA alignment (EMA21&gt;EMA50&gt;SMA250&gt;SMMA500 vs EMA2400 trend filter) - M15 chart</t>
        </is>
      </c>
      <c r="D590" s="9" t="inlineStr">
        <is>
          <t>Short</t>
        </is>
      </c>
      <c r="E590" s="10" t="n">
        <v>45037.71875</v>
      </c>
      <c r="F590" s="10" t="n">
        <v>45037.92708333334</v>
      </c>
      <c r="G590" s="11" t="n">
        <v>-2.73</v>
      </c>
      <c r="H590" s="11">
        <f>H589+G590</f>
        <v/>
      </c>
    </row>
    <row r="591">
      <c r="A591" s="9" t="n">
        <v>587</v>
      </c>
      <c r="B591" s="9" t="inlineStr">
        <is>
          <t>Meridian</t>
        </is>
      </c>
      <c r="C591" s="9" t="inlineStr">
        <is>
          <t>21/50 MA cross, 250-period confirm filter, VWAP</t>
        </is>
      </c>
      <c r="D591" s="9" t="inlineStr">
        <is>
          <t>Short</t>
        </is>
      </c>
      <c r="E591" s="10" t="n">
        <v>45040.20486111111</v>
      </c>
      <c r="F591" s="10" t="n">
        <v>45040.23263888889</v>
      </c>
      <c r="G591" s="11" t="n">
        <v>-2.81</v>
      </c>
      <c r="H591" s="11">
        <f>H590+G591</f>
        <v/>
      </c>
    </row>
    <row r="592">
      <c r="A592" s="9" t="n">
        <v>588</v>
      </c>
      <c r="B592" s="9" t="inlineStr">
        <is>
          <t>Ratchet</t>
        </is>
      </c>
      <c r="C592" s="9" t="inlineStr">
        <is>
          <t>Stochastic scalp with give-back trail exit</t>
        </is>
      </c>
      <c r="D592" s="9" t="inlineStr">
        <is>
          <t>Short</t>
        </is>
      </c>
      <c r="E592" s="10" t="n">
        <v>45040.26388888889</v>
      </c>
      <c r="F592" s="10" t="n">
        <v>45040.32986111111</v>
      </c>
      <c r="G592" s="11" t="n">
        <v>0.54</v>
      </c>
      <c r="H592" s="11">
        <f>H591+G592</f>
        <v/>
      </c>
    </row>
    <row r="593">
      <c r="A593" s="9" t="n">
        <v>589</v>
      </c>
      <c r="B593" s="9" t="inlineStr">
        <is>
          <t>Ratchet</t>
        </is>
      </c>
      <c r="C593" s="9" t="inlineStr">
        <is>
          <t>Stochastic scalp with give-back trail exit</t>
        </is>
      </c>
      <c r="D593" s="9" t="inlineStr">
        <is>
          <t>Short</t>
        </is>
      </c>
      <c r="E593" s="10" t="n">
        <v>45040.41319444445</v>
      </c>
      <c r="F593" s="10" t="n">
        <v>45040.43055555555</v>
      </c>
      <c r="G593" s="11" t="n">
        <v>-2.63</v>
      </c>
      <c r="H593" s="11">
        <f>H592+G593</f>
        <v/>
      </c>
    </row>
    <row r="594">
      <c r="A594" s="9" t="n">
        <v>590</v>
      </c>
      <c r="B594" s="9" t="inlineStr">
        <is>
          <t>Aurelius_M5</t>
        </is>
      </c>
      <c r="C594" s="9" t="inlineStr">
        <is>
          <t>MA alignment (EMA21&gt;EMA50&gt;SMA250&gt;SMMA500 vs EMA2400 trend filter)</t>
        </is>
      </c>
      <c r="D594" s="9" t="inlineStr">
        <is>
          <t>Short</t>
        </is>
      </c>
      <c r="E594" s="10" t="n">
        <v>45040.21875</v>
      </c>
      <c r="F594" s="10" t="n">
        <v>45040.44444444445</v>
      </c>
      <c r="G594" s="11" t="n">
        <v>-1.07</v>
      </c>
      <c r="H594" s="11">
        <f>H593+G594</f>
        <v/>
      </c>
    </row>
    <row r="595">
      <c r="A595" s="9" t="n">
        <v>591</v>
      </c>
      <c r="B595" s="9" t="inlineStr">
        <is>
          <t>Meridian</t>
        </is>
      </c>
      <c r="C595" s="9" t="inlineStr">
        <is>
          <t>21/50 MA cross, 250-period confirm filter, VWAP</t>
        </is>
      </c>
      <c r="D595" s="9" t="inlineStr">
        <is>
          <t>Long</t>
        </is>
      </c>
      <c r="E595" s="10" t="n">
        <v>45040.44444444445</v>
      </c>
      <c r="F595" s="10" t="n">
        <v>45040.65277777778</v>
      </c>
      <c r="G595" s="11" t="n">
        <v>0.04</v>
      </c>
      <c r="H595" s="11">
        <f>H594+G595</f>
        <v/>
      </c>
    </row>
    <row r="596">
      <c r="A596" s="9" t="n">
        <v>592</v>
      </c>
      <c r="B596" s="9" t="inlineStr">
        <is>
          <t>Meridian</t>
        </is>
      </c>
      <c r="C596" s="9" t="inlineStr">
        <is>
          <t>21/50 MA cross, 250-period confirm filter, VWAP</t>
        </is>
      </c>
      <c r="D596" s="9" t="inlineStr">
        <is>
          <t>Long</t>
        </is>
      </c>
      <c r="E596" s="10" t="n">
        <v>45040.66319444445</v>
      </c>
      <c r="F596" s="10" t="n">
        <v>45040.68055555555</v>
      </c>
      <c r="G596" s="11" t="n">
        <v>-2.27</v>
      </c>
      <c r="H596" s="11">
        <f>H595+G596</f>
        <v/>
      </c>
    </row>
    <row r="597">
      <c r="A597" s="9" t="n">
        <v>593</v>
      </c>
      <c r="B597" s="9" t="inlineStr">
        <is>
          <t>Ratchet</t>
        </is>
      </c>
      <c r="C597" s="9" t="inlineStr">
        <is>
          <t>Stochastic scalp with give-back trail exit</t>
        </is>
      </c>
      <c r="D597" s="9" t="inlineStr">
        <is>
          <t>Short</t>
        </is>
      </c>
      <c r="E597" s="10" t="n">
        <v>45040.71180555555</v>
      </c>
      <c r="F597" s="10" t="n">
        <v>45040.72569444445</v>
      </c>
      <c r="G597" s="11" t="n">
        <v>-4</v>
      </c>
      <c r="H597" s="11">
        <f>H596+G597</f>
        <v/>
      </c>
    </row>
    <row r="598">
      <c r="A598" s="9" t="n">
        <v>594</v>
      </c>
      <c r="B598" s="9" t="inlineStr">
        <is>
          <t>Aurelius_M5</t>
        </is>
      </c>
      <c r="C598" s="9" t="inlineStr">
        <is>
          <t>MA alignment (EMA21&gt;EMA50&gt;SMA250&gt;SMMA500 vs EMA2400 trend filter)</t>
        </is>
      </c>
      <c r="D598" s="9" t="inlineStr">
        <is>
          <t>Short</t>
        </is>
      </c>
      <c r="E598" s="10" t="n">
        <v>45040.72916666666</v>
      </c>
      <c r="F598" s="10" t="n">
        <v>45040.73611111111</v>
      </c>
      <c r="G598" s="11" t="n">
        <v>-5.08</v>
      </c>
      <c r="H598" s="11">
        <f>H597+G598</f>
        <v/>
      </c>
    </row>
    <row r="599">
      <c r="A599" s="9" t="n">
        <v>595</v>
      </c>
      <c r="B599" s="9" t="inlineStr">
        <is>
          <t>Meridian</t>
        </is>
      </c>
      <c r="C599" s="9" t="inlineStr">
        <is>
          <t>21/50 MA cross, 250-period confirm filter, VWAP</t>
        </is>
      </c>
      <c r="D599" s="9" t="inlineStr">
        <is>
          <t>Long</t>
        </is>
      </c>
      <c r="E599" s="10" t="n">
        <v>45040.76041666666</v>
      </c>
      <c r="F599" s="10" t="n">
        <v>45041.29166666666</v>
      </c>
      <c r="G599" s="11" t="n">
        <v>8.199999999999999</v>
      </c>
      <c r="H599" s="11">
        <f>H598+G599</f>
        <v/>
      </c>
    </row>
    <row r="600">
      <c r="A600" s="9" t="n">
        <v>596</v>
      </c>
      <c r="B600" s="9" t="inlineStr">
        <is>
          <t>Meridian</t>
        </is>
      </c>
      <c r="C600" s="9" t="inlineStr">
        <is>
          <t>21/50 MA cross, 250-period confirm filter, VWAP</t>
        </is>
      </c>
      <c r="D600" s="9" t="inlineStr">
        <is>
          <t>Long</t>
        </is>
      </c>
      <c r="E600" s="10" t="n">
        <v>45041.39236111111</v>
      </c>
      <c r="F600" s="10" t="n">
        <v>45041.44444444445</v>
      </c>
      <c r="G600" s="11" t="n">
        <v>-3.41</v>
      </c>
      <c r="H600" s="11">
        <f>H599+G600</f>
        <v/>
      </c>
    </row>
    <row r="601">
      <c r="A601" s="9" t="n">
        <v>597</v>
      </c>
      <c r="B601" s="9" t="inlineStr">
        <is>
          <t>Meridian</t>
        </is>
      </c>
      <c r="C601" s="9" t="inlineStr">
        <is>
          <t>21/50 MA cross, 250-period confirm filter, VWAP</t>
        </is>
      </c>
      <c r="D601" s="9" t="inlineStr">
        <is>
          <t>Long</t>
        </is>
      </c>
      <c r="E601" s="10" t="n">
        <v>45041.67013888889</v>
      </c>
      <c r="F601" s="10" t="n">
        <v>45041.69097222222</v>
      </c>
      <c r="G601" s="11" t="n">
        <v>-6.16</v>
      </c>
      <c r="H601" s="11">
        <f>H600+G601</f>
        <v/>
      </c>
    </row>
    <row r="602">
      <c r="A602" s="9" t="n">
        <v>598</v>
      </c>
      <c r="B602" s="9" t="inlineStr">
        <is>
          <t>Meridian</t>
        </is>
      </c>
      <c r="C602" s="9" t="inlineStr">
        <is>
          <t>21/50 MA cross, 250-period confirm filter, VWAP</t>
        </is>
      </c>
      <c r="D602" s="9" t="inlineStr">
        <is>
          <t>Short</t>
        </is>
      </c>
      <c r="E602" s="10" t="n">
        <v>45041.73958333334</v>
      </c>
      <c r="F602" s="10" t="n">
        <v>45041.74305555555</v>
      </c>
      <c r="G602" s="11" t="n">
        <v>-1.89</v>
      </c>
      <c r="H602" s="11">
        <f>H601+G602</f>
        <v/>
      </c>
    </row>
    <row r="603">
      <c r="A603" s="9" t="n">
        <v>599</v>
      </c>
      <c r="B603" s="9" t="inlineStr">
        <is>
          <t>Meridian</t>
        </is>
      </c>
      <c r="C603" s="9" t="inlineStr">
        <is>
          <t>21/50 MA cross, 250-period confirm filter, VWAP</t>
        </is>
      </c>
      <c r="D603" s="9" t="inlineStr">
        <is>
          <t>Short</t>
        </is>
      </c>
      <c r="E603" s="10" t="n">
        <v>45041.75</v>
      </c>
      <c r="F603" s="10" t="n">
        <v>45041.76041666666</v>
      </c>
      <c r="G603" s="11" t="n">
        <v>-1.91</v>
      </c>
      <c r="H603" s="11">
        <f>H602+G603</f>
        <v/>
      </c>
    </row>
    <row r="604">
      <c r="A604" s="9" t="n">
        <v>600</v>
      </c>
      <c r="B604" s="9" t="inlineStr">
        <is>
          <t>Aurelius_M15</t>
        </is>
      </c>
      <c r="C604" s="9" t="inlineStr">
        <is>
          <t>MA alignment (EMA21&gt;EMA50&gt;SMA250&gt;SMMA500 vs EMA2400 trend filter) - M15 chart</t>
        </is>
      </c>
      <c r="D604" s="9" t="inlineStr">
        <is>
          <t>Short</t>
        </is>
      </c>
      <c r="E604" s="10" t="n">
        <v>45041.69791666666</v>
      </c>
      <c r="F604" s="10" t="n">
        <v>45041.84375</v>
      </c>
      <c r="G604" s="11" t="n">
        <v>-8.9</v>
      </c>
      <c r="H604" s="11">
        <f>H603+G604</f>
        <v/>
      </c>
    </row>
    <row r="605">
      <c r="A605" s="9" t="n">
        <v>601</v>
      </c>
      <c r="B605" s="9" t="inlineStr">
        <is>
          <t>Ratchet</t>
        </is>
      </c>
      <c r="C605" s="9" t="inlineStr">
        <is>
          <t>Stochastic scalp with give-back trail exit</t>
        </is>
      </c>
      <c r="D605" s="9" t="inlineStr">
        <is>
          <t>Long</t>
        </is>
      </c>
      <c r="E605" s="10" t="n">
        <v>45041.94791666666</v>
      </c>
      <c r="F605" s="10" t="n">
        <v>45041.95833333334</v>
      </c>
      <c r="G605" s="11" t="n">
        <v>0</v>
      </c>
      <c r="H605" s="11">
        <f>H604+G605</f>
        <v/>
      </c>
    </row>
    <row r="606">
      <c r="A606" s="9" t="n">
        <v>602</v>
      </c>
      <c r="B606" s="9" t="inlineStr">
        <is>
          <t>Ratchet</t>
        </is>
      </c>
      <c r="C606" s="9" t="inlineStr">
        <is>
          <t>Stochastic scalp with give-back trail exit</t>
        </is>
      </c>
      <c r="D606" s="9" t="inlineStr">
        <is>
          <t>Long</t>
        </is>
      </c>
      <c r="E606" s="10" t="n">
        <v>45042.05208333334</v>
      </c>
      <c r="F606" s="10" t="n">
        <v>45042.15625</v>
      </c>
      <c r="G606" s="11" t="n">
        <v>1.23</v>
      </c>
      <c r="H606" s="11">
        <f>H605+G606</f>
        <v/>
      </c>
    </row>
    <row r="607">
      <c r="A607" s="9" t="n">
        <v>603</v>
      </c>
      <c r="B607" s="9" t="inlineStr">
        <is>
          <t>Meridian</t>
        </is>
      </c>
      <c r="C607" s="9" t="inlineStr">
        <is>
          <t>21/50 MA cross, 250-period confirm filter, VWAP</t>
        </is>
      </c>
      <c r="D607" s="9" t="inlineStr">
        <is>
          <t>Long</t>
        </is>
      </c>
      <c r="E607" s="10" t="n">
        <v>45042.22222222222</v>
      </c>
      <c r="F607" s="10" t="n">
        <v>45042.23263888889</v>
      </c>
      <c r="G607" s="11" t="n">
        <v>-1.78</v>
      </c>
      <c r="H607" s="11">
        <f>H606+G607</f>
        <v/>
      </c>
    </row>
    <row r="608">
      <c r="A608" s="9" t="n">
        <v>604</v>
      </c>
      <c r="B608" s="9" t="inlineStr">
        <is>
          <t>Aurelius_M5</t>
        </is>
      </c>
      <c r="C608" s="9" t="inlineStr">
        <is>
          <t>MA alignment (EMA21&gt;EMA50&gt;SMA250&gt;SMMA500 vs EMA2400 trend filter)</t>
        </is>
      </c>
      <c r="D608" s="9" t="inlineStr">
        <is>
          <t>Long</t>
        </is>
      </c>
      <c r="E608" s="10" t="n">
        <v>45042.42013888889</v>
      </c>
      <c r="F608" s="10" t="n">
        <v>45042.4375</v>
      </c>
      <c r="G608" s="11" t="n">
        <v>-2.68</v>
      </c>
      <c r="H608" s="11">
        <f>H607+G608</f>
        <v/>
      </c>
    </row>
    <row r="609">
      <c r="A609" s="9" t="n">
        <v>605</v>
      </c>
      <c r="B609" s="9" t="inlineStr">
        <is>
          <t>Ratchet</t>
        </is>
      </c>
      <c r="C609" s="9" t="inlineStr">
        <is>
          <t>Stochastic scalp with give-back trail exit</t>
        </is>
      </c>
      <c r="D609" s="9" t="inlineStr">
        <is>
          <t>Long</t>
        </is>
      </c>
      <c r="E609" s="10" t="n">
        <v>45042.42013888889</v>
      </c>
      <c r="F609" s="10" t="n">
        <v>45042.4375</v>
      </c>
      <c r="G609" s="11" t="n">
        <v>-2.01</v>
      </c>
      <c r="H609" s="11">
        <f>H608+G609</f>
        <v/>
      </c>
    </row>
    <row r="610">
      <c r="A610" s="9" t="n">
        <v>606</v>
      </c>
      <c r="B610" s="9" t="inlineStr">
        <is>
          <t>Meridian</t>
        </is>
      </c>
      <c r="C610" s="9" t="inlineStr">
        <is>
          <t>21/50 MA cross, 250-period confirm filter, VWAP</t>
        </is>
      </c>
      <c r="D610" s="9" t="inlineStr">
        <is>
          <t>Long</t>
        </is>
      </c>
      <c r="E610" s="10" t="n">
        <v>45042.40277777778</v>
      </c>
      <c r="F610" s="10" t="n">
        <v>45042.44097222222</v>
      </c>
      <c r="G610" s="11" t="n">
        <v>-2.79</v>
      </c>
      <c r="H610" s="11">
        <f>H609+G610</f>
        <v/>
      </c>
    </row>
    <row r="611">
      <c r="A611" s="9" t="n">
        <v>607</v>
      </c>
      <c r="B611" s="9" t="inlineStr">
        <is>
          <t>Vanguard_M5</t>
        </is>
      </c>
      <c r="C611" s="9" t="inlineStr">
        <is>
          <t>Trendline breakout (fractal swing line) + VWAP/S-R distance gate</t>
        </is>
      </c>
      <c r="D611" s="9" t="inlineStr">
        <is>
          <t>Long</t>
        </is>
      </c>
      <c r="E611" s="10" t="n">
        <v>45041.87152777778</v>
      </c>
      <c r="F611" s="10" t="n">
        <v>45042.61111111111</v>
      </c>
      <c r="G611" s="11" t="n">
        <v>-6.71</v>
      </c>
      <c r="H611" s="11">
        <f>H610+G611</f>
        <v/>
      </c>
    </row>
    <row r="612">
      <c r="A612" s="9" t="n">
        <v>608</v>
      </c>
      <c r="B612" s="9" t="inlineStr">
        <is>
          <t>Aurelius_M5</t>
        </is>
      </c>
      <c r="C612" s="9" t="inlineStr">
        <is>
          <t>MA alignment (EMA21&gt;EMA50&gt;SMA250&gt;SMMA500 vs EMA2400 trend filter)</t>
        </is>
      </c>
      <c r="D612" s="9" t="inlineStr">
        <is>
          <t>Long</t>
        </is>
      </c>
      <c r="E612" s="10" t="n">
        <v>45042.45486111111</v>
      </c>
      <c r="F612" s="10" t="n">
        <v>45042.61111111111</v>
      </c>
      <c r="G612" s="11" t="n">
        <v>-3.32</v>
      </c>
      <c r="H612" s="11">
        <f>H611+G612</f>
        <v/>
      </c>
    </row>
    <row r="613">
      <c r="A613" s="9" t="n">
        <v>609</v>
      </c>
      <c r="B613" s="9" t="inlineStr">
        <is>
          <t>Meridian</t>
        </is>
      </c>
      <c r="C613" s="9" t="inlineStr">
        <is>
          <t>21/50 MA cross, 250-period confirm filter, VWAP</t>
        </is>
      </c>
      <c r="D613" s="9" t="inlineStr">
        <is>
          <t>Short</t>
        </is>
      </c>
      <c r="E613" s="10" t="n">
        <v>45042.625</v>
      </c>
      <c r="F613" s="10" t="n">
        <v>45042.66666666666</v>
      </c>
      <c r="G613" s="11" t="n">
        <v>-4.86</v>
      </c>
      <c r="H613" s="11">
        <f>H612+G613</f>
        <v/>
      </c>
    </row>
    <row r="614">
      <c r="A614" s="9" t="n">
        <v>610</v>
      </c>
      <c r="B614" s="9" t="inlineStr">
        <is>
          <t>Ratchet</t>
        </is>
      </c>
      <c r="C614" s="9" t="inlineStr">
        <is>
          <t>Stochastic scalp with give-back trail exit</t>
        </is>
      </c>
      <c r="D614" s="9" t="inlineStr">
        <is>
          <t>Long</t>
        </is>
      </c>
      <c r="E614" s="10" t="n">
        <v>45042.69791666666</v>
      </c>
      <c r="F614" s="10" t="n">
        <v>45042.70486111111</v>
      </c>
      <c r="G614" s="11" t="n">
        <v>0.47</v>
      </c>
      <c r="H614" s="11">
        <f>H613+G614</f>
        <v/>
      </c>
    </row>
    <row r="615">
      <c r="A615" s="9" t="n">
        <v>611</v>
      </c>
      <c r="B615" s="9" t="inlineStr">
        <is>
          <t>Vanguard_M15</t>
        </is>
      </c>
      <c r="C615" s="9" t="inlineStr">
        <is>
          <t>Trendline breakout (fractal swing line) + VWAP/S-R distance gate - M15 chart</t>
        </is>
      </c>
      <c r="D615" s="9" t="inlineStr">
        <is>
          <t>Long</t>
        </is>
      </c>
      <c r="E615" s="10" t="n">
        <v>45041.875</v>
      </c>
      <c r="F615" s="10" t="n">
        <v>45042.73958333334</v>
      </c>
      <c r="G615" s="11" t="n">
        <v>-0.49</v>
      </c>
      <c r="H615" s="11">
        <f>H614+G615</f>
        <v/>
      </c>
    </row>
    <row r="616">
      <c r="A616" s="9" t="n">
        <v>612</v>
      </c>
      <c r="B616" s="9" t="inlineStr">
        <is>
          <t>Meridian</t>
        </is>
      </c>
      <c r="C616" s="9" t="inlineStr">
        <is>
          <t>21/50 MA cross, 250-period confirm filter, VWAP</t>
        </is>
      </c>
      <c r="D616" s="9" t="inlineStr">
        <is>
          <t>Long</t>
        </is>
      </c>
      <c r="E616" s="10" t="n">
        <v>45042.68055555555</v>
      </c>
      <c r="F616" s="10" t="n">
        <v>45042.75694444445</v>
      </c>
      <c r="G616" s="11" t="n">
        <v>-5.23</v>
      </c>
      <c r="H616" s="11">
        <f>H615+G616</f>
        <v/>
      </c>
    </row>
    <row r="617">
      <c r="A617" s="9" t="n">
        <v>613</v>
      </c>
      <c r="B617" s="9" t="inlineStr">
        <is>
          <t>Aurelius_M5</t>
        </is>
      </c>
      <c r="C617" s="9" t="inlineStr">
        <is>
          <t>MA alignment (EMA21&gt;EMA50&gt;SMA250&gt;SMMA500 vs EMA2400 trend filter)</t>
        </is>
      </c>
      <c r="D617" s="9" t="inlineStr">
        <is>
          <t>Long</t>
        </is>
      </c>
      <c r="E617" s="10" t="n">
        <v>45042.71180555555</v>
      </c>
      <c r="F617" s="10" t="n">
        <v>45042.76041666666</v>
      </c>
      <c r="G617" s="11" t="n">
        <v>-5.02</v>
      </c>
      <c r="H617" s="11">
        <f>H616+G617</f>
        <v/>
      </c>
    </row>
    <row r="618">
      <c r="A618" s="9" t="n">
        <v>614</v>
      </c>
      <c r="B618" s="9" t="inlineStr">
        <is>
          <t>Aurelius_M15</t>
        </is>
      </c>
      <c r="C618" s="9" t="inlineStr">
        <is>
          <t>MA alignment (EMA21&gt;EMA50&gt;SMA250&gt;SMMA500 vs EMA2400 trend filter) - M15 chart</t>
        </is>
      </c>
      <c r="D618" s="9" t="inlineStr">
        <is>
          <t>Long</t>
        </is>
      </c>
      <c r="E618" s="10" t="n">
        <v>45042.64583333334</v>
      </c>
      <c r="F618" s="10" t="n">
        <v>45042.79166666666</v>
      </c>
      <c r="G618" s="11" t="n">
        <v>-6.69</v>
      </c>
      <c r="H618" s="11">
        <f>H617+G618</f>
        <v/>
      </c>
    </row>
    <row r="619">
      <c r="A619" s="9" t="n">
        <v>615</v>
      </c>
      <c r="B619" s="9" t="inlineStr">
        <is>
          <t>Ratchet</t>
        </is>
      </c>
      <c r="C619" s="9" t="inlineStr">
        <is>
          <t>Stochastic scalp with give-back trail exit</t>
        </is>
      </c>
      <c r="D619" s="9" t="inlineStr">
        <is>
          <t>Short</t>
        </is>
      </c>
      <c r="E619" s="10" t="n">
        <v>45042.95486111111</v>
      </c>
      <c r="F619" s="10" t="n">
        <v>45042.99652777778</v>
      </c>
      <c r="G619" s="11" t="n">
        <v>-1.87</v>
      </c>
      <c r="H619" s="11">
        <f>H618+G619</f>
        <v/>
      </c>
    </row>
    <row r="620">
      <c r="A620" s="9" t="n">
        <v>616</v>
      </c>
      <c r="B620" s="9" t="inlineStr">
        <is>
          <t>Meridian</t>
        </is>
      </c>
      <c r="C620" s="9" t="inlineStr">
        <is>
          <t>21/50 MA cross, 250-period confirm filter, VWAP</t>
        </is>
      </c>
      <c r="D620" s="9" t="inlineStr">
        <is>
          <t>Short</t>
        </is>
      </c>
      <c r="E620" s="10" t="n">
        <v>45042.76388888889</v>
      </c>
      <c r="F620" s="10" t="n">
        <v>45043.08333333334</v>
      </c>
      <c r="G620" s="11" t="n">
        <v>5.54</v>
      </c>
      <c r="H620" s="11">
        <f>H619+G620</f>
        <v/>
      </c>
    </row>
    <row r="621">
      <c r="A621" s="9" t="n">
        <v>617</v>
      </c>
      <c r="B621" s="9" t="inlineStr">
        <is>
          <t>Ratchet</t>
        </is>
      </c>
      <c r="C621" s="9" t="inlineStr">
        <is>
          <t>Stochastic scalp with give-back trail exit</t>
        </is>
      </c>
      <c r="D621" s="9" t="inlineStr">
        <is>
          <t>Long</t>
        </is>
      </c>
      <c r="E621" s="10" t="n">
        <v>45043.36458333334</v>
      </c>
      <c r="F621" s="10" t="n">
        <v>45043.36805555555</v>
      </c>
      <c r="G621" s="11" t="n">
        <v>-2.14</v>
      </c>
      <c r="H621" s="11">
        <f>H620+G621</f>
        <v/>
      </c>
    </row>
    <row r="622">
      <c r="A622" s="9" t="n">
        <v>618</v>
      </c>
      <c r="B622" s="9" t="inlineStr">
        <is>
          <t>Ratchet</t>
        </is>
      </c>
      <c r="C622" s="9" t="inlineStr">
        <is>
          <t>Stochastic scalp with give-back trail exit</t>
        </is>
      </c>
      <c r="D622" s="9" t="inlineStr">
        <is>
          <t>Long</t>
        </is>
      </c>
      <c r="E622" s="10" t="n">
        <v>45043.40625</v>
      </c>
      <c r="F622" s="10" t="n">
        <v>45043.41319444445</v>
      </c>
      <c r="G622" s="11" t="n">
        <v>0</v>
      </c>
      <c r="H622" s="11">
        <f>H621+G622</f>
        <v/>
      </c>
    </row>
    <row r="623">
      <c r="A623" s="9" t="n">
        <v>619</v>
      </c>
      <c r="B623" s="9" t="inlineStr">
        <is>
          <t>Ratchet</t>
        </is>
      </c>
      <c r="C623" s="9" t="inlineStr">
        <is>
          <t>Stochastic scalp with give-back trail exit</t>
        </is>
      </c>
      <c r="D623" s="9" t="inlineStr">
        <is>
          <t>Long</t>
        </is>
      </c>
      <c r="E623" s="10" t="n">
        <v>45043.59027777778</v>
      </c>
      <c r="F623" s="10" t="n">
        <v>45043.60069444445</v>
      </c>
      <c r="G623" s="11" t="n">
        <v>-1.7</v>
      </c>
      <c r="H623" s="11">
        <f>H622+G623</f>
        <v/>
      </c>
    </row>
    <row r="624">
      <c r="A624" s="9" t="n">
        <v>620</v>
      </c>
      <c r="B624" s="9" t="inlineStr">
        <is>
          <t>Meridian</t>
        </is>
      </c>
      <c r="C624" s="9" t="inlineStr">
        <is>
          <t>21/50 MA cross, 250-period confirm filter, VWAP</t>
        </is>
      </c>
      <c r="D624" s="9" t="inlineStr">
        <is>
          <t>Long</t>
        </is>
      </c>
      <c r="E624" s="10" t="n">
        <v>45043.56944444445</v>
      </c>
      <c r="F624" s="10" t="n">
        <v>45043.60763888889</v>
      </c>
      <c r="G624" s="11" t="n">
        <v>-2.86</v>
      </c>
      <c r="H624" s="11">
        <f>H623+G624</f>
        <v/>
      </c>
    </row>
    <row r="625">
      <c r="A625" s="9" t="n">
        <v>621</v>
      </c>
      <c r="B625" s="9" t="inlineStr">
        <is>
          <t>Ratchet</t>
        </is>
      </c>
      <c r="C625" s="9" t="inlineStr">
        <is>
          <t>Stochastic scalp with give-back trail exit</t>
        </is>
      </c>
      <c r="D625" s="9" t="inlineStr">
        <is>
          <t>Short</t>
        </is>
      </c>
      <c r="E625" s="10" t="n">
        <v>45043.71180555555</v>
      </c>
      <c r="F625" s="10" t="n">
        <v>45043.72916666666</v>
      </c>
      <c r="G625" s="11" t="n">
        <v>-0</v>
      </c>
      <c r="H625" s="11">
        <f>H624+G625</f>
        <v/>
      </c>
    </row>
    <row r="626">
      <c r="A626" s="9" t="n">
        <v>622</v>
      </c>
      <c r="B626" s="9" t="inlineStr">
        <is>
          <t>Ratchet</t>
        </is>
      </c>
      <c r="C626" s="9" t="inlineStr">
        <is>
          <t>Stochastic scalp with give-back trail exit</t>
        </is>
      </c>
      <c r="D626" s="9" t="inlineStr">
        <is>
          <t>Short</t>
        </is>
      </c>
      <c r="E626" s="10" t="n">
        <v>45043.73263888889</v>
      </c>
      <c r="F626" s="10" t="n">
        <v>45043.84027777778</v>
      </c>
      <c r="G626" s="11" t="n">
        <v>-6.44</v>
      </c>
      <c r="H626" s="11">
        <f>H625+G626</f>
        <v/>
      </c>
    </row>
    <row r="627">
      <c r="A627" s="9" t="n">
        <v>623</v>
      </c>
      <c r="B627" s="9" t="inlineStr">
        <is>
          <t>Ratchet</t>
        </is>
      </c>
      <c r="C627" s="9" t="inlineStr">
        <is>
          <t>Stochastic scalp with give-back trail exit</t>
        </is>
      </c>
      <c r="D627" s="9" t="inlineStr">
        <is>
          <t>Short</t>
        </is>
      </c>
      <c r="E627" s="10" t="n">
        <v>45044.07291666666</v>
      </c>
      <c r="F627" s="10" t="n">
        <v>45044.08333333334</v>
      </c>
      <c r="G627" s="11" t="n">
        <v>0.08</v>
      </c>
      <c r="H627" s="11">
        <f>H626+G627</f>
        <v/>
      </c>
    </row>
    <row r="628">
      <c r="A628" s="9" t="n">
        <v>624</v>
      </c>
      <c r="B628" s="9" t="inlineStr">
        <is>
          <t>Meridian</t>
        </is>
      </c>
      <c r="C628" s="9" t="inlineStr">
        <is>
          <t>21/50 MA cross, 250-period confirm filter, VWAP</t>
        </is>
      </c>
      <c r="D628" s="9" t="inlineStr">
        <is>
          <t>Short</t>
        </is>
      </c>
      <c r="E628" s="10" t="n">
        <v>45044.07291666666</v>
      </c>
      <c r="F628" s="10" t="n">
        <v>45044.1875</v>
      </c>
      <c r="G628" s="11" t="n">
        <v>-1.44</v>
      </c>
      <c r="H628" s="11">
        <f>H627+G628</f>
        <v/>
      </c>
    </row>
    <row r="629">
      <c r="A629" s="9" t="n">
        <v>625</v>
      </c>
      <c r="B629" s="9" t="inlineStr">
        <is>
          <t>Aurelius_M5</t>
        </is>
      </c>
      <c r="C629" s="9" t="inlineStr">
        <is>
          <t>MA alignment (EMA21&gt;EMA50&gt;SMA250&gt;SMMA500 vs EMA2400 trend filter)</t>
        </is>
      </c>
      <c r="D629" s="9" t="inlineStr">
        <is>
          <t>Short</t>
        </is>
      </c>
      <c r="E629" s="10" t="n">
        <v>45044.16319444445</v>
      </c>
      <c r="F629" s="10" t="n">
        <v>45044.1875</v>
      </c>
      <c r="G629" s="11" t="n">
        <v>-1.75</v>
      </c>
      <c r="H629" s="11">
        <f>H628+G629</f>
        <v/>
      </c>
    </row>
    <row r="630">
      <c r="A630" s="9" t="n">
        <v>626</v>
      </c>
      <c r="B630" s="9" t="inlineStr">
        <is>
          <t>Ratchet</t>
        </is>
      </c>
      <c r="C630" s="9" t="inlineStr">
        <is>
          <t>Stochastic scalp with give-back trail exit</t>
        </is>
      </c>
      <c r="D630" s="9" t="inlineStr">
        <is>
          <t>Short</t>
        </is>
      </c>
      <c r="E630" s="10" t="n">
        <v>45044.17708333334</v>
      </c>
      <c r="F630" s="10" t="n">
        <v>45044.1875</v>
      </c>
      <c r="G630" s="11" t="n">
        <v>-1.38</v>
      </c>
      <c r="H630" s="11">
        <f>H629+G630</f>
        <v/>
      </c>
    </row>
    <row r="631">
      <c r="A631" s="9" t="n">
        <v>627</v>
      </c>
      <c r="B631" s="9" t="inlineStr">
        <is>
          <t>Aurelius_M5</t>
        </is>
      </c>
      <c r="C631" s="9" t="inlineStr">
        <is>
          <t>MA alignment (EMA21&gt;EMA50&gt;SMA250&gt;SMMA500 vs EMA2400 trend filter)</t>
        </is>
      </c>
      <c r="D631" s="9" t="inlineStr">
        <is>
          <t>Short</t>
        </is>
      </c>
      <c r="E631" s="10" t="n">
        <v>45044.34027777778</v>
      </c>
      <c r="F631" s="10" t="n">
        <v>45044.35416666666</v>
      </c>
      <c r="G631" s="11" t="n">
        <v>-2.81</v>
      </c>
      <c r="H631" s="11">
        <f>H630+G631</f>
        <v/>
      </c>
    </row>
    <row r="632">
      <c r="A632" s="9" t="n">
        <v>628</v>
      </c>
      <c r="B632" s="9" t="inlineStr">
        <is>
          <t>Vanguard_M15</t>
        </is>
      </c>
      <c r="C632" s="9" t="inlineStr">
        <is>
          <t>Trendline breakout (fractal swing line) + VWAP/S-R distance gate - M15 chart</t>
        </is>
      </c>
      <c r="D632" s="9" t="inlineStr">
        <is>
          <t>Short</t>
        </is>
      </c>
      <c r="E632" s="10" t="n">
        <v>45043.65625</v>
      </c>
      <c r="F632" s="10" t="n">
        <v>45044.54166666666</v>
      </c>
      <c r="G632" s="11" t="n">
        <v>-0.17</v>
      </c>
      <c r="H632" s="11">
        <f>H631+G632</f>
        <v/>
      </c>
    </row>
    <row r="633">
      <c r="A633" s="9" t="n">
        <v>629</v>
      </c>
      <c r="B633" s="9" t="inlineStr">
        <is>
          <t>Vanguard_M5</t>
        </is>
      </c>
      <c r="C633" s="9" t="inlineStr">
        <is>
          <t>Trendline breakout (fractal swing line) + VWAP/S-R distance gate</t>
        </is>
      </c>
      <c r="D633" s="9" t="inlineStr">
        <is>
          <t>Short</t>
        </is>
      </c>
      <c r="E633" s="10" t="n">
        <v>45043.65625</v>
      </c>
      <c r="F633" s="10" t="n">
        <v>45044.54861111111</v>
      </c>
      <c r="G633" s="11" t="n">
        <v>-0.17</v>
      </c>
      <c r="H633" s="11">
        <f>H632+G633</f>
        <v/>
      </c>
    </row>
    <row r="634">
      <c r="A634" s="9" t="n">
        <v>630</v>
      </c>
      <c r="B634" s="9" t="inlineStr">
        <is>
          <t>Ratchet</t>
        </is>
      </c>
      <c r="C634" s="9" t="inlineStr">
        <is>
          <t>Stochastic scalp with give-back trail exit</t>
        </is>
      </c>
      <c r="D634" s="9" t="inlineStr">
        <is>
          <t>Short</t>
        </is>
      </c>
      <c r="E634" s="10" t="n">
        <v>45044.47916666666</v>
      </c>
      <c r="F634" s="10" t="n">
        <v>45044.55555555555</v>
      </c>
      <c r="G634" s="11" t="n">
        <v>-2.72</v>
      </c>
      <c r="H634" s="11">
        <f>H633+G634</f>
        <v/>
      </c>
    </row>
    <row r="635">
      <c r="A635" s="9" t="n">
        <v>631</v>
      </c>
      <c r="B635" s="9" t="inlineStr">
        <is>
          <t>Ratchet</t>
        </is>
      </c>
      <c r="C635" s="9" t="inlineStr">
        <is>
          <t>Stochastic scalp with give-back trail exit</t>
        </is>
      </c>
      <c r="D635" s="9" t="inlineStr">
        <is>
          <t>Short</t>
        </is>
      </c>
      <c r="E635" s="10" t="n">
        <v>45044.65277777778</v>
      </c>
      <c r="F635" s="10" t="n">
        <v>45044.65625</v>
      </c>
      <c r="G635" s="11" t="n">
        <v>-0</v>
      </c>
      <c r="H635" s="11">
        <f>H634+G635</f>
        <v/>
      </c>
    </row>
    <row r="636">
      <c r="A636" s="9" t="n">
        <v>632</v>
      </c>
      <c r="B636" s="9" t="inlineStr">
        <is>
          <t>Meridian</t>
        </is>
      </c>
      <c r="C636" s="9" t="inlineStr">
        <is>
          <t>21/50 MA cross, 250-period confirm filter, VWAP</t>
        </is>
      </c>
      <c r="D636" s="9" t="inlineStr">
        <is>
          <t>Short</t>
        </is>
      </c>
      <c r="E636" s="10" t="n">
        <v>45044.3125</v>
      </c>
      <c r="F636" s="10" t="n">
        <v>45044.68402777778</v>
      </c>
      <c r="G636" s="11" t="n">
        <v>1.19</v>
      </c>
      <c r="H636" s="11">
        <f>H635+G636</f>
        <v/>
      </c>
    </row>
    <row r="637">
      <c r="A637" s="9" t="n">
        <v>633</v>
      </c>
      <c r="B637" s="9" t="inlineStr">
        <is>
          <t>Aurelius_M5</t>
        </is>
      </c>
      <c r="C637" s="9" t="inlineStr">
        <is>
          <t>MA alignment (EMA21&gt;EMA50&gt;SMA250&gt;SMMA500 vs EMA2400 trend filter)</t>
        </is>
      </c>
      <c r="D637" s="9" t="inlineStr">
        <is>
          <t>Short</t>
        </is>
      </c>
      <c r="E637" s="10" t="n">
        <v>45044.37152777778</v>
      </c>
      <c r="F637" s="10" t="n">
        <v>45044.68402777778</v>
      </c>
      <c r="G637" s="11" t="n">
        <v>-1.89</v>
      </c>
      <c r="H637" s="11">
        <f>H636+G637</f>
        <v/>
      </c>
    </row>
    <row r="638">
      <c r="A638" s="9" t="n">
        <v>634</v>
      </c>
      <c r="B638" s="9" t="inlineStr">
        <is>
          <t>Aurelius_M15</t>
        </is>
      </c>
      <c r="C638" s="9" t="inlineStr">
        <is>
          <t>MA alignment (EMA21&gt;EMA50&gt;SMA250&gt;SMMA500 vs EMA2400 trend filter) - M15 chart</t>
        </is>
      </c>
      <c r="D638" s="9" t="inlineStr">
        <is>
          <t>Short</t>
        </is>
      </c>
      <c r="E638" s="10" t="n">
        <v>45044.41666666666</v>
      </c>
      <c r="F638" s="10" t="n">
        <v>45044.72916666666</v>
      </c>
      <c r="G638" s="11" t="n">
        <v>-5.32</v>
      </c>
      <c r="H638" s="11">
        <f>H637+G638</f>
        <v/>
      </c>
    </row>
    <row r="639">
      <c r="A639" s="9" t="n">
        <v>635</v>
      </c>
      <c r="B639" s="9" t="inlineStr">
        <is>
          <t>Ratchet</t>
        </is>
      </c>
      <c r="C639" s="9" t="inlineStr">
        <is>
          <t>Stochastic scalp with give-back trail exit</t>
        </is>
      </c>
      <c r="D639" s="9" t="inlineStr">
        <is>
          <t>Short</t>
        </is>
      </c>
      <c r="E639" s="10" t="n">
        <v>45047.28125</v>
      </c>
      <c r="F639" s="10" t="n">
        <v>45047.28819444445</v>
      </c>
      <c r="G639" s="11" t="n">
        <v>-1.32</v>
      </c>
      <c r="H639" s="11">
        <f>H638+G639</f>
        <v/>
      </c>
    </row>
    <row r="640">
      <c r="A640" s="9" t="n">
        <v>636</v>
      </c>
      <c r="B640" s="9" t="inlineStr">
        <is>
          <t>Ratchet</t>
        </is>
      </c>
      <c r="C640" s="9" t="inlineStr">
        <is>
          <t>Stochastic scalp with give-back trail exit</t>
        </is>
      </c>
      <c r="D640" s="9" t="inlineStr">
        <is>
          <t>Short</t>
        </is>
      </c>
      <c r="E640" s="10" t="n">
        <v>45047.34375</v>
      </c>
      <c r="F640" s="10" t="n">
        <v>45047.36111111111</v>
      </c>
      <c r="G640" s="11" t="n">
        <v>0.5</v>
      </c>
      <c r="H640" s="11">
        <f>H639+G640</f>
        <v/>
      </c>
    </row>
    <row r="641">
      <c r="A641" s="9" t="n">
        <v>637</v>
      </c>
      <c r="B641" s="9" t="inlineStr">
        <is>
          <t>Ratchet</t>
        </is>
      </c>
      <c r="C641" s="9" t="inlineStr">
        <is>
          <t>Stochastic scalp with give-back trail exit</t>
        </is>
      </c>
      <c r="D641" s="9" t="inlineStr">
        <is>
          <t>Short</t>
        </is>
      </c>
      <c r="E641" s="10" t="n">
        <v>45047.36805555555</v>
      </c>
      <c r="F641" s="10" t="n">
        <v>45047.38194444445</v>
      </c>
      <c r="G641" s="11" t="n">
        <v>0.23</v>
      </c>
      <c r="H641" s="11">
        <f>H640+G641</f>
        <v/>
      </c>
    </row>
    <row r="642">
      <c r="A642" s="9" t="n">
        <v>638</v>
      </c>
      <c r="B642" s="9" t="inlineStr">
        <is>
          <t>Vanguard_M5</t>
        </is>
      </c>
      <c r="C642" s="9" t="inlineStr">
        <is>
          <t>Trendline breakout (fractal swing line) + VWAP/S-R distance gate</t>
        </is>
      </c>
      <c r="D642" s="9" t="inlineStr">
        <is>
          <t>Short</t>
        </is>
      </c>
      <c r="E642" s="10" t="n">
        <v>45047.49652777778</v>
      </c>
      <c r="F642" s="10" t="n">
        <v>45047.51041666666</v>
      </c>
      <c r="G642" s="11" t="n">
        <v>-4.13</v>
      </c>
      <c r="H642" s="11">
        <f>H641+G642</f>
        <v/>
      </c>
    </row>
    <row r="643">
      <c r="A643" s="9" t="n">
        <v>639</v>
      </c>
      <c r="B643" s="9" t="inlineStr">
        <is>
          <t>Vanguard_M15</t>
        </is>
      </c>
      <c r="C643" s="9" t="inlineStr">
        <is>
          <t>Trendline breakout (fractal swing line) + VWAP/S-R distance gate - M15 chart</t>
        </is>
      </c>
      <c r="D643" s="9" t="inlineStr">
        <is>
          <t>Short</t>
        </is>
      </c>
      <c r="E643" s="10" t="n">
        <v>45047.5</v>
      </c>
      <c r="F643" s="10" t="n">
        <v>45047.51041666666</v>
      </c>
      <c r="G643" s="11" t="n">
        <v>-4.84</v>
      </c>
      <c r="H643" s="11">
        <f>H642+G643</f>
        <v/>
      </c>
    </row>
    <row r="644">
      <c r="A644" s="9" t="n">
        <v>640</v>
      </c>
      <c r="B644" s="9" t="inlineStr">
        <is>
          <t>Ratchet</t>
        </is>
      </c>
      <c r="C644" s="9" t="inlineStr">
        <is>
          <t>Stochastic scalp with give-back trail exit</t>
        </is>
      </c>
      <c r="D644" s="9" t="inlineStr">
        <is>
          <t>Long</t>
        </is>
      </c>
      <c r="E644" s="10" t="n">
        <v>45047.67708333334</v>
      </c>
      <c r="F644" s="10" t="n">
        <v>45047.69097222222</v>
      </c>
      <c r="G644" s="11" t="n">
        <v>-5.29</v>
      </c>
      <c r="H644" s="11">
        <f>H643+G644</f>
        <v/>
      </c>
    </row>
    <row r="645">
      <c r="A645" s="9" t="n">
        <v>641</v>
      </c>
      <c r="B645" s="9" t="inlineStr">
        <is>
          <t>Meridian</t>
        </is>
      </c>
      <c r="C645" s="9" t="inlineStr">
        <is>
          <t>21/50 MA cross, 250-period confirm filter, VWAP</t>
        </is>
      </c>
      <c r="D645" s="9" t="inlineStr">
        <is>
          <t>Short</t>
        </is>
      </c>
      <c r="E645" s="10" t="n">
        <v>45047.73958333334</v>
      </c>
      <c r="F645" s="10" t="n">
        <v>45048.10416666666</v>
      </c>
      <c r="G645" s="11" t="n">
        <v>2.54</v>
      </c>
      <c r="H645" s="11">
        <f>H644+G645</f>
        <v/>
      </c>
    </row>
    <row r="646">
      <c r="A646" s="9" t="n">
        <v>642</v>
      </c>
      <c r="B646" s="9" t="inlineStr">
        <is>
          <t>Meridian</t>
        </is>
      </c>
      <c r="C646" s="9" t="inlineStr">
        <is>
          <t>21/50 MA cross, 250-period confirm filter, VWAP</t>
        </is>
      </c>
      <c r="D646" s="9" t="inlineStr">
        <is>
          <t>Short</t>
        </is>
      </c>
      <c r="E646" s="10" t="n">
        <v>45048.11805555555</v>
      </c>
      <c r="F646" s="10" t="n">
        <v>45048.13194444445</v>
      </c>
      <c r="G646" s="11" t="n">
        <v>-1.39</v>
      </c>
      <c r="H646" s="11">
        <f>H645+G646</f>
        <v/>
      </c>
    </row>
    <row r="647">
      <c r="A647" s="9" t="n">
        <v>643</v>
      </c>
      <c r="B647" s="9" t="inlineStr">
        <is>
          <t>Ratchet</t>
        </is>
      </c>
      <c r="C647" s="9" t="inlineStr">
        <is>
          <t>Stochastic scalp with give-back trail exit</t>
        </is>
      </c>
      <c r="D647" s="9" t="inlineStr">
        <is>
          <t>Short</t>
        </is>
      </c>
      <c r="E647" s="10" t="n">
        <v>45048.27083333334</v>
      </c>
      <c r="F647" s="10" t="n">
        <v>45048.27777777778</v>
      </c>
      <c r="G647" s="11" t="n">
        <v>-0</v>
      </c>
      <c r="H647" s="11">
        <f>H646+G647</f>
        <v/>
      </c>
    </row>
    <row r="648">
      <c r="A648" s="9" t="n">
        <v>644</v>
      </c>
      <c r="B648" s="9" t="inlineStr">
        <is>
          <t>Ratchet</t>
        </is>
      </c>
      <c r="C648" s="9" t="inlineStr">
        <is>
          <t>Stochastic scalp with give-back trail exit</t>
        </is>
      </c>
      <c r="D648" s="9" t="inlineStr">
        <is>
          <t>Short</t>
        </is>
      </c>
      <c r="E648" s="10" t="n">
        <v>45048.3125</v>
      </c>
      <c r="F648" s="10" t="n">
        <v>45048.3125</v>
      </c>
      <c r="G648" s="11" t="n">
        <v>-0.98</v>
      </c>
      <c r="H648" s="11">
        <f>H647+G648</f>
        <v/>
      </c>
    </row>
    <row r="649">
      <c r="A649" s="9" t="n">
        <v>645</v>
      </c>
      <c r="B649" s="9" t="inlineStr">
        <is>
          <t>Aurelius_M5</t>
        </is>
      </c>
      <c r="C649" s="9" t="inlineStr">
        <is>
          <t>MA alignment (EMA21&gt;EMA50&gt;SMA250&gt;SMMA500 vs EMA2400 trend filter)</t>
        </is>
      </c>
      <c r="D649" s="9" t="inlineStr">
        <is>
          <t>Short</t>
        </is>
      </c>
      <c r="E649" s="10" t="n">
        <v>45048.31597222222</v>
      </c>
      <c r="F649" s="10" t="n">
        <v>45048.35069444445</v>
      </c>
      <c r="G649" s="11" t="n">
        <v>-1.8</v>
      </c>
      <c r="H649" s="11">
        <f>H648+G649</f>
        <v/>
      </c>
    </row>
    <row r="650">
      <c r="A650" s="9" t="n">
        <v>646</v>
      </c>
      <c r="B650" s="9" t="inlineStr">
        <is>
          <t>Meridian</t>
        </is>
      </c>
      <c r="C650" s="9" t="inlineStr">
        <is>
          <t>21/50 MA cross, 250-period confirm filter, VWAP</t>
        </is>
      </c>
      <c r="D650" s="9" t="inlineStr">
        <is>
          <t>Short</t>
        </is>
      </c>
      <c r="E650" s="10" t="n">
        <v>45048.26736111111</v>
      </c>
      <c r="F650" s="10" t="n">
        <v>45048.35763888889</v>
      </c>
      <c r="G650" s="11" t="n">
        <v>-1.77</v>
      </c>
      <c r="H650" s="11">
        <f>H649+G650</f>
        <v/>
      </c>
    </row>
    <row r="651">
      <c r="A651" s="9" t="n">
        <v>647</v>
      </c>
      <c r="B651" s="9" t="inlineStr">
        <is>
          <t>Meridian</t>
        </is>
      </c>
      <c r="C651" s="9" t="inlineStr">
        <is>
          <t>21/50 MA cross, 250-period confirm filter, VWAP</t>
        </is>
      </c>
      <c r="D651" s="9" t="inlineStr">
        <is>
          <t>Short</t>
        </is>
      </c>
      <c r="E651" s="10" t="n">
        <v>45048.45138888889</v>
      </c>
      <c r="F651" s="10" t="n">
        <v>45048.52777777778</v>
      </c>
      <c r="G651" s="11" t="n">
        <v>-2.69</v>
      </c>
      <c r="H651" s="11">
        <f>H650+G651</f>
        <v/>
      </c>
    </row>
    <row r="652">
      <c r="A652" s="9" t="n">
        <v>648</v>
      </c>
      <c r="B652" s="9" t="inlineStr">
        <is>
          <t>Aurelius_M5</t>
        </is>
      </c>
      <c r="C652" s="9" t="inlineStr">
        <is>
          <t>MA alignment (EMA21&gt;EMA50&gt;SMA250&gt;SMMA500 vs EMA2400 trend filter)</t>
        </is>
      </c>
      <c r="D652" s="9" t="inlineStr">
        <is>
          <t>Short</t>
        </is>
      </c>
      <c r="E652" s="10" t="n">
        <v>45048.47569444445</v>
      </c>
      <c r="F652" s="10" t="n">
        <v>45048.52777777778</v>
      </c>
      <c r="G652" s="11" t="n">
        <v>-3.25</v>
      </c>
      <c r="H652" s="11">
        <f>H651+G652</f>
        <v/>
      </c>
    </row>
    <row r="653">
      <c r="A653" s="9" t="n">
        <v>649</v>
      </c>
      <c r="B653" s="9" t="inlineStr">
        <is>
          <t>Vanguard_M5</t>
        </is>
      </c>
      <c r="C653" s="9" t="inlineStr">
        <is>
          <t>Trendline breakout (fractal swing line) + VWAP/S-R distance gate</t>
        </is>
      </c>
      <c r="D653" s="9" t="inlineStr">
        <is>
          <t>Short</t>
        </is>
      </c>
      <c r="E653" s="10" t="n">
        <v>45048.45138888889</v>
      </c>
      <c r="F653" s="10" t="n">
        <v>45048.53125</v>
      </c>
      <c r="G653" s="11" t="n">
        <v>-4.31</v>
      </c>
      <c r="H653" s="11">
        <f>H652+G653</f>
        <v/>
      </c>
    </row>
    <row r="654">
      <c r="A654" s="9" t="n">
        <v>650</v>
      </c>
      <c r="B654" s="9" t="inlineStr">
        <is>
          <t>Vanguard_M15</t>
        </is>
      </c>
      <c r="C654" s="9" t="inlineStr">
        <is>
          <t>Trendline breakout (fractal swing line) + VWAP/S-R distance gate - M15 chart</t>
        </is>
      </c>
      <c r="D654" s="9" t="inlineStr">
        <is>
          <t>Short</t>
        </is>
      </c>
      <c r="E654" s="10" t="n">
        <v>45048.45833333334</v>
      </c>
      <c r="F654" s="10" t="n">
        <v>45048.53125</v>
      </c>
      <c r="G654" s="11" t="n">
        <v>-4.87</v>
      </c>
      <c r="H654" s="11">
        <f>H653+G654</f>
        <v/>
      </c>
    </row>
    <row r="655">
      <c r="A655" s="9" t="n">
        <v>651</v>
      </c>
      <c r="B655" s="9" t="inlineStr">
        <is>
          <t>Aurelius_M15</t>
        </is>
      </c>
      <c r="C655" s="9" t="inlineStr">
        <is>
          <t>MA alignment (EMA21&gt;EMA50&gt;SMA250&gt;SMMA500 vs EMA2400 trend filter) - M15 chart</t>
        </is>
      </c>
      <c r="D655" s="9" t="inlineStr">
        <is>
          <t>Short</t>
        </is>
      </c>
      <c r="E655" s="10" t="n">
        <v>45048.46875</v>
      </c>
      <c r="F655" s="10" t="n">
        <v>45048.53125</v>
      </c>
      <c r="G655" s="11" t="n">
        <v>-4.31</v>
      </c>
      <c r="H655" s="11">
        <f>H654+G655</f>
        <v/>
      </c>
    </row>
    <row r="656">
      <c r="A656" s="9" t="n">
        <v>652</v>
      </c>
      <c r="B656" s="9" t="inlineStr">
        <is>
          <t>Ratchet</t>
        </is>
      </c>
      <c r="C656" s="9" t="inlineStr">
        <is>
          <t>Stochastic scalp with give-back trail exit</t>
        </is>
      </c>
      <c r="D656" s="9" t="inlineStr">
        <is>
          <t>Long</t>
        </is>
      </c>
      <c r="E656" s="10" t="n">
        <v>45049.14930555555</v>
      </c>
      <c r="F656" s="10" t="n">
        <v>45049.17361111111</v>
      </c>
      <c r="G656" s="11" t="n">
        <v>0</v>
      </c>
      <c r="H656" s="11">
        <f>H655+G656</f>
        <v/>
      </c>
    </row>
    <row r="657">
      <c r="A657" s="9" t="n">
        <v>653</v>
      </c>
      <c r="B657" s="9" t="inlineStr">
        <is>
          <t>Ratchet</t>
        </is>
      </c>
      <c r="C657" s="9" t="inlineStr">
        <is>
          <t>Stochastic scalp with give-back trail exit</t>
        </is>
      </c>
      <c r="D657" s="9" t="inlineStr">
        <is>
          <t>Long</t>
        </is>
      </c>
      <c r="E657" s="10" t="n">
        <v>45049.17708333334</v>
      </c>
      <c r="F657" s="10" t="n">
        <v>45049.1875</v>
      </c>
      <c r="G657" s="11" t="n">
        <v>0.24</v>
      </c>
      <c r="H657" s="11">
        <f>H656+G657</f>
        <v/>
      </c>
    </row>
    <row r="658">
      <c r="A658" s="9" t="n">
        <v>654</v>
      </c>
      <c r="B658" s="9" t="inlineStr">
        <is>
          <t>Ratchet</t>
        </is>
      </c>
      <c r="C658" s="9" t="inlineStr">
        <is>
          <t>Stochastic scalp with give-back trail exit</t>
        </is>
      </c>
      <c r="D658" s="9" t="inlineStr">
        <is>
          <t>Long</t>
        </is>
      </c>
      <c r="E658" s="10" t="n">
        <v>45049.26041666666</v>
      </c>
      <c r="F658" s="10" t="n">
        <v>45049.29166666666</v>
      </c>
      <c r="G658" s="11" t="n">
        <v>0.14</v>
      </c>
      <c r="H658" s="11">
        <f>H657+G658</f>
        <v/>
      </c>
    </row>
    <row r="659">
      <c r="A659" s="9" t="n">
        <v>655</v>
      </c>
      <c r="B659" s="9" t="inlineStr">
        <is>
          <t>Meridian</t>
        </is>
      </c>
      <c r="C659" s="9" t="inlineStr">
        <is>
          <t>21/50 MA cross, 250-period confirm filter, VWAP</t>
        </is>
      </c>
      <c r="D659" s="9" t="inlineStr">
        <is>
          <t>Long</t>
        </is>
      </c>
      <c r="E659" s="10" t="n">
        <v>45048.53472222222</v>
      </c>
      <c r="F659" s="10" t="n">
        <v>45049.34027777778</v>
      </c>
      <c r="G659" s="11" t="n">
        <v>31.18</v>
      </c>
      <c r="H659" s="11">
        <f>H658+G659</f>
        <v/>
      </c>
    </row>
    <row r="660">
      <c r="A660" s="9" t="n">
        <v>656</v>
      </c>
      <c r="B660" s="9" t="inlineStr">
        <is>
          <t>Meridian</t>
        </is>
      </c>
      <c r="C660" s="9" t="inlineStr">
        <is>
          <t>21/50 MA cross, 250-period confirm filter, VWAP</t>
        </is>
      </c>
      <c r="D660" s="9" t="inlineStr">
        <is>
          <t>Long</t>
        </is>
      </c>
      <c r="E660" s="10" t="n">
        <v>45049.42013888889</v>
      </c>
      <c r="F660" s="10" t="n">
        <v>45049.43402777778</v>
      </c>
      <c r="G660" s="11" t="n">
        <v>-2.32</v>
      </c>
      <c r="H660" s="11">
        <f>H659+G660</f>
        <v/>
      </c>
    </row>
    <row r="661">
      <c r="A661" s="9" t="n">
        <v>657</v>
      </c>
      <c r="B661" s="9" t="inlineStr">
        <is>
          <t>Ratchet</t>
        </is>
      </c>
      <c r="C661" s="9" t="inlineStr">
        <is>
          <t>Stochastic scalp with give-back trail exit</t>
        </is>
      </c>
      <c r="D661" s="9" t="inlineStr">
        <is>
          <t>Long</t>
        </is>
      </c>
      <c r="E661" s="10" t="n">
        <v>45049.52430555555</v>
      </c>
      <c r="F661" s="10" t="n">
        <v>45049.60416666666</v>
      </c>
      <c r="G661" s="11" t="n">
        <v>-1.78</v>
      </c>
      <c r="H661" s="11">
        <f>H660+G661</f>
        <v/>
      </c>
    </row>
    <row r="662">
      <c r="A662" s="9" t="n">
        <v>658</v>
      </c>
      <c r="B662" s="9" t="inlineStr">
        <is>
          <t>Meridian</t>
        </is>
      </c>
      <c r="C662" s="9" t="inlineStr">
        <is>
          <t>21/50 MA cross, 250-period confirm filter, VWAP</t>
        </is>
      </c>
      <c r="D662" s="9" t="inlineStr">
        <is>
          <t>Long</t>
        </is>
      </c>
      <c r="E662" s="10" t="n">
        <v>45049.52430555555</v>
      </c>
      <c r="F662" s="10" t="n">
        <v>45049.60763888889</v>
      </c>
      <c r="G662" s="11" t="n">
        <v>-2.11</v>
      </c>
      <c r="H662" s="11">
        <f>H661+G662</f>
        <v/>
      </c>
    </row>
    <row r="663">
      <c r="A663" s="9" t="n">
        <v>659</v>
      </c>
      <c r="B663" s="9" t="inlineStr">
        <is>
          <t>Ratchet</t>
        </is>
      </c>
      <c r="C663" s="9" t="inlineStr">
        <is>
          <t>Stochastic scalp with give-back trail exit</t>
        </is>
      </c>
      <c r="D663" s="9" t="inlineStr">
        <is>
          <t>Long</t>
        </is>
      </c>
      <c r="E663" s="10" t="n">
        <v>45049.69791666666</v>
      </c>
      <c r="F663" s="10" t="n">
        <v>45049.70486111111</v>
      </c>
      <c r="G663" s="11" t="n">
        <v>-3.73</v>
      </c>
      <c r="H663" s="11">
        <f>H662+G663</f>
        <v/>
      </c>
    </row>
    <row r="664">
      <c r="A664" s="9" t="n">
        <v>660</v>
      </c>
      <c r="B664" s="9" t="inlineStr">
        <is>
          <t>Meridian</t>
        </is>
      </c>
      <c r="C664" s="9" t="inlineStr">
        <is>
          <t>21/50 MA cross, 250-period confirm filter, VWAP</t>
        </is>
      </c>
      <c r="D664" s="9" t="inlineStr">
        <is>
          <t>Long</t>
        </is>
      </c>
      <c r="E664" s="10" t="n">
        <v>45049.69791666666</v>
      </c>
      <c r="F664" s="10" t="n">
        <v>45049.71875</v>
      </c>
      <c r="G664" s="11" t="n">
        <v>-5.09</v>
      </c>
      <c r="H664" s="11">
        <f>H663+G664</f>
        <v/>
      </c>
    </row>
    <row r="665">
      <c r="A665" s="9" t="n">
        <v>661</v>
      </c>
      <c r="B665" s="9" t="inlineStr">
        <is>
          <t>Ratchet</t>
        </is>
      </c>
      <c r="C665" s="9" t="inlineStr">
        <is>
          <t>Stochastic scalp with give-back trail exit</t>
        </is>
      </c>
      <c r="D665" s="9" t="inlineStr">
        <is>
          <t>Long</t>
        </is>
      </c>
      <c r="E665" s="10" t="n">
        <v>45049.74305555555</v>
      </c>
      <c r="F665" s="10" t="n">
        <v>45049.88194444445</v>
      </c>
      <c r="G665" s="11" t="n">
        <v>2.97</v>
      </c>
      <c r="H665" s="11">
        <f>H664+G665</f>
        <v/>
      </c>
    </row>
    <row r="666">
      <c r="A666" s="9" t="n">
        <v>662</v>
      </c>
      <c r="B666" s="9" t="inlineStr">
        <is>
          <t>Aurelius_M5</t>
        </is>
      </c>
      <c r="C666" s="9" t="inlineStr">
        <is>
          <t>MA alignment (EMA21&gt;EMA50&gt;SMA250&gt;SMMA500 vs EMA2400 trend filter)</t>
        </is>
      </c>
      <c r="D666" s="9" t="inlineStr">
        <is>
          <t>Long</t>
        </is>
      </c>
      <c r="E666" s="10" t="n">
        <v>45049.76388888889</v>
      </c>
      <c r="F666" s="10" t="n">
        <v>45049.89583333334</v>
      </c>
      <c r="G666" s="11" t="n">
        <v>-5.56</v>
      </c>
      <c r="H666" s="11">
        <f>H665+G666</f>
        <v/>
      </c>
    </row>
    <row r="667">
      <c r="A667" s="9" t="n">
        <v>663</v>
      </c>
      <c r="B667" s="9" t="inlineStr">
        <is>
          <t>Aurelius_M15</t>
        </is>
      </c>
      <c r="C667" s="9" t="inlineStr">
        <is>
          <t>MA alignment (EMA21&gt;EMA50&gt;SMA250&gt;SMMA500 vs EMA2400 trend filter) - M15 chart</t>
        </is>
      </c>
      <c r="D667" s="9" t="inlineStr">
        <is>
          <t>Long</t>
        </is>
      </c>
      <c r="E667" s="10" t="n">
        <v>45049.77083333334</v>
      </c>
      <c r="F667" s="10" t="n">
        <v>45049.89583333334</v>
      </c>
      <c r="G667" s="11" t="n">
        <v>-8.16</v>
      </c>
      <c r="H667" s="11">
        <f>H666+G667</f>
        <v/>
      </c>
    </row>
    <row r="668">
      <c r="A668" s="9" t="n">
        <v>664</v>
      </c>
      <c r="B668" s="9" t="inlineStr">
        <is>
          <t>Ratchet</t>
        </is>
      </c>
      <c r="C668" s="9" t="inlineStr">
        <is>
          <t>Stochastic scalp with give-back trail exit</t>
        </is>
      </c>
      <c r="D668" s="9" t="inlineStr">
        <is>
          <t>Long</t>
        </is>
      </c>
      <c r="E668" s="10" t="n">
        <v>45049.9375</v>
      </c>
      <c r="F668" s="10" t="n">
        <v>45049.99652777778</v>
      </c>
      <c r="G668" s="11" t="n">
        <v>13.25</v>
      </c>
      <c r="H668" s="11">
        <f>H667+G668</f>
        <v/>
      </c>
    </row>
    <row r="669">
      <c r="A669" s="9" t="n">
        <v>665</v>
      </c>
      <c r="B669" s="9" t="inlineStr">
        <is>
          <t>Meridian</t>
        </is>
      </c>
      <c r="C669" s="9" t="inlineStr">
        <is>
          <t>21/50 MA cross, 250-period confirm filter, VWAP</t>
        </is>
      </c>
      <c r="D669" s="9" t="inlineStr">
        <is>
          <t>Long</t>
        </is>
      </c>
      <c r="E669" s="10" t="n">
        <v>45049.73611111111</v>
      </c>
      <c r="F669" s="10" t="n">
        <v>45050.22916666666</v>
      </c>
      <c r="G669" s="11" t="n">
        <v>25.19</v>
      </c>
      <c r="H669" s="11">
        <f>H668+G669</f>
        <v/>
      </c>
    </row>
    <row r="670">
      <c r="A670" s="9" t="n">
        <v>666</v>
      </c>
      <c r="B670" s="9" t="inlineStr">
        <is>
          <t>Aurelius_M15</t>
        </is>
      </c>
      <c r="C670" s="9" t="inlineStr">
        <is>
          <t>MA alignment (EMA21&gt;EMA50&gt;SMA250&gt;SMMA500 vs EMA2400 trend filter) - M15 chart</t>
        </is>
      </c>
      <c r="D670" s="9" t="inlineStr">
        <is>
          <t>Long</t>
        </is>
      </c>
      <c r="E670" s="10" t="n">
        <v>45049.95833333334</v>
      </c>
      <c r="F670" s="10" t="n">
        <v>45050.23958333334</v>
      </c>
      <c r="G670" s="11" t="n">
        <v>3.84</v>
      </c>
      <c r="H670" s="11">
        <f>H669+G670</f>
        <v/>
      </c>
    </row>
    <row r="671">
      <c r="A671" s="9" t="n">
        <v>667</v>
      </c>
      <c r="B671" s="9" t="inlineStr">
        <is>
          <t>Aurelius_M5</t>
        </is>
      </c>
      <c r="C671" s="9" t="inlineStr">
        <is>
          <t>MA alignment (EMA21&gt;EMA50&gt;SMA250&gt;SMMA500 vs EMA2400 trend filter)</t>
        </is>
      </c>
      <c r="D671" s="9" t="inlineStr">
        <is>
          <t>Long</t>
        </is>
      </c>
      <c r="E671" s="10" t="n">
        <v>45050.59027777778</v>
      </c>
      <c r="F671" s="10" t="n">
        <v>45050.63541666666</v>
      </c>
      <c r="G671" s="11" t="n">
        <v>-4.1</v>
      </c>
      <c r="H671" s="11">
        <f>H670+G671</f>
        <v/>
      </c>
    </row>
    <row r="672">
      <c r="A672" s="9" t="n">
        <v>668</v>
      </c>
      <c r="B672" s="9" t="inlineStr">
        <is>
          <t>Meridian</t>
        </is>
      </c>
      <c r="C672" s="9" t="inlineStr">
        <is>
          <t>21/50 MA cross, 250-period confirm filter, VWAP</t>
        </is>
      </c>
      <c r="D672" s="9" t="inlineStr">
        <is>
          <t>Short</t>
        </is>
      </c>
      <c r="E672" s="10" t="n">
        <v>45050.67361111111</v>
      </c>
      <c r="F672" s="10" t="n">
        <v>45050.69791666666</v>
      </c>
      <c r="G672" s="11" t="n">
        <v>-5.87</v>
      </c>
      <c r="H672" s="11">
        <f>H671+G672</f>
        <v/>
      </c>
    </row>
    <row r="673">
      <c r="A673" s="9" t="n">
        <v>669</v>
      </c>
      <c r="B673" s="9" t="inlineStr">
        <is>
          <t>Vanguard_M5</t>
        </is>
      </c>
      <c r="C673" s="9" t="inlineStr">
        <is>
          <t>Trendline breakout (fractal swing line) + VWAP/S-R distance gate</t>
        </is>
      </c>
      <c r="D673" s="9" t="inlineStr">
        <is>
          <t>Short</t>
        </is>
      </c>
      <c r="E673" s="10" t="n">
        <v>45050.6875</v>
      </c>
      <c r="F673" s="10" t="n">
        <v>45050.69791666666</v>
      </c>
      <c r="G673" s="11" t="n">
        <v>-9.5</v>
      </c>
      <c r="H673" s="11">
        <f>H672+G673</f>
        <v/>
      </c>
    </row>
    <row r="674">
      <c r="A674" s="9" t="n">
        <v>670</v>
      </c>
      <c r="B674" s="9" t="inlineStr">
        <is>
          <t>Aurelius_M5</t>
        </is>
      </c>
      <c r="C674" s="9" t="inlineStr">
        <is>
          <t>MA alignment (EMA21&gt;EMA50&gt;SMA250&gt;SMMA500 vs EMA2400 trend filter)</t>
        </is>
      </c>
      <c r="D674" s="9" t="inlineStr">
        <is>
          <t>Long</t>
        </is>
      </c>
      <c r="E674" s="10" t="n">
        <v>45050.72916666666</v>
      </c>
      <c r="F674" s="10" t="n">
        <v>45050.75694444445</v>
      </c>
      <c r="G674" s="11" t="n">
        <v>-8.43</v>
      </c>
      <c r="H674" s="11">
        <f>H673+G674</f>
        <v/>
      </c>
    </row>
    <row r="675">
      <c r="A675" s="9" t="n">
        <v>671</v>
      </c>
      <c r="B675" s="9" t="inlineStr">
        <is>
          <t>Aurelius_M15</t>
        </is>
      </c>
      <c r="C675" s="9" t="inlineStr">
        <is>
          <t>MA alignment (EMA21&gt;EMA50&gt;SMA250&gt;SMMA500 vs EMA2400 trend filter) - M15 chart</t>
        </is>
      </c>
      <c r="D675" s="9" t="inlineStr">
        <is>
          <t>Long</t>
        </is>
      </c>
      <c r="E675" s="10" t="n">
        <v>45050.72916666666</v>
      </c>
      <c r="F675" s="10" t="n">
        <v>45050.76041666666</v>
      </c>
      <c r="G675" s="11" t="n">
        <v>-11.17</v>
      </c>
      <c r="H675" s="11">
        <f>H674+G675</f>
        <v/>
      </c>
    </row>
    <row r="676">
      <c r="A676" s="9" t="n">
        <v>672</v>
      </c>
      <c r="B676" s="9" t="inlineStr">
        <is>
          <t>Ratchet</t>
        </is>
      </c>
      <c r="C676" s="9" t="inlineStr">
        <is>
          <t>Stochastic scalp with give-back trail exit</t>
        </is>
      </c>
      <c r="D676" s="9" t="inlineStr">
        <is>
          <t>Long</t>
        </is>
      </c>
      <c r="E676" s="10" t="n">
        <v>45050.78472222222</v>
      </c>
      <c r="F676" s="10" t="n">
        <v>45050.80208333334</v>
      </c>
      <c r="G676" s="11" t="n">
        <v>0.65</v>
      </c>
      <c r="H676" s="11">
        <f>H675+G676</f>
        <v/>
      </c>
    </row>
    <row r="677">
      <c r="A677" s="9" t="n">
        <v>673</v>
      </c>
      <c r="B677" s="9" t="inlineStr">
        <is>
          <t>Meridian</t>
        </is>
      </c>
      <c r="C677" s="9" t="inlineStr">
        <is>
          <t>21/50 MA cross, 250-period confirm filter, VWAP</t>
        </is>
      </c>
      <c r="D677" s="9" t="inlineStr">
        <is>
          <t>Long</t>
        </is>
      </c>
      <c r="E677" s="10" t="n">
        <v>45050.70833333334</v>
      </c>
      <c r="F677" s="10" t="n">
        <v>45050.89583333334</v>
      </c>
      <c r="G677" s="11" t="n">
        <v>2.64</v>
      </c>
      <c r="H677" s="11">
        <f>H676+G677</f>
        <v/>
      </c>
    </row>
    <row r="678">
      <c r="A678" s="9" t="n">
        <v>674</v>
      </c>
      <c r="B678" s="9" t="inlineStr">
        <is>
          <t>Ratchet</t>
        </is>
      </c>
      <c r="C678" s="9" t="inlineStr">
        <is>
          <t>Stochastic scalp with give-back trail exit</t>
        </is>
      </c>
      <c r="D678" s="9" t="inlineStr">
        <is>
          <t>Long</t>
        </is>
      </c>
      <c r="E678" s="10" t="n">
        <v>45050.95486111111</v>
      </c>
      <c r="F678" s="10" t="n">
        <v>45050.96527777778</v>
      </c>
      <c r="G678" s="11" t="n">
        <v>0.28</v>
      </c>
      <c r="H678" s="11">
        <f>H677+G678</f>
        <v/>
      </c>
    </row>
    <row r="679">
      <c r="A679" s="9" t="n">
        <v>675</v>
      </c>
      <c r="B679" s="9" t="inlineStr">
        <is>
          <t>Ratchet</t>
        </is>
      </c>
      <c r="C679" s="9" t="inlineStr">
        <is>
          <t>Stochastic scalp with give-back trail exit</t>
        </is>
      </c>
      <c r="D679" s="9" t="inlineStr">
        <is>
          <t>Long</t>
        </is>
      </c>
      <c r="E679" s="10" t="n">
        <v>45051.11458333334</v>
      </c>
      <c r="F679" s="10" t="n">
        <v>45051.125</v>
      </c>
      <c r="G679" s="11" t="n">
        <v>-0.78</v>
      </c>
      <c r="H679" s="11">
        <f>H678+G679</f>
        <v/>
      </c>
    </row>
    <row r="680">
      <c r="A680" s="9" t="n">
        <v>676</v>
      </c>
      <c r="B680" s="9" t="inlineStr">
        <is>
          <t>Vanguard_M15</t>
        </is>
      </c>
      <c r="C680" s="9" t="inlineStr">
        <is>
          <t>Trendline breakout (fractal swing line) + VWAP/S-R distance gate - M15 chart</t>
        </is>
      </c>
      <c r="D680" s="9" t="inlineStr">
        <is>
          <t>Short</t>
        </is>
      </c>
      <c r="E680" s="10" t="n">
        <v>45051.09375</v>
      </c>
      <c r="F680" s="10" t="n">
        <v>45051.14583333334</v>
      </c>
      <c r="G680" s="11" t="n">
        <v>-1.16</v>
      </c>
      <c r="H680" s="11">
        <f>H679+G680</f>
        <v/>
      </c>
    </row>
    <row r="681">
      <c r="A681" s="9" t="n">
        <v>677</v>
      </c>
      <c r="B681" s="9" t="inlineStr">
        <is>
          <t>Vanguard_M5</t>
        </is>
      </c>
      <c r="C681" s="9" t="inlineStr">
        <is>
          <t>Trendline breakout (fractal swing line) + VWAP/S-R distance gate</t>
        </is>
      </c>
      <c r="D681" s="9" t="inlineStr">
        <is>
          <t>Short</t>
        </is>
      </c>
      <c r="E681" s="10" t="n">
        <v>45051.05555555555</v>
      </c>
      <c r="F681" s="10" t="n">
        <v>45051.15277777778</v>
      </c>
      <c r="G681" s="11" t="n">
        <v>-2.15</v>
      </c>
      <c r="H681" s="11">
        <f>H680+G681</f>
        <v/>
      </c>
    </row>
    <row r="682">
      <c r="A682" s="9" t="n">
        <v>678</v>
      </c>
      <c r="B682" s="9" t="inlineStr">
        <is>
          <t>Vanguard_M15</t>
        </is>
      </c>
      <c r="C682" s="9" t="inlineStr">
        <is>
          <t>Trendline breakout (fractal swing line) + VWAP/S-R distance gate - M15 chart</t>
        </is>
      </c>
      <c r="D682" s="9" t="inlineStr">
        <is>
          <t>Long</t>
        </is>
      </c>
      <c r="E682" s="10" t="n">
        <v>45051.15625</v>
      </c>
      <c r="F682" s="10" t="n">
        <v>45051.19791666666</v>
      </c>
      <c r="G682" s="11" t="n">
        <v>2.29</v>
      </c>
      <c r="H682" s="11">
        <f>H681+G682</f>
        <v/>
      </c>
    </row>
    <row r="683">
      <c r="A683" s="9" t="n">
        <v>679</v>
      </c>
      <c r="B683" s="9" t="inlineStr">
        <is>
          <t>Vanguard_M5</t>
        </is>
      </c>
      <c r="C683" s="9" t="inlineStr">
        <is>
          <t>Trendline breakout (fractal swing line) + VWAP/S-R distance gate</t>
        </is>
      </c>
      <c r="D683" s="9" t="inlineStr">
        <is>
          <t>Long</t>
        </is>
      </c>
      <c r="E683" s="10" t="n">
        <v>45051.15625</v>
      </c>
      <c r="F683" s="10" t="n">
        <v>45051.19791666666</v>
      </c>
      <c r="G683" s="11" t="n">
        <v>1.67</v>
      </c>
      <c r="H683" s="11">
        <f>H682+G683</f>
        <v/>
      </c>
    </row>
    <row r="684">
      <c r="A684" s="9" t="n">
        <v>680</v>
      </c>
      <c r="B684" s="9" t="inlineStr">
        <is>
          <t>Ratchet</t>
        </is>
      </c>
      <c r="C684" s="9" t="inlineStr">
        <is>
          <t>Stochastic scalp with give-back trail exit</t>
        </is>
      </c>
      <c r="D684" s="9" t="inlineStr">
        <is>
          <t>Long</t>
        </is>
      </c>
      <c r="E684" s="10" t="n">
        <v>45051.18402777778</v>
      </c>
      <c r="F684" s="10" t="n">
        <v>45051.20138888889</v>
      </c>
      <c r="G684" s="11" t="n">
        <v>0.55</v>
      </c>
      <c r="H684" s="11">
        <f>H683+G684</f>
        <v/>
      </c>
    </row>
    <row r="685">
      <c r="A685" s="9" t="n">
        <v>681</v>
      </c>
      <c r="B685" s="9" t="inlineStr">
        <is>
          <t>Meridian</t>
        </is>
      </c>
      <c r="C685" s="9" t="inlineStr">
        <is>
          <t>21/50 MA cross, 250-period confirm filter, VWAP</t>
        </is>
      </c>
      <c r="D685" s="9" t="inlineStr">
        <is>
          <t>Long</t>
        </is>
      </c>
      <c r="E685" s="10" t="n">
        <v>45050.90277777778</v>
      </c>
      <c r="F685" s="10" t="n">
        <v>45051.23263888889</v>
      </c>
      <c r="G685" s="11" t="n">
        <v>-3.48</v>
      </c>
      <c r="H685" s="11">
        <f>H684+G685</f>
        <v/>
      </c>
    </row>
    <row r="686">
      <c r="A686" s="9" t="n">
        <v>682</v>
      </c>
      <c r="B686" s="9" t="inlineStr">
        <is>
          <t>Ratchet</t>
        </is>
      </c>
      <c r="C686" s="9" t="inlineStr">
        <is>
          <t>Stochastic scalp with give-back trail exit</t>
        </is>
      </c>
      <c r="D686" s="9" t="inlineStr">
        <is>
          <t>Long</t>
        </is>
      </c>
      <c r="E686" s="10" t="n">
        <v>45051.29513888889</v>
      </c>
      <c r="F686" s="10" t="n">
        <v>45051.31597222222</v>
      </c>
      <c r="G686" s="11" t="n">
        <v>0.26</v>
      </c>
      <c r="H686" s="11">
        <f>H685+G686</f>
        <v/>
      </c>
    </row>
    <row r="687">
      <c r="A687" s="9" t="n">
        <v>683</v>
      </c>
      <c r="B687" s="9" t="inlineStr">
        <is>
          <t>Meridian</t>
        </is>
      </c>
      <c r="C687" s="9" t="inlineStr">
        <is>
          <t>21/50 MA cross, 250-period confirm filter, VWAP</t>
        </is>
      </c>
      <c r="D687" s="9" t="inlineStr">
        <is>
          <t>Long</t>
        </is>
      </c>
      <c r="E687" s="10" t="n">
        <v>45051.29166666666</v>
      </c>
      <c r="F687" s="10" t="n">
        <v>45051.34722222222</v>
      </c>
      <c r="G687" s="11" t="n">
        <v>-1.9</v>
      </c>
      <c r="H687" s="11">
        <f>H686+G687</f>
        <v/>
      </c>
    </row>
    <row r="688">
      <c r="A688" s="9" t="n">
        <v>684</v>
      </c>
      <c r="B688" s="9" t="inlineStr">
        <is>
          <t>Aurelius_M15</t>
        </is>
      </c>
      <c r="C688" s="9" t="inlineStr">
        <is>
          <t>MA alignment (EMA21&gt;EMA50&gt;SMA250&gt;SMMA500 vs EMA2400 trend filter) - M15 chart</t>
        </is>
      </c>
      <c r="D688" s="9" t="inlineStr">
        <is>
          <t>Long</t>
        </is>
      </c>
      <c r="E688" s="10" t="n">
        <v>45050.8125</v>
      </c>
      <c r="F688" s="10" t="n">
        <v>45051.42708333334</v>
      </c>
      <c r="G688" s="11" t="n">
        <v>-3.21</v>
      </c>
      <c r="H688" s="11">
        <f>H687+G688</f>
        <v/>
      </c>
    </row>
    <row r="689">
      <c r="A689" s="9" t="n">
        <v>685</v>
      </c>
      <c r="B689" s="9" t="inlineStr">
        <is>
          <t>Ratchet</t>
        </is>
      </c>
      <c r="C689" s="9" t="inlineStr">
        <is>
          <t>Stochastic scalp with give-back trail exit</t>
        </is>
      </c>
      <c r="D689" s="9" t="inlineStr">
        <is>
          <t>Short</t>
        </is>
      </c>
      <c r="E689" s="10" t="n">
        <v>45051.69097222222</v>
      </c>
      <c r="F689" s="10" t="n">
        <v>45051.71527777778</v>
      </c>
      <c r="G689" s="11" t="n">
        <v>1.88</v>
      </c>
      <c r="H689" s="11">
        <f>H688+G689</f>
        <v/>
      </c>
    </row>
    <row r="690">
      <c r="A690" s="9" t="n">
        <v>686</v>
      </c>
      <c r="B690" s="9" t="inlineStr">
        <is>
          <t>Meridian</t>
        </is>
      </c>
      <c r="C690" s="9" t="inlineStr">
        <is>
          <t>21/50 MA cross, 250-period confirm filter, VWAP</t>
        </is>
      </c>
      <c r="D690" s="9" t="inlineStr">
        <is>
          <t>Short</t>
        </is>
      </c>
      <c r="E690" s="10" t="n">
        <v>45054.0625</v>
      </c>
      <c r="F690" s="10" t="n">
        <v>45054.13194444445</v>
      </c>
      <c r="G690" s="11" t="n">
        <v>-1.9</v>
      </c>
      <c r="H690" s="11">
        <f>H689+G690</f>
        <v/>
      </c>
    </row>
    <row r="691">
      <c r="A691" s="9" t="n">
        <v>687</v>
      </c>
      <c r="B691" s="9" t="inlineStr">
        <is>
          <t>Meridian</t>
        </is>
      </c>
      <c r="C691" s="9" t="inlineStr">
        <is>
          <t>21/50 MA cross, 250-period confirm filter, VWAP</t>
        </is>
      </c>
      <c r="D691" s="9" t="inlineStr">
        <is>
          <t>Short</t>
        </is>
      </c>
      <c r="E691" s="10" t="n">
        <v>45054.69444444445</v>
      </c>
      <c r="F691" s="10" t="n">
        <v>45054.69791666666</v>
      </c>
      <c r="G691" s="11" t="n">
        <v>-4.08</v>
      </c>
      <c r="H691" s="11">
        <f>H690+G691</f>
        <v/>
      </c>
    </row>
    <row r="692">
      <c r="A692" s="9" t="n">
        <v>688</v>
      </c>
      <c r="B692" s="9" t="inlineStr">
        <is>
          <t>Meridian</t>
        </is>
      </c>
      <c r="C692" s="9" t="inlineStr">
        <is>
          <t>21/50 MA cross, 250-period confirm filter, VWAP</t>
        </is>
      </c>
      <c r="D692" s="9" t="inlineStr">
        <is>
          <t>Long</t>
        </is>
      </c>
      <c r="E692" s="10" t="n">
        <v>45054.71527777778</v>
      </c>
      <c r="F692" s="10" t="n">
        <v>45054.875</v>
      </c>
      <c r="G692" s="11" t="n">
        <v>-0.63</v>
      </c>
      <c r="H692" s="11">
        <f>H691+G692</f>
        <v/>
      </c>
    </row>
    <row r="693">
      <c r="A693" s="9" t="n">
        <v>689</v>
      </c>
      <c r="B693" s="9" t="inlineStr">
        <is>
          <t>Vanguard_M5</t>
        </is>
      </c>
      <c r="C693" s="9" t="inlineStr">
        <is>
          <t>Trendline breakout (fractal swing line) + VWAP/S-R distance gate</t>
        </is>
      </c>
      <c r="D693" s="9" t="inlineStr">
        <is>
          <t>Long</t>
        </is>
      </c>
      <c r="E693" s="10" t="n">
        <v>45054.23263888889</v>
      </c>
      <c r="F693" s="10" t="n">
        <v>45055.05555555555</v>
      </c>
      <c r="G693" s="11" t="n">
        <v>-0.2</v>
      </c>
      <c r="H693" s="11">
        <f>H692+G693</f>
        <v/>
      </c>
    </row>
    <row r="694">
      <c r="A694" s="9" t="n">
        <v>690</v>
      </c>
      <c r="B694" s="9" t="inlineStr">
        <is>
          <t>Vanguard_M15</t>
        </is>
      </c>
      <c r="C694" s="9" t="inlineStr">
        <is>
          <t>Trendline breakout (fractal swing line) + VWAP/S-R distance gate - M15 chart</t>
        </is>
      </c>
      <c r="D694" s="9" t="inlineStr">
        <is>
          <t>Long</t>
        </is>
      </c>
      <c r="E694" s="10" t="n">
        <v>45054.23958333334</v>
      </c>
      <c r="F694" s="10" t="n">
        <v>45055.125</v>
      </c>
      <c r="G694" s="11" t="n">
        <v>-0.6</v>
      </c>
      <c r="H694" s="11">
        <f>H693+G694</f>
        <v/>
      </c>
    </row>
    <row r="695">
      <c r="A695" s="9" t="n">
        <v>691</v>
      </c>
      <c r="B695" s="9" t="inlineStr">
        <is>
          <t>Meridian</t>
        </is>
      </c>
      <c r="C695" s="9" t="inlineStr">
        <is>
          <t>21/50 MA cross, 250-period confirm filter, VWAP</t>
        </is>
      </c>
      <c r="D695" s="9" t="inlineStr">
        <is>
          <t>Short</t>
        </is>
      </c>
      <c r="E695" s="10" t="n">
        <v>45055.42708333334</v>
      </c>
      <c r="F695" s="10" t="n">
        <v>45055.44791666666</v>
      </c>
      <c r="G695" s="11" t="n">
        <v>-2.84</v>
      </c>
      <c r="H695" s="11">
        <f>H694+G695</f>
        <v/>
      </c>
    </row>
    <row r="696">
      <c r="A696" s="9" t="n">
        <v>692</v>
      </c>
      <c r="B696" s="9" t="inlineStr">
        <is>
          <t>Ratchet</t>
        </is>
      </c>
      <c r="C696" s="9" t="inlineStr">
        <is>
          <t>Stochastic scalp with give-back trail exit</t>
        </is>
      </c>
      <c r="D696" s="9" t="inlineStr">
        <is>
          <t>Long</t>
        </is>
      </c>
      <c r="E696" s="10" t="n">
        <v>45055.50694444445</v>
      </c>
      <c r="F696" s="10" t="n">
        <v>45055.51388888889</v>
      </c>
      <c r="G696" s="11" t="n">
        <v>0.29</v>
      </c>
      <c r="H696" s="11">
        <f>H695+G696</f>
        <v/>
      </c>
    </row>
    <row r="697">
      <c r="A697" s="9" t="n">
        <v>693</v>
      </c>
      <c r="B697" s="9" t="inlineStr">
        <is>
          <t>Meridian</t>
        </is>
      </c>
      <c r="C697" s="9" t="inlineStr">
        <is>
          <t>21/50 MA cross, 250-period confirm filter, VWAP</t>
        </is>
      </c>
      <c r="D697" s="9" t="inlineStr">
        <is>
          <t>Long</t>
        </is>
      </c>
      <c r="E697" s="10" t="n">
        <v>45055.50694444445</v>
      </c>
      <c r="F697" s="10" t="n">
        <v>45055.67361111111</v>
      </c>
      <c r="G697" s="11" t="n">
        <v>-2.09</v>
      </c>
      <c r="H697" s="11">
        <f>H696+G697</f>
        <v/>
      </c>
    </row>
    <row r="698">
      <c r="A698" s="9" t="n">
        <v>694</v>
      </c>
      <c r="B698" s="9" t="inlineStr">
        <is>
          <t>Ratchet</t>
        </is>
      </c>
      <c r="C698" s="9" t="inlineStr">
        <is>
          <t>Stochastic scalp with give-back trail exit</t>
        </is>
      </c>
      <c r="D698" s="9" t="inlineStr">
        <is>
          <t>Long</t>
        </is>
      </c>
      <c r="E698" s="10" t="n">
        <v>45055.8125</v>
      </c>
      <c r="F698" s="10" t="n">
        <v>45055.82291666666</v>
      </c>
      <c r="G698" s="11" t="n">
        <v>-2.25</v>
      </c>
      <c r="H698" s="11">
        <f>H697+G698</f>
        <v/>
      </c>
    </row>
    <row r="699">
      <c r="A699" s="9" t="n">
        <v>695</v>
      </c>
      <c r="B699" s="9" t="inlineStr">
        <is>
          <t>Ratchet</t>
        </is>
      </c>
      <c r="C699" s="9" t="inlineStr">
        <is>
          <t>Stochastic scalp with give-back trail exit</t>
        </is>
      </c>
      <c r="D699" s="9" t="inlineStr">
        <is>
          <t>Long</t>
        </is>
      </c>
      <c r="E699" s="10" t="n">
        <v>45055.82638888889</v>
      </c>
      <c r="F699" s="10" t="n">
        <v>45055.99652777778</v>
      </c>
      <c r="G699" s="11" t="n">
        <v>4.48</v>
      </c>
      <c r="H699" s="11">
        <f>H698+G699</f>
        <v/>
      </c>
    </row>
    <row r="700">
      <c r="A700" s="9" t="n">
        <v>696</v>
      </c>
      <c r="B700" s="9" t="inlineStr">
        <is>
          <t>Ratchet</t>
        </is>
      </c>
      <c r="C700" s="9" t="inlineStr">
        <is>
          <t>Stochastic scalp with give-back trail exit</t>
        </is>
      </c>
      <c r="D700" s="9" t="inlineStr">
        <is>
          <t>Long</t>
        </is>
      </c>
      <c r="E700" s="10" t="n">
        <v>45056.13541666666</v>
      </c>
      <c r="F700" s="10" t="n">
        <v>45056.13541666666</v>
      </c>
      <c r="G700" s="11" t="n">
        <v>-0.95</v>
      </c>
      <c r="H700" s="11">
        <f>H699+G700</f>
        <v/>
      </c>
    </row>
    <row r="701">
      <c r="A701" s="9" t="n">
        <v>697</v>
      </c>
      <c r="B701" s="9" t="inlineStr">
        <is>
          <t>Meridian</t>
        </is>
      </c>
      <c r="C701" s="9" t="inlineStr">
        <is>
          <t>21/50 MA cross, 250-period confirm filter, VWAP</t>
        </is>
      </c>
      <c r="D701" s="9" t="inlineStr">
        <is>
          <t>Long</t>
        </is>
      </c>
      <c r="E701" s="10" t="n">
        <v>45055.80555555555</v>
      </c>
      <c r="F701" s="10" t="n">
        <v>45056.19791666666</v>
      </c>
      <c r="G701" s="11" t="n">
        <v>2.65</v>
      </c>
      <c r="H701" s="11">
        <f>H700+G701</f>
        <v/>
      </c>
    </row>
    <row r="702">
      <c r="A702" s="9" t="n">
        <v>698</v>
      </c>
      <c r="B702" s="9" t="inlineStr">
        <is>
          <t>Aurelius_M15</t>
        </is>
      </c>
      <c r="C702" s="9" t="inlineStr">
        <is>
          <t>MA alignment (EMA21&gt;EMA50&gt;SMA250&gt;SMMA500 vs EMA2400 trend filter) - M15 chart</t>
        </is>
      </c>
      <c r="D702" s="9" t="inlineStr">
        <is>
          <t>Long</t>
        </is>
      </c>
      <c r="E702" s="10" t="n">
        <v>45055.8125</v>
      </c>
      <c r="F702" s="10" t="n">
        <v>45056.25</v>
      </c>
      <c r="G702" s="11" t="n">
        <v>-0.42</v>
      </c>
      <c r="H702" s="11">
        <f>H701+G702</f>
        <v/>
      </c>
    </row>
    <row r="703">
      <c r="A703" s="9" t="n">
        <v>699</v>
      </c>
      <c r="B703" s="9" t="inlineStr">
        <is>
          <t>Vanguard_M5</t>
        </is>
      </c>
      <c r="C703" s="9" t="inlineStr">
        <is>
          <t>Trendline breakout (fractal swing line) + VWAP/S-R distance gate</t>
        </is>
      </c>
      <c r="D703" s="9" t="inlineStr">
        <is>
          <t>Long</t>
        </is>
      </c>
      <c r="E703" s="10" t="n">
        <v>45055.22569444445</v>
      </c>
      <c r="F703" s="10" t="n">
        <v>45056.63888888889</v>
      </c>
      <c r="G703" s="11" t="n">
        <v>1.19</v>
      </c>
      <c r="H703" s="11">
        <f>H702+G703</f>
        <v/>
      </c>
    </row>
    <row r="704">
      <c r="A704" s="9" t="n">
        <v>700</v>
      </c>
      <c r="B704" s="9" t="inlineStr">
        <is>
          <t>Meridian</t>
        </is>
      </c>
      <c r="C704" s="9" t="inlineStr">
        <is>
          <t>21/50 MA cross, 250-period confirm filter, VWAP</t>
        </is>
      </c>
      <c r="D704" s="9" t="inlineStr">
        <is>
          <t>Short</t>
        </is>
      </c>
      <c r="E704" s="10" t="n">
        <v>45056.63194444445</v>
      </c>
      <c r="F704" s="10" t="n">
        <v>45056.64583333334</v>
      </c>
      <c r="G704" s="11" t="n">
        <v>-2.57</v>
      </c>
      <c r="H704" s="11">
        <f>H703+G704</f>
        <v/>
      </c>
    </row>
    <row r="705">
      <c r="A705" s="9" t="n">
        <v>701</v>
      </c>
      <c r="B705" s="9" t="inlineStr">
        <is>
          <t>Vanguard_M5</t>
        </is>
      </c>
      <c r="C705" s="9" t="inlineStr">
        <is>
          <t>Trendline breakout (fractal swing line) + VWAP/S-R distance gate</t>
        </is>
      </c>
      <c r="D705" s="9" t="inlineStr">
        <is>
          <t>Short</t>
        </is>
      </c>
      <c r="E705" s="10" t="n">
        <v>45056.64236111111</v>
      </c>
      <c r="F705" s="10" t="n">
        <v>45056.64583333334</v>
      </c>
      <c r="G705" s="11" t="n">
        <v>-5.51</v>
      </c>
      <c r="H705" s="11">
        <f>H704+G705</f>
        <v/>
      </c>
    </row>
    <row r="706">
      <c r="A706" s="9" t="n">
        <v>702</v>
      </c>
      <c r="B706" s="9" t="inlineStr">
        <is>
          <t>Aurelius_M5</t>
        </is>
      </c>
      <c r="C706" s="9" t="inlineStr">
        <is>
          <t>MA alignment (EMA21&gt;EMA50&gt;SMA250&gt;SMMA500 vs EMA2400 trend filter)</t>
        </is>
      </c>
      <c r="D706" s="9" t="inlineStr">
        <is>
          <t>Long</t>
        </is>
      </c>
      <c r="E706" s="10" t="n">
        <v>45056.66666666666</v>
      </c>
      <c r="F706" s="10" t="n">
        <v>45056.67361111111</v>
      </c>
      <c r="G706" s="11" t="n">
        <v>-7.73</v>
      </c>
      <c r="H706" s="11">
        <f>H705+G706</f>
        <v/>
      </c>
    </row>
    <row r="707">
      <c r="A707" s="9" t="n">
        <v>703</v>
      </c>
      <c r="B707" s="9" t="inlineStr">
        <is>
          <t>Ratchet</t>
        </is>
      </c>
      <c r="C707" s="9" t="inlineStr">
        <is>
          <t>Stochastic scalp with give-back trail exit</t>
        </is>
      </c>
      <c r="D707" s="9" t="inlineStr">
        <is>
          <t>Long</t>
        </is>
      </c>
      <c r="E707" s="10" t="n">
        <v>45056.70486111111</v>
      </c>
      <c r="F707" s="10" t="n">
        <v>45056.72916666666</v>
      </c>
      <c r="G707" s="11" t="n">
        <v>-6.44</v>
      </c>
      <c r="H707" s="11">
        <f>H706+G707</f>
        <v/>
      </c>
    </row>
    <row r="708">
      <c r="A708" s="9" t="n">
        <v>704</v>
      </c>
      <c r="B708" s="9" t="inlineStr">
        <is>
          <t>Vanguard_M15</t>
        </is>
      </c>
      <c r="C708" s="9" t="inlineStr">
        <is>
          <t>Trendline breakout (fractal swing line) + VWAP/S-R distance gate - M15 chart</t>
        </is>
      </c>
      <c r="D708" s="9" t="inlineStr">
        <is>
          <t>Long</t>
        </is>
      </c>
      <c r="E708" s="10" t="n">
        <v>45055.22916666666</v>
      </c>
      <c r="F708" s="10" t="n">
        <v>45056.75</v>
      </c>
      <c r="G708" s="11" t="n">
        <v>-0.92</v>
      </c>
      <c r="H708" s="11">
        <f>H707+G708</f>
        <v/>
      </c>
    </row>
    <row r="709">
      <c r="A709" s="9" t="n">
        <v>705</v>
      </c>
      <c r="B709" s="9" t="inlineStr">
        <is>
          <t>Aurelius_M15</t>
        </is>
      </c>
      <c r="C709" s="9" t="inlineStr">
        <is>
          <t>MA alignment (EMA21&gt;EMA50&gt;SMA250&gt;SMMA500 vs EMA2400 trend filter) - M15 chart</t>
        </is>
      </c>
      <c r="D709" s="9" t="inlineStr">
        <is>
          <t>Long</t>
        </is>
      </c>
      <c r="E709" s="10" t="n">
        <v>45056.6875</v>
      </c>
      <c r="F709" s="10" t="n">
        <v>45056.75</v>
      </c>
      <c r="G709" s="11" t="n">
        <v>-9.789999999999999</v>
      </c>
      <c r="H709" s="11">
        <f>H708+G709</f>
        <v/>
      </c>
    </row>
    <row r="710">
      <c r="A710" s="9" t="n">
        <v>706</v>
      </c>
      <c r="B710" s="9" t="inlineStr">
        <is>
          <t>Meridian</t>
        </is>
      </c>
      <c r="C710" s="9" t="inlineStr">
        <is>
          <t>21/50 MA cross, 250-period confirm filter, VWAP</t>
        </is>
      </c>
      <c r="D710" s="9" t="inlineStr">
        <is>
          <t>Short</t>
        </is>
      </c>
      <c r="E710" s="10" t="n">
        <v>45056.74652777778</v>
      </c>
      <c r="F710" s="10" t="n">
        <v>45056.87847222222</v>
      </c>
      <c r="G710" s="11" t="n">
        <v>-2.16</v>
      </c>
      <c r="H710" s="11">
        <f>H709+G710</f>
        <v/>
      </c>
    </row>
    <row r="711">
      <c r="A711" s="9" t="n">
        <v>707</v>
      </c>
      <c r="B711" s="9" t="inlineStr">
        <is>
          <t>Ratchet</t>
        </is>
      </c>
      <c r="C711" s="9" t="inlineStr">
        <is>
          <t>Stochastic scalp with give-back trail exit</t>
        </is>
      </c>
      <c r="D711" s="9" t="inlineStr">
        <is>
          <t>Long</t>
        </is>
      </c>
      <c r="E711" s="10" t="n">
        <v>45057.10763888889</v>
      </c>
      <c r="F711" s="10" t="n">
        <v>45057.10763888889</v>
      </c>
      <c r="G711" s="11" t="n">
        <v>-0.87</v>
      </c>
      <c r="H711" s="11">
        <f>H710+G711</f>
        <v/>
      </c>
    </row>
    <row r="712">
      <c r="A712" s="9" t="n">
        <v>708</v>
      </c>
      <c r="B712" s="9" t="inlineStr">
        <is>
          <t>Vanguard_M15</t>
        </is>
      </c>
      <c r="C712" s="9" t="inlineStr">
        <is>
          <t>Trendline breakout (fractal swing line) + VWAP/S-R distance gate - M15 chart</t>
        </is>
      </c>
      <c r="D712" s="9" t="inlineStr">
        <is>
          <t>Short</t>
        </is>
      </c>
      <c r="E712" s="10" t="n">
        <v>45056.76041666666</v>
      </c>
      <c r="F712" s="10" t="n">
        <v>45057.17708333334</v>
      </c>
      <c r="G712" s="11" t="n">
        <v>-13.21</v>
      </c>
      <c r="H712" s="11">
        <f>H711+G712</f>
        <v/>
      </c>
    </row>
    <row r="713">
      <c r="A713" s="9" t="n">
        <v>709</v>
      </c>
      <c r="B713" s="9" t="inlineStr">
        <is>
          <t>Ratchet</t>
        </is>
      </c>
      <c r="C713" s="9" t="inlineStr">
        <is>
          <t>Stochastic scalp with give-back trail exit</t>
        </is>
      </c>
      <c r="D713" s="9" t="inlineStr">
        <is>
          <t>Long</t>
        </is>
      </c>
      <c r="E713" s="10" t="n">
        <v>45057.26388888889</v>
      </c>
      <c r="F713" s="10" t="n">
        <v>45057.27430555555</v>
      </c>
      <c r="G713" s="11" t="n">
        <v>-1.45</v>
      </c>
      <c r="H713" s="11">
        <f>H712+G713</f>
        <v/>
      </c>
    </row>
    <row r="714">
      <c r="A714" s="9" t="n">
        <v>710</v>
      </c>
      <c r="B714" s="9" t="inlineStr">
        <is>
          <t>Vanguard_M5</t>
        </is>
      </c>
      <c r="C714" s="9" t="inlineStr">
        <is>
          <t>Trendline breakout (fractal swing line) + VWAP/S-R distance gate</t>
        </is>
      </c>
      <c r="D714" s="9" t="inlineStr">
        <is>
          <t>Short</t>
        </is>
      </c>
      <c r="E714" s="10" t="n">
        <v>45056.75694444445</v>
      </c>
      <c r="F714" s="10" t="n">
        <v>45057.54166666666</v>
      </c>
      <c r="G714" s="11" t="n">
        <v>-2.61</v>
      </c>
      <c r="H714" s="11">
        <f>H713+G714</f>
        <v/>
      </c>
    </row>
    <row r="715">
      <c r="A715" s="9" t="n">
        <v>711</v>
      </c>
      <c r="B715" s="9" t="inlineStr">
        <is>
          <t>Ratchet</t>
        </is>
      </c>
      <c r="C715" s="9" t="inlineStr">
        <is>
          <t>Stochastic scalp with give-back trail exit</t>
        </is>
      </c>
      <c r="D715" s="9" t="inlineStr">
        <is>
          <t>Short</t>
        </is>
      </c>
      <c r="E715" s="10" t="n">
        <v>45057.74652777778</v>
      </c>
      <c r="F715" s="10" t="n">
        <v>45057.76388888889</v>
      </c>
      <c r="G715" s="11" t="n">
        <v>-0</v>
      </c>
      <c r="H715" s="11">
        <f>H714+G715</f>
        <v/>
      </c>
    </row>
    <row r="716">
      <c r="A716" s="9" t="n">
        <v>712</v>
      </c>
      <c r="B716" s="9" t="inlineStr">
        <is>
          <t>Ratchet</t>
        </is>
      </c>
      <c r="C716" s="9" t="inlineStr">
        <is>
          <t>Stochastic scalp with give-back trail exit</t>
        </is>
      </c>
      <c r="D716" s="9" t="inlineStr">
        <is>
          <t>Short</t>
        </is>
      </c>
      <c r="E716" s="10" t="n">
        <v>45057.85069444445</v>
      </c>
      <c r="F716" s="10" t="n">
        <v>45057.86111111111</v>
      </c>
      <c r="G716" s="11" t="n">
        <v>0.31</v>
      </c>
      <c r="H716" s="11">
        <f>H715+G716</f>
        <v/>
      </c>
    </row>
    <row r="717">
      <c r="A717" s="9" t="n">
        <v>713</v>
      </c>
      <c r="B717" s="9" t="inlineStr">
        <is>
          <t>Meridian</t>
        </is>
      </c>
      <c r="C717" s="9" t="inlineStr">
        <is>
          <t>21/50 MA cross, 250-period confirm filter, VWAP</t>
        </is>
      </c>
      <c r="D717" s="9" t="inlineStr">
        <is>
          <t>Short</t>
        </is>
      </c>
      <c r="E717" s="10" t="n">
        <v>45057.70138888889</v>
      </c>
      <c r="F717" s="10" t="n">
        <v>45058.10763888889</v>
      </c>
      <c r="G717" s="11" t="n">
        <v>2.14</v>
      </c>
      <c r="H717" s="11">
        <f>H716+G717</f>
        <v/>
      </c>
    </row>
    <row r="718">
      <c r="A718" s="9" t="n">
        <v>714</v>
      </c>
      <c r="B718" s="9" t="inlineStr">
        <is>
          <t>Ratchet</t>
        </is>
      </c>
      <c r="C718" s="9" t="inlineStr">
        <is>
          <t>Stochastic scalp with give-back trail exit</t>
        </is>
      </c>
      <c r="D718" s="9" t="inlineStr">
        <is>
          <t>Short</t>
        </is>
      </c>
      <c r="E718" s="10" t="n">
        <v>45058.21180555555</v>
      </c>
      <c r="F718" s="10" t="n">
        <v>45058.23611111111</v>
      </c>
      <c r="G718" s="11" t="n">
        <v>0.58</v>
      </c>
      <c r="H718" s="11">
        <f>H717+G718</f>
        <v/>
      </c>
    </row>
    <row r="719">
      <c r="A719" s="9" t="n">
        <v>715</v>
      </c>
      <c r="B719" s="9" t="inlineStr">
        <is>
          <t>Ratchet</t>
        </is>
      </c>
      <c r="C719" s="9" t="inlineStr">
        <is>
          <t>Stochastic scalp with give-back trail exit</t>
        </is>
      </c>
      <c r="D719" s="9" t="inlineStr">
        <is>
          <t>Short</t>
        </is>
      </c>
      <c r="E719" s="10" t="n">
        <v>45058.27777777778</v>
      </c>
      <c r="F719" s="10" t="n">
        <v>45058.37847222222</v>
      </c>
      <c r="G719" s="11" t="n">
        <v>0.27</v>
      </c>
      <c r="H719" s="11">
        <f>H718+G719</f>
        <v/>
      </c>
    </row>
    <row r="720">
      <c r="A720" s="9" t="n">
        <v>716</v>
      </c>
      <c r="B720" s="9" t="inlineStr">
        <is>
          <t>Aurelius_M5</t>
        </is>
      </c>
      <c r="C720" s="9" t="inlineStr">
        <is>
          <t>MA alignment (EMA21&gt;EMA50&gt;SMA250&gt;SMMA500 vs EMA2400 trend filter)</t>
        </is>
      </c>
      <c r="D720" s="9" t="inlineStr">
        <is>
          <t>Short</t>
        </is>
      </c>
      <c r="E720" s="10" t="n">
        <v>45058.37847222222</v>
      </c>
      <c r="F720" s="10" t="n">
        <v>45058.43055555555</v>
      </c>
      <c r="G720" s="11" t="n">
        <v>-2.46</v>
      </c>
      <c r="H720" s="11">
        <f>H719+G720</f>
        <v/>
      </c>
    </row>
    <row r="721">
      <c r="A721" s="9" t="n">
        <v>717</v>
      </c>
      <c r="B721" s="9" t="inlineStr">
        <is>
          <t>Ratchet</t>
        </is>
      </c>
      <c r="C721" s="9" t="inlineStr">
        <is>
          <t>Stochastic scalp with give-back trail exit</t>
        </is>
      </c>
      <c r="D721" s="9" t="inlineStr">
        <is>
          <t>Short</t>
        </is>
      </c>
      <c r="E721" s="10" t="n">
        <v>45058.45833333334</v>
      </c>
      <c r="F721" s="10" t="n">
        <v>45058.46875</v>
      </c>
      <c r="G721" s="11" t="n">
        <v>-0</v>
      </c>
      <c r="H721" s="11">
        <f>H720+G721</f>
        <v/>
      </c>
    </row>
    <row r="722">
      <c r="A722" s="9" t="n">
        <v>718</v>
      </c>
      <c r="B722" s="9" t="inlineStr">
        <is>
          <t>Ratchet</t>
        </is>
      </c>
      <c r="C722" s="9" t="inlineStr">
        <is>
          <t>Stochastic scalp with give-back trail exit</t>
        </is>
      </c>
      <c r="D722" s="9" t="inlineStr">
        <is>
          <t>Short</t>
        </is>
      </c>
      <c r="E722" s="10" t="n">
        <v>45058.47569444445</v>
      </c>
      <c r="F722" s="10" t="n">
        <v>45058.48611111111</v>
      </c>
      <c r="G722" s="11" t="n">
        <v>0.4</v>
      </c>
      <c r="H722" s="11">
        <f>H721+G722</f>
        <v/>
      </c>
    </row>
    <row r="723">
      <c r="A723" s="9" t="n">
        <v>719</v>
      </c>
      <c r="B723" s="9" t="inlineStr">
        <is>
          <t>Ratchet</t>
        </is>
      </c>
      <c r="C723" s="9" t="inlineStr">
        <is>
          <t>Stochastic scalp with give-back trail exit</t>
        </is>
      </c>
      <c r="D723" s="9" t="inlineStr">
        <is>
          <t>Short</t>
        </is>
      </c>
      <c r="E723" s="10" t="n">
        <v>45058.60069444445</v>
      </c>
      <c r="F723" s="10" t="n">
        <v>45058.60416666666</v>
      </c>
      <c r="G723" s="11" t="n">
        <v>0.21</v>
      </c>
      <c r="H723" s="11">
        <f>H722+G723</f>
        <v/>
      </c>
    </row>
    <row r="724">
      <c r="A724" s="9" t="n">
        <v>720</v>
      </c>
      <c r="B724" s="9" t="inlineStr">
        <is>
          <t>Ratchet</t>
        </is>
      </c>
      <c r="C724" s="9" t="inlineStr">
        <is>
          <t>Stochastic scalp with give-back trail exit</t>
        </is>
      </c>
      <c r="D724" s="9" t="inlineStr">
        <is>
          <t>Short</t>
        </is>
      </c>
      <c r="E724" s="10" t="n">
        <v>45058.61111111111</v>
      </c>
      <c r="F724" s="10" t="n">
        <v>45058.63888888889</v>
      </c>
      <c r="G724" s="11" t="n">
        <v>-2.31</v>
      </c>
      <c r="H724" s="11">
        <f>H723+G724</f>
        <v/>
      </c>
    </row>
    <row r="725">
      <c r="A725" s="9" t="n">
        <v>721</v>
      </c>
      <c r="B725" s="9" t="inlineStr">
        <is>
          <t>Aurelius_M5</t>
        </is>
      </c>
      <c r="C725" s="9" t="inlineStr">
        <is>
          <t>MA alignment (EMA21&gt;EMA50&gt;SMA250&gt;SMMA500 vs EMA2400 trend filter)</t>
        </is>
      </c>
      <c r="D725" s="9" t="inlineStr">
        <is>
          <t>Short</t>
        </is>
      </c>
      <c r="E725" s="10" t="n">
        <v>45058.45486111111</v>
      </c>
      <c r="F725" s="10" t="n">
        <v>45058.65277777778</v>
      </c>
      <c r="G725" s="11" t="n">
        <v>-3.41</v>
      </c>
      <c r="H725" s="11">
        <f>H724+G725</f>
        <v/>
      </c>
    </row>
    <row r="726">
      <c r="A726" s="9" t="n">
        <v>722</v>
      </c>
      <c r="B726" s="9" t="inlineStr">
        <is>
          <t>Vanguard_M5</t>
        </is>
      </c>
      <c r="C726" s="9" t="inlineStr">
        <is>
          <t>Trendline breakout (fractal swing line) + VWAP/S-R distance gate</t>
        </is>
      </c>
      <c r="D726" s="9" t="inlineStr">
        <is>
          <t>Short</t>
        </is>
      </c>
      <c r="E726" s="10" t="n">
        <v>45057.70138888889</v>
      </c>
      <c r="F726" s="10" t="n">
        <v>45058.67708333334</v>
      </c>
      <c r="G726" s="11" t="n">
        <v>-0.1</v>
      </c>
      <c r="H726" s="11">
        <f>H725+G726</f>
        <v/>
      </c>
    </row>
    <row r="727">
      <c r="A727" s="9" t="n">
        <v>723</v>
      </c>
      <c r="B727" s="9" t="inlineStr">
        <is>
          <t>Meridian</t>
        </is>
      </c>
      <c r="C727" s="9" t="inlineStr">
        <is>
          <t>21/50 MA cross, 250-period confirm filter, VWAP</t>
        </is>
      </c>
      <c r="D727" s="9" t="inlineStr">
        <is>
          <t>Long</t>
        </is>
      </c>
      <c r="E727" s="10" t="n">
        <v>45058.65625</v>
      </c>
      <c r="F727" s="10" t="n">
        <v>45058.78819444445</v>
      </c>
      <c r="G727" s="11" t="n">
        <v>-4.58</v>
      </c>
      <c r="H727" s="11">
        <f>H726+G727</f>
        <v/>
      </c>
    </row>
    <row r="728">
      <c r="A728" s="9" t="n">
        <v>724</v>
      </c>
      <c r="B728" s="9" t="inlineStr">
        <is>
          <t>Meridian</t>
        </is>
      </c>
      <c r="C728" s="9" t="inlineStr">
        <is>
          <t>21/50 MA cross, 250-period confirm filter, VWAP</t>
        </is>
      </c>
      <c r="D728" s="9" t="inlineStr">
        <is>
          <t>Long</t>
        </is>
      </c>
      <c r="E728" s="10" t="n">
        <v>45058.83680555555</v>
      </c>
      <c r="F728" s="10" t="n">
        <v>45058.91666666666</v>
      </c>
      <c r="G728" s="11" t="n">
        <v>-1.01</v>
      </c>
      <c r="H728" s="11">
        <f>H727+G728</f>
        <v/>
      </c>
    </row>
    <row r="729">
      <c r="A729" s="9" t="n">
        <v>725</v>
      </c>
      <c r="B729" s="9" t="inlineStr">
        <is>
          <t>Meridian</t>
        </is>
      </c>
      <c r="C729" s="9" t="inlineStr">
        <is>
          <t>21/50 MA cross, 250-period confirm filter, VWAP</t>
        </is>
      </c>
      <c r="D729" s="9" t="inlineStr">
        <is>
          <t>Long</t>
        </is>
      </c>
      <c r="E729" s="10" t="n">
        <v>45061.17708333334</v>
      </c>
      <c r="F729" s="10" t="n">
        <v>45061.54166666666</v>
      </c>
      <c r="G729" s="11" t="n">
        <v>0.95</v>
      </c>
      <c r="H729" s="11">
        <f>H728+G729</f>
        <v/>
      </c>
    </row>
    <row r="730">
      <c r="A730" s="9" t="n">
        <v>726</v>
      </c>
      <c r="B730" s="9" t="inlineStr">
        <is>
          <t>Vanguard_M5</t>
        </is>
      </c>
      <c r="C730" s="9" t="inlineStr">
        <is>
          <t>Trendline breakout (fractal swing line) + VWAP/S-R distance gate</t>
        </is>
      </c>
      <c r="D730" s="9" t="inlineStr">
        <is>
          <t>Long</t>
        </is>
      </c>
      <c r="E730" s="10" t="n">
        <v>45061.17361111111</v>
      </c>
      <c r="F730" s="10" t="n">
        <v>45061.58333333334</v>
      </c>
      <c r="G730" s="11" t="n">
        <v>-3.02</v>
      </c>
      <c r="H730" s="11">
        <f>H729+G730</f>
        <v/>
      </c>
    </row>
    <row r="731">
      <c r="A731" s="9" t="n">
        <v>727</v>
      </c>
      <c r="B731" s="9" t="inlineStr">
        <is>
          <t>Vanguard_M15</t>
        </is>
      </c>
      <c r="C731" s="9" t="inlineStr">
        <is>
          <t>Trendline breakout (fractal swing line) + VWAP/S-R distance gate - M15 chart</t>
        </is>
      </c>
      <c r="D731" s="9" t="inlineStr">
        <is>
          <t>Long</t>
        </is>
      </c>
      <c r="E731" s="10" t="n">
        <v>45061.17708333334</v>
      </c>
      <c r="F731" s="10" t="n">
        <v>45061.58333333334</v>
      </c>
      <c r="G731" s="11" t="n">
        <v>-0.97</v>
      </c>
      <c r="H731" s="11">
        <f>H730+G731</f>
        <v/>
      </c>
    </row>
    <row r="732">
      <c r="A732" s="9" t="n">
        <v>728</v>
      </c>
      <c r="B732" s="9" t="inlineStr">
        <is>
          <t>Vanguard_M5</t>
        </is>
      </c>
      <c r="C732" s="9" t="inlineStr">
        <is>
          <t>Trendline breakout (fractal swing line) + VWAP/S-R distance gate</t>
        </is>
      </c>
      <c r="D732" s="9" t="inlineStr">
        <is>
          <t>Short</t>
        </is>
      </c>
      <c r="E732" s="10" t="n">
        <v>45061.58680555555</v>
      </c>
      <c r="F732" s="10" t="n">
        <v>45061.64583333334</v>
      </c>
      <c r="G732" s="11" t="n">
        <v>-4.1</v>
      </c>
      <c r="H732" s="11">
        <f>H731+G732</f>
        <v/>
      </c>
    </row>
    <row r="733">
      <c r="A733" s="9" t="n">
        <v>729</v>
      </c>
      <c r="B733" s="9" t="inlineStr">
        <is>
          <t>Vanguard_M15</t>
        </is>
      </c>
      <c r="C733" s="9" t="inlineStr">
        <is>
          <t>Trendline breakout (fractal swing line) + VWAP/S-R distance gate - M15 chart</t>
        </is>
      </c>
      <c r="D733" s="9" t="inlineStr">
        <is>
          <t>Short</t>
        </is>
      </c>
      <c r="E733" s="10" t="n">
        <v>45061.59375</v>
      </c>
      <c r="F733" s="10" t="n">
        <v>45061.69791666666</v>
      </c>
      <c r="G733" s="11" t="n">
        <v>-5.26</v>
      </c>
      <c r="H733" s="11">
        <f>H732+G733</f>
        <v/>
      </c>
    </row>
    <row r="734">
      <c r="A734" s="9" t="n">
        <v>730</v>
      </c>
      <c r="B734" s="9" t="inlineStr">
        <is>
          <t>Vanguard_M5</t>
        </is>
      </c>
      <c r="C734" s="9" t="inlineStr">
        <is>
          <t>Trendline breakout (fractal swing line) + VWAP/S-R distance gate</t>
        </is>
      </c>
      <c r="D734" s="9" t="inlineStr">
        <is>
          <t>Short</t>
        </is>
      </c>
      <c r="E734" s="10" t="n">
        <v>45061.67708333334</v>
      </c>
      <c r="F734" s="10" t="n">
        <v>45061.70486111111</v>
      </c>
      <c r="G734" s="11" t="n">
        <v>-6.34</v>
      </c>
      <c r="H734" s="11">
        <f>H733+G734</f>
        <v/>
      </c>
    </row>
    <row r="735">
      <c r="A735" s="9" t="n">
        <v>731</v>
      </c>
      <c r="B735" s="9" t="inlineStr">
        <is>
          <t>Meridian</t>
        </is>
      </c>
      <c r="C735" s="9" t="inlineStr">
        <is>
          <t>21/50 MA cross, 250-period confirm filter, VWAP</t>
        </is>
      </c>
      <c r="D735" s="9" t="inlineStr">
        <is>
          <t>Long</t>
        </is>
      </c>
      <c r="E735" s="10" t="n">
        <v>45061.6875</v>
      </c>
      <c r="F735" s="10" t="n">
        <v>45061.75694444445</v>
      </c>
      <c r="G735" s="11" t="n">
        <v>-1</v>
      </c>
      <c r="H735" s="11">
        <f>H734+G735</f>
        <v/>
      </c>
    </row>
    <row r="736">
      <c r="A736" s="9" t="n">
        <v>732</v>
      </c>
      <c r="B736" s="9" t="inlineStr">
        <is>
          <t>Ratchet</t>
        </is>
      </c>
      <c r="C736" s="9" t="inlineStr">
        <is>
          <t>Stochastic scalp with give-back trail exit</t>
        </is>
      </c>
      <c r="D736" s="9" t="inlineStr">
        <is>
          <t>Long</t>
        </is>
      </c>
      <c r="E736" s="10" t="n">
        <v>45061.83333333334</v>
      </c>
      <c r="F736" s="10" t="n">
        <v>45061.83680555555</v>
      </c>
      <c r="G736" s="11" t="n">
        <v>-1.3</v>
      </c>
      <c r="H736" s="11">
        <f>H735+G736</f>
        <v/>
      </c>
    </row>
    <row r="737">
      <c r="A737" s="9" t="n">
        <v>733</v>
      </c>
      <c r="B737" s="9" t="inlineStr">
        <is>
          <t>Ratchet</t>
        </is>
      </c>
      <c r="C737" s="9" t="inlineStr">
        <is>
          <t>Stochastic scalp with give-back trail exit</t>
        </is>
      </c>
      <c r="D737" s="9" t="inlineStr">
        <is>
          <t>Long</t>
        </is>
      </c>
      <c r="E737" s="10" t="n">
        <v>45061.86458333334</v>
      </c>
      <c r="F737" s="10" t="n">
        <v>45061.875</v>
      </c>
      <c r="G737" s="11" t="n">
        <v>-1.69</v>
      </c>
      <c r="H737" s="11">
        <f>H736+G737</f>
        <v/>
      </c>
    </row>
    <row r="738">
      <c r="A738" s="9" t="n">
        <v>734</v>
      </c>
      <c r="B738" s="9" t="inlineStr">
        <is>
          <t>Meridian</t>
        </is>
      </c>
      <c r="C738" s="9" t="inlineStr">
        <is>
          <t>21/50 MA cross, 250-period confirm filter, VWAP</t>
        </is>
      </c>
      <c r="D738" s="9" t="inlineStr">
        <is>
          <t>Long</t>
        </is>
      </c>
      <c r="E738" s="10" t="n">
        <v>45061.77777777778</v>
      </c>
      <c r="F738" s="10" t="n">
        <v>45061.90625</v>
      </c>
      <c r="G738" s="11" t="n">
        <v>-1.67</v>
      </c>
      <c r="H738" s="11">
        <f>H737+G738</f>
        <v/>
      </c>
    </row>
    <row r="739">
      <c r="A739" s="9" t="n">
        <v>735</v>
      </c>
      <c r="B739" s="9" t="inlineStr">
        <is>
          <t>Meridian</t>
        </is>
      </c>
      <c r="C739" s="9" t="inlineStr">
        <is>
          <t>21/50 MA cross, 250-period confirm filter, VWAP</t>
        </is>
      </c>
      <c r="D739" s="9" t="inlineStr">
        <is>
          <t>Long</t>
        </is>
      </c>
      <c r="E739" s="10" t="n">
        <v>45062.18055555555</v>
      </c>
      <c r="F739" s="10" t="n">
        <v>45062.20833333334</v>
      </c>
      <c r="G739" s="11" t="n">
        <v>-1.82</v>
      </c>
      <c r="H739" s="11">
        <f>H738+G739</f>
        <v/>
      </c>
    </row>
    <row r="740">
      <c r="A740" s="9" t="n">
        <v>736</v>
      </c>
      <c r="B740" s="9" t="inlineStr">
        <is>
          <t>Meridian</t>
        </is>
      </c>
      <c r="C740" s="9" t="inlineStr">
        <is>
          <t>21/50 MA cross, 250-period confirm filter, VWAP</t>
        </is>
      </c>
      <c r="D740" s="9" t="inlineStr">
        <is>
          <t>Short</t>
        </is>
      </c>
      <c r="E740" s="10" t="n">
        <v>45062.33333333334</v>
      </c>
      <c r="F740" s="10" t="n">
        <v>45062.35069444445</v>
      </c>
      <c r="G740" s="11" t="n">
        <v>-1.16</v>
      </c>
      <c r="H740" s="11">
        <f>H739+G740</f>
        <v/>
      </c>
    </row>
    <row r="741">
      <c r="A741" s="9" t="n">
        <v>737</v>
      </c>
      <c r="B741" s="9" t="inlineStr">
        <is>
          <t>Ratchet</t>
        </is>
      </c>
      <c r="C741" s="9" t="inlineStr">
        <is>
          <t>Stochastic scalp with give-back trail exit</t>
        </is>
      </c>
      <c r="D741" s="9" t="inlineStr">
        <is>
          <t>Short</t>
        </is>
      </c>
      <c r="E741" s="10" t="n">
        <v>45062.55902777778</v>
      </c>
      <c r="F741" s="10" t="n">
        <v>45062.57638888889</v>
      </c>
      <c r="G741" s="11" t="n">
        <v>0.2</v>
      </c>
      <c r="H741" s="11">
        <f>H740+G741</f>
        <v/>
      </c>
    </row>
    <row r="742">
      <c r="A742" s="9" t="n">
        <v>738</v>
      </c>
      <c r="B742" s="9" t="inlineStr">
        <is>
          <t>Aurelius_M15</t>
        </is>
      </c>
      <c r="C742" s="9" t="inlineStr">
        <is>
          <t>MA alignment (EMA21&gt;EMA50&gt;SMA250&gt;SMMA500 vs EMA2400 trend filter) - M15 chart</t>
        </is>
      </c>
      <c r="D742" s="9" t="inlineStr">
        <is>
          <t>Short</t>
        </is>
      </c>
      <c r="E742" s="10" t="n">
        <v>45062.39583333334</v>
      </c>
      <c r="F742" s="10" t="n">
        <v>45062.64583333334</v>
      </c>
      <c r="G742" s="11" t="n">
        <v>-4.41</v>
      </c>
      <c r="H742" s="11">
        <f>H741+G742</f>
        <v/>
      </c>
    </row>
    <row r="743">
      <c r="A743" s="9" t="n">
        <v>739</v>
      </c>
      <c r="B743" s="9" t="inlineStr">
        <is>
          <t>Ratchet</t>
        </is>
      </c>
      <c r="C743" s="9" t="inlineStr">
        <is>
          <t>Stochastic scalp with give-back trail exit</t>
        </is>
      </c>
      <c r="D743" s="9" t="inlineStr">
        <is>
          <t>Short</t>
        </is>
      </c>
      <c r="E743" s="10" t="n">
        <v>45062.59375</v>
      </c>
      <c r="F743" s="10" t="n">
        <v>45062.64583333334</v>
      </c>
      <c r="G743" s="11" t="n">
        <v>1.22</v>
      </c>
      <c r="H743" s="11">
        <f>H742+G743</f>
        <v/>
      </c>
    </row>
    <row r="744">
      <c r="A744" s="9" t="n">
        <v>740</v>
      </c>
      <c r="B744" s="9" t="inlineStr">
        <is>
          <t>Ratchet</t>
        </is>
      </c>
      <c r="C744" s="9" t="inlineStr">
        <is>
          <t>Stochastic scalp with give-back trail exit</t>
        </is>
      </c>
      <c r="D744" s="9" t="inlineStr">
        <is>
          <t>Short</t>
        </is>
      </c>
      <c r="E744" s="10" t="n">
        <v>45062.64930555555</v>
      </c>
      <c r="F744" s="10" t="n">
        <v>45062.64930555555</v>
      </c>
      <c r="G744" s="11" t="n">
        <v>-3.24</v>
      </c>
      <c r="H744" s="11">
        <f>H743+G744</f>
        <v/>
      </c>
    </row>
    <row r="745">
      <c r="A745" s="9" t="n">
        <v>741</v>
      </c>
      <c r="B745" s="9" t="inlineStr">
        <is>
          <t>Aurelius_M5</t>
        </is>
      </c>
      <c r="C745" s="9" t="inlineStr">
        <is>
          <t>MA alignment (EMA21&gt;EMA50&gt;SMA250&gt;SMMA500 vs EMA2400 trend filter)</t>
        </is>
      </c>
      <c r="D745" s="9" t="inlineStr">
        <is>
          <t>Short</t>
        </is>
      </c>
      <c r="E745" s="10" t="n">
        <v>45062.36111111111</v>
      </c>
      <c r="F745" s="10" t="n">
        <v>45062.67361111111</v>
      </c>
      <c r="G745" s="11" t="n">
        <v>2.38</v>
      </c>
      <c r="H745" s="11">
        <f>H744+G745</f>
        <v/>
      </c>
    </row>
    <row r="746">
      <c r="A746" s="9" t="n">
        <v>742</v>
      </c>
      <c r="B746" s="9" t="inlineStr">
        <is>
          <t>Ratchet</t>
        </is>
      </c>
      <c r="C746" s="9" t="inlineStr">
        <is>
          <t>Stochastic scalp with give-back trail exit</t>
        </is>
      </c>
      <c r="D746" s="9" t="inlineStr">
        <is>
          <t>Short</t>
        </is>
      </c>
      <c r="E746" s="10" t="n">
        <v>45062.71180555555</v>
      </c>
      <c r="F746" s="10" t="n">
        <v>45062.71527777778</v>
      </c>
      <c r="G746" s="11" t="n">
        <v>0.49</v>
      </c>
      <c r="H746" s="11">
        <f>H745+G746</f>
        <v/>
      </c>
    </row>
    <row r="747">
      <c r="A747" s="9" t="n">
        <v>743</v>
      </c>
      <c r="B747" s="9" t="inlineStr">
        <is>
          <t>Meridian</t>
        </is>
      </c>
      <c r="C747" s="9" t="inlineStr">
        <is>
          <t>21/50 MA cross, 250-period confirm filter, VWAP</t>
        </is>
      </c>
      <c r="D747" s="9" t="inlineStr">
        <is>
          <t>Short</t>
        </is>
      </c>
      <c r="E747" s="10" t="n">
        <v>45062.71180555555</v>
      </c>
      <c r="F747" s="10" t="n">
        <v>45063.14583333334</v>
      </c>
      <c r="G747" s="11" t="n">
        <v>14.58</v>
      </c>
      <c r="H747" s="11">
        <f>H746+G747</f>
        <v/>
      </c>
    </row>
    <row r="748">
      <c r="A748" s="9" t="n">
        <v>744</v>
      </c>
      <c r="B748" s="9" t="inlineStr">
        <is>
          <t>Aurelius_M5</t>
        </is>
      </c>
      <c r="C748" s="9" t="inlineStr">
        <is>
          <t>MA alignment (EMA21&gt;EMA50&gt;SMA250&gt;SMMA500 vs EMA2400 trend filter)</t>
        </is>
      </c>
      <c r="D748" s="9" t="inlineStr">
        <is>
          <t>Short</t>
        </is>
      </c>
      <c r="E748" s="10" t="n">
        <v>45063.35763888889</v>
      </c>
      <c r="F748" s="10" t="n">
        <v>45063.42708333334</v>
      </c>
      <c r="G748" s="11" t="n">
        <v>-1.87</v>
      </c>
      <c r="H748" s="11">
        <f>H747+G748</f>
        <v/>
      </c>
    </row>
    <row r="749">
      <c r="A749" s="9" t="n">
        <v>745</v>
      </c>
      <c r="B749" s="9" t="inlineStr">
        <is>
          <t>Aurelius_M5</t>
        </is>
      </c>
      <c r="C749" s="9" t="inlineStr">
        <is>
          <t>MA alignment (EMA21&gt;EMA50&gt;SMA250&gt;SMMA500 vs EMA2400 trend filter)</t>
        </is>
      </c>
      <c r="D749" s="9" t="inlineStr">
        <is>
          <t>Short</t>
        </is>
      </c>
      <c r="E749" s="10" t="n">
        <v>45063.45138888889</v>
      </c>
      <c r="F749" s="10" t="n">
        <v>45063.57986111111</v>
      </c>
      <c r="G749" s="11" t="n">
        <v>0.41</v>
      </c>
      <c r="H749" s="11">
        <f>H748+G749</f>
        <v/>
      </c>
    </row>
    <row r="750">
      <c r="A750" s="9" t="n">
        <v>746</v>
      </c>
      <c r="B750" s="9" t="inlineStr">
        <is>
          <t>Ratchet</t>
        </is>
      </c>
      <c r="C750" s="9" t="inlineStr">
        <is>
          <t>Stochastic scalp with give-back trail exit</t>
        </is>
      </c>
      <c r="D750" s="9" t="inlineStr">
        <is>
          <t>Short</t>
        </is>
      </c>
      <c r="E750" s="10" t="n">
        <v>45063.65625</v>
      </c>
      <c r="F750" s="10" t="n">
        <v>45063.66666666666</v>
      </c>
      <c r="G750" s="11" t="n">
        <v>-2.67</v>
      </c>
      <c r="H750" s="11">
        <f>H749+G750</f>
        <v/>
      </c>
    </row>
    <row r="751">
      <c r="A751" s="9" t="n">
        <v>747</v>
      </c>
      <c r="B751" s="9" t="inlineStr">
        <is>
          <t>Aurelius_M5</t>
        </is>
      </c>
      <c r="C751" s="9" t="inlineStr">
        <is>
          <t>MA alignment (EMA21&gt;EMA50&gt;SMA250&gt;SMMA500 vs EMA2400 trend filter)</t>
        </is>
      </c>
      <c r="D751" s="9" t="inlineStr">
        <is>
          <t>Short</t>
        </is>
      </c>
      <c r="E751" s="10" t="n">
        <v>45063.65625</v>
      </c>
      <c r="F751" s="10" t="n">
        <v>45063.67013888889</v>
      </c>
      <c r="G751" s="11" t="n">
        <v>-3.58</v>
      </c>
      <c r="H751" s="11">
        <f>H750+G751</f>
        <v/>
      </c>
    </row>
    <row r="752">
      <c r="A752" s="9" t="n">
        <v>748</v>
      </c>
      <c r="B752" s="9" t="inlineStr">
        <is>
          <t>Meridian</t>
        </is>
      </c>
      <c r="C752" s="9" t="inlineStr">
        <is>
          <t>21/50 MA cross, 250-period confirm filter, VWAP</t>
        </is>
      </c>
      <c r="D752" s="9" t="inlineStr">
        <is>
          <t>Short</t>
        </is>
      </c>
      <c r="E752" s="10" t="n">
        <v>45063.35069444445</v>
      </c>
      <c r="F752" s="10" t="n">
        <v>45063.91666666666</v>
      </c>
      <c r="G752" s="11" t="n">
        <v>5.58</v>
      </c>
      <c r="H752" s="11">
        <f>H751+G752</f>
        <v/>
      </c>
    </row>
    <row r="753">
      <c r="A753" s="9" t="n">
        <v>749</v>
      </c>
      <c r="B753" s="9" t="inlineStr">
        <is>
          <t>Aurelius_M5</t>
        </is>
      </c>
      <c r="C753" s="9" t="inlineStr">
        <is>
          <t>MA alignment (EMA21&gt;EMA50&gt;SMA250&gt;SMMA500 vs EMA2400 trend filter)</t>
        </is>
      </c>
      <c r="D753" s="9" t="inlineStr">
        <is>
          <t>Short</t>
        </is>
      </c>
      <c r="E753" s="10" t="n">
        <v>45063.69444444445</v>
      </c>
      <c r="F753" s="10" t="n">
        <v>45063.91666666666</v>
      </c>
      <c r="G753" s="11" t="n">
        <v>-2.05</v>
      </c>
      <c r="H753" s="11">
        <f>H752+G753</f>
        <v/>
      </c>
    </row>
    <row r="754">
      <c r="A754" s="9" t="n">
        <v>750</v>
      </c>
      <c r="B754" s="9" t="inlineStr">
        <is>
          <t>Meridian</t>
        </is>
      </c>
      <c r="C754" s="9" t="inlineStr">
        <is>
          <t>21/50 MA cross, 250-period confirm filter, VWAP</t>
        </is>
      </c>
      <c r="D754" s="9" t="inlineStr">
        <is>
          <t>Short</t>
        </is>
      </c>
      <c r="E754" s="10" t="n">
        <v>45063.98958333334</v>
      </c>
      <c r="F754" s="10" t="n">
        <v>45064.06597222222</v>
      </c>
      <c r="G754" s="11" t="n">
        <v>-1.66</v>
      </c>
      <c r="H754" s="11">
        <f>H753+G754</f>
        <v/>
      </c>
    </row>
    <row r="755">
      <c r="A755" s="9" t="n">
        <v>751</v>
      </c>
      <c r="B755" s="9" t="inlineStr">
        <is>
          <t>Ratchet</t>
        </is>
      </c>
      <c r="C755" s="9" t="inlineStr">
        <is>
          <t>Stochastic scalp with give-back trail exit</t>
        </is>
      </c>
      <c r="D755" s="9" t="inlineStr">
        <is>
          <t>Short</t>
        </is>
      </c>
      <c r="E755" s="10" t="n">
        <v>45064.14583333334</v>
      </c>
      <c r="F755" s="10" t="n">
        <v>45064.15277777778</v>
      </c>
      <c r="G755" s="11" t="n">
        <v>-0</v>
      </c>
      <c r="H755" s="11">
        <f>H754+G755</f>
        <v/>
      </c>
    </row>
    <row r="756">
      <c r="A756" s="9" t="n">
        <v>752</v>
      </c>
      <c r="B756" s="9" t="inlineStr">
        <is>
          <t>Meridian</t>
        </is>
      </c>
      <c r="C756" s="9" t="inlineStr">
        <is>
          <t>21/50 MA cross, 250-period confirm filter, VWAP</t>
        </is>
      </c>
      <c r="D756" s="9" t="inlineStr">
        <is>
          <t>Short</t>
        </is>
      </c>
      <c r="E756" s="10" t="n">
        <v>45064.14236111111</v>
      </c>
      <c r="F756" s="10" t="n">
        <v>45064.16319444445</v>
      </c>
      <c r="G756" s="11" t="n">
        <v>-0.87</v>
      </c>
      <c r="H756" s="11">
        <f>H755+G756</f>
        <v/>
      </c>
    </row>
    <row r="757">
      <c r="A757" s="9" t="n">
        <v>753</v>
      </c>
      <c r="B757" s="9" t="inlineStr">
        <is>
          <t>Aurelius_M15</t>
        </is>
      </c>
      <c r="C757" s="9" t="inlineStr">
        <is>
          <t>MA alignment (EMA21&gt;EMA50&gt;SMA250&gt;SMMA500 vs EMA2400 trend filter) - M15 chart</t>
        </is>
      </c>
      <c r="D757" s="9" t="inlineStr">
        <is>
          <t>Short</t>
        </is>
      </c>
      <c r="E757" s="10" t="n">
        <v>45062.69791666666</v>
      </c>
      <c r="F757" s="10" t="n">
        <v>45064.23958333334</v>
      </c>
      <c r="G757" s="11" t="n">
        <v>24.06</v>
      </c>
      <c r="H757" s="11">
        <f>H756+G757</f>
        <v/>
      </c>
    </row>
    <row r="758">
      <c r="A758" s="9" t="n">
        <v>754</v>
      </c>
      <c r="B758" s="9" t="inlineStr">
        <is>
          <t>Ratchet</t>
        </is>
      </c>
      <c r="C758" s="9" t="inlineStr">
        <is>
          <t>Stochastic scalp with give-back trail exit</t>
        </is>
      </c>
      <c r="D758" s="9" t="inlineStr">
        <is>
          <t>Short</t>
        </is>
      </c>
      <c r="E758" s="10" t="n">
        <v>45064.29513888889</v>
      </c>
      <c r="F758" s="10" t="n">
        <v>45064.30902777778</v>
      </c>
      <c r="G758" s="11" t="n">
        <v>0.11</v>
      </c>
      <c r="H758" s="11">
        <f>H757+G758</f>
        <v/>
      </c>
    </row>
    <row r="759">
      <c r="A759" s="9" t="n">
        <v>755</v>
      </c>
      <c r="B759" s="9" t="inlineStr">
        <is>
          <t>Ratchet</t>
        </is>
      </c>
      <c r="C759" s="9" t="inlineStr">
        <is>
          <t>Stochastic scalp with give-back trail exit</t>
        </is>
      </c>
      <c r="D759" s="9" t="inlineStr">
        <is>
          <t>Short</t>
        </is>
      </c>
      <c r="E759" s="10" t="n">
        <v>45064.45138888889</v>
      </c>
      <c r="F759" s="10" t="n">
        <v>45064.48611111111</v>
      </c>
      <c r="G759" s="11" t="n">
        <v>1.34</v>
      </c>
      <c r="H759" s="11">
        <f>H758+G759</f>
        <v/>
      </c>
    </row>
    <row r="760">
      <c r="A760" s="9" t="n">
        <v>756</v>
      </c>
      <c r="B760" s="9" t="inlineStr">
        <is>
          <t>Ratchet</t>
        </is>
      </c>
      <c r="C760" s="9" t="inlineStr">
        <is>
          <t>Stochastic scalp with give-back trail exit</t>
        </is>
      </c>
      <c r="D760" s="9" t="inlineStr">
        <is>
          <t>Short</t>
        </is>
      </c>
      <c r="E760" s="10" t="n">
        <v>45064.49652777778</v>
      </c>
      <c r="F760" s="10" t="n">
        <v>45064.50347222222</v>
      </c>
      <c r="G760" s="11" t="n">
        <v>-2.8</v>
      </c>
      <c r="H760" s="11">
        <f>H759+G760</f>
        <v/>
      </c>
    </row>
    <row r="761">
      <c r="A761" s="9" t="n">
        <v>757</v>
      </c>
      <c r="B761" s="9" t="inlineStr">
        <is>
          <t>Ratchet</t>
        </is>
      </c>
      <c r="C761" s="9" t="inlineStr">
        <is>
          <t>Stochastic scalp with give-back trail exit</t>
        </is>
      </c>
      <c r="D761" s="9" t="inlineStr">
        <is>
          <t>Short</t>
        </is>
      </c>
      <c r="E761" s="10" t="n">
        <v>45064.62847222222</v>
      </c>
      <c r="F761" s="10" t="n">
        <v>45064.69097222222</v>
      </c>
      <c r="G761" s="11" t="n">
        <v>15.37</v>
      </c>
      <c r="H761" s="11">
        <f>H760+G761</f>
        <v/>
      </c>
    </row>
    <row r="762">
      <c r="A762" s="9" t="n">
        <v>758</v>
      </c>
      <c r="B762" s="9" t="inlineStr">
        <is>
          <t>Ratchet</t>
        </is>
      </c>
      <c r="C762" s="9" t="inlineStr">
        <is>
          <t>Stochastic scalp with give-back trail exit</t>
        </is>
      </c>
      <c r="D762" s="9" t="inlineStr">
        <is>
          <t>Short</t>
        </is>
      </c>
      <c r="E762" s="10" t="n">
        <v>45064.84375</v>
      </c>
      <c r="F762" s="10" t="n">
        <v>45064.84722222222</v>
      </c>
      <c r="G762" s="11" t="n">
        <v>0.21</v>
      </c>
      <c r="H762" s="11">
        <f>H761+G762</f>
        <v/>
      </c>
    </row>
    <row r="763">
      <c r="A763" s="9" t="n">
        <v>759</v>
      </c>
      <c r="B763" s="9" t="inlineStr">
        <is>
          <t>Aurelius_M5</t>
        </is>
      </c>
      <c r="C763" s="9" t="inlineStr">
        <is>
          <t>MA alignment (EMA21&gt;EMA50&gt;SMA250&gt;SMMA500 vs EMA2400 trend filter)</t>
        </is>
      </c>
      <c r="D763" s="9" t="inlineStr">
        <is>
          <t>Short</t>
        </is>
      </c>
      <c r="E763" s="10" t="n">
        <v>45064.64930555555</v>
      </c>
      <c r="F763" s="10" t="n">
        <v>45065.04166666666</v>
      </c>
      <c r="G763" s="11" t="n">
        <v>10.91</v>
      </c>
      <c r="H763" s="11">
        <f>H762+G763</f>
        <v/>
      </c>
    </row>
    <row r="764">
      <c r="A764" s="9" t="n">
        <v>760</v>
      </c>
      <c r="B764" s="9" t="inlineStr">
        <is>
          <t>Meridian</t>
        </is>
      </c>
      <c r="C764" s="9" t="inlineStr">
        <is>
          <t>21/50 MA cross, 250-period confirm filter, VWAP</t>
        </is>
      </c>
      <c r="D764" s="9" t="inlineStr">
        <is>
          <t>Short</t>
        </is>
      </c>
      <c r="E764" s="10" t="n">
        <v>45064.27083333334</v>
      </c>
      <c r="F764" s="10" t="n">
        <v>45065.05208333334</v>
      </c>
      <c r="G764" s="11" t="n">
        <v>23.45</v>
      </c>
      <c r="H764" s="11">
        <f>H763+G764</f>
        <v/>
      </c>
    </row>
    <row r="765">
      <c r="A765" s="9" t="n">
        <v>761</v>
      </c>
      <c r="B765" s="9" t="inlineStr">
        <is>
          <t>Meridian</t>
        </is>
      </c>
      <c r="C765" s="9" t="inlineStr">
        <is>
          <t>21/50 MA cross, 250-period confirm filter, VWAP</t>
        </is>
      </c>
      <c r="D765" s="9" t="inlineStr">
        <is>
          <t>Short</t>
        </is>
      </c>
      <c r="E765" s="10" t="n">
        <v>45065.19097222222</v>
      </c>
      <c r="F765" s="10" t="n">
        <v>45065.22916666666</v>
      </c>
      <c r="G765" s="11" t="n">
        <v>-2.85</v>
      </c>
      <c r="H765" s="11">
        <f>H764+G765</f>
        <v/>
      </c>
    </row>
    <row r="766">
      <c r="A766" s="9" t="n">
        <v>762</v>
      </c>
      <c r="B766" s="9" t="inlineStr">
        <is>
          <t>Aurelius_M5</t>
        </is>
      </c>
      <c r="C766" s="9" t="inlineStr">
        <is>
          <t>MA alignment (EMA21&gt;EMA50&gt;SMA250&gt;SMMA500 vs EMA2400 trend filter)</t>
        </is>
      </c>
      <c r="D766" s="9" t="inlineStr">
        <is>
          <t>Short</t>
        </is>
      </c>
      <c r="E766" s="10" t="n">
        <v>45065.21180555555</v>
      </c>
      <c r="F766" s="10" t="n">
        <v>45065.22916666666</v>
      </c>
      <c r="G766" s="11" t="n">
        <v>-2.94</v>
      </c>
      <c r="H766" s="11">
        <f>H765+G766</f>
        <v/>
      </c>
    </row>
    <row r="767">
      <c r="A767" s="9" t="n">
        <v>763</v>
      </c>
      <c r="B767" s="9" t="inlineStr">
        <is>
          <t>Vanguard_M15</t>
        </is>
      </c>
      <c r="C767" s="9" t="inlineStr">
        <is>
          <t>Trendline breakout (fractal swing line) + VWAP/S-R distance gate - M15 chart</t>
        </is>
      </c>
      <c r="D767" s="9" t="inlineStr">
        <is>
          <t>Short</t>
        </is>
      </c>
      <c r="E767" s="10" t="n">
        <v>45061.72916666666</v>
      </c>
      <c r="F767" s="10" t="n">
        <v>45065.52083333334</v>
      </c>
      <c r="G767" s="11" t="n">
        <v>48.93</v>
      </c>
      <c r="H767" s="11">
        <f>H766+G767</f>
        <v/>
      </c>
    </row>
    <row r="768">
      <c r="A768" s="9" t="n">
        <v>764</v>
      </c>
      <c r="B768" s="9" t="inlineStr">
        <is>
          <t>Vanguard_M5</t>
        </is>
      </c>
      <c r="C768" s="9" t="inlineStr">
        <is>
          <t>Trendline breakout (fractal swing line) + VWAP/S-R distance gate</t>
        </is>
      </c>
      <c r="D768" s="9" t="inlineStr">
        <is>
          <t>Short</t>
        </is>
      </c>
      <c r="E768" s="10" t="n">
        <v>45061.72569444445</v>
      </c>
      <c r="F768" s="10" t="n">
        <v>45065.52777777778</v>
      </c>
      <c r="G768" s="11" t="n">
        <v>48.9</v>
      </c>
      <c r="H768" s="11">
        <f>H767+G768</f>
        <v/>
      </c>
    </row>
    <row r="769">
      <c r="A769" s="9" t="n">
        <v>765</v>
      </c>
      <c r="B769" s="9" t="inlineStr">
        <is>
          <t>Vanguard_M5</t>
        </is>
      </c>
      <c r="C769" s="9" t="inlineStr">
        <is>
          <t>Trendline breakout (fractal swing line) + VWAP/S-R distance gate</t>
        </is>
      </c>
      <c r="D769" s="9" t="inlineStr">
        <is>
          <t>Long</t>
        </is>
      </c>
      <c r="E769" s="10" t="n">
        <v>45065.53125</v>
      </c>
      <c r="F769" s="10" t="n">
        <v>45065.60069444445</v>
      </c>
      <c r="G769" s="11" t="n">
        <v>-4.66</v>
      </c>
      <c r="H769" s="11">
        <f>H768+G769</f>
        <v/>
      </c>
    </row>
    <row r="770">
      <c r="A770" s="9" t="n">
        <v>766</v>
      </c>
      <c r="B770" s="9" t="inlineStr">
        <is>
          <t>Vanguard_M15</t>
        </is>
      </c>
      <c r="C770" s="9" t="inlineStr">
        <is>
          <t>Trendline breakout (fractal swing line) + VWAP/S-R distance gate - M15 chart</t>
        </is>
      </c>
      <c r="D770" s="9" t="inlineStr">
        <is>
          <t>Long</t>
        </is>
      </c>
      <c r="E770" s="10" t="n">
        <v>45065.53125</v>
      </c>
      <c r="F770" s="10" t="n">
        <v>45065.64583333334</v>
      </c>
      <c r="G770" s="11" t="n">
        <v>-6.06</v>
      </c>
      <c r="H770" s="11">
        <f>H769+G770</f>
        <v/>
      </c>
    </row>
    <row r="771">
      <c r="A771" s="9" t="n">
        <v>767</v>
      </c>
      <c r="B771" s="9" t="inlineStr">
        <is>
          <t>Aurelius_M15</t>
        </is>
      </c>
      <c r="C771" s="9" t="inlineStr">
        <is>
          <t>MA alignment (EMA21&gt;EMA50&gt;SMA250&gt;SMMA500 vs EMA2400 trend filter) - M15 chart</t>
        </is>
      </c>
      <c r="D771" s="9" t="inlineStr">
        <is>
          <t>Short</t>
        </is>
      </c>
      <c r="E771" s="10" t="n">
        <v>45065.73958333334</v>
      </c>
      <c r="F771" s="10" t="n">
        <v>45065.75</v>
      </c>
      <c r="G771" s="11" t="n">
        <v>-6.12</v>
      </c>
      <c r="H771" s="11">
        <f>H770+G771</f>
        <v/>
      </c>
    </row>
    <row r="772">
      <c r="A772" s="9" t="n">
        <v>768</v>
      </c>
      <c r="B772" s="9" t="inlineStr">
        <is>
          <t>Ratchet</t>
        </is>
      </c>
      <c r="C772" s="9" t="inlineStr">
        <is>
          <t>Stochastic scalp with give-back trail exit</t>
        </is>
      </c>
      <c r="D772" s="9" t="inlineStr">
        <is>
          <t>Short</t>
        </is>
      </c>
      <c r="E772" s="10" t="n">
        <v>45065.75694444445</v>
      </c>
      <c r="F772" s="10" t="n">
        <v>45065.75694444445</v>
      </c>
      <c r="G772" s="11" t="n">
        <v>-2.72</v>
      </c>
      <c r="H772" s="11">
        <f>H771+G772</f>
        <v/>
      </c>
    </row>
    <row r="773">
      <c r="A773" s="9" t="n">
        <v>769</v>
      </c>
      <c r="B773" s="9" t="inlineStr">
        <is>
          <t>Meridian</t>
        </is>
      </c>
      <c r="C773" s="9" t="inlineStr">
        <is>
          <t>21/50 MA cross, 250-period confirm filter, VWAP</t>
        </is>
      </c>
      <c r="D773" s="9" t="inlineStr">
        <is>
          <t>Long</t>
        </is>
      </c>
      <c r="E773" s="10" t="n">
        <v>45065.76736111111</v>
      </c>
      <c r="F773" s="10" t="n">
        <v>45065.91666666666</v>
      </c>
      <c r="G773" s="11" t="n">
        <v>3.58</v>
      </c>
      <c r="H773" s="11">
        <f>H772+G773</f>
        <v/>
      </c>
    </row>
    <row r="774">
      <c r="A774" s="9" t="n">
        <v>770</v>
      </c>
      <c r="B774" s="9" t="inlineStr">
        <is>
          <t>Meridian</t>
        </is>
      </c>
      <c r="C774" s="9" t="inlineStr">
        <is>
          <t>21/50 MA cross, 250-period confirm filter, VWAP</t>
        </is>
      </c>
      <c r="D774" s="9" t="inlineStr">
        <is>
          <t>Long</t>
        </is>
      </c>
      <c r="E774" s="10" t="n">
        <v>45068.48958333334</v>
      </c>
      <c r="F774" s="10" t="n">
        <v>45068.60416666666</v>
      </c>
      <c r="G774" s="11" t="n">
        <v>-3.22</v>
      </c>
      <c r="H774" s="11">
        <f>H773+G774</f>
        <v/>
      </c>
    </row>
    <row r="775">
      <c r="A775" s="9" t="n">
        <v>771</v>
      </c>
      <c r="B775" s="9" t="inlineStr">
        <is>
          <t>Aurelius_M5</t>
        </is>
      </c>
      <c r="C775" s="9" t="inlineStr">
        <is>
          <t>MA alignment (EMA21&gt;EMA50&gt;SMA250&gt;SMMA500 vs EMA2400 trend filter)</t>
        </is>
      </c>
      <c r="D775" s="9" t="inlineStr">
        <is>
          <t>Short</t>
        </is>
      </c>
      <c r="E775" s="10" t="n">
        <v>45068.6875</v>
      </c>
      <c r="F775" s="10" t="n">
        <v>45068.71180555555</v>
      </c>
      <c r="G775" s="11" t="n">
        <v>-4.07</v>
      </c>
      <c r="H775" s="11">
        <f>H774+G775</f>
        <v/>
      </c>
    </row>
    <row r="776">
      <c r="A776" s="9" t="n">
        <v>772</v>
      </c>
      <c r="B776" s="9" t="inlineStr">
        <is>
          <t>Aurelius_M5</t>
        </is>
      </c>
      <c r="C776" s="9" t="inlineStr">
        <is>
          <t>MA alignment (EMA21&gt;EMA50&gt;SMA250&gt;SMMA500 vs EMA2400 trend filter)</t>
        </is>
      </c>
      <c r="D776" s="9" t="inlineStr">
        <is>
          <t>Short</t>
        </is>
      </c>
      <c r="E776" s="10" t="n">
        <v>45068.72916666666</v>
      </c>
      <c r="F776" s="10" t="n">
        <v>45068.83680555555</v>
      </c>
      <c r="G776" s="11" t="n">
        <v>-3.68</v>
      </c>
      <c r="H776" s="11">
        <f>H775+G776</f>
        <v/>
      </c>
    </row>
    <row r="777">
      <c r="A777" s="9" t="n">
        <v>773</v>
      </c>
      <c r="B777" s="9" t="inlineStr">
        <is>
          <t>Vanguard_M15</t>
        </is>
      </c>
      <c r="C777" s="9" t="inlineStr">
        <is>
          <t>Trendline breakout (fractal swing line) + VWAP/S-R distance gate - M15 chart</t>
        </is>
      </c>
      <c r="D777" s="9" t="inlineStr">
        <is>
          <t>Long</t>
        </is>
      </c>
      <c r="E777" s="10" t="n">
        <v>45065.76041666666</v>
      </c>
      <c r="F777" s="10" t="n">
        <v>45069.10416666666</v>
      </c>
      <c r="G777" s="11" t="n">
        <v>2.81</v>
      </c>
      <c r="H777" s="11">
        <f>H776+G777</f>
        <v/>
      </c>
    </row>
    <row r="778">
      <c r="A778" s="9" t="n">
        <v>774</v>
      </c>
      <c r="B778" s="9" t="inlineStr">
        <is>
          <t>Vanguard_M5</t>
        </is>
      </c>
      <c r="C778" s="9" t="inlineStr">
        <is>
          <t>Trendline breakout (fractal swing line) + VWAP/S-R distance gate</t>
        </is>
      </c>
      <c r="D778" s="9" t="inlineStr">
        <is>
          <t>Long</t>
        </is>
      </c>
      <c r="E778" s="10" t="n">
        <v>45065.76041666666</v>
      </c>
      <c r="F778" s="10" t="n">
        <v>45069.11458333334</v>
      </c>
      <c r="G778" s="11" t="n">
        <v>2.41</v>
      </c>
      <c r="H778" s="11">
        <f>H777+G778</f>
        <v/>
      </c>
    </row>
    <row r="779">
      <c r="A779" s="9" t="n">
        <v>775</v>
      </c>
      <c r="B779" s="9" t="inlineStr">
        <is>
          <t>Ratchet</t>
        </is>
      </c>
      <c r="C779" s="9" t="inlineStr">
        <is>
          <t>Stochastic scalp with give-back trail exit</t>
        </is>
      </c>
      <c r="D779" s="9" t="inlineStr">
        <is>
          <t>Short</t>
        </is>
      </c>
      <c r="E779" s="10" t="n">
        <v>45069.23263888889</v>
      </c>
      <c r="F779" s="10" t="n">
        <v>45069.24652777778</v>
      </c>
      <c r="G779" s="11" t="n">
        <v>-2.6</v>
      </c>
      <c r="H779" s="11">
        <f>H778+G779</f>
        <v/>
      </c>
    </row>
    <row r="780">
      <c r="A780" s="9" t="n">
        <v>776</v>
      </c>
      <c r="B780" s="9" t="inlineStr">
        <is>
          <t>Ratchet</t>
        </is>
      </c>
      <c r="C780" s="9" t="inlineStr">
        <is>
          <t>Stochastic scalp with give-back trail exit</t>
        </is>
      </c>
      <c r="D780" s="9" t="inlineStr">
        <is>
          <t>Short</t>
        </is>
      </c>
      <c r="E780" s="10" t="n">
        <v>45069.34027777778</v>
      </c>
      <c r="F780" s="10" t="n">
        <v>45069.34722222222</v>
      </c>
      <c r="G780" s="11" t="n">
        <v>0.22</v>
      </c>
      <c r="H780" s="11">
        <f>H779+G780</f>
        <v/>
      </c>
    </row>
    <row r="781">
      <c r="A781" s="9" t="n">
        <v>777</v>
      </c>
      <c r="B781" s="9" t="inlineStr">
        <is>
          <t>Ratchet</t>
        </is>
      </c>
      <c r="C781" s="9" t="inlineStr">
        <is>
          <t>Stochastic scalp with give-back trail exit</t>
        </is>
      </c>
      <c r="D781" s="9" t="inlineStr">
        <is>
          <t>Short</t>
        </is>
      </c>
      <c r="E781" s="10" t="n">
        <v>45069.35416666666</v>
      </c>
      <c r="F781" s="10" t="n">
        <v>45069.35763888889</v>
      </c>
      <c r="G781" s="11" t="n">
        <v>0.49</v>
      </c>
      <c r="H781" s="11">
        <f>H780+G781</f>
        <v/>
      </c>
    </row>
    <row r="782">
      <c r="A782" s="9" t="n">
        <v>778</v>
      </c>
      <c r="B782" s="9" t="inlineStr">
        <is>
          <t>Meridian</t>
        </is>
      </c>
      <c r="C782" s="9" t="inlineStr">
        <is>
          <t>21/50 MA cross, 250-period confirm filter, VWAP</t>
        </is>
      </c>
      <c r="D782" s="9" t="inlineStr">
        <is>
          <t>Short</t>
        </is>
      </c>
      <c r="E782" s="10" t="n">
        <v>45068.90972222222</v>
      </c>
      <c r="F782" s="10" t="n">
        <v>45069.63541666666</v>
      </c>
      <c r="G782" s="11" t="n">
        <v>12.21</v>
      </c>
      <c r="H782" s="11">
        <f>H781+G782</f>
        <v/>
      </c>
    </row>
    <row r="783">
      <c r="A783" s="9" t="n">
        <v>779</v>
      </c>
      <c r="B783" s="9" t="inlineStr">
        <is>
          <t>Aurelius_M5</t>
        </is>
      </c>
      <c r="C783" s="9" t="inlineStr">
        <is>
          <t>MA alignment (EMA21&gt;EMA50&gt;SMA250&gt;SMMA500 vs EMA2400 trend filter)</t>
        </is>
      </c>
      <c r="D783" s="9" t="inlineStr">
        <is>
          <t>Short</t>
        </is>
      </c>
      <c r="E783" s="10" t="n">
        <v>45069.39236111111</v>
      </c>
      <c r="F783" s="10" t="n">
        <v>45069.63541666666</v>
      </c>
      <c r="G783" s="11" t="n">
        <v>1.75</v>
      </c>
      <c r="H783" s="11">
        <f>H782+G783</f>
        <v/>
      </c>
    </row>
    <row r="784">
      <c r="A784" s="9" t="n">
        <v>780</v>
      </c>
      <c r="B784" s="9" t="inlineStr">
        <is>
          <t>Vanguard_M5</t>
        </is>
      </c>
      <c r="C784" s="9" t="inlineStr">
        <is>
          <t>Trendline breakout (fractal swing line) + VWAP/S-R distance gate</t>
        </is>
      </c>
      <c r="D784" s="9" t="inlineStr">
        <is>
          <t>Short</t>
        </is>
      </c>
      <c r="E784" s="10" t="n">
        <v>45069.11805555555</v>
      </c>
      <c r="F784" s="10" t="n">
        <v>45069.70486111111</v>
      </c>
      <c r="G784" s="11" t="n">
        <v>-2.11</v>
      </c>
      <c r="H784" s="11">
        <f>H783+G784</f>
        <v/>
      </c>
    </row>
    <row r="785">
      <c r="A785" s="9" t="n">
        <v>781</v>
      </c>
      <c r="B785" s="9" t="inlineStr">
        <is>
          <t>Vanguard_M15</t>
        </is>
      </c>
      <c r="C785" s="9" t="inlineStr">
        <is>
          <t>Trendline breakout (fractal swing line) + VWAP/S-R distance gate - M15 chart</t>
        </is>
      </c>
      <c r="D785" s="9" t="inlineStr">
        <is>
          <t>Short</t>
        </is>
      </c>
      <c r="E785" s="10" t="n">
        <v>45069.11458333334</v>
      </c>
      <c r="F785" s="10" t="n">
        <v>45069.8125</v>
      </c>
      <c r="G785" s="11" t="n">
        <v>-4.09</v>
      </c>
      <c r="H785" s="11">
        <f>H784+G785</f>
        <v/>
      </c>
    </row>
    <row r="786">
      <c r="A786" s="9" t="n">
        <v>782</v>
      </c>
      <c r="B786" s="9" t="inlineStr">
        <is>
          <t>Meridian</t>
        </is>
      </c>
      <c r="C786" s="9" t="inlineStr">
        <is>
          <t>21/50 MA cross, 250-period confirm filter, VWAP</t>
        </is>
      </c>
      <c r="D786" s="9" t="inlineStr">
        <is>
          <t>Long</t>
        </is>
      </c>
      <c r="E786" s="10" t="n">
        <v>45070.28819444445</v>
      </c>
      <c r="F786" s="10" t="n">
        <v>45070.39583333334</v>
      </c>
      <c r="G786" s="11" t="n">
        <v>-2.03</v>
      </c>
      <c r="H786" s="11">
        <f>H785+G786</f>
        <v/>
      </c>
    </row>
    <row r="787">
      <c r="A787" s="9" t="n">
        <v>783</v>
      </c>
      <c r="B787" s="9" t="inlineStr">
        <is>
          <t>Vanguard_M15</t>
        </is>
      </c>
      <c r="C787" s="9" t="inlineStr">
        <is>
          <t>Trendline breakout (fractal swing line) + VWAP/S-R distance gate - M15 chart</t>
        </is>
      </c>
      <c r="D787" s="9" t="inlineStr">
        <is>
          <t>Long</t>
        </is>
      </c>
      <c r="E787" s="10" t="n">
        <v>45070.29166666666</v>
      </c>
      <c r="F787" s="10" t="n">
        <v>45070.39583333334</v>
      </c>
      <c r="G787" s="11" t="n">
        <v>-4.68</v>
      </c>
      <c r="H787" s="11">
        <f>H786+G787</f>
        <v/>
      </c>
    </row>
    <row r="788">
      <c r="A788" s="9" t="n">
        <v>784</v>
      </c>
      <c r="B788" s="9" t="inlineStr">
        <is>
          <t>Vanguard_M5</t>
        </is>
      </c>
      <c r="C788" s="9" t="inlineStr">
        <is>
          <t>Trendline breakout (fractal swing line) + VWAP/S-R distance gate</t>
        </is>
      </c>
      <c r="D788" s="9" t="inlineStr">
        <is>
          <t>Long</t>
        </is>
      </c>
      <c r="E788" s="10" t="n">
        <v>45070.29166666666</v>
      </c>
      <c r="F788" s="10" t="n">
        <v>45070.39930555555</v>
      </c>
      <c r="G788" s="11" t="n">
        <v>-3.18</v>
      </c>
      <c r="H788" s="11">
        <f>H787+G788</f>
        <v/>
      </c>
    </row>
    <row r="789">
      <c r="A789" s="9" t="n">
        <v>785</v>
      </c>
      <c r="B789" s="9" t="inlineStr">
        <is>
          <t>Meridian</t>
        </is>
      </c>
      <c r="C789" s="9" t="inlineStr">
        <is>
          <t>21/50 MA cross, 250-period confirm filter, VWAP</t>
        </is>
      </c>
      <c r="D789" s="9" t="inlineStr">
        <is>
          <t>Long</t>
        </is>
      </c>
      <c r="E789" s="10" t="n">
        <v>45070.52430555555</v>
      </c>
      <c r="F789" s="10" t="n">
        <v>45070.6875</v>
      </c>
      <c r="G789" s="11" t="n">
        <v>-3.38</v>
      </c>
      <c r="H789" s="11">
        <f>H788+G789</f>
        <v/>
      </c>
    </row>
    <row r="790">
      <c r="A790" s="9" t="n">
        <v>786</v>
      </c>
      <c r="B790" s="9" t="inlineStr">
        <is>
          <t>Vanguard_M15</t>
        </is>
      </c>
      <c r="C790" s="9" t="inlineStr">
        <is>
          <t>Trendline breakout (fractal swing line) + VWAP/S-R distance gate - M15 chart</t>
        </is>
      </c>
      <c r="D790" s="9" t="inlineStr">
        <is>
          <t>Long</t>
        </is>
      </c>
      <c r="E790" s="10" t="n">
        <v>45070.44791666666</v>
      </c>
      <c r="F790" s="10" t="n">
        <v>45070.70833333334</v>
      </c>
      <c r="G790" s="11" t="n">
        <v>-6.76</v>
      </c>
      <c r="H790" s="11">
        <f>H789+G790</f>
        <v/>
      </c>
    </row>
    <row r="791">
      <c r="A791" s="9" t="n">
        <v>787</v>
      </c>
      <c r="B791" s="9" t="inlineStr">
        <is>
          <t>Vanguard_M5</t>
        </is>
      </c>
      <c r="C791" s="9" t="inlineStr">
        <is>
          <t>Trendline breakout (fractal swing line) + VWAP/S-R distance gate</t>
        </is>
      </c>
      <c r="D791" s="9" t="inlineStr">
        <is>
          <t>Long</t>
        </is>
      </c>
      <c r="E791" s="10" t="n">
        <v>45070.44791666666</v>
      </c>
      <c r="F791" s="10" t="n">
        <v>45070.70833333334</v>
      </c>
      <c r="G791" s="11" t="n">
        <v>-6.23</v>
      </c>
      <c r="H791" s="11">
        <f>H790+G791</f>
        <v/>
      </c>
    </row>
    <row r="792">
      <c r="A792" s="9" t="n">
        <v>788</v>
      </c>
      <c r="B792" s="9" t="inlineStr">
        <is>
          <t>Ratchet</t>
        </is>
      </c>
      <c r="C792" s="9" t="inlineStr">
        <is>
          <t>Stochastic scalp with give-back trail exit</t>
        </is>
      </c>
      <c r="D792" s="9" t="inlineStr">
        <is>
          <t>Short</t>
        </is>
      </c>
      <c r="E792" s="10" t="n">
        <v>45070.95138888889</v>
      </c>
      <c r="F792" s="10" t="n">
        <v>45070.95833333334</v>
      </c>
      <c r="G792" s="11" t="n">
        <v>0.33</v>
      </c>
      <c r="H792" s="11">
        <f>H791+G792</f>
        <v/>
      </c>
    </row>
    <row r="793">
      <c r="A793" s="9" t="n">
        <v>789</v>
      </c>
      <c r="B793" s="9" t="inlineStr">
        <is>
          <t>Ratchet</t>
        </is>
      </c>
      <c r="C793" s="9" t="inlineStr">
        <is>
          <t>Stochastic scalp with give-back trail exit</t>
        </is>
      </c>
      <c r="D793" s="9" t="inlineStr">
        <is>
          <t>Short</t>
        </is>
      </c>
      <c r="E793" s="10" t="n">
        <v>45071.18402777778</v>
      </c>
      <c r="F793" s="10" t="n">
        <v>45071.19791666666</v>
      </c>
      <c r="G793" s="11" t="n">
        <v>0.5</v>
      </c>
      <c r="H793" s="11">
        <f>H792+G793</f>
        <v/>
      </c>
    </row>
    <row r="794">
      <c r="A794" s="9" t="n">
        <v>790</v>
      </c>
      <c r="B794" s="9" t="inlineStr">
        <is>
          <t>Meridian</t>
        </is>
      </c>
      <c r="C794" s="9" t="inlineStr">
        <is>
          <t>21/50 MA cross, 250-period confirm filter, VWAP</t>
        </is>
      </c>
      <c r="D794" s="9" t="inlineStr">
        <is>
          <t>Short</t>
        </is>
      </c>
      <c r="E794" s="10" t="n">
        <v>45070.69791666666</v>
      </c>
      <c r="F794" s="10" t="n">
        <v>45071.41319444445</v>
      </c>
      <c r="G794" s="11" t="n">
        <v>13.46</v>
      </c>
      <c r="H794" s="11">
        <f>H793+G794</f>
        <v/>
      </c>
    </row>
    <row r="795">
      <c r="A795" s="9" t="n">
        <v>791</v>
      </c>
      <c r="B795" s="9" t="inlineStr">
        <is>
          <t>Aurelius_M5</t>
        </is>
      </c>
      <c r="C795" s="9" t="inlineStr">
        <is>
          <t>MA alignment (EMA21&gt;EMA50&gt;SMA250&gt;SMMA500 vs EMA2400 trend filter)</t>
        </is>
      </c>
      <c r="D795" s="9" t="inlineStr">
        <is>
          <t>Short</t>
        </is>
      </c>
      <c r="E795" s="10" t="n">
        <v>45071.17013888889</v>
      </c>
      <c r="F795" s="10" t="n">
        <v>45071.41319444445</v>
      </c>
      <c r="G795" s="11" t="n">
        <v>-0.84</v>
      </c>
      <c r="H795" s="11">
        <f>H794+G795</f>
        <v/>
      </c>
    </row>
    <row r="796">
      <c r="A796" s="9" t="n">
        <v>792</v>
      </c>
      <c r="B796" s="9" t="inlineStr">
        <is>
          <t>Aurelius_M5</t>
        </is>
      </c>
      <c r="C796" s="9" t="inlineStr">
        <is>
          <t>MA alignment (EMA21&gt;EMA50&gt;SMA250&gt;SMMA500 vs EMA2400 trend filter)</t>
        </is>
      </c>
      <c r="D796" s="9" t="inlineStr">
        <is>
          <t>Short</t>
        </is>
      </c>
      <c r="E796" s="10" t="n">
        <v>45071.65625</v>
      </c>
      <c r="F796" s="10" t="n">
        <v>45071.66666666666</v>
      </c>
      <c r="G796" s="11" t="n">
        <v>-6.25</v>
      </c>
      <c r="H796" s="11">
        <f>H795+G796</f>
        <v/>
      </c>
    </row>
    <row r="797">
      <c r="A797" s="9" t="n">
        <v>793</v>
      </c>
      <c r="B797" s="9" t="inlineStr">
        <is>
          <t>Ratchet</t>
        </is>
      </c>
      <c r="C797" s="9" t="inlineStr">
        <is>
          <t>Stochastic scalp with give-back trail exit</t>
        </is>
      </c>
      <c r="D797" s="9" t="inlineStr">
        <is>
          <t>Short</t>
        </is>
      </c>
      <c r="E797" s="10" t="n">
        <v>45071.76736111111</v>
      </c>
      <c r="F797" s="10" t="n">
        <v>45071.77777777778</v>
      </c>
      <c r="G797" s="11" t="n">
        <v>0.54</v>
      </c>
      <c r="H797" s="11">
        <f>H796+G797</f>
        <v/>
      </c>
    </row>
    <row r="798">
      <c r="A798" s="9" t="n">
        <v>794</v>
      </c>
      <c r="B798" s="9" t="inlineStr">
        <is>
          <t>Ratchet</t>
        </is>
      </c>
      <c r="C798" s="9" t="inlineStr">
        <is>
          <t>Stochastic scalp with give-back trail exit</t>
        </is>
      </c>
      <c r="D798" s="9" t="inlineStr">
        <is>
          <t>Short</t>
        </is>
      </c>
      <c r="E798" s="10" t="n">
        <v>45071.79513888889</v>
      </c>
      <c r="F798" s="10" t="n">
        <v>45071.8125</v>
      </c>
      <c r="G798" s="11" t="n">
        <v>0.46</v>
      </c>
      <c r="H798" s="11">
        <f>H797+G798</f>
        <v/>
      </c>
    </row>
    <row r="799">
      <c r="A799" s="9" t="n">
        <v>795</v>
      </c>
      <c r="B799" s="9" t="inlineStr">
        <is>
          <t>Ratchet</t>
        </is>
      </c>
      <c r="C799" s="9" t="inlineStr">
        <is>
          <t>Stochastic scalp with give-back trail exit</t>
        </is>
      </c>
      <c r="D799" s="9" t="inlineStr">
        <is>
          <t>Short</t>
        </is>
      </c>
      <c r="E799" s="10" t="n">
        <v>45071.85416666666</v>
      </c>
      <c r="F799" s="10" t="n">
        <v>45071.85763888889</v>
      </c>
      <c r="G799" s="11" t="n">
        <v>-0</v>
      </c>
      <c r="H799" s="11">
        <f>H798+G799</f>
        <v/>
      </c>
    </row>
    <row r="800">
      <c r="A800" s="9" t="n">
        <v>796</v>
      </c>
      <c r="B800" s="9" t="inlineStr">
        <is>
          <t>Ratchet</t>
        </is>
      </c>
      <c r="C800" s="9" t="inlineStr">
        <is>
          <t>Stochastic scalp with give-back trail exit</t>
        </is>
      </c>
      <c r="D800" s="9" t="inlineStr">
        <is>
          <t>Short</t>
        </is>
      </c>
      <c r="E800" s="10" t="n">
        <v>45071.91666666666</v>
      </c>
      <c r="F800" s="10" t="n">
        <v>45071.99652777778</v>
      </c>
      <c r="G800" s="11" t="n">
        <v>1.3</v>
      </c>
      <c r="H800" s="11">
        <f>H799+G800</f>
        <v/>
      </c>
    </row>
    <row r="801">
      <c r="A801" s="9" t="n">
        <v>797</v>
      </c>
      <c r="B801" s="9" t="inlineStr">
        <is>
          <t>Aurelius_M5</t>
        </is>
      </c>
      <c r="C801" s="9" t="inlineStr">
        <is>
          <t>MA alignment (EMA21&gt;EMA50&gt;SMA250&gt;SMMA500 vs EMA2400 trend filter)</t>
        </is>
      </c>
      <c r="D801" s="9" t="inlineStr">
        <is>
          <t>Short</t>
        </is>
      </c>
      <c r="E801" s="10" t="n">
        <v>45072.16666666666</v>
      </c>
      <c r="F801" s="10" t="n">
        <v>45072.17708333334</v>
      </c>
      <c r="G801" s="11" t="n">
        <v>-2.71</v>
      </c>
      <c r="H801" s="11">
        <f>H800+G801</f>
        <v/>
      </c>
    </row>
    <row r="802">
      <c r="A802" s="9" t="n">
        <v>798</v>
      </c>
      <c r="B802" s="9" t="inlineStr">
        <is>
          <t>Meridian</t>
        </is>
      </c>
      <c r="C802" s="9" t="inlineStr">
        <is>
          <t>21/50 MA cross, 250-period confirm filter, VWAP</t>
        </is>
      </c>
      <c r="D802" s="9" t="inlineStr">
        <is>
          <t>Short</t>
        </is>
      </c>
      <c r="E802" s="10" t="n">
        <v>45071.64930555555</v>
      </c>
      <c r="F802" s="10" t="n">
        <v>45072.1875</v>
      </c>
      <c r="G802" s="11" t="n">
        <v>7.03</v>
      </c>
      <c r="H802" s="11">
        <f>H801+G802</f>
        <v/>
      </c>
    </row>
    <row r="803">
      <c r="A803" s="9" t="n">
        <v>799</v>
      </c>
      <c r="B803" s="9" t="inlineStr">
        <is>
          <t>Aurelius_M15</t>
        </is>
      </c>
      <c r="C803" s="9" t="inlineStr">
        <is>
          <t>MA alignment (EMA21&gt;EMA50&gt;SMA250&gt;SMMA500 vs EMA2400 trend filter) - M15 chart</t>
        </is>
      </c>
      <c r="D803" s="9" t="inlineStr">
        <is>
          <t>Short</t>
        </is>
      </c>
      <c r="E803" s="10" t="n">
        <v>45071.69791666666</v>
      </c>
      <c r="F803" s="10" t="n">
        <v>45072.25</v>
      </c>
      <c r="G803" s="11" t="n">
        <v>-1.46</v>
      </c>
      <c r="H803" s="11">
        <f>H802+G803</f>
        <v/>
      </c>
    </row>
    <row r="804">
      <c r="A804" s="9" t="n">
        <v>800</v>
      </c>
      <c r="B804" s="9" t="inlineStr">
        <is>
          <t>Meridian</t>
        </is>
      </c>
      <c r="C804" s="9" t="inlineStr">
        <is>
          <t>21/50 MA cross, 250-period confirm filter, VWAP</t>
        </is>
      </c>
      <c r="D804" s="9" t="inlineStr">
        <is>
          <t>Short</t>
        </is>
      </c>
      <c r="E804" s="10" t="n">
        <v>45072.64930555555</v>
      </c>
      <c r="F804" s="10" t="n">
        <v>45072.67361111111</v>
      </c>
      <c r="G804" s="11" t="n">
        <v>-3.71</v>
      </c>
      <c r="H804" s="11">
        <f>H803+G804</f>
        <v/>
      </c>
    </row>
    <row r="805">
      <c r="A805" s="9" t="n">
        <v>801</v>
      </c>
      <c r="B805" s="9" t="inlineStr">
        <is>
          <t>Vanguard_M15</t>
        </is>
      </c>
      <c r="C805" s="9" t="inlineStr">
        <is>
          <t>Trendline breakout (fractal swing line) + VWAP/S-R distance gate - M15 chart</t>
        </is>
      </c>
      <c r="D805" s="9" t="inlineStr">
        <is>
          <t>Long</t>
        </is>
      </c>
      <c r="E805" s="10" t="n">
        <v>45072.21875</v>
      </c>
      <c r="F805" s="10" t="n">
        <v>45072.72916666666</v>
      </c>
      <c r="G805" s="11" t="n">
        <v>-5.77</v>
      </c>
      <c r="H805" s="11">
        <f>H804+G805</f>
        <v/>
      </c>
    </row>
    <row r="806">
      <c r="A806" s="9" t="n">
        <v>802</v>
      </c>
      <c r="B806" s="9" t="inlineStr">
        <is>
          <t>Vanguard_M5</t>
        </is>
      </c>
      <c r="C806" s="9" t="inlineStr">
        <is>
          <t>Trendline breakout (fractal swing line) + VWAP/S-R distance gate</t>
        </is>
      </c>
      <c r="D806" s="9" t="inlineStr">
        <is>
          <t>Long</t>
        </is>
      </c>
      <c r="E806" s="10" t="n">
        <v>45072.21180555555</v>
      </c>
      <c r="F806" s="10" t="n">
        <v>45072.73263888889</v>
      </c>
      <c r="G806" s="11" t="n">
        <v>-4.8</v>
      </c>
      <c r="H806" s="11">
        <f>H805+G806</f>
        <v/>
      </c>
    </row>
    <row r="807">
      <c r="A807" s="9" t="n">
        <v>803</v>
      </c>
      <c r="B807" s="9" t="inlineStr">
        <is>
          <t>Ratchet</t>
        </is>
      </c>
      <c r="C807" s="9" t="inlineStr">
        <is>
          <t>Stochastic scalp with give-back trail exit</t>
        </is>
      </c>
      <c r="D807" s="9" t="inlineStr">
        <is>
          <t>Short</t>
        </is>
      </c>
      <c r="E807" s="10" t="n">
        <v>45072.75347222222</v>
      </c>
      <c r="F807" s="10" t="n">
        <v>45072.76041666666</v>
      </c>
      <c r="G807" s="11" t="n">
        <v>0.6</v>
      </c>
      <c r="H807" s="11">
        <f>H806+G807</f>
        <v/>
      </c>
    </row>
    <row r="808">
      <c r="A808" s="9" t="n">
        <v>804</v>
      </c>
      <c r="B808" s="9" t="inlineStr">
        <is>
          <t>Meridian</t>
        </is>
      </c>
      <c r="C808" s="9" t="inlineStr">
        <is>
          <t>21/50 MA cross, 250-period confirm filter, VWAP</t>
        </is>
      </c>
      <c r="D808" s="9" t="inlineStr">
        <is>
          <t>Short</t>
        </is>
      </c>
      <c r="E808" s="10" t="n">
        <v>45075.05555555555</v>
      </c>
      <c r="F808" s="10" t="n">
        <v>45075.24652777778</v>
      </c>
      <c r="G808" s="11" t="n">
        <v>-0.82</v>
      </c>
      <c r="H808" s="11">
        <f>H807+G808</f>
        <v/>
      </c>
    </row>
    <row r="809">
      <c r="A809" s="9" t="n">
        <v>805</v>
      </c>
      <c r="B809" s="9" t="inlineStr">
        <is>
          <t>Meridian</t>
        </is>
      </c>
      <c r="C809" s="9" t="inlineStr">
        <is>
          <t>21/50 MA cross, 250-period confirm filter, VWAP</t>
        </is>
      </c>
      <c r="D809" s="9" t="inlineStr">
        <is>
          <t>Short</t>
        </is>
      </c>
      <c r="E809" s="10" t="n">
        <v>45075.45486111111</v>
      </c>
      <c r="F809" s="10" t="n">
        <v>45075.53819444445</v>
      </c>
      <c r="G809" s="11" t="n">
        <v>-2.31</v>
      </c>
      <c r="H809" s="11">
        <f>H808+G809</f>
        <v/>
      </c>
    </row>
    <row r="810">
      <c r="A810" s="9" t="n">
        <v>806</v>
      </c>
      <c r="B810" s="9" t="inlineStr">
        <is>
          <t>Meridian</t>
        </is>
      </c>
      <c r="C810" s="9" t="inlineStr">
        <is>
          <t>21/50 MA cross, 250-period confirm filter, VWAP</t>
        </is>
      </c>
      <c r="D810" s="9" t="inlineStr">
        <is>
          <t>Long</t>
        </is>
      </c>
      <c r="E810" s="10" t="n">
        <v>45075.54513888889</v>
      </c>
      <c r="F810" s="10" t="n">
        <v>45075.5625</v>
      </c>
      <c r="G810" s="11" t="n">
        <v>-1.46</v>
      </c>
      <c r="H810" s="11">
        <f>H809+G810</f>
        <v/>
      </c>
    </row>
    <row r="811">
      <c r="A811" s="9" t="n">
        <v>807</v>
      </c>
      <c r="B811" s="9" t="inlineStr">
        <is>
          <t>Meridian</t>
        </is>
      </c>
      <c r="C811" s="9" t="inlineStr">
        <is>
          <t>21/50 MA cross, 250-period confirm filter, VWAP</t>
        </is>
      </c>
      <c r="D811" s="9" t="inlineStr">
        <is>
          <t>Long</t>
        </is>
      </c>
      <c r="E811" s="10" t="n">
        <v>45075.60069444445</v>
      </c>
      <c r="F811" s="10" t="n">
        <v>45075.79513888889</v>
      </c>
      <c r="G811" s="11" t="n">
        <v>-0.45</v>
      </c>
      <c r="H811" s="11">
        <f>H810+G811</f>
        <v/>
      </c>
    </row>
    <row r="812">
      <c r="A812" s="9" t="n">
        <v>808</v>
      </c>
      <c r="B812" s="9" t="inlineStr">
        <is>
          <t>Vanguard_M5</t>
        </is>
      </c>
      <c r="C812" s="9" t="inlineStr">
        <is>
          <t>Trendline breakout (fractal swing line) + VWAP/S-R distance gate</t>
        </is>
      </c>
      <c r="D812" s="9" t="inlineStr">
        <is>
          <t>Long</t>
        </is>
      </c>
      <c r="E812" s="10" t="n">
        <v>45075.65625</v>
      </c>
      <c r="F812" s="10" t="n">
        <v>45075.79861111111</v>
      </c>
      <c r="G812" s="11" t="n">
        <v>-3.16</v>
      </c>
      <c r="H812" s="11">
        <f>H811+G812</f>
        <v/>
      </c>
    </row>
    <row r="813">
      <c r="A813" s="9" t="n">
        <v>809</v>
      </c>
      <c r="B813" s="9" t="inlineStr">
        <is>
          <t>Vanguard_M15</t>
        </is>
      </c>
      <c r="C813" s="9" t="inlineStr">
        <is>
          <t>Trendline breakout (fractal swing line) + VWAP/S-R distance gate - M15 chart</t>
        </is>
      </c>
      <c r="D813" s="9" t="inlineStr">
        <is>
          <t>Long</t>
        </is>
      </c>
      <c r="E813" s="10" t="n">
        <v>45075.65625</v>
      </c>
      <c r="F813" s="10" t="n">
        <v>45075.82291666666</v>
      </c>
      <c r="G813" s="11" t="n">
        <v>-4.06</v>
      </c>
      <c r="H813" s="11">
        <f>H812+G813</f>
        <v/>
      </c>
    </row>
    <row r="814">
      <c r="A814" s="9" t="n">
        <v>810</v>
      </c>
      <c r="B814" s="9" t="inlineStr">
        <is>
          <t>Vanguard_M5</t>
        </is>
      </c>
      <c r="C814" s="9" t="inlineStr">
        <is>
          <t>Trendline breakout (fractal swing line) + VWAP/S-R distance gate</t>
        </is>
      </c>
      <c r="D814" s="9" t="inlineStr">
        <is>
          <t>Short</t>
        </is>
      </c>
      <c r="E814" s="10" t="n">
        <v>45076.07291666666</v>
      </c>
      <c r="F814" s="10" t="n">
        <v>45076.17361111111</v>
      </c>
      <c r="G814" s="11" t="n">
        <v>-2.16</v>
      </c>
      <c r="H814" s="11">
        <f>H813+G814</f>
        <v/>
      </c>
    </row>
    <row r="815">
      <c r="A815" s="9" t="n">
        <v>811</v>
      </c>
      <c r="B815" s="9" t="inlineStr">
        <is>
          <t>Vanguard_M15</t>
        </is>
      </c>
      <c r="C815" s="9" t="inlineStr">
        <is>
          <t>Trendline breakout (fractal swing line) + VWAP/S-R distance gate - M15 chart</t>
        </is>
      </c>
      <c r="D815" s="9" t="inlineStr">
        <is>
          <t>Short</t>
        </is>
      </c>
      <c r="E815" s="10" t="n">
        <v>45076.07291666666</v>
      </c>
      <c r="F815" s="10" t="n">
        <v>45076.21875</v>
      </c>
      <c r="G815" s="11" t="n">
        <v>-3.22</v>
      </c>
      <c r="H815" s="11">
        <f>H814+G815</f>
        <v/>
      </c>
    </row>
    <row r="816">
      <c r="A816" s="9" t="n">
        <v>812</v>
      </c>
      <c r="B816" s="9" t="inlineStr">
        <is>
          <t>Ratchet</t>
        </is>
      </c>
      <c r="C816" s="9" t="inlineStr">
        <is>
          <t>Stochastic scalp with give-back trail exit</t>
        </is>
      </c>
      <c r="D816" s="9" t="inlineStr">
        <is>
          <t>Short</t>
        </is>
      </c>
      <c r="E816" s="10" t="n">
        <v>45076.29513888889</v>
      </c>
      <c r="F816" s="10" t="n">
        <v>45076.29861111111</v>
      </c>
      <c r="G816" s="11" t="n">
        <v>0.26</v>
      </c>
      <c r="H816" s="11">
        <f>H815+G816</f>
        <v/>
      </c>
    </row>
    <row r="817">
      <c r="A817" s="9" t="n">
        <v>813</v>
      </c>
      <c r="B817" s="9" t="inlineStr">
        <is>
          <t>Aurelius_M5</t>
        </is>
      </c>
      <c r="C817" s="9" t="inlineStr">
        <is>
          <t>MA alignment (EMA21&gt;EMA50&gt;SMA250&gt;SMMA500 vs EMA2400 trend filter)</t>
        </is>
      </c>
      <c r="D817" s="9" t="inlineStr">
        <is>
          <t>Short</t>
        </is>
      </c>
      <c r="E817" s="10" t="n">
        <v>45076.29513888889</v>
      </c>
      <c r="F817" s="10" t="n">
        <v>45076.45486111111</v>
      </c>
      <c r="G817" s="11" t="n">
        <v>-2.39</v>
      </c>
      <c r="H817" s="11">
        <f>H816+G817</f>
        <v/>
      </c>
    </row>
    <row r="818">
      <c r="A818" s="9" t="n">
        <v>814</v>
      </c>
      <c r="B818" s="9" t="inlineStr">
        <is>
          <t>Meridian</t>
        </is>
      </c>
      <c r="C818" s="9" t="inlineStr">
        <is>
          <t>21/50 MA cross, 250-period confirm filter, VWAP</t>
        </is>
      </c>
      <c r="D818" s="9" t="inlineStr">
        <is>
          <t>Short</t>
        </is>
      </c>
      <c r="E818" s="10" t="n">
        <v>45076.27777777778</v>
      </c>
      <c r="F818" s="10" t="n">
        <v>45076.45833333334</v>
      </c>
      <c r="G818" s="11" t="n">
        <v>-2.35</v>
      </c>
      <c r="H818" s="11">
        <f>H817+G818</f>
        <v/>
      </c>
    </row>
    <row r="819">
      <c r="A819" s="9" t="n">
        <v>815</v>
      </c>
      <c r="B819" s="9" t="inlineStr">
        <is>
          <t>Vanguard_M5</t>
        </is>
      </c>
      <c r="C819" s="9" t="inlineStr">
        <is>
          <t>Trendline breakout (fractal swing line) + VWAP/S-R distance gate</t>
        </is>
      </c>
      <c r="D819" s="9" t="inlineStr">
        <is>
          <t>Long</t>
        </is>
      </c>
      <c r="E819" s="10" t="n">
        <v>45076.48958333334</v>
      </c>
      <c r="F819" s="10" t="n">
        <v>45076.49305555555</v>
      </c>
      <c r="G819" s="11" t="n">
        <v>-1.54</v>
      </c>
      <c r="H819" s="11">
        <f>H818+G819</f>
        <v/>
      </c>
    </row>
    <row r="820">
      <c r="A820" s="9" t="n">
        <v>816</v>
      </c>
      <c r="B820" s="9" t="inlineStr">
        <is>
          <t>Vanguard_M15</t>
        </is>
      </c>
      <c r="C820" s="9" t="inlineStr">
        <is>
          <t>Trendline breakout (fractal swing line) + VWAP/S-R distance gate - M15 chart</t>
        </is>
      </c>
      <c r="D820" s="9" t="inlineStr">
        <is>
          <t>Long</t>
        </is>
      </c>
      <c r="E820" s="10" t="n">
        <v>45076.48958333334</v>
      </c>
      <c r="F820" s="10" t="n">
        <v>45076.5</v>
      </c>
      <c r="G820" s="11" t="n">
        <v>-3.54</v>
      </c>
      <c r="H820" s="11">
        <f>H819+G820</f>
        <v/>
      </c>
    </row>
    <row r="821">
      <c r="A821" s="9" t="n">
        <v>817</v>
      </c>
      <c r="B821" s="9" t="inlineStr">
        <is>
          <t>Aurelius_M15</t>
        </is>
      </c>
      <c r="C821" s="9" t="inlineStr">
        <is>
          <t>MA alignment (EMA21&gt;EMA50&gt;SMA250&gt;SMMA500 vs EMA2400 trend filter) - M15 chart</t>
        </is>
      </c>
      <c r="D821" s="9" t="inlineStr">
        <is>
          <t>Short</t>
        </is>
      </c>
      <c r="E821" s="10" t="n">
        <v>45076.26041666666</v>
      </c>
      <c r="F821" s="10" t="n">
        <v>45076.51041666666</v>
      </c>
      <c r="G821" s="11" t="n">
        <v>-3.42</v>
      </c>
      <c r="H821" s="11">
        <f>H820+G821</f>
        <v/>
      </c>
    </row>
    <row r="822">
      <c r="A822" s="9" t="n">
        <v>818</v>
      </c>
      <c r="B822" s="9" t="inlineStr">
        <is>
          <t>Meridian</t>
        </is>
      </c>
      <c r="C822" s="9" t="inlineStr">
        <is>
          <t>21/50 MA cross, 250-period confirm filter, VWAP</t>
        </is>
      </c>
      <c r="D822" s="9" t="inlineStr">
        <is>
          <t>Long</t>
        </is>
      </c>
      <c r="E822" s="10" t="n">
        <v>45076.46527777778</v>
      </c>
      <c r="F822" s="10" t="n">
        <v>45077.06944444445</v>
      </c>
      <c r="G822" s="11" t="n">
        <v>14.96</v>
      </c>
      <c r="H822" s="11">
        <f>H821+G822</f>
        <v/>
      </c>
    </row>
    <row r="823">
      <c r="A823" s="9" t="n">
        <v>819</v>
      </c>
      <c r="B823" s="9" t="inlineStr">
        <is>
          <t>Meridian</t>
        </is>
      </c>
      <c r="C823" s="9" t="inlineStr">
        <is>
          <t>21/50 MA cross, 250-period confirm filter, VWAP</t>
        </is>
      </c>
      <c r="D823" s="9" t="inlineStr">
        <is>
          <t>Long</t>
        </is>
      </c>
      <c r="E823" s="10" t="n">
        <v>45077.17013888889</v>
      </c>
      <c r="F823" s="10" t="n">
        <v>45077.1875</v>
      </c>
      <c r="G823" s="11" t="n">
        <v>-1.63</v>
      </c>
      <c r="H823" s="11">
        <f>H822+G823</f>
        <v/>
      </c>
    </row>
    <row r="824">
      <c r="A824" s="9" t="n">
        <v>820</v>
      </c>
      <c r="B824" s="9" t="inlineStr">
        <is>
          <t>Ratchet</t>
        </is>
      </c>
      <c r="C824" s="9" t="inlineStr">
        <is>
          <t>Stochastic scalp with give-back trail exit</t>
        </is>
      </c>
      <c r="D824" s="9" t="inlineStr">
        <is>
          <t>Long</t>
        </is>
      </c>
      <c r="E824" s="10" t="n">
        <v>45077.39236111111</v>
      </c>
      <c r="F824" s="10" t="n">
        <v>45077.40972222222</v>
      </c>
      <c r="G824" s="11" t="n">
        <v>0.26</v>
      </c>
      <c r="H824" s="11">
        <f>H823+G824</f>
        <v/>
      </c>
    </row>
    <row r="825">
      <c r="A825" s="9" t="n">
        <v>821</v>
      </c>
      <c r="B825" s="9" t="inlineStr">
        <is>
          <t>Meridian</t>
        </is>
      </c>
      <c r="C825" s="9" t="inlineStr">
        <is>
          <t>21/50 MA cross, 250-period confirm filter, VWAP</t>
        </is>
      </c>
      <c r="D825" s="9" t="inlineStr">
        <is>
          <t>Long</t>
        </is>
      </c>
      <c r="E825" s="10" t="n">
        <v>45077.30208333334</v>
      </c>
      <c r="F825" s="10" t="n">
        <v>45077.43055555555</v>
      </c>
      <c r="G825" s="11" t="n">
        <v>-2.19</v>
      </c>
      <c r="H825" s="11">
        <f>H824+G825</f>
        <v/>
      </c>
    </row>
    <row r="826">
      <c r="A826" s="9" t="n">
        <v>822</v>
      </c>
      <c r="B826" s="9" t="inlineStr">
        <is>
          <t>Meridian</t>
        </is>
      </c>
      <c r="C826" s="9" t="inlineStr">
        <is>
          <t>21/50 MA cross, 250-period confirm filter, VWAP</t>
        </is>
      </c>
      <c r="D826" s="9" t="inlineStr">
        <is>
          <t>Short</t>
        </is>
      </c>
      <c r="E826" s="10" t="n">
        <v>45077.44444444445</v>
      </c>
      <c r="F826" s="10" t="n">
        <v>45077.60763888889</v>
      </c>
      <c r="G826" s="11" t="n">
        <v>-2.04</v>
      </c>
      <c r="H826" s="11">
        <f>H825+G826</f>
        <v/>
      </c>
    </row>
    <row r="827">
      <c r="A827" s="9" t="n">
        <v>823</v>
      </c>
      <c r="B827" s="9" t="inlineStr">
        <is>
          <t>Vanguard_M5</t>
        </is>
      </c>
      <c r="C827" s="9" t="inlineStr">
        <is>
          <t>Trendline breakout (fractal swing line) + VWAP/S-R distance gate</t>
        </is>
      </c>
      <c r="D827" s="9" t="inlineStr">
        <is>
          <t>Long</t>
        </is>
      </c>
      <c r="E827" s="10" t="n">
        <v>45076.51736111111</v>
      </c>
      <c r="F827" s="10" t="n">
        <v>45077.70833333334</v>
      </c>
      <c r="G827" s="11" t="n">
        <v>14.27</v>
      </c>
      <c r="H827" s="11">
        <f>H826+G827</f>
        <v/>
      </c>
    </row>
    <row r="828">
      <c r="A828" s="9" t="n">
        <v>824</v>
      </c>
      <c r="B828" s="9" t="inlineStr">
        <is>
          <t>Vanguard_M15</t>
        </is>
      </c>
      <c r="C828" s="9" t="inlineStr">
        <is>
          <t>Trendline breakout (fractal swing line) + VWAP/S-R distance gate - M15 chart</t>
        </is>
      </c>
      <c r="D828" s="9" t="inlineStr">
        <is>
          <t>Long</t>
        </is>
      </c>
      <c r="E828" s="10" t="n">
        <v>45076.52083333334</v>
      </c>
      <c r="F828" s="10" t="n">
        <v>45077.70833333334</v>
      </c>
      <c r="G828" s="11" t="n">
        <v>14.17</v>
      </c>
      <c r="H828" s="11">
        <f>H827+G828</f>
        <v/>
      </c>
    </row>
    <row r="829">
      <c r="A829" s="9" t="n">
        <v>825</v>
      </c>
      <c r="B829" s="9" t="inlineStr">
        <is>
          <t>Aurelius_M15</t>
        </is>
      </c>
      <c r="C829" s="9" t="inlineStr">
        <is>
          <t>MA alignment (EMA21&gt;EMA50&gt;SMA250&gt;SMMA500 vs EMA2400 trend filter) - M15 chart</t>
        </is>
      </c>
      <c r="D829" s="9" t="inlineStr">
        <is>
          <t>Long</t>
        </is>
      </c>
      <c r="E829" s="10" t="n">
        <v>45077.73958333334</v>
      </c>
      <c r="F829" s="10" t="n">
        <v>45077.79166666666</v>
      </c>
      <c r="G829" s="11" t="n">
        <v>-3.41</v>
      </c>
      <c r="H829" s="11">
        <f>H828+G829</f>
        <v/>
      </c>
    </row>
    <row r="830">
      <c r="A830" s="9" t="n">
        <v>826</v>
      </c>
      <c r="B830" s="9" t="inlineStr">
        <is>
          <t>Ratchet</t>
        </is>
      </c>
      <c r="C830" s="9" t="inlineStr">
        <is>
          <t>Stochastic scalp with give-back trail exit</t>
        </is>
      </c>
      <c r="D830" s="9" t="inlineStr">
        <is>
          <t>Long</t>
        </is>
      </c>
      <c r="E830" s="10" t="n">
        <v>45077.88888888889</v>
      </c>
      <c r="F830" s="10" t="n">
        <v>45077.90625</v>
      </c>
      <c r="G830" s="11" t="n">
        <v>-2.51</v>
      </c>
      <c r="H830" s="11">
        <f>H829+G830</f>
        <v/>
      </c>
    </row>
    <row r="831">
      <c r="A831" s="9" t="n">
        <v>827</v>
      </c>
      <c r="B831" s="9" t="inlineStr">
        <is>
          <t>Meridian</t>
        </is>
      </c>
      <c r="C831" s="9" t="inlineStr">
        <is>
          <t>21/50 MA cross, 250-period confirm filter, VWAP</t>
        </is>
      </c>
      <c r="D831" s="9" t="inlineStr">
        <is>
          <t>Long</t>
        </is>
      </c>
      <c r="E831" s="10" t="n">
        <v>45077.87152777778</v>
      </c>
      <c r="F831" s="10" t="n">
        <v>45077.91319444445</v>
      </c>
      <c r="G831" s="11" t="n">
        <v>-2.57</v>
      </c>
      <c r="H831" s="11">
        <f>H830+G831</f>
        <v/>
      </c>
    </row>
    <row r="832">
      <c r="A832" s="9" t="n">
        <v>828</v>
      </c>
      <c r="B832" s="9" t="inlineStr">
        <is>
          <t>Ratchet</t>
        </is>
      </c>
      <c r="C832" s="9" t="inlineStr">
        <is>
          <t>Stochastic scalp with give-back trail exit</t>
        </is>
      </c>
      <c r="D832" s="9" t="inlineStr">
        <is>
          <t>Long</t>
        </is>
      </c>
      <c r="E832" s="10" t="n">
        <v>45078.08680555555</v>
      </c>
      <c r="F832" s="10" t="n">
        <v>45078.14236111111</v>
      </c>
      <c r="G832" s="11" t="n">
        <v>0.26</v>
      </c>
      <c r="H832" s="11">
        <f>H831+G832</f>
        <v/>
      </c>
    </row>
    <row r="833">
      <c r="A833" s="9" t="n">
        <v>829</v>
      </c>
      <c r="B833" s="9" t="inlineStr">
        <is>
          <t>Meridian</t>
        </is>
      </c>
      <c r="C833" s="9" t="inlineStr">
        <is>
          <t>21/50 MA cross, 250-period confirm filter, VWAP</t>
        </is>
      </c>
      <c r="D833" s="9" t="inlineStr">
        <is>
          <t>Long</t>
        </is>
      </c>
      <c r="E833" s="10" t="n">
        <v>45078.08333333334</v>
      </c>
      <c r="F833" s="10" t="n">
        <v>45078.18402777778</v>
      </c>
      <c r="G833" s="11" t="n">
        <v>-1.69</v>
      </c>
      <c r="H833" s="11">
        <f>H832+G833</f>
        <v/>
      </c>
    </row>
    <row r="834">
      <c r="A834" s="9" t="n">
        <v>830</v>
      </c>
      <c r="B834" s="9" t="inlineStr">
        <is>
          <t>Aurelius_M5</t>
        </is>
      </c>
      <c r="C834" s="9" t="inlineStr">
        <is>
          <t>MA alignment (EMA21&gt;EMA50&gt;SMA250&gt;SMMA500 vs EMA2400 trend filter)</t>
        </is>
      </c>
      <c r="D834" s="9" t="inlineStr">
        <is>
          <t>Long</t>
        </is>
      </c>
      <c r="E834" s="10" t="n">
        <v>45078.18055555555</v>
      </c>
      <c r="F834" s="10" t="n">
        <v>45078.18402777778</v>
      </c>
      <c r="G834" s="11" t="n">
        <v>-2.34</v>
      </c>
      <c r="H834" s="11">
        <f>H833+G834</f>
        <v/>
      </c>
    </row>
    <row r="835">
      <c r="A835" s="9" t="n">
        <v>831</v>
      </c>
      <c r="B835" s="9" t="inlineStr">
        <is>
          <t>Meridian</t>
        </is>
      </c>
      <c r="C835" s="9" t="inlineStr">
        <is>
          <t>21/50 MA cross, 250-period confirm filter, VWAP</t>
        </is>
      </c>
      <c r="D835" s="9" t="inlineStr">
        <is>
          <t>Short</t>
        </is>
      </c>
      <c r="E835" s="10" t="n">
        <v>45078.19444444445</v>
      </c>
      <c r="F835" s="10" t="n">
        <v>45078.20486111111</v>
      </c>
      <c r="G835" s="11" t="n">
        <v>-2.77</v>
      </c>
      <c r="H835" s="11">
        <f>H834+G835</f>
        <v/>
      </c>
    </row>
    <row r="836">
      <c r="A836" s="9" t="n">
        <v>832</v>
      </c>
      <c r="B836" s="9" t="inlineStr">
        <is>
          <t>Ratchet</t>
        </is>
      </c>
      <c r="C836" s="9" t="inlineStr">
        <is>
          <t>Stochastic scalp with give-back trail exit</t>
        </is>
      </c>
      <c r="D836" s="9" t="inlineStr">
        <is>
          <t>Long</t>
        </is>
      </c>
      <c r="E836" s="10" t="n">
        <v>45078.66666666666</v>
      </c>
      <c r="F836" s="10" t="n">
        <v>45078.67361111111</v>
      </c>
      <c r="G836" s="11" t="n">
        <v>0</v>
      </c>
      <c r="H836" s="11">
        <f>H835+G836</f>
        <v/>
      </c>
    </row>
    <row r="837">
      <c r="A837" s="9" t="n">
        <v>833</v>
      </c>
      <c r="B837" s="9" t="inlineStr">
        <is>
          <t>Ratchet</t>
        </is>
      </c>
      <c r="C837" s="9" t="inlineStr">
        <is>
          <t>Stochastic scalp with give-back trail exit</t>
        </is>
      </c>
      <c r="D837" s="9" t="inlineStr">
        <is>
          <t>Long</t>
        </is>
      </c>
      <c r="E837" s="10" t="n">
        <v>45078.69444444445</v>
      </c>
      <c r="F837" s="10" t="n">
        <v>45078.71180555555</v>
      </c>
      <c r="G837" s="11" t="n">
        <v>0</v>
      </c>
      <c r="H837" s="11">
        <f>H836+G837</f>
        <v/>
      </c>
    </row>
    <row r="838">
      <c r="A838" s="9" t="n">
        <v>834</v>
      </c>
      <c r="B838" s="9" t="inlineStr">
        <is>
          <t>Ratchet</t>
        </is>
      </c>
      <c r="C838" s="9" t="inlineStr">
        <is>
          <t>Stochastic scalp with give-back trail exit</t>
        </is>
      </c>
      <c r="D838" s="9" t="inlineStr">
        <is>
          <t>Long</t>
        </is>
      </c>
      <c r="E838" s="10" t="n">
        <v>45078.95833333334</v>
      </c>
      <c r="F838" s="10" t="n">
        <v>45078.99652777778</v>
      </c>
      <c r="G838" s="11" t="n">
        <v>-0.4</v>
      </c>
      <c r="H838" s="11">
        <f>H837+G838</f>
        <v/>
      </c>
    </row>
    <row r="839">
      <c r="A839" s="9" t="n">
        <v>835</v>
      </c>
      <c r="B839" s="9" t="inlineStr">
        <is>
          <t>Aurelius_M5</t>
        </is>
      </c>
      <c r="C839" s="9" t="inlineStr">
        <is>
          <t>MA alignment (EMA21&gt;EMA50&gt;SMA250&gt;SMMA500 vs EMA2400 trend filter)</t>
        </is>
      </c>
      <c r="D839" s="9" t="inlineStr">
        <is>
          <t>Long</t>
        </is>
      </c>
      <c r="E839" s="10" t="n">
        <v>45078.67708333334</v>
      </c>
      <c r="F839" s="10" t="n">
        <v>45079.04166666666</v>
      </c>
      <c r="G839" s="11" t="n">
        <v>10.25</v>
      </c>
      <c r="H839" s="11">
        <f>H838+G839</f>
        <v/>
      </c>
    </row>
    <row r="840">
      <c r="A840" s="9" t="n">
        <v>836</v>
      </c>
      <c r="B840" s="9" t="inlineStr">
        <is>
          <t>Aurelius_M5</t>
        </is>
      </c>
      <c r="C840" s="9" t="inlineStr">
        <is>
          <t>MA alignment (EMA21&gt;EMA50&gt;SMA250&gt;SMMA500 vs EMA2400 trend filter)</t>
        </is>
      </c>
      <c r="D840" s="9" t="inlineStr">
        <is>
          <t>Long</t>
        </is>
      </c>
      <c r="E840" s="10" t="n">
        <v>45079.36111111111</v>
      </c>
      <c r="F840" s="10" t="n">
        <v>45079.38541666666</v>
      </c>
      <c r="G840" s="11" t="n">
        <v>-2.36</v>
      </c>
      <c r="H840" s="11">
        <f>H839+G840</f>
        <v/>
      </c>
    </row>
    <row r="841">
      <c r="A841" s="9" t="n">
        <v>837</v>
      </c>
      <c r="B841" s="9" t="inlineStr">
        <is>
          <t>Meridian</t>
        </is>
      </c>
      <c r="C841" s="9" t="inlineStr">
        <is>
          <t>21/50 MA cross, 250-period confirm filter, VWAP</t>
        </is>
      </c>
      <c r="D841" s="9" t="inlineStr">
        <is>
          <t>Long</t>
        </is>
      </c>
      <c r="E841" s="10" t="n">
        <v>45079.21527777778</v>
      </c>
      <c r="F841" s="10" t="n">
        <v>45079.39583333334</v>
      </c>
      <c r="G841" s="11" t="n">
        <v>-1.66</v>
      </c>
      <c r="H841" s="11">
        <f>H840+G841</f>
        <v/>
      </c>
    </row>
    <row r="842">
      <c r="A842" s="9" t="n">
        <v>838</v>
      </c>
      <c r="B842" s="9" t="inlineStr">
        <is>
          <t>Ratchet</t>
        </is>
      </c>
      <c r="C842" s="9" t="inlineStr">
        <is>
          <t>Stochastic scalp with give-back trail exit</t>
        </is>
      </c>
      <c r="D842" s="9" t="inlineStr">
        <is>
          <t>Long</t>
        </is>
      </c>
      <c r="E842" s="10" t="n">
        <v>45079.54513888889</v>
      </c>
      <c r="F842" s="10" t="n">
        <v>45079.55902777778</v>
      </c>
      <c r="G842" s="11" t="n">
        <v>-1.49</v>
      </c>
      <c r="H842" s="11">
        <f>H841+G842</f>
        <v/>
      </c>
    </row>
    <row r="843">
      <c r="A843" s="9" t="n">
        <v>839</v>
      </c>
      <c r="B843" s="9" t="inlineStr">
        <is>
          <t>Meridian</t>
        </is>
      </c>
      <c r="C843" s="9" t="inlineStr">
        <is>
          <t>21/50 MA cross, 250-period confirm filter, VWAP</t>
        </is>
      </c>
      <c r="D843" s="9" t="inlineStr">
        <is>
          <t>Long</t>
        </is>
      </c>
      <c r="E843" s="10" t="n">
        <v>45079.52430555555</v>
      </c>
      <c r="F843" s="10" t="n">
        <v>45079.58333333334</v>
      </c>
      <c r="G843" s="11" t="n">
        <v>-2.57</v>
      </c>
      <c r="H843" s="11">
        <f>H842+G843</f>
        <v/>
      </c>
    </row>
    <row r="844">
      <c r="A844" s="9" t="n">
        <v>840</v>
      </c>
      <c r="B844" s="9" t="inlineStr">
        <is>
          <t>Aurelius_M5</t>
        </is>
      </c>
      <c r="C844" s="9" t="inlineStr">
        <is>
          <t>MA alignment (EMA21&gt;EMA50&gt;SMA250&gt;SMMA500 vs EMA2400 trend filter)</t>
        </is>
      </c>
      <c r="D844" s="9" t="inlineStr">
        <is>
          <t>Long</t>
        </is>
      </c>
      <c r="E844" s="10" t="n">
        <v>45079.60416666666</v>
      </c>
      <c r="F844" s="10" t="n">
        <v>45079.63888888889</v>
      </c>
      <c r="G844" s="11" t="n">
        <v>-2.3</v>
      </c>
      <c r="H844" s="11">
        <f>H843+G844</f>
        <v/>
      </c>
    </row>
    <row r="845">
      <c r="A845" s="9" t="n">
        <v>841</v>
      </c>
      <c r="B845" s="9" t="inlineStr">
        <is>
          <t>Meridian</t>
        </is>
      </c>
      <c r="C845" s="9" t="inlineStr">
        <is>
          <t>21/50 MA cross, 250-period confirm filter, VWAP</t>
        </is>
      </c>
      <c r="D845" s="9" t="inlineStr">
        <is>
          <t>Short</t>
        </is>
      </c>
      <c r="E845" s="10" t="n">
        <v>45079.64583333334</v>
      </c>
      <c r="F845" s="10" t="n">
        <v>45079.91666666666</v>
      </c>
      <c r="G845" s="11" t="n">
        <v>26.5</v>
      </c>
      <c r="H845" s="11">
        <f>H844+G845</f>
        <v/>
      </c>
    </row>
    <row r="846">
      <c r="A846" s="9" t="n">
        <v>842</v>
      </c>
      <c r="B846" s="9" t="inlineStr">
        <is>
          <t>Ratchet</t>
        </is>
      </c>
      <c r="C846" s="9" t="inlineStr">
        <is>
          <t>Stochastic scalp with give-back trail exit</t>
        </is>
      </c>
      <c r="D846" s="9" t="inlineStr">
        <is>
          <t>Short</t>
        </is>
      </c>
      <c r="E846" s="10" t="n">
        <v>45082.13194444445</v>
      </c>
      <c r="F846" s="10" t="n">
        <v>45082.17013888889</v>
      </c>
      <c r="G846" s="11" t="n">
        <v>0.72</v>
      </c>
      <c r="H846" s="11">
        <f>H845+G846</f>
        <v/>
      </c>
    </row>
    <row r="847">
      <c r="A847" s="9" t="n">
        <v>843</v>
      </c>
      <c r="B847" s="9" t="inlineStr">
        <is>
          <t>Ratchet</t>
        </is>
      </c>
      <c r="C847" s="9" t="inlineStr">
        <is>
          <t>Stochastic scalp with give-back trail exit</t>
        </is>
      </c>
      <c r="D847" s="9" t="inlineStr">
        <is>
          <t>Short</t>
        </is>
      </c>
      <c r="E847" s="10" t="n">
        <v>45082.30902777778</v>
      </c>
      <c r="F847" s="10" t="n">
        <v>45082.33680555555</v>
      </c>
      <c r="G847" s="11" t="n">
        <v>-0</v>
      </c>
      <c r="H847" s="11">
        <f>H846+G847</f>
        <v/>
      </c>
    </row>
    <row r="848">
      <c r="A848" s="9" t="n">
        <v>844</v>
      </c>
      <c r="B848" s="9" t="inlineStr">
        <is>
          <t>Ratchet</t>
        </is>
      </c>
      <c r="C848" s="9" t="inlineStr">
        <is>
          <t>Stochastic scalp with give-back trail exit</t>
        </is>
      </c>
      <c r="D848" s="9" t="inlineStr">
        <is>
          <t>Short</t>
        </is>
      </c>
      <c r="E848" s="10" t="n">
        <v>45082.34027777778</v>
      </c>
      <c r="F848" s="10" t="n">
        <v>45082.35069444445</v>
      </c>
      <c r="G848" s="11" t="n">
        <v>0.31</v>
      </c>
      <c r="H848" s="11">
        <f>H847+G848</f>
        <v/>
      </c>
    </row>
    <row r="849">
      <c r="A849" s="9" t="n">
        <v>845</v>
      </c>
      <c r="B849" s="9" t="inlineStr">
        <is>
          <t>Ratchet</t>
        </is>
      </c>
      <c r="C849" s="9" t="inlineStr">
        <is>
          <t>Stochastic scalp with give-back trail exit</t>
        </is>
      </c>
      <c r="D849" s="9" t="inlineStr">
        <is>
          <t>Short</t>
        </is>
      </c>
      <c r="E849" s="10" t="n">
        <v>45082.35763888889</v>
      </c>
      <c r="F849" s="10" t="n">
        <v>45082.36111111111</v>
      </c>
      <c r="G849" s="11" t="n">
        <v>-1.5</v>
      </c>
      <c r="H849" s="11">
        <f>H848+G849</f>
        <v/>
      </c>
    </row>
    <row r="850">
      <c r="A850" s="9" t="n">
        <v>846</v>
      </c>
      <c r="B850" s="9" t="inlineStr">
        <is>
          <t>Ratchet</t>
        </is>
      </c>
      <c r="C850" s="9" t="inlineStr">
        <is>
          <t>Stochastic scalp with give-back trail exit</t>
        </is>
      </c>
      <c r="D850" s="9" t="inlineStr">
        <is>
          <t>Short</t>
        </is>
      </c>
      <c r="E850" s="10" t="n">
        <v>45082.38541666666</v>
      </c>
      <c r="F850" s="10" t="n">
        <v>45082.39236111111</v>
      </c>
      <c r="G850" s="11" t="n">
        <v>0.21</v>
      </c>
      <c r="H850" s="11">
        <f>H849+G850</f>
        <v/>
      </c>
    </row>
    <row r="851">
      <c r="A851" s="9" t="n">
        <v>847</v>
      </c>
      <c r="B851" s="9" t="inlineStr">
        <is>
          <t>Ratchet</t>
        </is>
      </c>
      <c r="C851" s="9" t="inlineStr">
        <is>
          <t>Stochastic scalp with give-back trail exit</t>
        </is>
      </c>
      <c r="D851" s="9" t="inlineStr">
        <is>
          <t>Short</t>
        </is>
      </c>
      <c r="E851" s="10" t="n">
        <v>45082.44444444445</v>
      </c>
      <c r="F851" s="10" t="n">
        <v>45082.46527777778</v>
      </c>
      <c r="G851" s="11" t="n">
        <v>0.8100000000000001</v>
      </c>
      <c r="H851" s="11">
        <f>H850+G851</f>
        <v/>
      </c>
    </row>
    <row r="852">
      <c r="A852" s="9" t="n">
        <v>848</v>
      </c>
      <c r="B852" s="9" t="inlineStr">
        <is>
          <t>Aurelius_M5</t>
        </is>
      </c>
      <c r="C852" s="9" t="inlineStr">
        <is>
          <t>MA alignment (EMA21&gt;EMA50&gt;SMA250&gt;SMMA500 vs EMA2400 trend filter)</t>
        </is>
      </c>
      <c r="D852" s="9" t="inlineStr">
        <is>
          <t>Short</t>
        </is>
      </c>
      <c r="E852" s="10" t="n">
        <v>45082.375</v>
      </c>
      <c r="F852" s="10" t="n">
        <v>45082.55208333334</v>
      </c>
      <c r="G852" s="11" t="n">
        <v>1.5</v>
      </c>
      <c r="H852" s="11">
        <f>H851+G852</f>
        <v/>
      </c>
    </row>
    <row r="853">
      <c r="A853" s="9" t="n">
        <v>849</v>
      </c>
      <c r="B853" s="9" t="inlineStr">
        <is>
          <t>Meridian</t>
        </is>
      </c>
      <c r="C853" s="9" t="inlineStr">
        <is>
          <t>21/50 MA cross, 250-period confirm filter, VWAP</t>
        </is>
      </c>
      <c r="D853" s="9" t="inlineStr">
        <is>
          <t>Short</t>
        </is>
      </c>
      <c r="E853" s="10" t="n">
        <v>45082.59722222222</v>
      </c>
      <c r="F853" s="10" t="n">
        <v>45082.66666666666</v>
      </c>
      <c r="G853" s="11" t="n">
        <v>-2.74</v>
      </c>
      <c r="H853" s="11">
        <f>H852+G853</f>
        <v/>
      </c>
    </row>
    <row r="854">
      <c r="A854" s="9" t="n">
        <v>850</v>
      </c>
      <c r="B854" s="9" t="inlineStr">
        <is>
          <t>Aurelius_M5</t>
        </is>
      </c>
      <c r="C854" s="9" t="inlineStr">
        <is>
          <t>MA alignment (EMA21&gt;EMA50&gt;SMA250&gt;SMMA500 vs EMA2400 trend filter)</t>
        </is>
      </c>
      <c r="D854" s="9" t="inlineStr">
        <is>
          <t>Short</t>
        </is>
      </c>
      <c r="E854" s="10" t="n">
        <v>45082.62152777778</v>
      </c>
      <c r="F854" s="10" t="n">
        <v>45082.66666666666</v>
      </c>
      <c r="G854" s="11" t="n">
        <v>-2.96</v>
      </c>
      <c r="H854" s="11">
        <f>H853+G854</f>
        <v/>
      </c>
    </row>
    <row r="855">
      <c r="A855" s="9" t="n">
        <v>851</v>
      </c>
      <c r="B855" s="9" t="inlineStr">
        <is>
          <t>Meridian</t>
        </is>
      </c>
      <c r="C855" s="9" t="inlineStr">
        <is>
          <t>21/50 MA cross, 250-period confirm filter, VWAP</t>
        </is>
      </c>
      <c r="D855" s="9" t="inlineStr">
        <is>
          <t>Long</t>
        </is>
      </c>
      <c r="E855" s="10" t="n">
        <v>45083.22222222222</v>
      </c>
      <c r="F855" s="10" t="n">
        <v>45083.23611111111</v>
      </c>
      <c r="G855" s="11" t="n">
        <v>-2.54</v>
      </c>
      <c r="H855" s="11">
        <f>H854+G855</f>
        <v/>
      </c>
    </row>
    <row r="856">
      <c r="A856" s="9" t="n">
        <v>852</v>
      </c>
      <c r="B856" s="9" t="inlineStr">
        <is>
          <t>Meridian</t>
        </is>
      </c>
      <c r="C856" s="9" t="inlineStr">
        <is>
          <t>21/50 MA cross, 250-period confirm filter, VWAP</t>
        </is>
      </c>
      <c r="D856" s="9" t="inlineStr">
        <is>
          <t>Long</t>
        </is>
      </c>
      <c r="E856" s="10" t="n">
        <v>45083.34027777778</v>
      </c>
      <c r="F856" s="10" t="n">
        <v>45083.35069444445</v>
      </c>
      <c r="G856" s="11" t="n">
        <v>-1.9</v>
      </c>
      <c r="H856" s="11">
        <f>H855+G856</f>
        <v/>
      </c>
    </row>
    <row r="857">
      <c r="A857" s="9" t="n">
        <v>853</v>
      </c>
      <c r="B857" s="9" t="inlineStr">
        <is>
          <t>Ratchet</t>
        </is>
      </c>
      <c r="C857" s="9" t="inlineStr">
        <is>
          <t>Stochastic scalp with give-back trail exit</t>
        </is>
      </c>
      <c r="D857" s="9" t="inlineStr">
        <is>
          <t>Long</t>
        </is>
      </c>
      <c r="E857" s="10" t="n">
        <v>45083.61111111111</v>
      </c>
      <c r="F857" s="10" t="n">
        <v>45083.62152777778</v>
      </c>
      <c r="G857" s="11" t="n">
        <v>-1.85</v>
      </c>
      <c r="H857" s="11">
        <f>H856+G857</f>
        <v/>
      </c>
    </row>
    <row r="858">
      <c r="A858" s="9" t="n">
        <v>854</v>
      </c>
      <c r="B858" s="9" t="inlineStr">
        <is>
          <t>Meridian</t>
        </is>
      </c>
      <c r="C858" s="9" t="inlineStr">
        <is>
          <t>21/50 MA cross, 250-period confirm filter, VWAP</t>
        </is>
      </c>
      <c r="D858" s="9" t="inlineStr">
        <is>
          <t>Long</t>
        </is>
      </c>
      <c r="E858" s="10" t="n">
        <v>45083.51041666666</v>
      </c>
      <c r="F858" s="10" t="n">
        <v>45083.69097222222</v>
      </c>
      <c r="G858" s="11" t="n">
        <v>-3.14</v>
      </c>
      <c r="H858" s="11">
        <f>H857+G858</f>
        <v/>
      </c>
    </row>
    <row r="859">
      <c r="A859" s="9" t="n">
        <v>855</v>
      </c>
      <c r="B859" s="9" t="inlineStr">
        <is>
          <t>Aurelius_M5</t>
        </is>
      </c>
      <c r="C859" s="9" t="inlineStr">
        <is>
          <t>MA alignment (EMA21&gt;EMA50&gt;SMA250&gt;SMMA500 vs EMA2400 trend filter)</t>
        </is>
      </c>
      <c r="D859" s="9" t="inlineStr">
        <is>
          <t>Long</t>
        </is>
      </c>
      <c r="E859" s="10" t="n">
        <v>45083.66319444445</v>
      </c>
      <c r="F859" s="10" t="n">
        <v>45083.69097222222</v>
      </c>
      <c r="G859" s="11" t="n">
        <v>-3.63</v>
      </c>
      <c r="H859" s="11">
        <f>H858+G859</f>
        <v/>
      </c>
    </row>
    <row r="860">
      <c r="A860" s="9" t="n">
        <v>856</v>
      </c>
      <c r="B860" s="9" t="inlineStr">
        <is>
          <t>Meridian</t>
        </is>
      </c>
      <c r="C860" s="9" t="inlineStr">
        <is>
          <t>21/50 MA cross, 250-period confirm filter, VWAP</t>
        </is>
      </c>
      <c r="D860" s="9" t="inlineStr">
        <is>
          <t>Short</t>
        </is>
      </c>
      <c r="E860" s="10" t="n">
        <v>45083.69791666666</v>
      </c>
      <c r="F860" s="10" t="n">
        <v>45083.77777777778</v>
      </c>
      <c r="G860" s="11" t="n">
        <v>-4.39</v>
      </c>
      <c r="H860" s="11">
        <f>H859+G860</f>
        <v/>
      </c>
    </row>
    <row r="861">
      <c r="A861" s="9" t="n">
        <v>857</v>
      </c>
      <c r="B861" s="9" t="inlineStr">
        <is>
          <t>Ratchet</t>
        </is>
      </c>
      <c r="C861" s="9" t="inlineStr">
        <is>
          <t>Stochastic scalp with give-back trail exit</t>
        </is>
      </c>
      <c r="D861" s="9" t="inlineStr">
        <is>
          <t>Long</t>
        </is>
      </c>
      <c r="E861" s="10" t="n">
        <v>45083.84027777778</v>
      </c>
      <c r="F861" s="10" t="n">
        <v>45083.86111111111</v>
      </c>
      <c r="G861" s="11" t="n">
        <v>0.47</v>
      </c>
      <c r="H861" s="11">
        <f>H860+G861</f>
        <v/>
      </c>
    </row>
    <row r="862">
      <c r="A862" s="9" t="n">
        <v>858</v>
      </c>
      <c r="B862" s="9" t="inlineStr">
        <is>
          <t>Meridian</t>
        </is>
      </c>
      <c r="C862" s="9" t="inlineStr">
        <is>
          <t>21/50 MA cross, 250-period confirm filter, VWAP</t>
        </is>
      </c>
      <c r="D862" s="9" t="inlineStr">
        <is>
          <t>Long</t>
        </is>
      </c>
      <c r="E862" s="10" t="n">
        <v>45083.79166666666</v>
      </c>
      <c r="F862" s="10" t="n">
        <v>45083.96875</v>
      </c>
      <c r="G862" s="11" t="n">
        <v>-1.02</v>
      </c>
      <c r="H862" s="11">
        <f>H861+G862</f>
        <v/>
      </c>
    </row>
    <row r="863">
      <c r="A863" s="9" t="n">
        <v>859</v>
      </c>
      <c r="B863" s="9" t="inlineStr">
        <is>
          <t>Meridian</t>
        </is>
      </c>
      <c r="C863" s="9" t="inlineStr">
        <is>
          <t>21/50 MA cross, 250-period confirm filter, VWAP</t>
        </is>
      </c>
      <c r="D863" s="9" t="inlineStr">
        <is>
          <t>Long</t>
        </is>
      </c>
      <c r="E863" s="10" t="n">
        <v>45083.97569444445</v>
      </c>
      <c r="F863" s="10" t="n">
        <v>45083.97916666666</v>
      </c>
      <c r="G863" s="11" t="n">
        <v>-0.54</v>
      </c>
      <c r="H863" s="11">
        <f>H862+G863</f>
        <v/>
      </c>
    </row>
    <row r="864">
      <c r="A864" s="9" t="n">
        <v>860</v>
      </c>
      <c r="B864" s="9" t="inlineStr">
        <is>
          <t>Aurelius_M5</t>
        </is>
      </c>
      <c r="C864" s="9" t="inlineStr">
        <is>
          <t>MA alignment (EMA21&gt;EMA50&gt;SMA250&gt;SMMA500 vs EMA2400 trend filter)</t>
        </is>
      </c>
      <c r="D864" s="9" t="inlineStr">
        <is>
          <t>Long</t>
        </is>
      </c>
      <c r="E864" s="10" t="n">
        <v>45084.23958333334</v>
      </c>
      <c r="F864" s="10" t="n">
        <v>45084.26388888889</v>
      </c>
      <c r="G864" s="11" t="n">
        <v>-0.68</v>
      </c>
      <c r="H864" s="11">
        <f>H863+G864</f>
        <v/>
      </c>
    </row>
    <row r="865">
      <c r="A865" s="9" t="n">
        <v>861</v>
      </c>
      <c r="B865" s="9" t="inlineStr">
        <is>
          <t>Vanguard_M5</t>
        </is>
      </c>
      <c r="C865" s="9" t="inlineStr">
        <is>
          <t>Trendline breakout (fractal swing line) + VWAP/S-R distance gate</t>
        </is>
      </c>
      <c r="D865" s="9" t="inlineStr">
        <is>
          <t>Short</t>
        </is>
      </c>
      <c r="E865" s="10" t="n">
        <v>45084.34027777778</v>
      </c>
      <c r="F865" s="10" t="n">
        <v>45084.54166666666</v>
      </c>
      <c r="G865" s="11" t="n">
        <v>-2.39</v>
      </c>
      <c r="H865" s="11">
        <f>H864+G865</f>
        <v/>
      </c>
    </row>
    <row r="866">
      <c r="A866" s="9" t="n">
        <v>862</v>
      </c>
      <c r="B866" s="9" t="inlineStr">
        <is>
          <t>Vanguard_M5</t>
        </is>
      </c>
      <c r="C866" s="9" t="inlineStr">
        <is>
          <t>Trendline breakout (fractal swing line) + VWAP/S-R distance gate</t>
        </is>
      </c>
      <c r="D866" s="9" t="inlineStr">
        <is>
          <t>Long</t>
        </is>
      </c>
      <c r="E866" s="10" t="n">
        <v>45084.54513888889</v>
      </c>
      <c r="F866" s="10" t="n">
        <v>45084.62152777778</v>
      </c>
      <c r="G866" s="11" t="n">
        <v>-4.4</v>
      </c>
      <c r="H866" s="11">
        <f>H865+G866</f>
        <v/>
      </c>
    </row>
    <row r="867">
      <c r="A867" s="9" t="n">
        <v>863</v>
      </c>
      <c r="B867" s="9" t="inlineStr">
        <is>
          <t>Meridian</t>
        </is>
      </c>
      <c r="C867" s="9" t="inlineStr">
        <is>
          <t>21/50 MA cross, 250-period confirm filter, VWAP</t>
        </is>
      </c>
      <c r="D867" s="9" t="inlineStr">
        <is>
          <t>Long</t>
        </is>
      </c>
      <c r="E867" s="10" t="n">
        <v>45084.52083333334</v>
      </c>
      <c r="F867" s="10" t="n">
        <v>45084.625</v>
      </c>
      <c r="G867" s="11" t="n">
        <v>-2.51</v>
      </c>
      <c r="H867" s="11">
        <f>H866+G867</f>
        <v/>
      </c>
    </row>
    <row r="868">
      <c r="A868" s="9" t="n">
        <v>864</v>
      </c>
      <c r="B868" s="9" t="inlineStr">
        <is>
          <t>Meridian</t>
        </is>
      </c>
      <c r="C868" s="9" t="inlineStr">
        <is>
          <t>21/50 MA cross, 250-period confirm filter, VWAP</t>
        </is>
      </c>
      <c r="D868" s="9" t="inlineStr">
        <is>
          <t>Short</t>
        </is>
      </c>
      <c r="E868" s="10" t="n">
        <v>45084.63888888889</v>
      </c>
      <c r="F868" s="10" t="n">
        <v>45084.69444444445</v>
      </c>
      <c r="G868" s="11" t="n">
        <v>-2.6</v>
      </c>
      <c r="H868" s="11">
        <f>H867+G868</f>
        <v/>
      </c>
    </row>
    <row r="869">
      <c r="A869" s="9" t="n">
        <v>865</v>
      </c>
      <c r="B869" s="9" t="inlineStr">
        <is>
          <t>Vanguard_M15</t>
        </is>
      </c>
      <c r="C869" s="9" t="inlineStr">
        <is>
          <t>Trendline breakout (fractal swing line) + VWAP/S-R distance gate - M15 chart</t>
        </is>
      </c>
      <c r="D869" s="9" t="inlineStr">
        <is>
          <t>Short</t>
        </is>
      </c>
      <c r="E869" s="10" t="n">
        <v>45084.34375</v>
      </c>
      <c r="F869" s="10" t="n">
        <v>45084.69791666666</v>
      </c>
      <c r="G869" s="11" t="n">
        <v>-3.41</v>
      </c>
      <c r="H869" s="11">
        <f>H868+G869</f>
        <v/>
      </c>
    </row>
    <row r="870">
      <c r="A870" s="9" t="n">
        <v>866</v>
      </c>
      <c r="B870" s="9" t="inlineStr">
        <is>
          <t>Meridian</t>
        </is>
      </c>
      <c r="C870" s="9" t="inlineStr">
        <is>
          <t>21/50 MA cross, 250-period confirm filter, VWAP</t>
        </is>
      </c>
      <c r="D870" s="9" t="inlineStr">
        <is>
          <t>Long</t>
        </is>
      </c>
      <c r="E870" s="10" t="n">
        <v>45084.70486111111</v>
      </c>
      <c r="F870" s="10" t="n">
        <v>45084.71180555555</v>
      </c>
      <c r="G870" s="11" t="n">
        <v>-4.67</v>
      </c>
      <c r="H870" s="11">
        <f>H869+G870</f>
        <v/>
      </c>
    </row>
    <row r="871">
      <c r="A871" s="9" t="n">
        <v>867</v>
      </c>
      <c r="B871" s="9" t="inlineStr">
        <is>
          <t>Ratchet</t>
        </is>
      </c>
      <c r="C871" s="9" t="inlineStr">
        <is>
          <t>Stochastic scalp with give-back trail exit</t>
        </is>
      </c>
      <c r="D871" s="9" t="inlineStr">
        <is>
          <t>Long</t>
        </is>
      </c>
      <c r="E871" s="10" t="n">
        <v>45084.71875</v>
      </c>
      <c r="F871" s="10" t="n">
        <v>45084.72569444445</v>
      </c>
      <c r="G871" s="11" t="n">
        <v>-4.32</v>
      </c>
      <c r="H871" s="11">
        <f>H870+G871</f>
        <v/>
      </c>
    </row>
    <row r="872">
      <c r="A872" s="9" t="n">
        <v>868</v>
      </c>
      <c r="B872" s="9" t="inlineStr">
        <is>
          <t>Vanguard_M5</t>
        </is>
      </c>
      <c r="C872" s="9" t="inlineStr">
        <is>
          <t>Trendline breakout (fractal swing line) + VWAP/S-R distance gate</t>
        </is>
      </c>
      <c r="D872" s="9" t="inlineStr">
        <is>
          <t>Long</t>
        </is>
      </c>
      <c r="E872" s="10" t="n">
        <v>45084.70138888889</v>
      </c>
      <c r="F872" s="10" t="n">
        <v>45084.73263888889</v>
      </c>
      <c r="G872" s="11" t="n">
        <v>-6.42</v>
      </c>
      <c r="H872" s="11">
        <f>H871+G872</f>
        <v/>
      </c>
    </row>
    <row r="873">
      <c r="A873" s="9" t="n">
        <v>869</v>
      </c>
      <c r="B873" s="9" t="inlineStr">
        <is>
          <t>Ratchet</t>
        </is>
      </c>
      <c r="C873" s="9" t="inlineStr">
        <is>
          <t>Stochastic scalp with give-back trail exit</t>
        </is>
      </c>
      <c r="D873" s="9" t="inlineStr">
        <is>
          <t>Short</t>
        </is>
      </c>
      <c r="E873" s="10" t="n">
        <v>45084.80902777778</v>
      </c>
      <c r="F873" s="10" t="n">
        <v>45084.82291666666</v>
      </c>
      <c r="G873" s="11" t="n">
        <v>0.63</v>
      </c>
      <c r="H873" s="11">
        <f>H872+G873</f>
        <v/>
      </c>
    </row>
    <row r="874">
      <c r="A874" s="9" t="n">
        <v>870</v>
      </c>
      <c r="B874" s="9" t="inlineStr">
        <is>
          <t>Ratchet</t>
        </is>
      </c>
      <c r="C874" s="9" t="inlineStr">
        <is>
          <t>Stochastic scalp with give-back trail exit</t>
        </is>
      </c>
      <c r="D874" s="9" t="inlineStr">
        <is>
          <t>Short</t>
        </is>
      </c>
      <c r="E874" s="10" t="n">
        <v>45084.88888888889</v>
      </c>
      <c r="F874" s="10" t="n">
        <v>45084.90625</v>
      </c>
      <c r="G874" s="11" t="n">
        <v>0.53</v>
      </c>
      <c r="H874" s="11">
        <f>H873+G874</f>
        <v/>
      </c>
    </row>
    <row r="875">
      <c r="A875" s="9" t="n">
        <v>871</v>
      </c>
      <c r="B875" s="9" t="inlineStr">
        <is>
          <t>Meridian</t>
        </is>
      </c>
      <c r="C875" s="9" t="inlineStr">
        <is>
          <t>21/50 MA cross, 250-period confirm filter, VWAP</t>
        </is>
      </c>
      <c r="D875" s="9" t="inlineStr">
        <is>
          <t>Short</t>
        </is>
      </c>
      <c r="E875" s="10" t="n">
        <v>45084.73958333334</v>
      </c>
      <c r="F875" s="10" t="n">
        <v>45085.13194444445</v>
      </c>
      <c r="G875" s="11" t="n">
        <v>13.17</v>
      </c>
      <c r="H875" s="11">
        <f>H874+G875</f>
        <v/>
      </c>
    </row>
    <row r="876">
      <c r="A876" s="9" t="n">
        <v>872</v>
      </c>
      <c r="B876" s="9" t="inlineStr">
        <is>
          <t>Meridian</t>
        </is>
      </c>
      <c r="C876" s="9" t="inlineStr">
        <is>
          <t>21/50 MA cross, 250-period confirm filter, VWAP</t>
        </is>
      </c>
      <c r="D876" s="9" t="inlineStr">
        <is>
          <t>Short</t>
        </is>
      </c>
      <c r="E876" s="10" t="n">
        <v>45085.38888888889</v>
      </c>
      <c r="F876" s="10" t="n">
        <v>45085.39930555555</v>
      </c>
      <c r="G876" s="11" t="n">
        <v>-2.2</v>
      </c>
      <c r="H876" s="11">
        <f>H875+G876</f>
        <v/>
      </c>
    </row>
    <row r="877">
      <c r="A877" s="9" t="n">
        <v>873</v>
      </c>
      <c r="B877" s="9" t="inlineStr">
        <is>
          <t>Aurelius_M15</t>
        </is>
      </c>
      <c r="C877" s="9" t="inlineStr">
        <is>
          <t>MA alignment (EMA21&gt;EMA50&gt;SMA250&gt;SMMA500 vs EMA2400 trend filter) - M15 chart</t>
        </is>
      </c>
      <c r="D877" s="9" t="inlineStr">
        <is>
          <t>Short</t>
        </is>
      </c>
      <c r="E877" s="10" t="n">
        <v>45085.39583333334</v>
      </c>
      <c r="F877" s="10" t="n">
        <v>45085.40625</v>
      </c>
      <c r="G877" s="11" t="n">
        <v>-3.42</v>
      </c>
      <c r="H877" s="11">
        <f>H876+G877</f>
        <v/>
      </c>
    </row>
    <row r="878">
      <c r="A878" s="9" t="n">
        <v>874</v>
      </c>
      <c r="B878" s="9" t="inlineStr">
        <is>
          <t>Aurelius_M5</t>
        </is>
      </c>
      <c r="C878" s="9" t="inlineStr">
        <is>
          <t>MA alignment (EMA21&gt;EMA50&gt;SMA250&gt;SMMA500 vs EMA2400 trend filter)</t>
        </is>
      </c>
      <c r="D878" s="9" t="inlineStr">
        <is>
          <t>Short</t>
        </is>
      </c>
      <c r="E878" s="10" t="n">
        <v>45085.42361111111</v>
      </c>
      <c r="F878" s="10" t="n">
        <v>45085.45486111111</v>
      </c>
      <c r="G878" s="11" t="n">
        <v>-2.62</v>
      </c>
      <c r="H878" s="11">
        <f>H877+G878</f>
        <v/>
      </c>
    </row>
    <row r="879">
      <c r="A879" s="9" t="n">
        <v>875</v>
      </c>
      <c r="B879" s="9" t="inlineStr">
        <is>
          <t>Ratchet</t>
        </is>
      </c>
      <c r="C879" s="9" t="inlineStr">
        <is>
          <t>Stochastic scalp with give-back trail exit</t>
        </is>
      </c>
      <c r="D879" s="9" t="inlineStr">
        <is>
          <t>Short</t>
        </is>
      </c>
      <c r="E879" s="10" t="n">
        <v>45085.60069444445</v>
      </c>
      <c r="F879" s="10" t="n">
        <v>45085.61111111111</v>
      </c>
      <c r="G879" s="11" t="n">
        <v>-0</v>
      </c>
      <c r="H879" s="11">
        <f>H878+G879</f>
        <v/>
      </c>
    </row>
    <row r="880">
      <c r="A880" s="9" t="n">
        <v>876</v>
      </c>
      <c r="B880" s="9" t="inlineStr">
        <is>
          <t>Meridian</t>
        </is>
      </c>
      <c r="C880" s="9" t="inlineStr">
        <is>
          <t>21/50 MA cross, 250-period confirm filter, VWAP</t>
        </is>
      </c>
      <c r="D880" s="9" t="inlineStr">
        <is>
          <t>Short</t>
        </is>
      </c>
      <c r="E880" s="10" t="n">
        <v>45085.60069444445</v>
      </c>
      <c r="F880" s="10" t="n">
        <v>45085.64236111111</v>
      </c>
      <c r="G880" s="11" t="n">
        <v>-1.1</v>
      </c>
      <c r="H880" s="11">
        <f>H879+G880</f>
        <v/>
      </c>
    </row>
    <row r="881">
      <c r="A881" s="9" t="n">
        <v>877</v>
      </c>
      <c r="B881" s="9" t="inlineStr">
        <is>
          <t>Ratchet</t>
        </is>
      </c>
      <c r="C881" s="9" t="inlineStr">
        <is>
          <t>Stochastic scalp with give-back trail exit</t>
        </is>
      </c>
      <c r="D881" s="9" t="inlineStr">
        <is>
          <t>Long</t>
        </is>
      </c>
      <c r="E881" s="10" t="n">
        <v>45086.40625</v>
      </c>
      <c r="F881" s="10" t="n">
        <v>45086.41666666666</v>
      </c>
      <c r="G881" s="11" t="n">
        <v>0.14</v>
      </c>
      <c r="H881" s="11">
        <f>H880+G881</f>
        <v/>
      </c>
    </row>
    <row r="882">
      <c r="A882" s="9" t="n">
        <v>878</v>
      </c>
      <c r="B882" s="9" t="inlineStr">
        <is>
          <t>Meridian</t>
        </is>
      </c>
      <c r="C882" s="9" t="inlineStr">
        <is>
          <t>21/50 MA cross, 250-period confirm filter, VWAP</t>
        </is>
      </c>
      <c r="D882" s="9" t="inlineStr">
        <is>
          <t>Long</t>
        </is>
      </c>
      <c r="E882" s="10" t="n">
        <v>45086.38194444445</v>
      </c>
      <c r="F882" s="10" t="n">
        <v>45086.45486111111</v>
      </c>
      <c r="G882" s="11" t="n">
        <v>-1.8</v>
      </c>
      <c r="H882" s="11">
        <f>H881+G882</f>
        <v/>
      </c>
    </row>
    <row r="883">
      <c r="A883" s="9" t="n">
        <v>879</v>
      </c>
      <c r="B883" s="9" t="inlineStr">
        <is>
          <t>Aurelius_M5</t>
        </is>
      </c>
      <c r="C883" s="9" t="inlineStr">
        <is>
          <t>MA alignment (EMA21&gt;EMA50&gt;SMA250&gt;SMMA500 vs EMA2400 trend filter)</t>
        </is>
      </c>
      <c r="D883" s="9" t="inlineStr">
        <is>
          <t>Long</t>
        </is>
      </c>
      <c r="E883" s="10" t="n">
        <v>45086.40972222222</v>
      </c>
      <c r="F883" s="10" t="n">
        <v>45086.45486111111</v>
      </c>
      <c r="G883" s="11" t="n">
        <v>-1.86</v>
      </c>
      <c r="H883" s="11">
        <f>H882+G883</f>
        <v/>
      </c>
    </row>
    <row r="884">
      <c r="A884" s="9" t="n">
        <v>880</v>
      </c>
      <c r="B884" s="9" t="inlineStr">
        <is>
          <t>Meridian</t>
        </is>
      </c>
      <c r="C884" s="9" t="inlineStr">
        <is>
          <t>21/50 MA cross, 250-period confirm filter, VWAP</t>
        </is>
      </c>
      <c r="D884" s="9" t="inlineStr">
        <is>
          <t>Short</t>
        </is>
      </c>
      <c r="E884" s="10" t="n">
        <v>45086.46180555555</v>
      </c>
      <c r="F884" s="10" t="n">
        <v>45086.55555555555</v>
      </c>
      <c r="G884" s="11" t="n">
        <v>-2.43</v>
      </c>
      <c r="H884" s="11">
        <f>H883+G884</f>
        <v/>
      </c>
    </row>
    <row r="885">
      <c r="A885" s="9" t="n">
        <v>881</v>
      </c>
      <c r="B885" s="9" t="inlineStr">
        <is>
          <t>Ratchet</t>
        </is>
      </c>
      <c r="C885" s="9" t="inlineStr">
        <is>
          <t>Stochastic scalp with give-back trail exit</t>
        </is>
      </c>
      <c r="D885" s="9" t="inlineStr">
        <is>
          <t>Long</t>
        </is>
      </c>
      <c r="E885" s="10" t="n">
        <v>45086.59722222222</v>
      </c>
      <c r="F885" s="10" t="n">
        <v>45086.60763888889</v>
      </c>
      <c r="G885" s="11" t="n">
        <v>0.37</v>
      </c>
      <c r="H885" s="11">
        <f>H884+G885</f>
        <v/>
      </c>
    </row>
    <row r="886">
      <c r="A886" s="9" t="n">
        <v>882</v>
      </c>
      <c r="B886" s="9" t="inlineStr">
        <is>
          <t>Ratchet</t>
        </is>
      </c>
      <c r="C886" s="9" t="inlineStr">
        <is>
          <t>Stochastic scalp with give-back trail exit</t>
        </is>
      </c>
      <c r="D886" s="9" t="inlineStr">
        <is>
          <t>Long</t>
        </is>
      </c>
      <c r="E886" s="10" t="n">
        <v>45086.61111111111</v>
      </c>
      <c r="F886" s="10" t="n">
        <v>45086.625</v>
      </c>
      <c r="G886" s="11" t="n">
        <v>0.21</v>
      </c>
      <c r="H886" s="11">
        <f>H885+G886</f>
        <v/>
      </c>
    </row>
    <row r="887">
      <c r="A887" s="9" t="n">
        <v>883</v>
      </c>
      <c r="B887" s="9" t="inlineStr">
        <is>
          <t>Ratchet</t>
        </is>
      </c>
      <c r="C887" s="9" t="inlineStr">
        <is>
          <t>Stochastic scalp with give-back trail exit</t>
        </is>
      </c>
      <c r="D887" s="9" t="inlineStr">
        <is>
          <t>Long</t>
        </is>
      </c>
      <c r="E887" s="10" t="n">
        <v>45086.63888888889</v>
      </c>
      <c r="F887" s="10" t="n">
        <v>45086.63888888889</v>
      </c>
      <c r="G887" s="11" t="n">
        <v>-1.92</v>
      </c>
      <c r="H887" s="11">
        <f>H886+G887</f>
        <v/>
      </c>
    </row>
    <row r="888">
      <c r="A888" s="9" t="n">
        <v>884</v>
      </c>
      <c r="B888" s="9" t="inlineStr">
        <is>
          <t>Aurelius_M5</t>
        </is>
      </c>
      <c r="C888" s="9" t="inlineStr">
        <is>
          <t>MA alignment (EMA21&gt;EMA50&gt;SMA250&gt;SMMA500 vs EMA2400 trend filter)</t>
        </is>
      </c>
      <c r="D888" s="9" t="inlineStr">
        <is>
          <t>Long</t>
        </is>
      </c>
      <c r="E888" s="10" t="n">
        <v>45086.65625</v>
      </c>
      <c r="F888" s="10" t="n">
        <v>45086.66319444445</v>
      </c>
      <c r="G888" s="11" t="n">
        <v>-2.42</v>
      </c>
      <c r="H888" s="11">
        <f>H887+G888</f>
        <v/>
      </c>
    </row>
    <row r="889">
      <c r="A889" s="9" t="n">
        <v>885</v>
      </c>
      <c r="B889" s="9" t="inlineStr">
        <is>
          <t>Meridian</t>
        </is>
      </c>
      <c r="C889" s="9" t="inlineStr">
        <is>
          <t>21/50 MA cross, 250-period confirm filter, VWAP</t>
        </is>
      </c>
      <c r="D889" s="9" t="inlineStr">
        <is>
          <t>Short</t>
        </is>
      </c>
      <c r="E889" s="10" t="n">
        <v>45086.69444444445</v>
      </c>
      <c r="F889" s="10" t="n">
        <v>45086.72222222222</v>
      </c>
      <c r="G889" s="11" t="n">
        <v>-5.03</v>
      </c>
      <c r="H889" s="11">
        <f>H888+G889</f>
        <v/>
      </c>
    </row>
    <row r="890">
      <c r="A890" s="9" t="n">
        <v>886</v>
      </c>
      <c r="B890" s="9" t="inlineStr">
        <is>
          <t>Ratchet</t>
        </is>
      </c>
      <c r="C890" s="9" t="inlineStr">
        <is>
          <t>Stochastic scalp with give-back trail exit</t>
        </is>
      </c>
      <c r="D890" s="9" t="inlineStr">
        <is>
          <t>Long</t>
        </is>
      </c>
      <c r="E890" s="10" t="n">
        <v>45086.73958333334</v>
      </c>
      <c r="F890" s="10" t="n">
        <v>45086.77083333334</v>
      </c>
      <c r="G890" s="11" t="n">
        <v>-3.75</v>
      </c>
      <c r="H890" s="11">
        <f>H889+G890</f>
        <v/>
      </c>
    </row>
    <row r="891">
      <c r="A891" s="9" t="n">
        <v>887</v>
      </c>
      <c r="B891" s="9" t="inlineStr">
        <is>
          <t>Meridian</t>
        </is>
      </c>
      <c r="C891" s="9" t="inlineStr">
        <is>
          <t>21/50 MA cross, 250-period confirm filter, VWAP</t>
        </is>
      </c>
      <c r="D891" s="9" t="inlineStr">
        <is>
          <t>Long</t>
        </is>
      </c>
      <c r="E891" s="10" t="n">
        <v>45086.73611111111</v>
      </c>
      <c r="F891" s="10" t="n">
        <v>45086.77430555555</v>
      </c>
      <c r="G891" s="11" t="n">
        <v>-3.44</v>
      </c>
      <c r="H891" s="11">
        <f>H890+G891</f>
        <v/>
      </c>
    </row>
    <row r="892">
      <c r="A892" s="9" t="n">
        <v>888</v>
      </c>
      <c r="B892" s="9" t="inlineStr">
        <is>
          <t>Ratchet</t>
        </is>
      </c>
      <c r="C892" s="9" t="inlineStr">
        <is>
          <t>Stochastic scalp with give-back trail exit</t>
        </is>
      </c>
      <c r="D892" s="9" t="inlineStr">
        <is>
          <t>Long</t>
        </is>
      </c>
      <c r="E892" s="10" t="n">
        <v>45089.63541666666</v>
      </c>
      <c r="F892" s="10" t="n">
        <v>45089.64236111111</v>
      </c>
      <c r="G892" s="11" t="n">
        <v>0</v>
      </c>
      <c r="H892" s="11">
        <f>H891+G892</f>
        <v/>
      </c>
    </row>
    <row r="893">
      <c r="A893" s="9" t="n">
        <v>889</v>
      </c>
      <c r="B893" s="9" t="inlineStr">
        <is>
          <t>Aurelius_M5</t>
        </is>
      </c>
      <c r="C893" s="9" t="inlineStr">
        <is>
          <t>MA alignment (EMA21&gt;EMA50&gt;SMA250&gt;SMMA500 vs EMA2400 trend filter)</t>
        </is>
      </c>
      <c r="D893" s="9" t="inlineStr">
        <is>
          <t>Long</t>
        </is>
      </c>
      <c r="E893" s="10" t="n">
        <v>45089.62847222222</v>
      </c>
      <c r="F893" s="10" t="n">
        <v>45089.64583333334</v>
      </c>
      <c r="G893" s="11" t="n">
        <v>-2.62</v>
      </c>
      <c r="H893" s="11">
        <f>H892+G893</f>
        <v/>
      </c>
    </row>
    <row r="894">
      <c r="A894" s="9" t="n">
        <v>890</v>
      </c>
      <c r="B894" s="9" t="inlineStr">
        <is>
          <t>Meridian</t>
        </is>
      </c>
      <c r="C894" s="9" t="inlineStr">
        <is>
          <t>21/50 MA cross, 250-period confirm filter, VWAP</t>
        </is>
      </c>
      <c r="D894" s="9" t="inlineStr">
        <is>
          <t>Short</t>
        </is>
      </c>
      <c r="E894" s="10" t="n">
        <v>45090.20486111111</v>
      </c>
      <c r="F894" s="10" t="n">
        <v>45090.23611111111</v>
      </c>
      <c r="G894" s="11" t="n">
        <v>-2.26</v>
      </c>
      <c r="H894" s="11">
        <f>H893+G894</f>
        <v/>
      </c>
    </row>
    <row r="895">
      <c r="A895" s="9" t="n">
        <v>891</v>
      </c>
      <c r="B895" s="9" t="inlineStr">
        <is>
          <t>Aurelius_M15</t>
        </is>
      </c>
      <c r="C895" s="9" t="inlineStr">
        <is>
          <t>MA alignment (EMA21&gt;EMA50&gt;SMA250&gt;SMMA500 vs EMA2400 trend filter) - M15 chart</t>
        </is>
      </c>
      <c r="D895" s="9" t="inlineStr">
        <is>
          <t>Long</t>
        </is>
      </c>
      <c r="E895" s="10" t="n">
        <v>45090.42708333334</v>
      </c>
      <c r="F895" s="10" t="n">
        <v>45090.45833333334</v>
      </c>
      <c r="G895" s="11" t="n">
        <v>-2.11</v>
      </c>
      <c r="H895" s="11">
        <f>H894+G895</f>
        <v/>
      </c>
    </row>
    <row r="896">
      <c r="A896" s="9" t="n">
        <v>892</v>
      </c>
      <c r="B896" s="9" t="inlineStr">
        <is>
          <t>Ratchet</t>
        </is>
      </c>
      <c r="C896" s="9" t="inlineStr">
        <is>
          <t>Stochastic scalp with give-back trail exit</t>
        </is>
      </c>
      <c r="D896" s="9" t="inlineStr">
        <is>
          <t>Long</t>
        </is>
      </c>
      <c r="E896" s="10" t="n">
        <v>45090.5</v>
      </c>
      <c r="F896" s="10" t="n">
        <v>45090.50694444445</v>
      </c>
      <c r="G896" s="11" t="n">
        <v>-1.58</v>
      </c>
      <c r="H896" s="11">
        <f>H895+G896</f>
        <v/>
      </c>
    </row>
    <row r="897">
      <c r="A897" s="9" t="n">
        <v>893</v>
      </c>
      <c r="B897" s="9" t="inlineStr">
        <is>
          <t>Vanguard_M15</t>
        </is>
      </c>
      <c r="C897" s="9" t="inlineStr">
        <is>
          <t>Trendline breakout (fractal swing line) + VWAP/S-R distance gate - M15 chart</t>
        </is>
      </c>
      <c r="D897" s="9" t="inlineStr">
        <is>
          <t>Long</t>
        </is>
      </c>
      <c r="E897" s="10" t="n">
        <v>45090.40625</v>
      </c>
      <c r="F897" s="10" t="n">
        <v>45090.63541666666</v>
      </c>
      <c r="G897" s="11" t="n">
        <v>-4.57</v>
      </c>
      <c r="H897" s="11">
        <f>H896+G897</f>
        <v/>
      </c>
    </row>
    <row r="898">
      <c r="A898" s="9" t="n">
        <v>894</v>
      </c>
      <c r="B898" s="9" t="inlineStr">
        <is>
          <t>Meridian</t>
        </is>
      </c>
      <c r="C898" s="9" t="inlineStr">
        <is>
          <t>21/50 MA cross, 250-period confirm filter, VWAP</t>
        </is>
      </c>
      <c r="D898" s="9" t="inlineStr">
        <is>
          <t>Long</t>
        </is>
      </c>
      <c r="E898" s="10" t="n">
        <v>45090.26041666666</v>
      </c>
      <c r="F898" s="10" t="n">
        <v>45090.63888888889</v>
      </c>
      <c r="G898" s="11" t="n">
        <v>-1.01</v>
      </c>
      <c r="H898" s="11">
        <f>H897+G898</f>
        <v/>
      </c>
    </row>
    <row r="899">
      <c r="A899" s="9" t="n">
        <v>895</v>
      </c>
      <c r="B899" s="9" t="inlineStr">
        <is>
          <t>Vanguard_M5</t>
        </is>
      </c>
      <c r="C899" s="9" t="inlineStr">
        <is>
          <t>Trendline breakout (fractal swing line) + VWAP/S-R distance gate</t>
        </is>
      </c>
      <c r="D899" s="9" t="inlineStr">
        <is>
          <t>Long</t>
        </is>
      </c>
      <c r="E899" s="10" t="n">
        <v>45090.39236111111</v>
      </c>
      <c r="F899" s="10" t="n">
        <v>45090.64236111111</v>
      </c>
      <c r="G899" s="11" t="n">
        <v>-3.7</v>
      </c>
      <c r="H899" s="11">
        <f>H898+G899</f>
        <v/>
      </c>
    </row>
    <row r="900">
      <c r="A900" s="9" t="n">
        <v>896</v>
      </c>
      <c r="B900" s="9" t="inlineStr">
        <is>
          <t>Vanguard_M5</t>
        </is>
      </c>
      <c r="C900" s="9" t="inlineStr">
        <is>
          <t>Trendline breakout (fractal swing line) + VWAP/S-R distance gate</t>
        </is>
      </c>
      <c r="D900" s="9" t="inlineStr">
        <is>
          <t>Long</t>
        </is>
      </c>
      <c r="E900" s="10" t="n">
        <v>45090.64930555555</v>
      </c>
      <c r="F900" s="10" t="n">
        <v>45090.69444444445</v>
      </c>
      <c r="G900" s="11" t="n">
        <v>-11.82</v>
      </c>
      <c r="H900" s="11">
        <f>H899+G900</f>
        <v/>
      </c>
    </row>
    <row r="901">
      <c r="A901" s="9" t="n">
        <v>897</v>
      </c>
      <c r="B901" s="9" t="inlineStr">
        <is>
          <t>Vanguard_M15</t>
        </is>
      </c>
      <c r="C901" s="9" t="inlineStr">
        <is>
          <t>Trendline breakout (fractal swing line) + VWAP/S-R distance gate - M15 chart</t>
        </is>
      </c>
      <c r="D901" s="9" t="inlineStr">
        <is>
          <t>Long</t>
        </is>
      </c>
      <c r="E901" s="10" t="n">
        <v>45090.65625</v>
      </c>
      <c r="F901" s="10" t="n">
        <v>45090.70833333334</v>
      </c>
      <c r="G901" s="11" t="n">
        <v>-10.25</v>
      </c>
      <c r="H901" s="11">
        <f>H900+G901</f>
        <v/>
      </c>
    </row>
    <row r="902">
      <c r="A902" s="9" t="n">
        <v>898</v>
      </c>
      <c r="B902" s="9" t="inlineStr">
        <is>
          <t>Ratchet</t>
        </is>
      </c>
      <c r="C902" s="9" t="inlineStr">
        <is>
          <t>Stochastic scalp with give-back trail exit</t>
        </is>
      </c>
      <c r="D902" s="9" t="inlineStr">
        <is>
          <t>Short</t>
        </is>
      </c>
      <c r="E902" s="10" t="n">
        <v>45090.76041666666</v>
      </c>
      <c r="F902" s="10" t="n">
        <v>45090.99652777778</v>
      </c>
      <c r="G902" s="11" t="n">
        <v>7.65</v>
      </c>
      <c r="H902" s="11">
        <f>H901+G902</f>
        <v/>
      </c>
    </row>
    <row r="903">
      <c r="A903" s="9" t="n">
        <v>899</v>
      </c>
      <c r="B903" s="9" t="inlineStr">
        <is>
          <t>Ratchet</t>
        </is>
      </c>
      <c r="C903" s="9" t="inlineStr">
        <is>
          <t>Stochastic scalp with give-back trail exit</t>
        </is>
      </c>
      <c r="D903" s="9" t="inlineStr">
        <is>
          <t>Short</t>
        </is>
      </c>
      <c r="E903" s="10" t="n">
        <v>45091.42013888889</v>
      </c>
      <c r="F903" s="10" t="n">
        <v>45091.42361111111</v>
      </c>
      <c r="G903" s="11" t="n">
        <v>-0</v>
      </c>
      <c r="H903" s="11">
        <f>H902+G903</f>
        <v/>
      </c>
    </row>
    <row r="904">
      <c r="A904" s="9" t="n">
        <v>900</v>
      </c>
      <c r="B904" s="9" t="inlineStr">
        <is>
          <t>Meridian</t>
        </is>
      </c>
      <c r="C904" s="9" t="inlineStr">
        <is>
          <t>21/50 MA cross, 250-period confirm filter, VWAP</t>
        </is>
      </c>
      <c r="D904" s="9" t="inlineStr">
        <is>
          <t>Short</t>
        </is>
      </c>
      <c r="E904" s="10" t="n">
        <v>45091.39930555555</v>
      </c>
      <c r="F904" s="10" t="n">
        <v>45091.43402777778</v>
      </c>
      <c r="G904" s="11" t="n">
        <v>-2.21</v>
      </c>
      <c r="H904" s="11">
        <f>H903+G904</f>
        <v/>
      </c>
    </row>
    <row r="905">
      <c r="A905" s="9" t="n">
        <v>901</v>
      </c>
      <c r="B905" s="9" t="inlineStr">
        <is>
          <t>Aurelius_M5</t>
        </is>
      </c>
      <c r="C905" s="9" t="inlineStr">
        <is>
          <t>MA alignment (EMA21&gt;EMA50&gt;SMA250&gt;SMMA500 vs EMA2400 trend filter)</t>
        </is>
      </c>
      <c r="D905" s="9" t="inlineStr">
        <is>
          <t>Short</t>
        </is>
      </c>
      <c r="E905" s="10" t="n">
        <v>45091.40972222222</v>
      </c>
      <c r="F905" s="10" t="n">
        <v>45091.43402777778</v>
      </c>
      <c r="G905" s="11" t="n">
        <v>-2.16</v>
      </c>
      <c r="H905" s="11">
        <f>H904+G905</f>
        <v/>
      </c>
    </row>
    <row r="906">
      <c r="A906" s="9" t="n">
        <v>902</v>
      </c>
      <c r="B906" s="9" t="inlineStr">
        <is>
          <t>Meridian</t>
        </is>
      </c>
      <c r="C906" s="9" t="inlineStr">
        <is>
          <t>21/50 MA cross, 250-period confirm filter, VWAP</t>
        </is>
      </c>
      <c r="D906" s="9" t="inlineStr">
        <is>
          <t>Long</t>
        </is>
      </c>
      <c r="E906" s="10" t="n">
        <v>45091.44097222222</v>
      </c>
      <c r="F906" s="10" t="n">
        <v>45091.58333333334</v>
      </c>
      <c r="G906" s="11" t="n">
        <v>-2.56</v>
      </c>
      <c r="H906" s="11">
        <f>H905+G906</f>
        <v/>
      </c>
    </row>
    <row r="907">
      <c r="A907" s="9" t="n">
        <v>903</v>
      </c>
      <c r="B907" s="9" t="inlineStr">
        <is>
          <t>Meridian</t>
        </is>
      </c>
      <c r="C907" s="9" t="inlineStr">
        <is>
          <t>21/50 MA cross, 250-period confirm filter, VWAP</t>
        </is>
      </c>
      <c r="D907" s="9" t="inlineStr">
        <is>
          <t>Long</t>
        </is>
      </c>
      <c r="E907" s="10" t="n">
        <v>45091.65625</v>
      </c>
      <c r="F907" s="10" t="n">
        <v>45091.86458333334</v>
      </c>
      <c r="G907" s="11" t="n">
        <v>-4.59</v>
      </c>
      <c r="H907" s="11">
        <f>H906+G907</f>
        <v/>
      </c>
    </row>
    <row r="908">
      <c r="A908" s="9" t="n">
        <v>904</v>
      </c>
      <c r="B908" s="9" t="inlineStr">
        <is>
          <t>Ratchet</t>
        </is>
      </c>
      <c r="C908" s="9" t="inlineStr">
        <is>
          <t>Stochastic scalp with give-back trail exit</t>
        </is>
      </c>
      <c r="D908" s="9" t="inlineStr">
        <is>
          <t>Short</t>
        </is>
      </c>
      <c r="E908" s="10" t="n">
        <v>45092.09375</v>
      </c>
      <c r="F908" s="10" t="n">
        <v>45092.10416666666</v>
      </c>
      <c r="G908" s="11" t="n">
        <v>-1.14</v>
      </c>
      <c r="H908" s="11">
        <f>H907+G908</f>
        <v/>
      </c>
    </row>
    <row r="909">
      <c r="A909" s="9" t="n">
        <v>905</v>
      </c>
      <c r="B909" s="9" t="inlineStr">
        <is>
          <t>Ratchet</t>
        </is>
      </c>
      <c r="C909" s="9" t="inlineStr">
        <is>
          <t>Stochastic scalp with give-back trail exit</t>
        </is>
      </c>
      <c r="D909" s="9" t="inlineStr">
        <is>
          <t>Short</t>
        </is>
      </c>
      <c r="E909" s="10" t="n">
        <v>45092.29166666666</v>
      </c>
      <c r="F909" s="10" t="n">
        <v>45092.29513888889</v>
      </c>
      <c r="G909" s="11" t="n">
        <v>0.26</v>
      </c>
      <c r="H909" s="11">
        <f>H908+G909</f>
        <v/>
      </c>
    </row>
    <row r="910">
      <c r="A910" s="9" t="n">
        <v>906</v>
      </c>
      <c r="B910" s="9" t="inlineStr">
        <is>
          <t>Ratchet</t>
        </is>
      </c>
      <c r="C910" s="9" t="inlineStr">
        <is>
          <t>Stochastic scalp with give-back trail exit</t>
        </is>
      </c>
      <c r="D910" s="9" t="inlineStr">
        <is>
          <t>Short</t>
        </is>
      </c>
      <c r="E910" s="10" t="n">
        <v>45092.40625</v>
      </c>
      <c r="F910" s="10" t="n">
        <v>45092.43055555555</v>
      </c>
      <c r="G910" s="11" t="n">
        <v>1.11</v>
      </c>
      <c r="H910" s="11">
        <f>H909+G910</f>
        <v/>
      </c>
    </row>
    <row r="911">
      <c r="A911" s="9" t="n">
        <v>907</v>
      </c>
      <c r="B911" s="9" t="inlineStr">
        <is>
          <t>Ratchet</t>
        </is>
      </c>
      <c r="C911" s="9" t="inlineStr">
        <is>
          <t>Stochastic scalp with give-back trail exit</t>
        </is>
      </c>
      <c r="D911" s="9" t="inlineStr">
        <is>
          <t>Short</t>
        </is>
      </c>
      <c r="E911" s="10" t="n">
        <v>45092.5</v>
      </c>
      <c r="F911" s="10" t="n">
        <v>45092.51041666666</v>
      </c>
      <c r="G911" s="11" t="n">
        <v>-2.44</v>
      </c>
      <c r="H911" s="11">
        <f>H910+G911</f>
        <v/>
      </c>
    </row>
    <row r="912">
      <c r="A912" s="9" t="n">
        <v>908</v>
      </c>
      <c r="B912" s="9" t="inlineStr">
        <is>
          <t>Aurelius_M5</t>
        </is>
      </c>
      <c r="C912" s="9" t="inlineStr">
        <is>
          <t>MA alignment (EMA21&gt;EMA50&gt;SMA250&gt;SMMA500 vs EMA2400 trend filter)</t>
        </is>
      </c>
      <c r="D912" s="9" t="inlineStr">
        <is>
          <t>Short</t>
        </is>
      </c>
      <c r="E912" s="10" t="n">
        <v>45092.38888888889</v>
      </c>
      <c r="F912" s="10" t="n">
        <v>45092.54513888889</v>
      </c>
      <c r="G912" s="11" t="n">
        <v>-0.62</v>
      </c>
      <c r="H912" s="11">
        <f>H911+G912</f>
        <v/>
      </c>
    </row>
    <row r="913">
      <c r="A913" s="9" t="n">
        <v>909</v>
      </c>
      <c r="B913" s="9" t="inlineStr">
        <is>
          <t>Ratchet</t>
        </is>
      </c>
      <c r="C913" s="9" t="inlineStr">
        <is>
          <t>Stochastic scalp with give-back trail exit</t>
        </is>
      </c>
      <c r="D913" s="9" t="inlineStr">
        <is>
          <t>Short</t>
        </is>
      </c>
      <c r="E913" s="10" t="n">
        <v>45092.61805555555</v>
      </c>
      <c r="F913" s="10" t="n">
        <v>45092.625</v>
      </c>
      <c r="G913" s="11" t="n">
        <v>0.16</v>
      </c>
      <c r="H913" s="11">
        <f>H912+G913</f>
        <v/>
      </c>
    </row>
    <row r="914">
      <c r="A914" s="9" t="n">
        <v>910</v>
      </c>
      <c r="B914" s="9" t="inlineStr">
        <is>
          <t>Aurelius_M5</t>
        </is>
      </c>
      <c r="C914" s="9" t="inlineStr">
        <is>
          <t>MA alignment (EMA21&gt;EMA50&gt;SMA250&gt;SMMA500 vs EMA2400 trend filter)</t>
        </is>
      </c>
      <c r="D914" s="9" t="inlineStr">
        <is>
          <t>Short</t>
        </is>
      </c>
      <c r="E914" s="10" t="n">
        <v>45092.61458333334</v>
      </c>
      <c r="F914" s="10" t="n">
        <v>45092.64583333334</v>
      </c>
      <c r="G914" s="11" t="n">
        <v>-2.85</v>
      </c>
      <c r="H914" s="11">
        <f>H913+G914</f>
        <v/>
      </c>
    </row>
    <row r="915">
      <c r="A915" s="9" t="n">
        <v>911</v>
      </c>
      <c r="B915" s="9" t="inlineStr">
        <is>
          <t>Meridian</t>
        </is>
      </c>
      <c r="C915" s="9" t="inlineStr">
        <is>
          <t>21/50 MA cross, 250-period confirm filter, VWAP</t>
        </is>
      </c>
      <c r="D915" s="9" t="inlineStr">
        <is>
          <t>Short</t>
        </is>
      </c>
      <c r="E915" s="10" t="n">
        <v>45092.59375</v>
      </c>
      <c r="F915" s="10" t="n">
        <v>45092.66666666666</v>
      </c>
      <c r="G915" s="11" t="n">
        <v>-2.7</v>
      </c>
      <c r="H915" s="11">
        <f>H914+G915</f>
        <v/>
      </c>
    </row>
    <row r="916">
      <c r="A916" s="9" t="n">
        <v>912</v>
      </c>
      <c r="B916" s="9" t="inlineStr">
        <is>
          <t>Meridian</t>
        </is>
      </c>
      <c r="C916" s="9" t="inlineStr">
        <is>
          <t>21/50 MA cross, 250-period confirm filter, VWAP</t>
        </is>
      </c>
      <c r="D916" s="9" t="inlineStr">
        <is>
          <t>Long</t>
        </is>
      </c>
      <c r="E916" s="10" t="n">
        <v>45093.19791666666</v>
      </c>
      <c r="F916" s="10" t="n">
        <v>45093.20833333334</v>
      </c>
      <c r="G916" s="11" t="n">
        <v>-2.32</v>
      </c>
      <c r="H916" s="11">
        <f>H915+G916</f>
        <v/>
      </c>
    </row>
    <row r="917">
      <c r="A917" s="9" t="n">
        <v>913</v>
      </c>
      <c r="B917" s="9" t="inlineStr">
        <is>
          <t>Ratchet</t>
        </is>
      </c>
      <c r="C917" s="9" t="inlineStr">
        <is>
          <t>Stochastic scalp with give-back trail exit</t>
        </is>
      </c>
      <c r="D917" s="9" t="inlineStr">
        <is>
          <t>Long</t>
        </is>
      </c>
      <c r="E917" s="10" t="n">
        <v>45093.48958333334</v>
      </c>
      <c r="F917" s="10" t="n">
        <v>45093.54861111111</v>
      </c>
      <c r="G917" s="11" t="n">
        <v>0.53</v>
      </c>
      <c r="H917" s="11">
        <f>H916+G917</f>
        <v/>
      </c>
    </row>
    <row r="918">
      <c r="A918" s="9" t="n">
        <v>914</v>
      </c>
      <c r="B918" s="9" t="inlineStr">
        <is>
          <t>Ratchet</t>
        </is>
      </c>
      <c r="C918" s="9" t="inlineStr">
        <is>
          <t>Stochastic scalp with give-back trail exit</t>
        </is>
      </c>
      <c r="D918" s="9" t="inlineStr">
        <is>
          <t>Long</t>
        </is>
      </c>
      <c r="E918" s="10" t="n">
        <v>45093.57638888889</v>
      </c>
      <c r="F918" s="10" t="n">
        <v>45093.58680555555</v>
      </c>
      <c r="G918" s="11" t="n">
        <v>0.32</v>
      </c>
      <c r="H918" s="11">
        <f>H917+G918</f>
        <v/>
      </c>
    </row>
    <row r="919">
      <c r="A919" s="9" t="n">
        <v>915</v>
      </c>
      <c r="B919" s="9" t="inlineStr">
        <is>
          <t>Aurelius_M5</t>
        </is>
      </c>
      <c r="C919" s="9" t="inlineStr">
        <is>
          <t>MA alignment (EMA21&gt;EMA50&gt;SMA250&gt;SMMA500 vs EMA2400 trend filter)</t>
        </is>
      </c>
      <c r="D919" s="9" t="inlineStr">
        <is>
          <t>Long</t>
        </is>
      </c>
      <c r="E919" s="10" t="n">
        <v>45093.39583333334</v>
      </c>
      <c r="F919" s="10" t="n">
        <v>45093.67708333334</v>
      </c>
      <c r="G919" s="11" t="n">
        <v>-0.02</v>
      </c>
      <c r="H919" s="11">
        <f>H918+G919</f>
        <v/>
      </c>
    </row>
    <row r="920">
      <c r="A920" s="9" t="n">
        <v>916</v>
      </c>
      <c r="B920" s="9" t="inlineStr">
        <is>
          <t>Meridian</t>
        </is>
      </c>
      <c r="C920" s="9" t="inlineStr">
        <is>
          <t>21/50 MA cross, 250-period confirm filter, VWAP</t>
        </is>
      </c>
      <c r="D920" s="9" t="inlineStr">
        <is>
          <t>Long</t>
        </is>
      </c>
      <c r="E920" s="10" t="n">
        <v>45093.37847222222</v>
      </c>
      <c r="F920" s="10" t="n">
        <v>45093.68402777778</v>
      </c>
      <c r="G920" s="11" t="n">
        <v>0.96</v>
      </c>
      <c r="H920" s="11">
        <f>H919+G920</f>
        <v/>
      </c>
    </row>
    <row r="921">
      <c r="A921" s="9" t="n">
        <v>917</v>
      </c>
      <c r="B921" s="9" t="inlineStr">
        <is>
          <t>Meridian</t>
        </is>
      </c>
      <c r="C921" s="9" t="inlineStr">
        <is>
          <t>21/50 MA cross, 250-period confirm filter, VWAP</t>
        </is>
      </c>
      <c r="D921" s="9" t="inlineStr">
        <is>
          <t>Short</t>
        </is>
      </c>
      <c r="E921" s="10" t="n">
        <v>45096.10416666666</v>
      </c>
      <c r="F921" s="10" t="n">
        <v>45096.13888888889</v>
      </c>
      <c r="G921" s="11" t="n">
        <v>-1.37</v>
      </c>
      <c r="H921" s="11">
        <f>H920+G921</f>
        <v/>
      </c>
    </row>
    <row r="922">
      <c r="A922" s="9" t="n">
        <v>918</v>
      </c>
      <c r="B922" s="9" t="inlineStr">
        <is>
          <t>Meridian</t>
        </is>
      </c>
      <c r="C922" s="9" t="inlineStr">
        <is>
          <t>21/50 MA cross, 250-period confirm filter, VWAP</t>
        </is>
      </c>
      <c r="D922" s="9" t="inlineStr">
        <is>
          <t>Short</t>
        </is>
      </c>
      <c r="E922" s="10" t="n">
        <v>45096.14930555555</v>
      </c>
      <c r="F922" s="10" t="n">
        <v>45096.34027777778</v>
      </c>
      <c r="G922" s="11" t="n">
        <v>-0.22</v>
      </c>
      <c r="H922" s="11">
        <f>H921+G922</f>
        <v/>
      </c>
    </row>
    <row r="923">
      <c r="A923" s="9" t="n">
        <v>919</v>
      </c>
      <c r="B923" s="9" t="inlineStr">
        <is>
          <t>Meridian</t>
        </is>
      </c>
      <c r="C923" s="9" t="inlineStr">
        <is>
          <t>21/50 MA cross, 250-period confirm filter, VWAP</t>
        </is>
      </c>
      <c r="D923" s="9" t="inlineStr">
        <is>
          <t>Short</t>
        </is>
      </c>
      <c r="E923" s="10" t="n">
        <v>45096.37847222222</v>
      </c>
      <c r="F923" s="10" t="n">
        <v>45096.45833333334</v>
      </c>
      <c r="G923" s="11" t="n">
        <v>-1.94</v>
      </c>
      <c r="H923" s="11">
        <f>H922+G923</f>
        <v/>
      </c>
    </row>
    <row r="924">
      <c r="A924" s="9" t="n">
        <v>920</v>
      </c>
      <c r="B924" s="9" t="inlineStr">
        <is>
          <t>Meridian</t>
        </is>
      </c>
      <c r="C924" s="9" t="inlineStr">
        <is>
          <t>21/50 MA cross, 250-period confirm filter, VWAP</t>
        </is>
      </c>
      <c r="D924" s="9" t="inlineStr">
        <is>
          <t>Long</t>
        </is>
      </c>
      <c r="E924" s="10" t="n">
        <v>45096.47569444445</v>
      </c>
      <c r="F924" s="10" t="n">
        <v>45096.50347222222</v>
      </c>
      <c r="G924" s="11" t="n">
        <v>-2.71</v>
      </c>
      <c r="H924" s="11">
        <f>H923+G924</f>
        <v/>
      </c>
    </row>
    <row r="925">
      <c r="A925" s="9" t="n">
        <v>921</v>
      </c>
      <c r="B925" s="9" t="inlineStr">
        <is>
          <t>Vanguard_M15</t>
        </is>
      </c>
      <c r="C925" s="9" t="inlineStr">
        <is>
          <t>Trendline breakout (fractal swing line) + VWAP/S-R distance gate - M15 chart</t>
        </is>
      </c>
      <c r="D925" s="9" t="inlineStr">
        <is>
          <t>Long</t>
        </is>
      </c>
      <c r="E925" s="10" t="n">
        <v>45092.70833333334</v>
      </c>
      <c r="F925" s="10" t="n">
        <v>45096.53125</v>
      </c>
      <c r="G925" s="11" t="n">
        <v>-2.59</v>
      </c>
      <c r="H925" s="11">
        <f>H924+G925</f>
        <v/>
      </c>
    </row>
    <row r="926">
      <c r="A926" s="9" t="n">
        <v>922</v>
      </c>
      <c r="B926" s="9" t="inlineStr">
        <is>
          <t>Vanguard_M5</t>
        </is>
      </c>
      <c r="C926" s="9" t="inlineStr">
        <is>
          <t>Trendline breakout (fractal swing line) + VWAP/S-R distance gate</t>
        </is>
      </c>
      <c r="D926" s="9" t="inlineStr">
        <is>
          <t>Long</t>
        </is>
      </c>
      <c r="E926" s="10" t="n">
        <v>45092.70138888889</v>
      </c>
      <c r="F926" s="10" t="n">
        <v>45096.53819444445</v>
      </c>
      <c r="G926" s="11" t="n">
        <v>-0.02</v>
      </c>
      <c r="H926" s="11">
        <f>H925+G926</f>
        <v/>
      </c>
    </row>
    <row r="927">
      <c r="A927" s="9" t="n">
        <v>923</v>
      </c>
      <c r="B927" s="9" t="inlineStr">
        <is>
          <t>Meridian</t>
        </is>
      </c>
      <c r="C927" s="9" t="inlineStr">
        <is>
          <t>21/50 MA cross, 250-period confirm filter, VWAP</t>
        </is>
      </c>
      <c r="D927" s="9" t="inlineStr">
        <is>
          <t>Short</t>
        </is>
      </c>
      <c r="E927" s="10" t="n">
        <v>45096.52777777778</v>
      </c>
      <c r="F927" s="10" t="n">
        <v>45096.70138888889</v>
      </c>
      <c r="G927" s="11" t="n">
        <v>0.3</v>
      </c>
      <c r="H927" s="11">
        <f>H926+G927</f>
        <v/>
      </c>
    </row>
    <row r="928">
      <c r="A928" s="9" t="n">
        <v>924</v>
      </c>
      <c r="B928" s="9" t="inlineStr">
        <is>
          <t>Meridian</t>
        </is>
      </c>
      <c r="C928" s="9" t="inlineStr">
        <is>
          <t>21/50 MA cross, 250-period confirm filter, VWAP</t>
        </is>
      </c>
      <c r="D928" s="9" t="inlineStr">
        <is>
          <t>Short</t>
        </is>
      </c>
      <c r="E928" s="10" t="n">
        <v>45096.72222222222</v>
      </c>
      <c r="F928" s="10" t="n">
        <v>45096.72916666666</v>
      </c>
      <c r="G928" s="11" t="n">
        <v>-1.24</v>
      </c>
      <c r="H928" s="11">
        <f>H927+G928</f>
        <v/>
      </c>
    </row>
    <row r="929">
      <c r="A929" s="9" t="n">
        <v>925</v>
      </c>
      <c r="B929" s="9" t="inlineStr">
        <is>
          <t>Meridian</t>
        </is>
      </c>
      <c r="C929" s="9" t="inlineStr">
        <is>
          <t>21/50 MA cross, 250-period confirm filter, VWAP</t>
        </is>
      </c>
      <c r="D929" s="9" t="inlineStr">
        <is>
          <t>Short</t>
        </is>
      </c>
      <c r="E929" s="10" t="n">
        <v>45096.79861111111</v>
      </c>
      <c r="F929" s="10" t="n">
        <v>45097.04861111111</v>
      </c>
      <c r="G929" s="11" t="n">
        <v>-1.98</v>
      </c>
      <c r="H929" s="11">
        <f>H928+G929</f>
        <v/>
      </c>
    </row>
    <row r="930">
      <c r="A930" s="9" t="n">
        <v>926</v>
      </c>
      <c r="B930" s="9" t="inlineStr">
        <is>
          <t>Aurelius_M5</t>
        </is>
      </c>
      <c r="C930" s="9" t="inlineStr">
        <is>
          <t>MA alignment (EMA21&gt;EMA50&gt;SMA250&gt;SMMA500 vs EMA2400 trend filter)</t>
        </is>
      </c>
      <c r="D930" s="9" t="inlineStr">
        <is>
          <t>Short</t>
        </is>
      </c>
      <c r="E930" s="10" t="n">
        <v>45097.19097222222</v>
      </c>
      <c r="F930" s="10" t="n">
        <v>45097.24305555555</v>
      </c>
      <c r="G930" s="11" t="n">
        <v>-2.11</v>
      </c>
      <c r="H930" s="11">
        <f>H929+G930</f>
        <v/>
      </c>
    </row>
    <row r="931">
      <c r="A931" s="9" t="n">
        <v>927</v>
      </c>
      <c r="B931" s="9" t="inlineStr">
        <is>
          <t>Meridian</t>
        </is>
      </c>
      <c r="C931" s="9" t="inlineStr">
        <is>
          <t>21/50 MA cross, 250-period confirm filter, VWAP</t>
        </is>
      </c>
      <c r="D931" s="9" t="inlineStr">
        <is>
          <t>Short</t>
        </is>
      </c>
      <c r="E931" s="10" t="n">
        <v>45097.16666666666</v>
      </c>
      <c r="F931" s="10" t="n">
        <v>45097.3125</v>
      </c>
      <c r="G931" s="11" t="n">
        <v>-0.28</v>
      </c>
      <c r="H931" s="11">
        <f>H930+G931</f>
        <v/>
      </c>
    </row>
    <row r="932">
      <c r="A932" s="9" t="n">
        <v>928</v>
      </c>
      <c r="B932" s="9" t="inlineStr">
        <is>
          <t>Vanguard_M15</t>
        </is>
      </c>
      <c r="C932" s="9" t="inlineStr">
        <is>
          <t>Trendline breakout (fractal swing line) + VWAP/S-R distance gate - M15 chart</t>
        </is>
      </c>
      <c r="D932" s="9" t="inlineStr">
        <is>
          <t>Long</t>
        </is>
      </c>
      <c r="E932" s="10" t="n">
        <v>45097.3125</v>
      </c>
      <c r="F932" s="10" t="n">
        <v>45097.33333333334</v>
      </c>
      <c r="G932" s="11" t="n">
        <v>-4.12</v>
      </c>
      <c r="H932" s="11">
        <f>H931+G932</f>
        <v/>
      </c>
    </row>
    <row r="933">
      <c r="A933" s="9" t="n">
        <v>929</v>
      </c>
      <c r="B933" s="9" t="inlineStr">
        <is>
          <t>Vanguard_M5</t>
        </is>
      </c>
      <c r="C933" s="9" t="inlineStr">
        <is>
          <t>Trendline breakout (fractal swing line) + VWAP/S-R distance gate</t>
        </is>
      </c>
      <c r="D933" s="9" t="inlineStr">
        <is>
          <t>Long</t>
        </is>
      </c>
      <c r="E933" s="10" t="n">
        <v>45097.3125</v>
      </c>
      <c r="F933" s="10" t="n">
        <v>45097.33680555555</v>
      </c>
      <c r="G933" s="11" t="n">
        <v>-2.88</v>
      </c>
      <c r="H933" s="11">
        <f>H932+G933</f>
        <v/>
      </c>
    </row>
    <row r="934">
      <c r="A934" s="9" t="n">
        <v>930</v>
      </c>
      <c r="B934" s="9" t="inlineStr">
        <is>
          <t>Meridian</t>
        </is>
      </c>
      <c r="C934" s="9" t="inlineStr">
        <is>
          <t>21/50 MA cross, 250-period confirm filter, VWAP</t>
        </is>
      </c>
      <c r="D934" s="9" t="inlineStr">
        <is>
          <t>Short</t>
        </is>
      </c>
      <c r="E934" s="10" t="n">
        <v>45097.34027777778</v>
      </c>
      <c r="F934" s="10" t="n">
        <v>45097.36458333334</v>
      </c>
      <c r="G934" s="11" t="n">
        <v>-2.02</v>
      </c>
      <c r="H934" s="11">
        <f>H933+G934</f>
        <v/>
      </c>
    </row>
    <row r="935">
      <c r="A935" s="9" t="n">
        <v>931</v>
      </c>
      <c r="B935" s="9" t="inlineStr">
        <is>
          <t>Aurelius_M5</t>
        </is>
      </c>
      <c r="C935" s="9" t="inlineStr">
        <is>
          <t>MA alignment (EMA21&gt;EMA50&gt;SMA250&gt;SMMA500 vs EMA2400 trend filter)</t>
        </is>
      </c>
      <c r="D935" s="9" t="inlineStr">
        <is>
          <t>Short</t>
        </is>
      </c>
      <c r="E935" s="10" t="n">
        <v>45097.36805555555</v>
      </c>
      <c r="F935" s="10" t="n">
        <v>45097.38541666666</v>
      </c>
      <c r="G935" s="11" t="n">
        <v>-2.27</v>
      </c>
      <c r="H935" s="11">
        <f>H934+G935</f>
        <v/>
      </c>
    </row>
    <row r="936">
      <c r="A936" s="9" t="n">
        <v>932</v>
      </c>
      <c r="B936" s="9" t="inlineStr">
        <is>
          <t>Aurelius_M15</t>
        </is>
      </c>
      <c r="C936" s="9" t="inlineStr">
        <is>
          <t>MA alignment (EMA21&gt;EMA50&gt;SMA250&gt;SMMA500 vs EMA2400 trend filter) - M15 chart</t>
        </is>
      </c>
      <c r="D936" s="9" t="inlineStr">
        <is>
          <t>Short</t>
        </is>
      </c>
      <c r="E936" s="10" t="n">
        <v>45097.17708333334</v>
      </c>
      <c r="F936" s="10" t="n">
        <v>45097.39583333334</v>
      </c>
      <c r="G936" s="11" t="n">
        <v>-2.99</v>
      </c>
      <c r="H936" s="11">
        <f>H935+G936</f>
        <v/>
      </c>
    </row>
    <row r="937">
      <c r="A937" s="9" t="n">
        <v>933</v>
      </c>
      <c r="B937" s="9" t="inlineStr">
        <is>
          <t>Meridian</t>
        </is>
      </c>
      <c r="C937" s="9" t="inlineStr">
        <is>
          <t>21/50 MA cross, 250-period confirm filter, VWAP</t>
        </is>
      </c>
      <c r="D937" s="9" t="inlineStr">
        <is>
          <t>Long</t>
        </is>
      </c>
      <c r="E937" s="10" t="n">
        <v>45097.39930555555</v>
      </c>
      <c r="F937" s="10" t="n">
        <v>45097.56597222222</v>
      </c>
      <c r="G937" s="11" t="n">
        <v>-1.26</v>
      </c>
      <c r="H937" s="11">
        <f>H936+G937</f>
        <v/>
      </c>
    </row>
    <row r="938">
      <c r="A938" s="9" t="n">
        <v>934</v>
      </c>
      <c r="B938" s="9" t="inlineStr">
        <is>
          <t>Meridian</t>
        </is>
      </c>
      <c r="C938" s="9" t="inlineStr">
        <is>
          <t>21/50 MA cross, 250-period confirm filter, VWAP</t>
        </is>
      </c>
      <c r="D938" s="9" t="inlineStr">
        <is>
          <t>Long</t>
        </is>
      </c>
      <c r="E938" s="10" t="n">
        <v>45097.64236111111</v>
      </c>
      <c r="F938" s="10" t="n">
        <v>45097.64583333334</v>
      </c>
      <c r="G938" s="11" t="n">
        <v>-2.87</v>
      </c>
      <c r="H938" s="11">
        <f>H937+G938</f>
        <v/>
      </c>
    </row>
    <row r="939">
      <c r="A939" s="9" t="n">
        <v>935</v>
      </c>
      <c r="B939" s="9" t="inlineStr">
        <is>
          <t>Vanguard_M5</t>
        </is>
      </c>
      <c r="C939" s="9" t="inlineStr">
        <is>
          <t>Trendline breakout (fractal swing line) + VWAP/S-R distance gate</t>
        </is>
      </c>
      <c r="D939" s="9" t="inlineStr">
        <is>
          <t>Long</t>
        </is>
      </c>
      <c r="E939" s="10" t="n">
        <v>45097.38888888889</v>
      </c>
      <c r="F939" s="10" t="n">
        <v>45097.65277777778</v>
      </c>
      <c r="G939" s="11" t="n">
        <v>-4.01</v>
      </c>
      <c r="H939" s="11">
        <f>H938+G939</f>
        <v/>
      </c>
    </row>
    <row r="940">
      <c r="A940" s="9" t="n">
        <v>936</v>
      </c>
      <c r="B940" s="9" t="inlineStr">
        <is>
          <t>Vanguard_M15</t>
        </is>
      </c>
      <c r="C940" s="9" t="inlineStr">
        <is>
          <t>Trendline breakout (fractal swing line) + VWAP/S-R distance gate - M15 chart</t>
        </is>
      </c>
      <c r="D940" s="9" t="inlineStr">
        <is>
          <t>Long</t>
        </is>
      </c>
      <c r="E940" s="10" t="n">
        <v>45097.39583333334</v>
      </c>
      <c r="F940" s="10" t="n">
        <v>45097.65625</v>
      </c>
      <c r="G940" s="11" t="n">
        <v>-4.6</v>
      </c>
      <c r="H940" s="11">
        <f>H939+G940</f>
        <v/>
      </c>
    </row>
    <row r="941">
      <c r="A941" s="9" t="n">
        <v>937</v>
      </c>
      <c r="B941" s="9" t="inlineStr">
        <is>
          <t>Ratchet</t>
        </is>
      </c>
      <c r="C941" s="9" t="inlineStr">
        <is>
          <t>Stochastic scalp with give-back trail exit</t>
        </is>
      </c>
      <c r="D941" s="9" t="inlineStr">
        <is>
          <t>Short</t>
        </is>
      </c>
      <c r="E941" s="10" t="n">
        <v>45097.6875</v>
      </c>
      <c r="F941" s="10" t="n">
        <v>45097.76041666666</v>
      </c>
      <c r="G941" s="11" t="n">
        <v>2.15</v>
      </c>
      <c r="H941" s="11">
        <f>H940+G941</f>
        <v/>
      </c>
    </row>
    <row r="942">
      <c r="A942" s="9" t="n">
        <v>938</v>
      </c>
      <c r="B942" s="9" t="inlineStr">
        <is>
          <t>Ratchet</t>
        </is>
      </c>
      <c r="C942" s="9" t="inlineStr">
        <is>
          <t>Stochastic scalp with give-back trail exit</t>
        </is>
      </c>
      <c r="D942" s="9" t="inlineStr">
        <is>
          <t>Short</t>
        </is>
      </c>
      <c r="E942" s="10" t="n">
        <v>45097.9375</v>
      </c>
      <c r="F942" s="10" t="n">
        <v>45097.94444444445</v>
      </c>
      <c r="G942" s="11" t="n">
        <v>-1.4</v>
      </c>
      <c r="H942" s="11">
        <f>H941+G942</f>
        <v/>
      </c>
    </row>
    <row r="943">
      <c r="A943" s="9" t="n">
        <v>939</v>
      </c>
      <c r="B943" s="9" t="inlineStr">
        <is>
          <t>Meridian</t>
        </is>
      </c>
      <c r="C943" s="9" t="inlineStr">
        <is>
          <t>21/50 MA cross, 250-period confirm filter, VWAP</t>
        </is>
      </c>
      <c r="D943" s="9" t="inlineStr">
        <is>
          <t>Short</t>
        </is>
      </c>
      <c r="E943" s="10" t="n">
        <v>45098.20833333334</v>
      </c>
      <c r="F943" s="10" t="n">
        <v>45098.22916666666</v>
      </c>
      <c r="G943" s="11" t="n">
        <v>-1.54</v>
      </c>
      <c r="H943" s="11">
        <f>H942+G943</f>
        <v/>
      </c>
    </row>
    <row r="944">
      <c r="A944" s="9" t="n">
        <v>940</v>
      </c>
      <c r="B944" s="9" t="inlineStr">
        <is>
          <t>Aurelius_M5</t>
        </is>
      </c>
      <c r="C944" s="9" t="inlineStr">
        <is>
          <t>MA alignment (EMA21&gt;EMA50&gt;SMA250&gt;SMMA500 vs EMA2400 trend filter)</t>
        </is>
      </c>
      <c r="D944" s="9" t="inlineStr">
        <is>
          <t>Short</t>
        </is>
      </c>
      <c r="E944" s="10" t="n">
        <v>45098.34027777778</v>
      </c>
      <c r="F944" s="10" t="n">
        <v>45098.35763888889</v>
      </c>
      <c r="G944" s="11" t="n">
        <v>-1.98</v>
      </c>
      <c r="H944" s="11">
        <f>H943+G944</f>
        <v/>
      </c>
    </row>
    <row r="945">
      <c r="A945" s="9" t="n">
        <v>941</v>
      </c>
      <c r="B945" s="9" t="inlineStr">
        <is>
          <t>Ratchet</t>
        </is>
      </c>
      <c r="C945" s="9" t="inlineStr">
        <is>
          <t>Stochastic scalp with give-back trail exit</t>
        </is>
      </c>
      <c r="D945" s="9" t="inlineStr">
        <is>
          <t>Short</t>
        </is>
      </c>
      <c r="E945" s="10" t="n">
        <v>45098.39930555555</v>
      </c>
      <c r="F945" s="10" t="n">
        <v>45098.42708333334</v>
      </c>
      <c r="G945" s="11" t="n">
        <v>-2.12</v>
      </c>
      <c r="H945" s="11">
        <f>H944+G945</f>
        <v/>
      </c>
    </row>
    <row r="946">
      <c r="A946" s="9" t="n">
        <v>942</v>
      </c>
      <c r="B946" s="9" t="inlineStr">
        <is>
          <t>Ratchet</t>
        </is>
      </c>
      <c r="C946" s="9" t="inlineStr">
        <is>
          <t>Stochastic scalp with give-back trail exit</t>
        </is>
      </c>
      <c r="D946" s="9" t="inlineStr">
        <is>
          <t>Short</t>
        </is>
      </c>
      <c r="E946" s="10" t="n">
        <v>45098.47222222222</v>
      </c>
      <c r="F946" s="10" t="n">
        <v>45098.51388888889</v>
      </c>
      <c r="G946" s="11" t="n">
        <v>0.62</v>
      </c>
      <c r="H946" s="11">
        <f>H945+G946</f>
        <v/>
      </c>
    </row>
    <row r="947">
      <c r="A947" s="9" t="n">
        <v>943</v>
      </c>
      <c r="B947" s="9" t="inlineStr">
        <is>
          <t>Ratchet</t>
        </is>
      </c>
      <c r="C947" s="9" t="inlineStr">
        <is>
          <t>Stochastic scalp with give-back trail exit</t>
        </is>
      </c>
      <c r="D947" s="9" t="inlineStr">
        <is>
          <t>Short</t>
        </is>
      </c>
      <c r="E947" s="10" t="n">
        <v>45098.66666666666</v>
      </c>
      <c r="F947" s="10" t="n">
        <v>45098.68055555555</v>
      </c>
      <c r="G947" s="11" t="n">
        <v>0.79</v>
      </c>
      <c r="H947" s="11">
        <f>H946+G947</f>
        <v/>
      </c>
    </row>
    <row r="948">
      <c r="A948" s="9" t="n">
        <v>944</v>
      </c>
      <c r="B948" s="9" t="inlineStr">
        <is>
          <t>Meridian</t>
        </is>
      </c>
      <c r="C948" s="9" t="inlineStr">
        <is>
          <t>21/50 MA cross, 250-period confirm filter, VWAP</t>
        </is>
      </c>
      <c r="D948" s="9" t="inlineStr">
        <is>
          <t>Short</t>
        </is>
      </c>
      <c r="E948" s="10" t="n">
        <v>45098.27430555555</v>
      </c>
      <c r="F948" s="10" t="n">
        <v>45098.79166666666</v>
      </c>
      <c r="G948" s="11" t="n">
        <v>4.38</v>
      </c>
      <c r="H948" s="11">
        <f>H947+G948</f>
        <v/>
      </c>
    </row>
    <row r="949">
      <c r="A949" s="9" t="n">
        <v>945</v>
      </c>
      <c r="B949" s="9" t="inlineStr">
        <is>
          <t>Aurelius_M5</t>
        </is>
      </c>
      <c r="C949" s="9" t="inlineStr">
        <is>
          <t>MA alignment (EMA21&gt;EMA50&gt;SMA250&gt;SMMA500 vs EMA2400 trend filter)</t>
        </is>
      </c>
      <c r="D949" s="9" t="inlineStr">
        <is>
          <t>Short</t>
        </is>
      </c>
      <c r="E949" s="10" t="n">
        <v>45098.375</v>
      </c>
      <c r="F949" s="10" t="n">
        <v>45098.79166666666</v>
      </c>
      <c r="G949" s="11" t="n">
        <v>3.18</v>
      </c>
      <c r="H949" s="11">
        <f>H948+G949</f>
        <v/>
      </c>
    </row>
    <row r="950">
      <c r="A950" s="9" t="n">
        <v>946</v>
      </c>
      <c r="B950" s="9" t="inlineStr">
        <is>
          <t>Aurelius_M15</t>
        </is>
      </c>
      <c r="C950" s="9" t="inlineStr">
        <is>
          <t>MA alignment (EMA21&gt;EMA50&gt;SMA250&gt;SMMA500 vs EMA2400 trend filter) - M15 chart</t>
        </is>
      </c>
      <c r="D950" s="9" t="inlineStr">
        <is>
          <t>Short</t>
        </is>
      </c>
      <c r="E950" s="10" t="n">
        <v>45097.6875</v>
      </c>
      <c r="F950" s="10" t="n">
        <v>45098.89583333334</v>
      </c>
      <c r="G950" s="11" t="n">
        <v>2.76</v>
      </c>
      <c r="H950" s="11">
        <f>H949+G950</f>
        <v/>
      </c>
    </row>
    <row r="951">
      <c r="A951" s="9" t="n">
        <v>947</v>
      </c>
      <c r="B951" s="9" t="inlineStr">
        <is>
          <t>Meridian</t>
        </is>
      </c>
      <c r="C951" s="9" t="inlineStr">
        <is>
          <t>21/50 MA cross, 250-period confirm filter, VWAP</t>
        </is>
      </c>
      <c r="D951" s="9" t="inlineStr">
        <is>
          <t>Short</t>
        </is>
      </c>
      <c r="E951" s="10" t="n">
        <v>45098.98611111111</v>
      </c>
      <c r="F951" s="10" t="n">
        <v>45099.06944444445</v>
      </c>
      <c r="G951" s="11" t="n">
        <v>-1.95</v>
      </c>
      <c r="H951" s="11">
        <f>H950+G951</f>
        <v/>
      </c>
    </row>
    <row r="952">
      <c r="A952" s="9" t="n">
        <v>948</v>
      </c>
      <c r="B952" s="9" t="inlineStr">
        <is>
          <t>Meridian</t>
        </is>
      </c>
      <c r="C952" s="9" t="inlineStr">
        <is>
          <t>21/50 MA cross, 250-period confirm filter, VWAP</t>
        </is>
      </c>
      <c r="D952" s="9" t="inlineStr">
        <is>
          <t>Long</t>
        </is>
      </c>
      <c r="E952" s="10" t="n">
        <v>45099.11458333334</v>
      </c>
      <c r="F952" s="10" t="n">
        <v>45099.15277777778</v>
      </c>
      <c r="G952" s="11" t="n">
        <v>-1.01</v>
      </c>
      <c r="H952" s="11">
        <f>H951+G952</f>
        <v/>
      </c>
    </row>
    <row r="953">
      <c r="A953" s="9" t="n">
        <v>949</v>
      </c>
      <c r="B953" s="9" t="inlineStr">
        <is>
          <t>Ratchet</t>
        </is>
      </c>
      <c r="C953" s="9" t="inlineStr">
        <is>
          <t>Stochastic scalp with give-back trail exit</t>
        </is>
      </c>
      <c r="D953" s="9" t="inlineStr">
        <is>
          <t>Short</t>
        </is>
      </c>
      <c r="E953" s="10" t="n">
        <v>45099.42013888889</v>
      </c>
      <c r="F953" s="10" t="n">
        <v>45099.4375</v>
      </c>
      <c r="G953" s="11" t="n">
        <v>-1.97</v>
      </c>
      <c r="H953" s="11">
        <f>H952+G953</f>
        <v/>
      </c>
    </row>
    <row r="954">
      <c r="A954" s="9" t="n">
        <v>950</v>
      </c>
      <c r="B954" s="9" t="inlineStr">
        <is>
          <t>Ratchet</t>
        </is>
      </c>
      <c r="C954" s="9" t="inlineStr">
        <is>
          <t>Stochastic scalp with give-back trail exit</t>
        </is>
      </c>
      <c r="D954" s="9" t="inlineStr">
        <is>
          <t>Short</t>
        </is>
      </c>
      <c r="E954" s="10" t="n">
        <v>45099.47916666666</v>
      </c>
      <c r="F954" s="10" t="n">
        <v>45099.49305555555</v>
      </c>
      <c r="G954" s="11" t="n">
        <v>0.87</v>
      </c>
      <c r="H954" s="11">
        <f>H953+G954</f>
        <v/>
      </c>
    </row>
    <row r="955">
      <c r="A955" s="9" t="n">
        <v>951</v>
      </c>
      <c r="B955" s="9" t="inlineStr">
        <is>
          <t>Ratchet</t>
        </is>
      </c>
      <c r="C955" s="9" t="inlineStr">
        <is>
          <t>Stochastic scalp with give-back trail exit</t>
        </is>
      </c>
      <c r="D955" s="9" t="inlineStr">
        <is>
          <t>Short</t>
        </is>
      </c>
      <c r="E955" s="10" t="n">
        <v>45099.71180555555</v>
      </c>
      <c r="F955" s="10" t="n">
        <v>45099.73611111111</v>
      </c>
      <c r="G955" s="11" t="n">
        <v>1.65</v>
      </c>
      <c r="H955" s="11">
        <f>H954+G955</f>
        <v/>
      </c>
    </row>
    <row r="956">
      <c r="A956" s="9" t="n">
        <v>952</v>
      </c>
      <c r="B956" s="9" t="inlineStr">
        <is>
          <t>Ratchet</t>
        </is>
      </c>
      <c r="C956" s="9" t="inlineStr">
        <is>
          <t>Stochastic scalp with give-back trail exit</t>
        </is>
      </c>
      <c r="D956" s="9" t="inlineStr">
        <is>
          <t>Short</t>
        </is>
      </c>
      <c r="E956" s="10" t="n">
        <v>45099.77430555555</v>
      </c>
      <c r="F956" s="10" t="n">
        <v>45099.81597222222</v>
      </c>
      <c r="G956" s="11" t="n">
        <v>-4.04</v>
      </c>
      <c r="H956" s="11">
        <f>H955+G956</f>
        <v/>
      </c>
    </row>
    <row r="957">
      <c r="A957" s="9" t="n">
        <v>953</v>
      </c>
      <c r="B957" s="9" t="inlineStr">
        <is>
          <t>Ratchet</t>
        </is>
      </c>
      <c r="C957" s="9" t="inlineStr">
        <is>
          <t>Stochastic scalp with give-back trail exit</t>
        </is>
      </c>
      <c r="D957" s="9" t="inlineStr">
        <is>
          <t>Short</t>
        </is>
      </c>
      <c r="E957" s="10" t="n">
        <v>45099.85416666666</v>
      </c>
      <c r="F957" s="10" t="n">
        <v>45099.86805555555</v>
      </c>
      <c r="G957" s="11" t="n">
        <v>-2.47</v>
      </c>
      <c r="H957" s="11">
        <f>H956+G957</f>
        <v/>
      </c>
    </row>
    <row r="958">
      <c r="A958" s="9" t="n">
        <v>954</v>
      </c>
      <c r="B958" s="9" t="inlineStr">
        <is>
          <t>Ratchet</t>
        </is>
      </c>
      <c r="C958" s="9" t="inlineStr">
        <is>
          <t>Stochastic scalp with give-back trail exit</t>
        </is>
      </c>
      <c r="D958" s="9" t="inlineStr">
        <is>
          <t>Short</t>
        </is>
      </c>
      <c r="E958" s="10" t="n">
        <v>45099.90277777778</v>
      </c>
      <c r="F958" s="10" t="n">
        <v>45099.91666666666</v>
      </c>
      <c r="G958" s="11" t="n">
        <v>-1.46</v>
      </c>
      <c r="H958" s="11">
        <f>H957+G958</f>
        <v/>
      </c>
    </row>
    <row r="959">
      <c r="A959" s="9" t="n">
        <v>955</v>
      </c>
      <c r="B959" s="9" t="inlineStr">
        <is>
          <t>Aurelius_M5</t>
        </is>
      </c>
      <c r="C959" s="9" t="inlineStr">
        <is>
          <t>MA alignment (EMA21&gt;EMA50&gt;SMA250&gt;SMMA500 vs EMA2400 trend filter)</t>
        </is>
      </c>
      <c r="D959" s="9" t="inlineStr">
        <is>
          <t>Short</t>
        </is>
      </c>
      <c r="E959" s="10" t="n">
        <v>45099.31597222222</v>
      </c>
      <c r="F959" s="10" t="n">
        <v>45100.04166666666</v>
      </c>
      <c r="G959" s="11" t="n">
        <v>17.55</v>
      </c>
      <c r="H959" s="11">
        <f>H958+G959</f>
        <v/>
      </c>
    </row>
    <row r="960">
      <c r="A960" s="9" t="n">
        <v>956</v>
      </c>
      <c r="B960" s="9" t="inlineStr">
        <is>
          <t>Ratchet</t>
        </is>
      </c>
      <c r="C960" s="9" t="inlineStr">
        <is>
          <t>Stochastic scalp with give-back trail exit</t>
        </is>
      </c>
      <c r="D960" s="9" t="inlineStr">
        <is>
          <t>Short</t>
        </is>
      </c>
      <c r="E960" s="10" t="n">
        <v>45100.06944444445</v>
      </c>
      <c r="F960" s="10" t="n">
        <v>45100.09722222222</v>
      </c>
      <c r="G960" s="11" t="n">
        <v>-0.93</v>
      </c>
      <c r="H960" s="11">
        <f>H959+G960</f>
        <v/>
      </c>
    </row>
    <row r="961">
      <c r="A961" s="9" t="n">
        <v>957</v>
      </c>
      <c r="B961" s="9" t="inlineStr">
        <is>
          <t>Ratchet</t>
        </is>
      </c>
      <c r="C961" s="9" t="inlineStr">
        <is>
          <t>Stochastic scalp with give-back trail exit</t>
        </is>
      </c>
      <c r="D961" s="9" t="inlineStr">
        <is>
          <t>Short</t>
        </is>
      </c>
      <c r="E961" s="10" t="n">
        <v>45100.27430555555</v>
      </c>
      <c r="F961" s="10" t="n">
        <v>45100.28472222222</v>
      </c>
      <c r="G961" s="11" t="n">
        <v>-1.22</v>
      </c>
      <c r="H961" s="11">
        <f>H960+G961</f>
        <v/>
      </c>
    </row>
    <row r="962">
      <c r="A962" s="9" t="n">
        <v>958</v>
      </c>
      <c r="B962" s="9" t="inlineStr">
        <is>
          <t>Meridian</t>
        </is>
      </c>
      <c r="C962" s="9" t="inlineStr">
        <is>
          <t>21/50 MA cross, 250-period confirm filter, VWAP</t>
        </is>
      </c>
      <c r="D962" s="9" t="inlineStr">
        <is>
          <t>Short</t>
        </is>
      </c>
      <c r="E962" s="10" t="n">
        <v>45100.19791666666</v>
      </c>
      <c r="F962" s="10" t="n">
        <v>45100.3125</v>
      </c>
      <c r="G962" s="11" t="n">
        <v>-1.75</v>
      </c>
      <c r="H962" s="11">
        <f>H961+G962</f>
        <v/>
      </c>
    </row>
    <row r="963">
      <c r="A963" s="9" t="n">
        <v>959</v>
      </c>
      <c r="B963" s="9" t="inlineStr">
        <is>
          <t>Aurelius_M15</t>
        </is>
      </c>
      <c r="C963" s="9" t="inlineStr">
        <is>
          <t>MA alignment (EMA21&gt;EMA50&gt;SMA250&gt;SMMA500 vs EMA2400 trend filter) - M15 chart</t>
        </is>
      </c>
      <c r="D963" s="9" t="inlineStr">
        <is>
          <t>Short</t>
        </is>
      </c>
      <c r="E963" s="10" t="n">
        <v>45099.42708333334</v>
      </c>
      <c r="F963" s="10" t="n">
        <v>45100.38541666666</v>
      </c>
      <c r="G963" s="11" t="n">
        <v>12.39</v>
      </c>
      <c r="H963" s="11">
        <f>H962+G963</f>
        <v/>
      </c>
    </row>
    <row r="964">
      <c r="A964" s="9" t="n">
        <v>960</v>
      </c>
      <c r="B964" s="9" t="inlineStr">
        <is>
          <t>Vanguard_M15</t>
        </is>
      </c>
      <c r="C964" s="9" t="inlineStr">
        <is>
          <t>Trendline breakout (fractal swing line) + VWAP/S-R distance gate - M15 chart</t>
        </is>
      </c>
      <c r="D964" s="9" t="inlineStr">
        <is>
          <t>Long</t>
        </is>
      </c>
      <c r="E964" s="10" t="n">
        <v>45100.6875</v>
      </c>
      <c r="F964" s="10" t="n">
        <v>45100.71875</v>
      </c>
      <c r="G964" s="11" t="n">
        <v>-7.51</v>
      </c>
      <c r="H964" s="11">
        <f>H963+G964</f>
        <v/>
      </c>
    </row>
    <row r="965">
      <c r="A965" s="9" t="n">
        <v>961</v>
      </c>
      <c r="B965" s="9" t="inlineStr">
        <is>
          <t>Vanguard_M5</t>
        </is>
      </c>
      <c r="C965" s="9" t="inlineStr">
        <is>
          <t>Trendline breakout (fractal swing line) + VWAP/S-R distance gate</t>
        </is>
      </c>
      <c r="D965" s="9" t="inlineStr">
        <is>
          <t>Long</t>
        </is>
      </c>
      <c r="E965" s="10" t="n">
        <v>45100.68055555555</v>
      </c>
      <c r="F965" s="10" t="n">
        <v>45100.73611111111</v>
      </c>
      <c r="G965" s="11" t="n">
        <v>-7.53</v>
      </c>
      <c r="H965" s="11">
        <f>H964+G965</f>
        <v/>
      </c>
    </row>
    <row r="966">
      <c r="A966" s="9" t="n">
        <v>962</v>
      </c>
      <c r="B966" s="9" t="inlineStr">
        <is>
          <t>Meridian</t>
        </is>
      </c>
      <c r="C966" s="9" t="inlineStr">
        <is>
          <t>21/50 MA cross, 250-period confirm filter, VWAP</t>
        </is>
      </c>
      <c r="D966" s="9" t="inlineStr">
        <is>
          <t>Long</t>
        </is>
      </c>
      <c r="E966" s="10" t="n">
        <v>45103.05208333334</v>
      </c>
      <c r="F966" s="10" t="n">
        <v>45103.33680555555</v>
      </c>
      <c r="G966" s="11" t="n">
        <v>0.3</v>
      </c>
      <c r="H966" s="11">
        <f>H965+G966</f>
        <v/>
      </c>
    </row>
    <row r="967">
      <c r="A967" s="9" t="n">
        <v>963</v>
      </c>
      <c r="B967" s="9" t="inlineStr">
        <is>
          <t>Meridian</t>
        </is>
      </c>
      <c r="C967" s="9" t="inlineStr">
        <is>
          <t>21/50 MA cross, 250-period confirm filter, VWAP</t>
        </is>
      </c>
      <c r="D967" s="9" t="inlineStr">
        <is>
          <t>Long</t>
        </is>
      </c>
      <c r="E967" s="10" t="n">
        <v>45103.36458333334</v>
      </c>
      <c r="F967" s="10" t="n">
        <v>45103.38888888889</v>
      </c>
      <c r="G967" s="11" t="n">
        <v>-2.07</v>
      </c>
      <c r="H967" s="11">
        <f>H966+G967</f>
        <v/>
      </c>
    </row>
    <row r="968">
      <c r="A968" s="9" t="n">
        <v>964</v>
      </c>
      <c r="B968" s="9" t="inlineStr">
        <is>
          <t>Meridian</t>
        </is>
      </c>
      <c r="C968" s="9" t="inlineStr">
        <is>
          <t>21/50 MA cross, 250-period confirm filter, VWAP</t>
        </is>
      </c>
      <c r="D968" s="9" t="inlineStr">
        <is>
          <t>Long</t>
        </is>
      </c>
      <c r="E968" s="10" t="n">
        <v>45103.44097222222</v>
      </c>
      <c r="F968" s="10" t="n">
        <v>45103.6875</v>
      </c>
      <c r="G968" s="11" t="n">
        <v>0</v>
      </c>
      <c r="H968" s="11">
        <f>H967+G968</f>
        <v/>
      </c>
    </row>
    <row r="969">
      <c r="A969" s="9" t="n">
        <v>965</v>
      </c>
      <c r="B969" s="9" t="inlineStr">
        <is>
          <t>Meridian</t>
        </is>
      </c>
      <c r="C969" s="9" t="inlineStr">
        <is>
          <t>21/50 MA cross, 250-period confirm filter, VWAP</t>
        </is>
      </c>
      <c r="D969" s="9" t="inlineStr">
        <is>
          <t>Short</t>
        </is>
      </c>
      <c r="E969" s="10" t="n">
        <v>45104.37847222222</v>
      </c>
      <c r="F969" s="10" t="n">
        <v>45104.39583333334</v>
      </c>
      <c r="G969" s="11" t="n">
        <v>-2.07</v>
      </c>
      <c r="H969" s="11">
        <f>H968+G969</f>
        <v/>
      </c>
    </row>
    <row r="970">
      <c r="A970" s="9" t="n">
        <v>966</v>
      </c>
      <c r="B970" s="9" t="inlineStr">
        <is>
          <t>Vanguard_M15</t>
        </is>
      </c>
      <c r="C970" s="9" t="inlineStr">
        <is>
          <t>Trendline breakout (fractal swing line) + VWAP/S-R distance gate - M15 chart</t>
        </is>
      </c>
      <c r="D970" s="9" t="inlineStr">
        <is>
          <t>Short</t>
        </is>
      </c>
      <c r="E970" s="10" t="n">
        <v>45104.375</v>
      </c>
      <c r="F970" s="10" t="n">
        <v>45104.41666666666</v>
      </c>
      <c r="G970" s="11" t="n">
        <v>-4.19</v>
      </c>
      <c r="H970" s="11">
        <f>H969+G970</f>
        <v/>
      </c>
    </row>
    <row r="971">
      <c r="A971" s="9" t="n">
        <v>967</v>
      </c>
      <c r="B971" s="9" t="inlineStr">
        <is>
          <t>Vanguard_M5</t>
        </is>
      </c>
      <c r="C971" s="9" t="inlineStr">
        <is>
          <t>Trendline breakout (fractal swing line) + VWAP/S-R distance gate</t>
        </is>
      </c>
      <c r="D971" s="9" t="inlineStr">
        <is>
          <t>Short</t>
        </is>
      </c>
      <c r="E971" s="10" t="n">
        <v>45104.36805555555</v>
      </c>
      <c r="F971" s="10" t="n">
        <v>45104.42013888889</v>
      </c>
      <c r="G971" s="11" t="n">
        <v>-2.95</v>
      </c>
      <c r="H971" s="11">
        <f>H970+G971</f>
        <v/>
      </c>
    </row>
    <row r="972">
      <c r="A972" s="9" t="n">
        <v>968</v>
      </c>
      <c r="B972" s="9" t="inlineStr">
        <is>
          <t>Meridian</t>
        </is>
      </c>
      <c r="C972" s="9" t="inlineStr">
        <is>
          <t>21/50 MA cross, 250-period confirm filter, VWAP</t>
        </is>
      </c>
      <c r="D972" s="9" t="inlineStr">
        <is>
          <t>Long</t>
        </is>
      </c>
      <c r="E972" s="10" t="n">
        <v>45104.43055555555</v>
      </c>
      <c r="F972" s="10" t="n">
        <v>45104.46527777778</v>
      </c>
      <c r="G972" s="11" t="n">
        <v>-2.28</v>
      </c>
      <c r="H972" s="11">
        <f>H971+G972</f>
        <v/>
      </c>
    </row>
    <row r="973">
      <c r="A973" s="9" t="n">
        <v>969</v>
      </c>
      <c r="B973" s="9" t="inlineStr">
        <is>
          <t>Meridian</t>
        </is>
      </c>
      <c r="C973" s="9" t="inlineStr">
        <is>
          <t>21/50 MA cross, 250-period confirm filter, VWAP</t>
        </is>
      </c>
      <c r="D973" s="9" t="inlineStr">
        <is>
          <t>Short</t>
        </is>
      </c>
      <c r="E973" s="10" t="n">
        <v>45104.47569444445</v>
      </c>
      <c r="F973" s="10" t="n">
        <v>45104.63888888889</v>
      </c>
      <c r="G973" s="11" t="n">
        <v>-2.36</v>
      </c>
      <c r="H973" s="11">
        <f>H972+G973</f>
        <v/>
      </c>
    </row>
    <row r="974">
      <c r="A974" s="9" t="n">
        <v>970</v>
      </c>
      <c r="B974" s="9" t="inlineStr">
        <is>
          <t>Meridian</t>
        </is>
      </c>
      <c r="C974" s="9" t="inlineStr">
        <is>
          <t>21/50 MA cross, 250-period confirm filter, VWAP</t>
        </is>
      </c>
      <c r="D974" s="9" t="inlineStr">
        <is>
          <t>Long</t>
        </is>
      </c>
      <c r="E974" s="10" t="n">
        <v>45104.64930555555</v>
      </c>
      <c r="F974" s="10" t="n">
        <v>45104.65972222222</v>
      </c>
      <c r="G974" s="11" t="n">
        <v>-3.25</v>
      </c>
      <c r="H974" s="11">
        <f>H973+G974</f>
        <v/>
      </c>
    </row>
    <row r="975">
      <c r="A975" s="9" t="n">
        <v>971</v>
      </c>
      <c r="B975" s="9" t="inlineStr">
        <is>
          <t>Vanguard_M5</t>
        </is>
      </c>
      <c r="C975" s="9" t="inlineStr">
        <is>
          <t>Trendline breakout (fractal swing line) + VWAP/S-R distance gate</t>
        </is>
      </c>
      <c r="D975" s="9" t="inlineStr">
        <is>
          <t>Long</t>
        </is>
      </c>
      <c r="E975" s="10" t="n">
        <v>45104.65277777778</v>
      </c>
      <c r="F975" s="10" t="n">
        <v>45104.70486111111</v>
      </c>
      <c r="G975" s="11" t="n">
        <v>-6.01</v>
      </c>
      <c r="H975" s="11">
        <f>H974+G975</f>
        <v/>
      </c>
    </row>
    <row r="976">
      <c r="A976" s="9" t="n">
        <v>972</v>
      </c>
      <c r="B976" s="9" t="inlineStr">
        <is>
          <t>Vanguard_M15</t>
        </is>
      </c>
      <c r="C976" s="9" t="inlineStr">
        <is>
          <t>Trendline breakout (fractal swing line) + VWAP/S-R distance gate - M15 chart</t>
        </is>
      </c>
      <c r="D976" s="9" t="inlineStr">
        <is>
          <t>Long</t>
        </is>
      </c>
      <c r="E976" s="10" t="n">
        <v>45104.6875</v>
      </c>
      <c r="F976" s="10" t="n">
        <v>45104.70833333334</v>
      </c>
      <c r="G976" s="11" t="n">
        <v>-6.88</v>
      </c>
      <c r="H976" s="11">
        <f>H975+G976</f>
        <v/>
      </c>
    </row>
    <row r="977">
      <c r="A977" s="9" t="n">
        <v>973</v>
      </c>
      <c r="B977" s="9" t="inlineStr">
        <is>
          <t>Ratchet</t>
        </is>
      </c>
      <c r="C977" s="9" t="inlineStr">
        <is>
          <t>Stochastic scalp with give-back trail exit</t>
        </is>
      </c>
      <c r="D977" s="9" t="inlineStr">
        <is>
          <t>Short</t>
        </is>
      </c>
      <c r="E977" s="10" t="n">
        <v>45104.84375</v>
      </c>
      <c r="F977" s="10" t="n">
        <v>45104.87152777778</v>
      </c>
      <c r="G977" s="11" t="n">
        <v>2.05</v>
      </c>
      <c r="H977" s="11">
        <f>H976+G977</f>
        <v/>
      </c>
    </row>
    <row r="978">
      <c r="A978" s="9" t="n">
        <v>974</v>
      </c>
      <c r="B978" s="9" t="inlineStr">
        <is>
          <t>Aurelius_M5</t>
        </is>
      </c>
      <c r="C978" s="9" t="inlineStr">
        <is>
          <t>MA alignment (EMA21&gt;EMA50&gt;SMA250&gt;SMMA500 vs EMA2400 trend filter)</t>
        </is>
      </c>
      <c r="D978" s="9" t="inlineStr">
        <is>
          <t>Short</t>
        </is>
      </c>
      <c r="E978" s="10" t="n">
        <v>45104.72916666666</v>
      </c>
      <c r="F978" s="10" t="n">
        <v>45105.04166666666</v>
      </c>
      <c r="G978" s="11" t="n">
        <v>4.34</v>
      </c>
      <c r="H978" s="11">
        <f>H977+G978</f>
        <v/>
      </c>
    </row>
    <row r="979">
      <c r="A979" s="9" t="n">
        <v>975</v>
      </c>
      <c r="B979" s="9" t="inlineStr">
        <is>
          <t>Meridian</t>
        </is>
      </c>
      <c r="C979" s="9" t="inlineStr">
        <is>
          <t>21/50 MA cross, 250-period confirm filter, VWAP</t>
        </is>
      </c>
      <c r="D979" s="9" t="inlineStr">
        <is>
          <t>Short</t>
        </is>
      </c>
      <c r="E979" s="10" t="n">
        <v>45104.71527777778</v>
      </c>
      <c r="F979" s="10" t="n">
        <v>45105.08680555555</v>
      </c>
      <c r="G979" s="11" t="n">
        <v>2.66</v>
      </c>
      <c r="H979" s="11">
        <f>H978+G979</f>
        <v/>
      </c>
    </row>
    <row r="980">
      <c r="A980" s="9" t="n">
        <v>976</v>
      </c>
      <c r="B980" s="9" t="inlineStr">
        <is>
          <t>Meridian</t>
        </is>
      </c>
      <c r="C980" s="9" t="inlineStr">
        <is>
          <t>21/50 MA cross, 250-period confirm filter, VWAP</t>
        </is>
      </c>
      <c r="D980" s="9" t="inlineStr">
        <is>
          <t>Short</t>
        </is>
      </c>
      <c r="E980" s="10" t="n">
        <v>45105.22916666666</v>
      </c>
      <c r="F980" s="10" t="n">
        <v>45105.24652777778</v>
      </c>
      <c r="G980" s="11" t="n">
        <v>-1.69</v>
      </c>
      <c r="H980" s="11">
        <f>H979+G980</f>
        <v/>
      </c>
    </row>
    <row r="981">
      <c r="A981" s="9" t="n">
        <v>977</v>
      </c>
      <c r="B981" s="9" t="inlineStr">
        <is>
          <t>Ratchet</t>
        </is>
      </c>
      <c r="C981" s="9" t="inlineStr">
        <is>
          <t>Stochastic scalp with give-back trail exit</t>
        </is>
      </c>
      <c r="D981" s="9" t="inlineStr">
        <is>
          <t>Short</t>
        </is>
      </c>
      <c r="E981" s="10" t="n">
        <v>45105.47569444445</v>
      </c>
      <c r="F981" s="10" t="n">
        <v>45105.49305555555</v>
      </c>
      <c r="G981" s="11" t="n">
        <v>0.29</v>
      </c>
      <c r="H981" s="11">
        <f>H980+G981</f>
        <v/>
      </c>
    </row>
    <row r="982">
      <c r="A982" s="9" t="n">
        <v>978</v>
      </c>
      <c r="B982" s="9" t="inlineStr">
        <is>
          <t>Ratchet</t>
        </is>
      </c>
      <c r="C982" s="9" t="inlineStr">
        <is>
          <t>Stochastic scalp with give-back trail exit</t>
        </is>
      </c>
      <c r="D982" s="9" t="inlineStr">
        <is>
          <t>Short</t>
        </is>
      </c>
      <c r="E982" s="10" t="n">
        <v>45105.5625</v>
      </c>
      <c r="F982" s="10" t="n">
        <v>45105.6875</v>
      </c>
      <c r="G982" s="11" t="n">
        <v>-2.36</v>
      </c>
      <c r="H982" s="11">
        <f>H981+G982</f>
        <v/>
      </c>
    </row>
    <row r="983">
      <c r="A983" s="9" t="n">
        <v>979</v>
      </c>
      <c r="B983" s="9" t="inlineStr">
        <is>
          <t>Aurelius_M5</t>
        </is>
      </c>
      <c r="C983" s="9" t="inlineStr">
        <is>
          <t>MA alignment (EMA21&gt;EMA50&gt;SMA250&gt;SMMA500 vs EMA2400 trend filter)</t>
        </is>
      </c>
      <c r="D983" s="9" t="inlineStr">
        <is>
          <t>Short</t>
        </is>
      </c>
      <c r="E983" s="10" t="n">
        <v>45105.67361111111</v>
      </c>
      <c r="F983" s="10" t="n">
        <v>45105.6875</v>
      </c>
      <c r="G983" s="11" t="n">
        <v>-2.83</v>
      </c>
      <c r="H983" s="11">
        <f>H982+G983</f>
        <v/>
      </c>
    </row>
    <row r="984">
      <c r="A984" s="9" t="n">
        <v>980</v>
      </c>
      <c r="B984" s="9" t="inlineStr">
        <is>
          <t>Meridian</t>
        </is>
      </c>
      <c r="C984" s="9" t="inlineStr">
        <is>
          <t>21/50 MA cross, 250-period confirm filter, VWAP</t>
        </is>
      </c>
      <c r="D984" s="9" t="inlineStr">
        <is>
          <t>Short</t>
        </is>
      </c>
      <c r="E984" s="10" t="n">
        <v>45105.39236111111</v>
      </c>
      <c r="F984" s="10" t="n">
        <v>45105.72222222222</v>
      </c>
      <c r="G984" s="11" t="n">
        <v>4.29</v>
      </c>
      <c r="H984" s="11">
        <f>H983+G984</f>
        <v/>
      </c>
    </row>
    <row r="985">
      <c r="A985" s="9" t="n">
        <v>981</v>
      </c>
      <c r="B985" s="9" t="inlineStr">
        <is>
          <t>Meridian</t>
        </is>
      </c>
      <c r="C985" s="9" t="inlineStr">
        <is>
          <t>21/50 MA cross, 250-period confirm filter, VWAP</t>
        </is>
      </c>
      <c r="D985" s="9" t="inlineStr">
        <is>
          <t>Short</t>
        </is>
      </c>
      <c r="E985" s="10" t="n">
        <v>45105.75694444445</v>
      </c>
      <c r="F985" s="10" t="n">
        <v>45105.76041666666</v>
      </c>
      <c r="G985" s="11" t="n">
        <v>-2.57</v>
      </c>
      <c r="H985" s="11">
        <f>H984+G985</f>
        <v/>
      </c>
    </row>
    <row r="986">
      <c r="A986" s="9" t="n">
        <v>982</v>
      </c>
      <c r="B986" s="9" t="inlineStr">
        <is>
          <t>Aurelius_M15</t>
        </is>
      </c>
      <c r="C986" s="9" t="inlineStr">
        <is>
          <t>MA alignment (EMA21&gt;EMA50&gt;SMA250&gt;SMMA500 vs EMA2400 trend filter) - M15 chart</t>
        </is>
      </c>
      <c r="D986" s="9" t="inlineStr">
        <is>
          <t>Short</t>
        </is>
      </c>
      <c r="E986" s="10" t="n">
        <v>45104.72916666666</v>
      </c>
      <c r="F986" s="10" t="n">
        <v>45105.88541666666</v>
      </c>
      <c r="G986" s="11" t="n">
        <v>5.14</v>
      </c>
      <c r="H986" s="11">
        <f>H985+G986</f>
        <v/>
      </c>
    </row>
    <row r="987">
      <c r="A987" s="9" t="n">
        <v>983</v>
      </c>
      <c r="B987" s="9" t="inlineStr">
        <is>
          <t>Ratchet</t>
        </is>
      </c>
      <c r="C987" s="9" t="inlineStr">
        <is>
          <t>Stochastic scalp with give-back trail exit</t>
        </is>
      </c>
      <c r="D987" s="9" t="inlineStr">
        <is>
          <t>Short</t>
        </is>
      </c>
      <c r="E987" s="10" t="n">
        <v>45106.15277777778</v>
      </c>
      <c r="F987" s="10" t="n">
        <v>45106.16319444445</v>
      </c>
      <c r="G987" s="11" t="n">
        <v>-0.98</v>
      </c>
      <c r="H987" s="11">
        <f>H986+G987</f>
        <v/>
      </c>
    </row>
    <row r="988">
      <c r="A988" s="9" t="n">
        <v>984</v>
      </c>
      <c r="B988" s="9" t="inlineStr">
        <is>
          <t>Meridian</t>
        </is>
      </c>
      <c r="C988" s="9" t="inlineStr">
        <is>
          <t>21/50 MA cross, 250-period confirm filter, VWAP</t>
        </is>
      </c>
      <c r="D988" s="9" t="inlineStr">
        <is>
          <t>Long</t>
        </is>
      </c>
      <c r="E988" s="10" t="n">
        <v>45106.18055555555</v>
      </c>
      <c r="F988" s="10" t="n">
        <v>45106.19444444445</v>
      </c>
      <c r="G988" s="11" t="n">
        <v>-1.77</v>
      </c>
      <c r="H988" s="11">
        <f>H987+G988</f>
        <v/>
      </c>
    </row>
    <row r="989">
      <c r="A989" s="9" t="n">
        <v>985</v>
      </c>
      <c r="B989" s="9" t="inlineStr">
        <is>
          <t>Ratchet</t>
        </is>
      </c>
      <c r="C989" s="9" t="inlineStr">
        <is>
          <t>Stochastic scalp with give-back trail exit</t>
        </is>
      </c>
      <c r="D989" s="9" t="inlineStr">
        <is>
          <t>Short</t>
        </is>
      </c>
      <c r="E989" s="10" t="n">
        <v>45106.22569444445</v>
      </c>
      <c r="F989" s="10" t="n">
        <v>45106.28472222222</v>
      </c>
      <c r="G989" s="11" t="n">
        <v>0.92</v>
      </c>
      <c r="H989" s="11">
        <f>H988+G989</f>
        <v/>
      </c>
    </row>
    <row r="990">
      <c r="A990" s="9" t="n">
        <v>986</v>
      </c>
      <c r="B990" s="9" t="inlineStr">
        <is>
          <t>Ratchet</t>
        </is>
      </c>
      <c r="C990" s="9" t="inlineStr">
        <is>
          <t>Stochastic scalp with give-back trail exit</t>
        </is>
      </c>
      <c r="D990" s="9" t="inlineStr">
        <is>
          <t>Short</t>
        </is>
      </c>
      <c r="E990" s="10" t="n">
        <v>45106.42361111111</v>
      </c>
      <c r="F990" s="10" t="n">
        <v>45106.42708333334</v>
      </c>
      <c r="G990" s="11" t="n">
        <v>-1.86</v>
      </c>
      <c r="H990" s="11">
        <f>H989+G990</f>
        <v/>
      </c>
    </row>
    <row r="991">
      <c r="A991" s="9" t="n">
        <v>987</v>
      </c>
      <c r="B991" s="9" t="inlineStr">
        <is>
          <t>Aurelius_M5</t>
        </is>
      </c>
      <c r="C991" s="9" t="inlineStr">
        <is>
          <t>MA alignment (EMA21&gt;EMA50&gt;SMA250&gt;SMMA500 vs EMA2400 trend filter)</t>
        </is>
      </c>
      <c r="D991" s="9" t="inlineStr">
        <is>
          <t>Short</t>
        </is>
      </c>
      <c r="E991" s="10" t="n">
        <v>45106.23611111111</v>
      </c>
      <c r="F991" s="10" t="n">
        <v>45106.46875</v>
      </c>
      <c r="G991" s="11" t="n">
        <v>-2.32</v>
      </c>
      <c r="H991" s="11">
        <f>H990+G991</f>
        <v/>
      </c>
    </row>
    <row r="992">
      <c r="A992" s="9" t="n">
        <v>988</v>
      </c>
      <c r="B992" s="9" t="inlineStr">
        <is>
          <t>Meridian</t>
        </is>
      </c>
      <c r="C992" s="9" t="inlineStr">
        <is>
          <t>21/50 MA cross, 250-period confirm filter, VWAP</t>
        </is>
      </c>
      <c r="D992" s="9" t="inlineStr">
        <is>
          <t>Short</t>
        </is>
      </c>
      <c r="E992" s="10" t="n">
        <v>45106.21875</v>
      </c>
      <c r="F992" s="10" t="n">
        <v>45106.47222222222</v>
      </c>
      <c r="G992" s="11" t="n">
        <v>-1.34</v>
      </c>
      <c r="H992" s="11">
        <f>H991+G992</f>
        <v/>
      </c>
    </row>
    <row r="993">
      <c r="A993" s="9" t="n">
        <v>989</v>
      </c>
      <c r="B993" s="9" t="inlineStr">
        <is>
          <t>Meridian</t>
        </is>
      </c>
      <c r="C993" s="9" t="inlineStr">
        <is>
          <t>21/50 MA cross, 250-period confirm filter, VWAP</t>
        </is>
      </c>
      <c r="D993" s="9" t="inlineStr">
        <is>
          <t>Short</t>
        </is>
      </c>
      <c r="E993" s="10" t="n">
        <v>45106.53472222222</v>
      </c>
      <c r="F993" s="10" t="n">
        <v>45106.53819444445</v>
      </c>
      <c r="G993" s="11" t="n">
        <v>-0.96</v>
      </c>
      <c r="H993" s="11">
        <f>H992+G993</f>
        <v/>
      </c>
    </row>
    <row r="994">
      <c r="A994" s="9" t="n">
        <v>990</v>
      </c>
      <c r="B994" s="9" t="inlineStr">
        <is>
          <t>Meridian</t>
        </is>
      </c>
      <c r="C994" s="9" t="inlineStr">
        <is>
          <t>21/50 MA cross, 250-period confirm filter, VWAP</t>
        </is>
      </c>
      <c r="D994" s="9" t="inlineStr">
        <is>
          <t>Short</t>
        </is>
      </c>
      <c r="E994" s="10" t="n">
        <v>45106.54166666666</v>
      </c>
      <c r="F994" s="10" t="n">
        <v>45106.54513888889</v>
      </c>
      <c r="G994" s="11" t="n">
        <v>-0.42</v>
      </c>
      <c r="H994" s="11">
        <f>H993+G994</f>
        <v/>
      </c>
    </row>
    <row r="995">
      <c r="A995" s="9" t="n">
        <v>991</v>
      </c>
      <c r="B995" s="9" t="inlineStr">
        <is>
          <t>Ratchet</t>
        </is>
      </c>
      <c r="C995" s="9" t="inlineStr">
        <is>
          <t>Stochastic scalp with give-back trail exit</t>
        </is>
      </c>
      <c r="D995" s="9" t="inlineStr">
        <is>
          <t>Short</t>
        </is>
      </c>
      <c r="E995" s="10" t="n">
        <v>45106.67361111111</v>
      </c>
      <c r="F995" s="10" t="n">
        <v>45106.67708333334</v>
      </c>
      <c r="G995" s="11" t="n">
        <v>0.46</v>
      </c>
      <c r="H995" s="11">
        <f>H994+G995</f>
        <v/>
      </c>
    </row>
    <row r="996">
      <c r="A996" s="9" t="n">
        <v>992</v>
      </c>
      <c r="B996" s="9" t="inlineStr">
        <is>
          <t>Meridian</t>
        </is>
      </c>
      <c r="C996" s="9" t="inlineStr">
        <is>
          <t>21/50 MA cross, 250-period confirm filter, VWAP</t>
        </is>
      </c>
      <c r="D996" s="9" t="inlineStr">
        <is>
          <t>Short</t>
        </is>
      </c>
      <c r="E996" s="10" t="n">
        <v>45106.65972222222</v>
      </c>
      <c r="F996" s="10" t="n">
        <v>45106.71180555555</v>
      </c>
      <c r="G996" s="11" t="n">
        <v>-4.75</v>
      </c>
      <c r="H996" s="11">
        <f>H995+G996</f>
        <v/>
      </c>
    </row>
    <row r="997">
      <c r="A997" s="9" t="n">
        <v>993</v>
      </c>
      <c r="B997" s="9" t="inlineStr">
        <is>
          <t>Aurelius_M5</t>
        </is>
      </c>
      <c r="C997" s="9" t="inlineStr">
        <is>
          <t>MA alignment (EMA21&gt;EMA50&gt;SMA250&gt;SMMA500 vs EMA2400 trend filter)</t>
        </is>
      </c>
      <c r="D997" s="9" t="inlineStr">
        <is>
          <t>Short</t>
        </is>
      </c>
      <c r="E997" s="10" t="n">
        <v>45106.67013888889</v>
      </c>
      <c r="F997" s="10" t="n">
        <v>45106.71180555555</v>
      </c>
      <c r="G997" s="11" t="n">
        <v>-5.07</v>
      </c>
      <c r="H997" s="11">
        <f>H996+G997</f>
        <v/>
      </c>
    </row>
    <row r="998">
      <c r="A998" s="9" t="n">
        <v>994</v>
      </c>
      <c r="B998" s="9" t="inlineStr">
        <is>
          <t>Meridian</t>
        </is>
      </c>
      <c r="C998" s="9" t="inlineStr">
        <is>
          <t>21/50 MA cross, 250-period confirm filter, VWAP</t>
        </is>
      </c>
      <c r="D998" s="9" t="inlineStr">
        <is>
          <t>Long</t>
        </is>
      </c>
      <c r="E998" s="10" t="n">
        <v>45106.74305555555</v>
      </c>
      <c r="F998" s="10" t="n">
        <v>45106.92013888889</v>
      </c>
      <c r="G998" s="11" t="n">
        <v>-3.82</v>
      </c>
      <c r="H998" s="11">
        <f>H997+G998</f>
        <v/>
      </c>
    </row>
    <row r="999">
      <c r="A999" s="9" t="n">
        <v>995</v>
      </c>
      <c r="B999" s="9" t="inlineStr">
        <is>
          <t>Meridian</t>
        </is>
      </c>
      <c r="C999" s="9" t="inlineStr">
        <is>
          <t>21/50 MA cross, 250-period confirm filter, VWAP</t>
        </is>
      </c>
      <c r="D999" s="9" t="inlineStr">
        <is>
          <t>Long</t>
        </is>
      </c>
      <c r="E999" s="10" t="n">
        <v>45106.98958333334</v>
      </c>
      <c r="F999" s="10" t="n">
        <v>45107.20486111111</v>
      </c>
      <c r="G999" s="11" t="n">
        <v>-1.21</v>
      </c>
      <c r="H999" s="11">
        <f>H998+G999</f>
        <v/>
      </c>
    </row>
    <row r="1000">
      <c r="A1000" s="9" t="n">
        <v>996</v>
      </c>
      <c r="B1000" s="9" t="inlineStr">
        <is>
          <t>Meridian</t>
        </is>
      </c>
      <c r="C1000" s="9" t="inlineStr">
        <is>
          <t>21/50 MA cross, 250-period confirm filter, VWAP</t>
        </is>
      </c>
      <c r="D1000" s="9" t="inlineStr">
        <is>
          <t>Long</t>
        </is>
      </c>
      <c r="E1000" s="10" t="n">
        <v>45107.21180555555</v>
      </c>
      <c r="F1000" s="10" t="n">
        <v>45107.27083333334</v>
      </c>
      <c r="G1000" s="11" t="n">
        <v>-1.08</v>
      </c>
      <c r="H1000" s="11">
        <f>H999+G1000</f>
        <v/>
      </c>
    </row>
    <row r="1001">
      <c r="A1001" s="9" t="n">
        <v>997</v>
      </c>
      <c r="B1001" s="9" t="inlineStr">
        <is>
          <t>Meridian</t>
        </is>
      </c>
      <c r="C1001" s="9" t="inlineStr">
        <is>
          <t>21/50 MA cross, 250-period confirm filter, VWAP</t>
        </is>
      </c>
      <c r="D1001" s="9" t="inlineStr">
        <is>
          <t>Long</t>
        </is>
      </c>
      <c r="E1001" s="10" t="n">
        <v>45107.27430555555</v>
      </c>
      <c r="F1001" s="10" t="n">
        <v>45107.30555555555</v>
      </c>
      <c r="G1001" s="11" t="n">
        <v>-0.64</v>
      </c>
      <c r="H1001" s="11">
        <f>H1000+G1001</f>
        <v/>
      </c>
    </row>
    <row r="1002">
      <c r="A1002" s="9" t="n">
        <v>998</v>
      </c>
      <c r="B1002" s="9" t="inlineStr">
        <is>
          <t>Meridian</t>
        </is>
      </c>
      <c r="C1002" s="9" t="inlineStr">
        <is>
          <t>21/50 MA cross, 250-period confirm filter, VWAP</t>
        </is>
      </c>
      <c r="D1002" s="9" t="inlineStr">
        <is>
          <t>Long</t>
        </is>
      </c>
      <c r="E1002" s="10" t="n">
        <v>45107.35416666666</v>
      </c>
      <c r="F1002" s="10" t="n">
        <v>45107.36805555555</v>
      </c>
      <c r="G1002" s="11" t="n">
        <v>-1.45</v>
      </c>
      <c r="H1002" s="11">
        <f>H1001+G1002</f>
        <v/>
      </c>
    </row>
    <row r="1003">
      <c r="A1003" s="9" t="n">
        <v>999</v>
      </c>
      <c r="B1003" s="9" t="inlineStr">
        <is>
          <t>Vanguard_M15</t>
        </is>
      </c>
      <c r="C1003" s="9" t="inlineStr">
        <is>
          <t>Trendline breakout (fractal swing line) + VWAP/S-R distance gate - M15 chart</t>
        </is>
      </c>
      <c r="D1003" s="9" t="inlineStr">
        <is>
          <t>Long</t>
        </is>
      </c>
      <c r="E1003" s="10" t="n">
        <v>45106.71875</v>
      </c>
      <c r="F1003" s="10" t="n">
        <v>45107.54166666666</v>
      </c>
      <c r="G1003" s="11" t="n">
        <v>-4.44</v>
      </c>
      <c r="H1003" s="11">
        <f>H1002+G1003</f>
        <v/>
      </c>
    </row>
    <row r="1004">
      <c r="A1004" s="9" t="n">
        <v>1000</v>
      </c>
      <c r="B1004" s="9" t="inlineStr">
        <is>
          <t>Aurelius_M5</t>
        </is>
      </c>
      <c r="C1004" s="9" t="inlineStr">
        <is>
          <t>MA alignment (EMA21&gt;EMA50&gt;SMA250&gt;SMMA500 vs EMA2400 trend filter)</t>
        </is>
      </c>
      <c r="D1004" s="9" t="inlineStr">
        <is>
          <t>Short</t>
        </is>
      </c>
      <c r="E1004" s="10" t="n">
        <v>45107.40625</v>
      </c>
      <c r="F1004" s="10" t="n">
        <v>45107.57291666666</v>
      </c>
      <c r="G1004" s="11" t="n">
        <v>0.79</v>
      </c>
      <c r="H1004" s="11">
        <f>H1003+G1004</f>
        <v/>
      </c>
    </row>
    <row r="1005">
      <c r="A1005" s="9" t="n">
        <v>1001</v>
      </c>
      <c r="B1005" s="9" t="inlineStr">
        <is>
          <t>Meridian</t>
        </is>
      </c>
      <c r="C1005" s="9" t="inlineStr">
        <is>
          <t>21/50 MA cross, 250-period confirm filter, VWAP</t>
        </is>
      </c>
      <c r="D1005" s="9" t="inlineStr">
        <is>
          <t>Short</t>
        </is>
      </c>
      <c r="E1005" s="10" t="n">
        <v>45107.375</v>
      </c>
      <c r="F1005" s="10" t="n">
        <v>45107.58333333334</v>
      </c>
      <c r="G1005" s="11" t="n">
        <v>0.7</v>
      </c>
      <c r="H1005" s="11">
        <f>H1004+G1005</f>
        <v/>
      </c>
    </row>
    <row r="1006">
      <c r="A1006" s="9" t="n">
        <v>1002</v>
      </c>
      <c r="B1006" s="9" t="inlineStr">
        <is>
          <t>Meridian</t>
        </is>
      </c>
      <c r="C1006" s="9" t="inlineStr">
        <is>
          <t>21/50 MA cross, 250-period confirm filter, VWAP</t>
        </is>
      </c>
      <c r="D1006" s="9" t="inlineStr">
        <is>
          <t>Long</t>
        </is>
      </c>
      <c r="E1006" s="10" t="n">
        <v>45110.30208333334</v>
      </c>
      <c r="F1006" s="10" t="n">
        <v>45110.37152777778</v>
      </c>
      <c r="G1006" s="11" t="n">
        <v>-1.76</v>
      </c>
      <c r="H1006" s="11">
        <f>H1005+G1006</f>
        <v/>
      </c>
    </row>
    <row r="1007">
      <c r="A1007" s="9" t="n">
        <v>1003</v>
      </c>
      <c r="B1007" s="9" t="inlineStr">
        <is>
          <t>Vanguard_M15</t>
        </is>
      </c>
      <c r="C1007" s="9" t="inlineStr">
        <is>
          <t>Trendline breakout (fractal swing line) + VWAP/S-R distance gate - M15 chart</t>
        </is>
      </c>
      <c r="D1007" s="9" t="inlineStr">
        <is>
          <t>Long</t>
        </is>
      </c>
      <c r="E1007" s="10" t="n">
        <v>45107.6875</v>
      </c>
      <c r="F1007" s="10" t="n">
        <v>45110.51041666666</v>
      </c>
      <c r="G1007" s="11" t="n">
        <v>-0.65</v>
      </c>
      <c r="H1007" s="11">
        <f>H1006+G1007</f>
        <v/>
      </c>
    </row>
    <row r="1008">
      <c r="A1008" s="9" t="n">
        <v>1004</v>
      </c>
      <c r="B1008" s="9" t="inlineStr">
        <is>
          <t>Vanguard_M5</t>
        </is>
      </c>
      <c r="C1008" s="9" t="inlineStr">
        <is>
          <t>Trendline breakout (fractal swing line) + VWAP/S-R distance gate</t>
        </is>
      </c>
      <c r="D1008" s="9" t="inlineStr">
        <is>
          <t>Long</t>
        </is>
      </c>
      <c r="E1008" s="10" t="n">
        <v>45107.68055555555</v>
      </c>
      <c r="F1008" s="10" t="n">
        <v>45110.51736111111</v>
      </c>
      <c r="G1008" s="11" t="n">
        <v>-0.16</v>
      </c>
      <c r="H1008" s="11">
        <f>H1007+G1008</f>
        <v/>
      </c>
    </row>
    <row r="1009">
      <c r="A1009" s="9" t="n">
        <v>1005</v>
      </c>
      <c r="B1009" s="9" t="inlineStr">
        <is>
          <t>Meridian</t>
        </is>
      </c>
      <c r="C1009" s="9" t="inlineStr">
        <is>
          <t>21/50 MA cross, 250-period confirm filter, VWAP</t>
        </is>
      </c>
      <c r="D1009" s="9" t="inlineStr">
        <is>
          <t>Short</t>
        </is>
      </c>
      <c r="E1009" s="10" t="n">
        <v>45110.38888888889</v>
      </c>
      <c r="F1009" s="10" t="n">
        <v>45110.64930555555</v>
      </c>
      <c r="G1009" s="11" t="n">
        <v>-2.29</v>
      </c>
      <c r="H1009" s="11">
        <f>H1008+G1009</f>
        <v/>
      </c>
    </row>
    <row r="1010">
      <c r="A1010" s="9" t="n">
        <v>1006</v>
      </c>
      <c r="B1010" s="9" t="inlineStr">
        <is>
          <t>Meridian</t>
        </is>
      </c>
      <c r="C1010" s="9" t="inlineStr">
        <is>
          <t>21/50 MA cross, 250-period confirm filter, VWAP</t>
        </is>
      </c>
      <c r="D1010" s="9" t="inlineStr">
        <is>
          <t>Long</t>
        </is>
      </c>
      <c r="E1010" s="10" t="n">
        <v>45111.18402777778</v>
      </c>
      <c r="F1010" s="10" t="n">
        <v>45111.1875</v>
      </c>
      <c r="G1010" s="11" t="n">
        <v>-1.58</v>
      </c>
      <c r="H1010" s="11">
        <f>H1009+G1010</f>
        <v/>
      </c>
    </row>
    <row r="1011">
      <c r="A1011" s="9" t="n">
        <v>1007</v>
      </c>
      <c r="B1011" s="9" t="inlineStr">
        <is>
          <t>Meridian</t>
        </is>
      </c>
      <c r="C1011" s="9" t="inlineStr">
        <is>
          <t>21/50 MA cross, 250-period confirm filter, VWAP</t>
        </is>
      </c>
      <c r="D1011" s="9" t="inlineStr">
        <is>
          <t>Long</t>
        </is>
      </c>
      <c r="E1011" s="10" t="n">
        <v>45111.72222222222</v>
      </c>
      <c r="F1011" s="10" t="n">
        <v>45111.74652777778</v>
      </c>
      <c r="G1011" s="11" t="n">
        <v>-1.9</v>
      </c>
      <c r="H1011" s="11">
        <f>H1010+G1011</f>
        <v/>
      </c>
    </row>
    <row r="1012">
      <c r="A1012" s="9" t="n">
        <v>1008</v>
      </c>
      <c r="B1012" s="9" t="inlineStr">
        <is>
          <t>Aurelius_M5</t>
        </is>
      </c>
      <c r="C1012" s="9" t="inlineStr">
        <is>
          <t>MA alignment (EMA21&gt;EMA50&gt;SMA250&gt;SMMA500 vs EMA2400 trend filter)</t>
        </is>
      </c>
      <c r="D1012" s="9" t="inlineStr">
        <is>
          <t>Long</t>
        </is>
      </c>
      <c r="E1012" s="10" t="n">
        <v>45112.16319444445</v>
      </c>
      <c r="F1012" s="10" t="n">
        <v>45112.17013888889</v>
      </c>
      <c r="G1012" s="11" t="n">
        <v>-1.17</v>
      </c>
      <c r="H1012" s="11">
        <f>H1011+G1012</f>
        <v/>
      </c>
    </row>
    <row r="1013">
      <c r="A1013" s="9" t="n">
        <v>1009</v>
      </c>
      <c r="B1013" s="9" t="inlineStr">
        <is>
          <t>Meridian</t>
        </is>
      </c>
      <c r="C1013" s="9" t="inlineStr">
        <is>
          <t>21/50 MA cross, 250-period confirm filter, VWAP</t>
        </is>
      </c>
      <c r="D1013" s="9" t="inlineStr">
        <is>
          <t>Long</t>
        </is>
      </c>
      <c r="E1013" s="10" t="n">
        <v>45112.14236111111</v>
      </c>
      <c r="F1013" s="10" t="n">
        <v>45112.17361111111</v>
      </c>
      <c r="G1013" s="11" t="n">
        <v>-1.21</v>
      </c>
      <c r="H1013" s="11">
        <f>H1012+G1013</f>
        <v/>
      </c>
    </row>
    <row r="1014">
      <c r="A1014" s="9" t="n">
        <v>1010</v>
      </c>
      <c r="B1014" s="9" t="inlineStr">
        <is>
          <t>Meridian</t>
        </is>
      </c>
      <c r="C1014" s="9" t="inlineStr">
        <is>
          <t>21/50 MA cross, 250-period confirm filter, VWAP</t>
        </is>
      </c>
      <c r="D1014" s="9" t="inlineStr">
        <is>
          <t>Short</t>
        </is>
      </c>
      <c r="E1014" s="10" t="n">
        <v>45112.18402777778</v>
      </c>
      <c r="F1014" s="10" t="n">
        <v>45112.19097222222</v>
      </c>
      <c r="G1014" s="11" t="n">
        <v>-0.71</v>
      </c>
      <c r="H1014" s="11">
        <f>H1013+G1014</f>
        <v/>
      </c>
    </row>
    <row r="1015">
      <c r="A1015" s="9" t="n">
        <v>1011</v>
      </c>
      <c r="B1015" s="9" t="inlineStr">
        <is>
          <t>Meridian</t>
        </is>
      </c>
      <c r="C1015" s="9" t="inlineStr">
        <is>
          <t>21/50 MA cross, 250-period confirm filter, VWAP</t>
        </is>
      </c>
      <c r="D1015" s="9" t="inlineStr">
        <is>
          <t>Short</t>
        </is>
      </c>
      <c r="E1015" s="10" t="n">
        <v>45112.19444444445</v>
      </c>
      <c r="F1015" s="10" t="n">
        <v>45112.33680555555</v>
      </c>
      <c r="G1015" s="11" t="n">
        <v>0.12</v>
      </c>
      <c r="H1015" s="11">
        <f>H1014+G1015</f>
        <v/>
      </c>
    </row>
    <row r="1016">
      <c r="A1016" s="9" t="n">
        <v>1012</v>
      </c>
      <c r="B1016" s="9" t="inlineStr">
        <is>
          <t>Meridian</t>
        </is>
      </c>
      <c r="C1016" s="9" t="inlineStr">
        <is>
          <t>21/50 MA cross, 250-period confirm filter, VWAP</t>
        </is>
      </c>
      <c r="D1016" s="9" t="inlineStr">
        <is>
          <t>Short</t>
        </is>
      </c>
      <c r="E1016" s="10" t="n">
        <v>45112.38888888889</v>
      </c>
      <c r="F1016" s="10" t="n">
        <v>45112.4375</v>
      </c>
      <c r="G1016" s="11" t="n">
        <v>-1.7</v>
      </c>
      <c r="H1016" s="11">
        <f>H1015+G1016</f>
        <v/>
      </c>
    </row>
    <row r="1017">
      <c r="A1017" s="9" t="n">
        <v>1013</v>
      </c>
      <c r="B1017" s="9" t="inlineStr">
        <is>
          <t>Meridian</t>
        </is>
      </c>
      <c r="C1017" s="9" t="inlineStr">
        <is>
          <t>21/50 MA cross, 250-period confirm filter, VWAP</t>
        </is>
      </c>
      <c r="D1017" s="9" t="inlineStr">
        <is>
          <t>Long</t>
        </is>
      </c>
      <c r="E1017" s="10" t="n">
        <v>45112.45833333334</v>
      </c>
      <c r="F1017" s="10" t="n">
        <v>45112.47222222222</v>
      </c>
      <c r="G1017" s="11" t="n">
        <v>-2.35</v>
      </c>
      <c r="H1017" s="11">
        <f>H1016+G1017</f>
        <v/>
      </c>
    </row>
    <row r="1018">
      <c r="A1018" s="9" t="n">
        <v>1014</v>
      </c>
      <c r="B1018" s="9" t="inlineStr">
        <is>
          <t>Ratchet</t>
        </is>
      </c>
      <c r="C1018" s="9" t="inlineStr">
        <is>
          <t>Stochastic scalp with give-back trail exit</t>
        </is>
      </c>
      <c r="D1018" s="9" t="inlineStr">
        <is>
          <t>Long</t>
        </is>
      </c>
      <c r="E1018" s="10" t="n">
        <v>45112.51388888889</v>
      </c>
      <c r="F1018" s="10" t="n">
        <v>45112.51736111111</v>
      </c>
      <c r="G1018" s="11" t="n">
        <v>0</v>
      </c>
      <c r="H1018" s="11">
        <f>H1017+G1018</f>
        <v/>
      </c>
    </row>
    <row r="1019">
      <c r="A1019" s="9" t="n">
        <v>1015</v>
      </c>
      <c r="B1019" s="9" t="inlineStr">
        <is>
          <t>Ratchet</t>
        </is>
      </c>
      <c r="C1019" s="9" t="inlineStr">
        <is>
          <t>Stochastic scalp with give-back trail exit</t>
        </is>
      </c>
      <c r="D1019" s="9" t="inlineStr">
        <is>
          <t>Long</t>
        </is>
      </c>
      <c r="E1019" s="10" t="n">
        <v>45112.52083333334</v>
      </c>
      <c r="F1019" s="10" t="n">
        <v>45112.54861111111</v>
      </c>
      <c r="G1019" s="11" t="n">
        <v>0.16</v>
      </c>
      <c r="H1019" s="11">
        <f>H1018+G1019</f>
        <v/>
      </c>
    </row>
    <row r="1020">
      <c r="A1020" s="9" t="n">
        <v>1016</v>
      </c>
      <c r="B1020" s="9" t="inlineStr">
        <is>
          <t>Aurelius_M5</t>
        </is>
      </c>
      <c r="C1020" s="9" t="inlineStr">
        <is>
          <t>MA alignment (EMA21&gt;EMA50&gt;SMA250&gt;SMMA500 vs EMA2400 trend filter)</t>
        </is>
      </c>
      <c r="D1020" s="9" t="inlineStr">
        <is>
          <t>Long</t>
        </is>
      </c>
      <c r="E1020" s="10" t="n">
        <v>45112.62847222222</v>
      </c>
      <c r="F1020" s="10" t="n">
        <v>45112.64583333334</v>
      </c>
      <c r="G1020" s="11" t="n">
        <v>-1.8</v>
      </c>
      <c r="H1020" s="11">
        <f>H1019+G1020</f>
        <v/>
      </c>
    </row>
    <row r="1021">
      <c r="A1021" s="9" t="n">
        <v>1017</v>
      </c>
      <c r="B1021" s="9" t="inlineStr">
        <is>
          <t>Aurelius_M15</t>
        </is>
      </c>
      <c r="C1021" s="9" t="inlineStr">
        <is>
          <t>MA alignment (EMA21&gt;EMA50&gt;SMA250&gt;SMMA500 vs EMA2400 trend filter) - M15 chart</t>
        </is>
      </c>
      <c r="D1021" s="9" t="inlineStr">
        <is>
          <t>Long</t>
        </is>
      </c>
      <c r="E1021" s="10" t="n">
        <v>45112.63541666666</v>
      </c>
      <c r="F1021" s="10" t="n">
        <v>45112.64583333334</v>
      </c>
      <c r="G1021" s="11" t="n">
        <v>-0.86</v>
      </c>
      <c r="H1021" s="11">
        <f>H1020+G1021</f>
        <v/>
      </c>
    </row>
    <row r="1022">
      <c r="A1022" s="9" t="n">
        <v>1018</v>
      </c>
      <c r="B1022" s="9" t="inlineStr">
        <is>
          <t>Vanguard_M15</t>
        </is>
      </c>
      <c r="C1022" s="9" t="inlineStr">
        <is>
          <t>Trendline breakout (fractal swing line) + VWAP/S-R distance gate - M15 chart</t>
        </is>
      </c>
      <c r="D1022" s="9" t="inlineStr">
        <is>
          <t>Long</t>
        </is>
      </c>
      <c r="E1022" s="10" t="n">
        <v>45112.6875</v>
      </c>
      <c r="F1022" s="10" t="n">
        <v>45112.6875</v>
      </c>
      <c r="G1022" s="11" t="n">
        <v>-6.17</v>
      </c>
      <c r="H1022" s="11">
        <f>H1021+G1022</f>
        <v/>
      </c>
    </row>
    <row r="1023">
      <c r="A1023" s="9" t="n">
        <v>1019</v>
      </c>
      <c r="B1023" s="9" t="inlineStr">
        <is>
          <t>Vanguard_M5</t>
        </is>
      </c>
      <c r="C1023" s="9" t="inlineStr">
        <is>
          <t>Trendline breakout (fractal swing line) + VWAP/S-R distance gate</t>
        </is>
      </c>
      <c r="D1023" s="9" t="inlineStr">
        <is>
          <t>Long</t>
        </is>
      </c>
      <c r="E1023" s="10" t="n">
        <v>45112.68055555555</v>
      </c>
      <c r="F1023" s="10" t="n">
        <v>45112.69097222222</v>
      </c>
      <c r="G1023" s="11" t="n">
        <v>-6.1</v>
      </c>
      <c r="H1023" s="11">
        <f>H1022+G1023</f>
        <v/>
      </c>
    </row>
    <row r="1024">
      <c r="A1024" s="9" t="n">
        <v>1020</v>
      </c>
      <c r="B1024" s="9" t="inlineStr">
        <is>
          <t>Aurelius_M5</t>
        </is>
      </c>
      <c r="C1024" s="9" t="inlineStr">
        <is>
          <t>MA alignment (EMA21&gt;EMA50&gt;SMA250&gt;SMMA500 vs EMA2400 trend filter)</t>
        </is>
      </c>
      <c r="D1024" s="9" t="inlineStr">
        <is>
          <t>Long</t>
        </is>
      </c>
      <c r="E1024" s="10" t="n">
        <v>45112.67361111111</v>
      </c>
      <c r="F1024" s="10" t="n">
        <v>45112.69444444445</v>
      </c>
      <c r="G1024" s="11" t="n">
        <v>-2.98</v>
      </c>
      <c r="H1024" s="11">
        <f>H1023+G1024</f>
        <v/>
      </c>
    </row>
    <row r="1025">
      <c r="A1025" s="9" t="n">
        <v>1021</v>
      </c>
      <c r="B1025" s="9" t="inlineStr">
        <is>
          <t>Ratchet</t>
        </is>
      </c>
      <c r="C1025" s="9" t="inlineStr">
        <is>
          <t>Stochastic scalp with give-back trail exit</t>
        </is>
      </c>
      <c r="D1025" s="9" t="inlineStr">
        <is>
          <t>Short</t>
        </is>
      </c>
      <c r="E1025" s="10" t="n">
        <v>45112.95833333334</v>
      </c>
      <c r="F1025" s="10" t="n">
        <v>45112.99652777778</v>
      </c>
      <c r="G1025" s="11" t="n">
        <v>0.82</v>
      </c>
      <c r="H1025" s="11">
        <f>H1024+G1025</f>
        <v/>
      </c>
    </row>
    <row r="1026">
      <c r="A1026" s="9" t="n">
        <v>1022</v>
      </c>
      <c r="B1026" s="9" t="inlineStr">
        <is>
          <t>Meridian</t>
        </is>
      </c>
      <c r="C1026" s="9" t="inlineStr">
        <is>
          <t>21/50 MA cross, 250-period confirm filter, VWAP</t>
        </is>
      </c>
      <c r="D1026" s="9" t="inlineStr">
        <is>
          <t>Short</t>
        </is>
      </c>
      <c r="E1026" s="10" t="n">
        <v>45112.71180555555</v>
      </c>
      <c r="F1026" s="10" t="n">
        <v>45113.19444444445</v>
      </c>
      <c r="G1026" s="11" t="n">
        <v>6.02</v>
      </c>
      <c r="H1026" s="11">
        <f>H1025+G1026</f>
        <v/>
      </c>
    </row>
    <row r="1027">
      <c r="A1027" s="9" t="n">
        <v>1023</v>
      </c>
      <c r="B1027" s="9" t="inlineStr">
        <is>
          <t>Meridian</t>
        </is>
      </c>
      <c r="C1027" s="9" t="inlineStr">
        <is>
          <t>21/50 MA cross, 250-period confirm filter, VWAP</t>
        </is>
      </c>
      <c r="D1027" s="9" t="inlineStr">
        <is>
          <t>Short</t>
        </is>
      </c>
      <c r="E1027" s="10" t="n">
        <v>45113.32291666666</v>
      </c>
      <c r="F1027" s="10" t="n">
        <v>45113.33333333334</v>
      </c>
      <c r="G1027" s="11" t="n">
        <v>-1.46</v>
      </c>
      <c r="H1027" s="11">
        <f>H1026+G1027</f>
        <v/>
      </c>
    </row>
    <row r="1028">
      <c r="A1028" s="9" t="n">
        <v>1024</v>
      </c>
      <c r="B1028" s="9" t="inlineStr">
        <is>
          <t>Ratchet</t>
        </is>
      </c>
      <c r="C1028" s="9" t="inlineStr">
        <is>
          <t>Stochastic scalp with give-back trail exit</t>
        </is>
      </c>
      <c r="D1028" s="9" t="inlineStr">
        <is>
          <t>Short</t>
        </is>
      </c>
      <c r="E1028" s="10" t="n">
        <v>45113.5</v>
      </c>
      <c r="F1028" s="10" t="n">
        <v>45113.53472222222</v>
      </c>
      <c r="G1028" s="11" t="n">
        <v>0.34</v>
      </c>
      <c r="H1028" s="11">
        <f>H1027+G1028</f>
        <v/>
      </c>
    </row>
    <row r="1029">
      <c r="A1029" s="9" t="n">
        <v>1025</v>
      </c>
      <c r="B1029" s="9" t="inlineStr">
        <is>
          <t>Ratchet</t>
        </is>
      </c>
      <c r="C1029" s="9" t="inlineStr">
        <is>
          <t>Stochastic scalp with give-back trail exit</t>
        </is>
      </c>
      <c r="D1029" s="9" t="inlineStr">
        <is>
          <t>Short</t>
        </is>
      </c>
      <c r="E1029" s="10" t="n">
        <v>45113.54166666666</v>
      </c>
      <c r="F1029" s="10" t="n">
        <v>45113.54861111111</v>
      </c>
      <c r="G1029" s="11" t="n">
        <v>-1.31</v>
      </c>
      <c r="H1029" s="11">
        <f>H1028+G1029</f>
        <v/>
      </c>
    </row>
    <row r="1030">
      <c r="A1030" s="9" t="n">
        <v>1026</v>
      </c>
      <c r="B1030" s="9" t="inlineStr">
        <is>
          <t>Meridian</t>
        </is>
      </c>
      <c r="C1030" s="9" t="inlineStr">
        <is>
          <t>21/50 MA cross, 250-period confirm filter, VWAP</t>
        </is>
      </c>
      <c r="D1030" s="9" t="inlineStr">
        <is>
          <t>Short</t>
        </is>
      </c>
      <c r="E1030" s="10" t="n">
        <v>45113.47569444445</v>
      </c>
      <c r="F1030" s="10" t="n">
        <v>45113.55208333334</v>
      </c>
      <c r="G1030" s="11" t="n">
        <v>-2.13</v>
      </c>
      <c r="H1030" s="11">
        <f>H1029+G1030</f>
        <v/>
      </c>
    </row>
    <row r="1031">
      <c r="A1031" s="9" t="n">
        <v>1027</v>
      </c>
      <c r="B1031" s="9" t="inlineStr">
        <is>
          <t>Meridian</t>
        </is>
      </c>
      <c r="C1031" s="9" t="inlineStr">
        <is>
          <t>21/50 MA cross, 250-period confirm filter, VWAP</t>
        </is>
      </c>
      <c r="D1031" s="9" t="inlineStr">
        <is>
          <t>Long</t>
        </is>
      </c>
      <c r="E1031" s="10" t="n">
        <v>45113.5625</v>
      </c>
      <c r="F1031" s="10" t="n">
        <v>45113.63541666666</v>
      </c>
      <c r="G1031" s="11" t="n">
        <v>-2.44</v>
      </c>
      <c r="H1031" s="11">
        <f>H1030+G1031</f>
        <v/>
      </c>
    </row>
    <row r="1032">
      <c r="A1032" s="9" t="n">
        <v>1028</v>
      </c>
      <c r="B1032" s="9" t="inlineStr">
        <is>
          <t>Aurelius_M5</t>
        </is>
      </c>
      <c r="C1032" s="9" t="inlineStr">
        <is>
          <t>MA alignment (EMA21&gt;EMA50&gt;SMA250&gt;SMMA500 vs EMA2400 trend filter)</t>
        </is>
      </c>
      <c r="D1032" s="9" t="inlineStr">
        <is>
          <t>Short</t>
        </is>
      </c>
      <c r="E1032" s="10" t="n">
        <v>45113.66319444445</v>
      </c>
      <c r="F1032" s="10" t="n">
        <v>45113.68055555555</v>
      </c>
      <c r="G1032" s="11" t="n">
        <v>-6.47</v>
      </c>
      <c r="H1032" s="11">
        <f>H1031+G1032</f>
        <v/>
      </c>
    </row>
    <row r="1033">
      <c r="A1033" s="9" t="n">
        <v>1029</v>
      </c>
      <c r="B1033" s="9" t="inlineStr">
        <is>
          <t>Meridian</t>
        </is>
      </c>
      <c r="C1033" s="9" t="inlineStr">
        <is>
          <t>21/50 MA cross, 250-period confirm filter, VWAP</t>
        </is>
      </c>
      <c r="D1033" s="9" t="inlineStr">
        <is>
          <t>Short</t>
        </is>
      </c>
      <c r="E1033" s="10" t="n">
        <v>45113.64930555555</v>
      </c>
      <c r="F1033" s="10" t="n">
        <v>45113.69097222222</v>
      </c>
      <c r="G1033" s="11" t="n">
        <v>-6.22</v>
      </c>
      <c r="H1033" s="11">
        <f>H1032+G1033</f>
        <v/>
      </c>
    </row>
    <row r="1034">
      <c r="A1034" s="9" t="n">
        <v>1030</v>
      </c>
      <c r="B1034" s="9" t="inlineStr">
        <is>
          <t>Ratchet</t>
        </is>
      </c>
      <c r="C1034" s="9" t="inlineStr">
        <is>
          <t>Stochastic scalp with give-back trail exit</t>
        </is>
      </c>
      <c r="D1034" s="9" t="inlineStr">
        <is>
          <t>Short</t>
        </is>
      </c>
      <c r="E1034" s="10" t="n">
        <v>45113.97569444445</v>
      </c>
      <c r="F1034" s="10" t="n">
        <v>45113.99652777778</v>
      </c>
      <c r="G1034" s="11" t="n">
        <v>-0.6899999999999999</v>
      </c>
      <c r="H1034" s="11">
        <f>H1033+G1034</f>
        <v/>
      </c>
    </row>
    <row r="1035">
      <c r="A1035" s="9" t="n">
        <v>1031</v>
      </c>
      <c r="B1035" s="9" t="inlineStr">
        <is>
          <t>Meridian</t>
        </is>
      </c>
      <c r="C1035" s="9" t="inlineStr">
        <is>
          <t>21/50 MA cross, 250-period confirm filter, VWAP</t>
        </is>
      </c>
      <c r="D1035" s="9" t="inlineStr">
        <is>
          <t>Short</t>
        </is>
      </c>
      <c r="E1035" s="10" t="n">
        <v>45114.05555555555</v>
      </c>
      <c r="F1035" s="10" t="n">
        <v>45114.08333333334</v>
      </c>
      <c r="G1035" s="11" t="n">
        <v>-1.01</v>
      </c>
      <c r="H1035" s="11">
        <f>H1034+G1035</f>
        <v/>
      </c>
    </row>
    <row r="1036">
      <c r="A1036" s="9" t="n">
        <v>1032</v>
      </c>
      <c r="B1036" s="9" t="inlineStr">
        <is>
          <t>Meridian</t>
        </is>
      </c>
      <c r="C1036" s="9" t="inlineStr">
        <is>
          <t>21/50 MA cross, 250-period confirm filter, VWAP</t>
        </is>
      </c>
      <c r="D1036" s="9" t="inlineStr">
        <is>
          <t>Short</t>
        </is>
      </c>
      <c r="E1036" s="10" t="n">
        <v>45114.17013888889</v>
      </c>
      <c r="F1036" s="10" t="n">
        <v>45114.17361111111</v>
      </c>
      <c r="G1036" s="11" t="n">
        <v>-1.51</v>
      </c>
      <c r="H1036" s="11">
        <f>H1035+G1036</f>
        <v/>
      </c>
    </row>
    <row r="1037">
      <c r="A1037" s="9" t="n">
        <v>1033</v>
      </c>
      <c r="B1037" s="9" t="inlineStr">
        <is>
          <t>Ratchet</t>
        </is>
      </c>
      <c r="C1037" s="9" t="inlineStr">
        <is>
          <t>Stochastic scalp with give-back trail exit</t>
        </is>
      </c>
      <c r="D1037" s="9" t="inlineStr">
        <is>
          <t>Short</t>
        </is>
      </c>
      <c r="E1037" s="10" t="n">
        <v>45114.17013888889</v>
      </c>
      <c r="F1037" s="10" t="n">
        <v>45114.17361111111</v>
      </c>
      <c r="G1037" s="11" t="n">
        <v>-1.23</v>
      </c>
      <c r="H1037" s="11">
        <f>H1036+G1037</f>
        <v/>
      </c>
    </row>
    <row r="1038">
      <c r="A1038" s="9" t="n">
        <v>1034</v>
      </c>
      <c r="B1038" s="9" t="inlineStr">
        <is>
          <t>Meridian</t>
        </is>
      </c>
      <c r="C1038" s="9" t="inlineStr">
        <is>
          <t>21/50 MA cross, 250-period confirm filter, VWAP</t>
        </is>
      </c>
      <c r="D1038" s="9" t="inlineStr">
        <is>
          <t>Short</t>
        </is>
      </c>
      <c r="E1038" s="10" t="n">
        <v>45114.18055555555</v>
      </c>
      <c r="F1038" s="10" t="n">
        <v>45114.1875</v>
      </c>
      <c r="G1038" s="11" t="n">
        <v>-0.82</v>
      </c>
      <c r="H1038" s="11">
        <f>H1037+G1038</f>
        <v/>
      </c>
    </row>
    <row r="1039">
      <c r="A1039" s="9" t="n">
        <v>1035</v>
      </c>
      <c r="B1039" s="9" t="inlineStr">
        <is>
          <t>Meridian</t>
        </is>
      </c>
      <c r="C1039" s="9" t="inlineStr">
        <is>
          <t>21/50 MA cross, 250-period confirm filter, VWAP</t>
        </is>
      </c>
      <c r="D1039" s="9" t="inlineStr">
        <is>
          <t>Short</t>
        </is>
      </c>
      <c r="E1039" s="10" t="n">
        <v>45114.22916666666</v>
      </c>
      <c r="F1039" s="10" t="n">
        <v>45114.25694444445</v>
      </c>
      <c r="G1039" s="11" t="n">
        <v>-1.52</v>
      </c>
      <c r="H1039" s="11">
        <f>H1038+G1039</f>
        <v/>
      </c>
    </row>
    <row r="1040">
      <c r="A1040" s="9" t="n">
        <v>1036</v>
      </c>
      <c r="B1040" s="9" t="inlineStr">
        <is>
          <t>Meridian</t>
        </is>
      </c>
      <c r="C1040" s="9" t="inlineStr">
        <is>
          <t>21/50 MA cross, 250-period confirm filter, VWAP</t>
        </is>
      </c>
      <c r="D1040" s="9" t="inlineStr">
        <is>
          <t>Short</t>
        </is>
      </c>
      <c r="E1040" s="10" t="n">
        <v>45114.29861111111</v>
      </c>
      <c r="F1040" s="10" t="n">
        <v>45114.31597222222</v>
      </c>
      <c r="G1040" s="11" t="n">
        <v>-1.29</v>
      </c>
      <c r="H1040" s="11">
        <f>H1039+G1040</f>
        <v/>
      </c>
    </row>
    <row r="1041">
      <c r="A1041" s="9" t="n">
        <v>1037</v>
      </c>
      <c r="B1041" s="9" t="inlineStr">
        <is>
          <t>Aurelius_M15</t>
        </is>
      </c>
      <c r="C1041" s="9" t="inlineStr">
        <is>
          <t>MA alignment (EMA21&gt;EMA50&gt;SMA250&gt;SMMA500 vs EMA2400 trend filter) - M15 chart</t>
        </is>
      </c>
      <c r="D1041" s="9" t="inlineStr">
        <is>
          <t>Short</t>
        </is>
      </c>
      <c r="E1041" s="10" t="n">
        <v>45113.72916666666</v>
      </c>
      <c r="F1041" s="10" t="n">
        <v>45114.35416666666</v>
      </c>
      <c r="G1041" s="11" t="n">
        <v>-10.14</v>
      </c>
      <c r="H1041" s="11">
        <f>H1040+G1041</f>
        <v/>
      </c>
    </row>
    <row r="1042">
      <c r="A1042" s="9" t="n">
        <v>1038</v>
      </c>
      <c r="B1042" s="9" t="inlineStr">
        <is>
          <t>Vanguard_M15</t>
        </is>
      </c>
      <c r="C1042" s="9" t="inlineStr">
        <is>
          <t>Trendline breakout (fractal swing line) + VWAP/S-R distance gate - M15 chart</t>
        </is>
      </c>
      <c r="D1042" s="9" t="inlineStr">
        <is>
          <t>Long</t>
        </is>
      </c>
      <c r="E1042" s="10" t="n">
        <v>45114.64583333334</v>
      </c>
      <c r="F1042" s="10" t="n">
        <v>45114.66666666666</v>
      </c>
      <c r="G1042" s="11" t="n">
        <v>-5.39</v>
      </c>
      <c r="H1042" s="11">
        <f>H1041+G1042</f>
        <v/>
      </c>
    </row>
    <row r="1043">
      <c r="A1043" s="9" t="n">
        <v>1039</v>
      </c>
      <c r="B1043" s="9" t="inlineStr">
        <is>
          <t>Ratchet</t>
        </is>
      </c>
      <c r="C1043" s="9" t="inlineStr">
        <is>
          <t>Stochastic scalp with give-back trail exit</t>
        </is>
      </c>
      <c r="D1043" s="9" t="inlineStr">
        <is>
          <t>Long</t>
        </is>
      </c>
      <c r="E1043" s="10" t="n">
        <v>45114.74305555555</v>
      </c>
      <c r="F1043" s="10" t="n">
        <v>45114.75</v>
      </c>
      <c r="G1043" s="11" t="n">
        <v>0.37</v>
      </c>
      <c r="H1043" s="11">
        <f>H1042+G1043</f>
        <v/>
      </c>
    </row>
    <row r="1044">
      <c r="A1044" s="9" t="n">
        <v>1040</v>
      </c>
      <c r="B1044" s="9" t="inlineStr">
        <is>
          <t>Ratchet</t>
        </is>
      </c>
      <c r="C1044" s="9" t="inlineStr">
        <is>
          <t>Stochastic scalp with give-back trail exit</t>
        </is>
      </c>
      <c r="D1044" s="9" t="inlineStr">
        <is>
          <t>Long</t>
        </is>
      </c>
      <c r="E1044" s="10" t="n">
        <v>45114.77083333334</v>
      </c>
      <c r="F1044" s="10" t="n">
        <v>45114.77430555555</v>
      </c>
      <c r="G1044" s="11" t="n">
        <v>0</v>
      </c>
      <c r="H1044" s="11">
        <f>H1043+G1044</f>
        <v/>
      </c>
    </row>
    <row r="1045">
      <c r="A1045" s="9" t="n">
        <v>1041</v>
      </c>
      <c r="B1045" s="9" t="inlineStr">
        <is>
          <t>Meridian</t>
        </is>
      </c>
      <c r="C1045" s="9" t="inlineStr">
        <is>
          <t>21/50 MA cross, 250-period confirm filter, VWAP</t>
        </is>
      </c>
      <c r="D1045" s="9" t="inlineStr">
        <is>
          <t>Long</t>
        </is>
      </c>
      <c r="E1045" s="10" t="n">
        <v>45117.0625</v>
      </c>
      <c r="F1045" s="10" t="n">
        <v>45117.08333333334</v>
      </c>
      <c r="G1045" s="11" t="n">
        <v>-1.9</v>
      </c>
      <c r="H1045" s="11">
        <f>H1044+G1045</f>
        <v/>
      </c>
    </row>
    <row r="1046">
      <c r="A1046" s="9" t="n">
        <v>1042</v>
      </c>
      <c r="B1046" s="9" t="inlineStr">
        <is>
          <t>Ratchet</t>
        </is>
      </c>
      <c r="C1046" s="9" t="inlineStr">
        <is>
          <t>Stochastic scalp with give-back trail exit</t>
        </is>
      </c>
      <c r="D1046" s="9" t="inlineStr">
        <is>
          <t>Long</t>
        </is>
      </c>
      <c r="E1046" s="10" t="n">
        <v>45117.49652777778</v>
      </c>
      <c r="F1046" s="10" t="n">
        <v>45117.51388888889</v>
      </c>
      <c r="G1046" s="11" t="n">
        <v>-1.41</v>
      </c>
      <c r="H1046" s="11">
        <f>H1045+G1046</f>
        <v/>
      </c>
    </row>
    <row r="1047">
      <c r="A1047" s="9" t="n">
        <v>1043</v>
      </c>
      <c r="B1047" s="9" t="inlineStr">
        <is>
          <t>Meridian</t>
        </is>
      </c>
      <c r="C1047" s="9" t="inlineStr">
        <is>
          <t>21/50 MA cross, 250-period confirm filter, VWAP</t>
        </is>
      </c>
      <c r="D1047" s="9" t="inlineStr">
        <is>
          <t>Long</t>
        </is>
      </c>
      <c r="E1047" s="10" t="n">
        <v>45117.42708333334</v>
      </c>
      <c r="F1047" s="10" t="n">
        <v>45117.58680555555</v>
      </c>
      <c r="G1047" s="11" t="n">
        <v>-1.49</v>
      </c>
      <c r="H1047" s="11">
        <f>H1046+G1047</f>
        <v/>
      </c>
    </row>
    <row r="1048">
      <c r="A1048" s="9" t="n">
        <v>1044</v>
      </c>
      <c r="B1048" s="9" t="inlineStr">
        <is>
          <t>Vanguard_M15</t>
        </is>
      </c>
      <c r="C1048" s="9" t="inlineStr">
        <is>
          <t>Trendline breakout (fractal swing line) + VWAP/S-R distance gate - M15 chart</t>
        </is>
      </c>
      <c r="D1048" s="9" t="inlineStr">
        <is>
          <t>Long</t>
        </is>
      </c>
      <c r="E1048" s="10" t="n">
        <v>45114.6875</v>
      </c>
      <c r="F1048" s="10" t="n">
        <v>45117.63541666666</v>
      </c>
      <c r="G1048" s="11" t="n">
        <v>-2.64</v>
      </c>
      <c r="H1048" s="11">
        <f>H1047+G1048</f>
        <v/>
      </c>
    </row>
    <row r="1049">
      <c r="A1049" s="9" t="n">
        <v>1045</v>
      </c>
      <c r="B1049" s="9" t="inlineStr">
        <is>
          <t>Vanguard_M5</t>
        </is>
      </c>
      <c r="C1049" s="9" t="inlineStr">
        <is>
          <t>Trendline breakout (fractal swing line) + VWAP/S-R distance gate</t>
        </is>
      </c>
      <c r="D1049" s="9" t="inlineStr">
        <is>
          <t>Long</t>
        </is>
      </c>
      <c r="E1049" s="10" t="n">
        <v>45114.64583333334</v>
      </c>
      <c r="F1049" s="10" t="n">
        <v>45117.63888888889</v>
      </c>
      <c r="G1049" s="11" t="n">
        <v>-2.77</v>
      </c>
      <c r="H1049" s="11">
        <f>H1048+G1049</f>
        <v/>
      </c>
    </row>
    <row r="1050">
      <c r="A1050" s="9" t="n">
        <v>1046</v>
      </c>
      <c r="B1050" s="9" t="inlineStr">
        <is>
          <t>Meridian</t>
        </is>
      </c>
      <c r="C1050" s="9" t="inlineStr">
        <is>
          <t>21/50 MA cross, 250-period confirm filter, VWAP</t>
        </is>
      </c>
      <c r="D1050" s="9" t="inlineStr">
        <is>
          <t>Short</t>
        </is>
      </c>
      <c r="E1050" s="10" t="n">
        <v>45117.64236111111</v>
      </c>
      <c r="F1050" s="10" t="n">
        <v>45117.68055555555</v>
      </c>
      <c r="G1050" s="11" t="n">
        <v>-2.88</v>
      </c>
      <c r="H1050" s="11">
        <f>H1049+G1050</f>
        <v/>
      </c>
    </row>
    <row r="1051">
      <c r="A1051" s="9" t="n">
        <v>1047</v>
      </c>
      <c r="B1051" s="9" t="inlineStr">
        <is>
          <t>Meridian</t>
        </is>
      </c>
      <c r="C1051" s="9" t="inlineStr">
        <is>
          <t>21/50 MA cross, 250-period confirm filter, VWAP</t>
        </is>
      </c>
      <c r="D1051" s="9" t="inlineStr">
        <is>
          <t>Short</t>
        </is>
      </c>
      <c r="E1051" s="10" t="n">
        <v>45117.74652777778</v>
      </c>
      <c r="F1051" s="10" t="n">
        <v>45117.75</v>
      </c>
      <c r="G1051" s="11" t="n">
        <v>-0.5600000000000001</v>
      </c>
      <c r="H1051" s="11">
        <f>H1050+G1051</f>
        <v/>
      </c>
    </row>
    <row r="1052">
      <c r="A1052" s="9" t="n">
        <v>1048</v>
      </c>
      <c r="B1052" s="9" t="inlineStr">
        <is>
          <t>Ratchet</t>
        </is>
      </c>
      <c r="C1052" s="9" t="inlineStr">
        <is>
          <t>Stochastic scalp with give-back trail exit</t>
        </is>
      </c>
      <c r="D1052" s="9" t="inlineStr">
        <is>
          <t>Long</t>
        </is>
      </c>
      <c r="E1052" s="10" t="n">
        <v>45117.82291666666</v>
      </c>
      <c r="F1052" s="10" t="n">
        <v>45117.82986111111</v>
      </c>
      <c r="G1052" s="11" t="n">
        <v>0.23</v>
      </c>
      <c r="H1052" s="11">
        <f>H1051+G1052</f>
        <v/>
      </c>
    </row>
    <row r="1053">
      <c r="A1053" s="9" t="n">
        <v>1049</v>
      </c>
      <c r="B1053" s="9" t="inlineStr">
        <is>
          <t>Ratchet</t>
        </is>
      </c>
      <c r="C1053" s="9" t="inlineStr">
        <is>
          <t>Stochastic scalp with give-back trail exit</t>
        </is>
      </c>
      <c r="D1053" s="9" t="inlineStr">
        <is>
          <t>Long</t>
        </is>
      </c>
      <c r="E1053" s="10" t="n">
        <v>45118.15625</v>
      </c>
      <c r="F1053" s="10" t="n">
        <v>45118.17361111111</v>
      </c>
      <c r="G1053" s="11" t="n">
        <v>0.43</v>
      </c>
      <c r="H1053" s="11">
        <f>H1052+G1053</f>
        <v/>
      </c>
    </row>
    <row r="1054">
      <c r="A1054" s="9" t="n">
        <v>1050</v>
      </c>
      <c r="B1054" s="9" t="inlineStr">
        <is>
          <t>Meridian</t>
        </is>
      </c>
      <c r="C1054" s="9" t="inlineStr">
        <is>
          <t>21/50 MA cross, 250-period confirm filter, VWAP</t>
        </is>
      </c>
      <c r="D1054" s="9" t="inlineStr">
        <is>
          <t>Long</t>
        </is>
      </c>
      <c r="E1054" s="10" t="n">
        <v>45118.13888888889</v>
      </c>
      <c r="F1054" s="10" t="n">
        <v>45118.19444444445</v>
      </c>
      <c r="G1054" s="11" t="n">
        <v>-1.12</v>
      </c>
      <c r="H1054" s="11">
        <f>H1053+G1054</f>
        <v/>
      </c>
    </row>
    <row r="1055">
      <c r="A1055" s="9" t="n">
        <v>1051</v>
      </c>
      <c r="B1055" s="9" t="inlineStr">
        <is>
          <t>Ratchet</t>
        </is>
      </c>
      <c r="C1055" s="9" t="inlineStr">
        <is>
          <t>Stochastic scalp with give-back trail exit</t>
        </is>
      </c>
      <c r="D1055" s="9" t="inlineStr">
        <is>
          <t>Long</t>
        </is>
      </c>
      <c r="E1055" s="10" t="n">
        <v>45118.47569444445</v>
      </c>
      <c r="F1055" s="10" t="n">
        <v>45118.48263888889</v>
      </c>
      <c r="G1055" s="11" t="n">
        <v>0</v>
      </c>
      <c r="H1055" s="11">
        <f>H1054+G1055</f>
        <v/>
      </c>
    </row>
    <row r="1056">
      <c r="A1056" s="9" t="n">
        <v>1052</v>
      </c>
      <c r="B1056" s="9" t="inlineStr">
        <is>
          <t>Ratchet</t>
        </is>
      </c>
      <c r="C1056" s="9" t="inlineStr">
        <is>
          <t>Stochastic scalp with give-back trail exit</t>
        </is>
      </c>
      <c r="D1056" s="9" t="inlineStr">
        <is>
          <t>Long</t>
        </is>
      </c>
      <c r="E1056" s="10" t="n">
        <v>45118.54861111111</v>
      </c>
      <c r="F1056" s="10" t="n">
        <v>45118.57291666666</v>
      </c>
      <c r="G1056" s="11" t="n">
        <v>-1.91</v>
      </c>
      <c r="H1056" s="11">
        <f>H1055+G1056</f>
        <v/>
      </c>
    </row>
    <row r="1057">
      <c r="A1057" s="9" t="n">
        <v>1053</v>
      </c>
      <c r="B1057" s="9" t="inlineStr">
        <is>
          <t>Ratchet</t>
        </is>
      </c>
      <c r="C1057" s="9" t="inlineStr">
        <is>
          <t>Stochastic scalp with give-back trail exit</t>
        </is>
      </c>
      <c r="D1057" s="9" t="inlineStr">
        <is>
          <t>Long</t>
        </is>
      </c>
      <c r="E1057" s="10" t="n">
        <v>45118.61111111111</v>
      </c>
      <c r="F1057" s="10" t="n">
        <v>45118.61458333334</v>
      </c>
      <c r="G1057" s="11" t="n">
        <v>-1.56</v>
      </c>
      <c r="H1057" s="11">
        <f>H1056+G1057</f>
        <v/>
      </c>
    </row>
    <row r="1058">
      <c r="A1058" s="9" t="n">
        <v>1054</v>
      </c>
      <c r="B1058" s="9" t="inlineStr">
        <is>
          <t>Aurelius_M5</t>
        </is>
      </c>
      <c r="C1058" s="9" t="inlineStr">
        <is>
          <t>MA alignment (EMA21&gt;EMA50&gt;SMA250&gt;SMMA500 vs EMA2400 trend filter)</t>
        </is>
      </c>
      <c r="D1058" s="9" t="inlineStr">
        <is>
          <t>Long</t>
        </is>
      </c>
      <c r="E1058" s="10" t="n">
        <v>45118.23263888889</v>
      </c>
      <c r="F1058" s="10" t="n">
        <v>45118.65277777778</v>
      </c>
      <c r="G1058" s="11" t="n">
        <v>3.5</v>
      </c>
      <c r="H1058" s="11">
        <f>H1057+G1058</f>
        <v/>
      </c>
    </row>
    <row r="1059">
      <c r="A1059" s="9" t="n">
        <v>1055</v>
      </c>
      <c r="B1059" s="9" t="inlineStr">
        <is>
          <t>Meridian</t>
        </is>
      </c>
      <c r="C1059" s="9" t="inlineStr">
        <is>
          <t>21/50 MA cross, 250-period confirm filter, VWAP</t>
        </is>
      </c>
      <c r="D1059" s="9" t="inlineStr">
        <is>
          <t>Long</t>
        </is>
      </c>
      <c r="E1059" s="10" t="n">
        <v>45118.96527777778</v>
      </c>
      <c r="F1059" s="10" t="n">
        <v>45118.98263888889</v>
      </c>
      <c r="G1059" s="11" t="n">
        <v>-0.6</v>
      </c>
      <c r="H1059" s="11">
        <f>H1058+G1059</f>
        <v/>
      </c>
    </row>
    <row r="1060">
      <c r="A1060" s="9" t="n">
        <v>1056</v>
      </c>
      <c r="B1060" s="9" t="inlineStr">
        <is>
          <t>Ratchet</t>
        </is>
      </c>
      <c r="C1060" s="9" t="inlineStr">
        <is>
          <t>Stochastic scalp with give-back trail exit</t>
        </is>
      </c>
      <c r="D1060" s="9" t="inlineStr">
        <is>
          <t>Long</t>
        </is>
      </c>
      <c r="E1060" s="10" t="n">
        <v>45119.12152777778</v>
      </c>
      <c r="F1060" s="10" t="n">
        <v>45119.39930555555</v>
      </c>
      <c r="G1060" s="11" t="n">
        <v>3.36</v>
      </c>
      <c r="H1060" s="11">
        <f>H1059+G1060</f>
        <v/>
      </c>
    </row>
    <row r="1061">
      <c r="A1061" s="9" t="n">
        <v>1057</v>
      </c>
      <c r="B1061" s="9" t="inlineStr">
        <is>
          <t>Meridian</t>
        </is>
      </c>
      <c r="C1061" s="9" t="inlineStr">
        <is>
          <t>21/50 MA cross, 250-period confirm filter, VWAP</t>
        </is>
      </c>
      <c r="D1061" s="9" t="inlineStr">
        <is>
          <t>Long</t>
        </is>
      </c>
      <c r="E1061" s="10" t="n">
        <v>45118.99652777778</v>
      </c>
      <c r="F1061" s="10" t="n">
        <v>45119.40277777778</v>
      </c>
      <c r="G1061" s="11" t="n">
        <v>2.69</v>
      </c>
      <c r="H1061" s="11">
        <f>H1060+G1061</f>
        <v/>
      </c>
    </row>
    <row r="1062">
      <c r="A1062" s="9" t="n">
        <v>1058</v>
      </c>
      <c r="B1062" s="9" t="inlineStr">
        <is>
          <t>Aurelius_M15</t>
        </is>
      </c>
      <c r="C1062" s="9" t="inlineStr">
        <is>
          <t>MA alignment (EMA21&gt;EMA50&gt;SMA250&gt;SMMA500 vs EMA2400 trend filter) - M15 chart</t>
        </is>
      </c>
      <c r="D1062" s="9" t="inlineStr">
        <is>
          <t>Long</t>
        </is>
      </c>
      <c r="E1062" s="10" t="n">
        <v>45118.25</v>
      </c>
      <c r="F1062" s="10" t="n">
        <v>45119.47916666666</v>
      </c>
      <c r="G1062" s="11" t="n">
        <v>7.04</v>
      </c>
      <c r="H1062" s="11">
        <f>H1061+G1062</f>
        <v/>
      </c>
    </row>
    <row r="1063">
      <c r="A1063" s="9" t="n">
        <v>1059</v>
      </c>
      <c r="B1063" s="9" t="inlineStr">
        <is>
          <t>Vanguard_M5</t>
        </is>
      </c>
      <c r="C1063" s="9" t="inlineStr">
        <is>
          <t>Trendline breakout (fractal swing line) + VWAP/S-R distance gate</t>
        </is>
      </c>
      <c r="D1063" s="9" t="inlineStr">
        <is>
          <t>Short</t>
        </is>
      </c>
      <c r="E1063" s="10" t="n">
        <v>45119.39236111111</v>
      </c>
      <c r="F1063" s="10" t="n">
        <v>45119.64583333334</v>
      </c>
      <c r="G1063" s="11" t="n">
        <v>-3.42</v>
      </c>
      <c r="H1063" s="11">
        <f>H1062+G1063</f>
        <v/>
      </c>
    </row>
    <row r="1064">
      <c r="A1064" s="9" t="n">
        <v>1060</v>
      </c>
      <c r="B1064" s="9" t="inlineStr">
        <is>
          <t>Vanguard_M15</t>
        </is>
      </c>
      <c r="C1064" s="9" t="inlineStr">
        <is>
          <t>Trendline breakout (fractal swing line) + VWAP/S-R distance gate - M15 chart</t>
        </is>
      </c>
      <c r="D1064" s="9" t="inlineStr">
        <is>
          <t>Short</t>
        </is>
      </c>
      <c r="E1064" s="10" t="n">
        <v>45119.39583333334</v>
      </c>
      <c r="F1064" s="10" t="n">
        <v>45119.64583333334</v>
      </c>
      <c r="G1064" s="11" t="n">
        <v>-4.13</v>
      </c>
      <c r="H1064" s="11">
        <f>H1063+G1064</f>
        <v/>
      </c>
    </row>
    <row r="1065">
      <c r="A1065" s="9" t="n">
        <v>1061</v>
      </c>
      <c r="B1065" s="9" t="inlineStr">
        <is>
          <t>Aurelius_M5</t>
        </is>
      </c>
      <c r="C1065" s="9" t="inlineStr">
        <is>
          <t>MA alignment (EMA21&gt;EMA50&gt;SMA250&gt;SMMA500 vs EMA2400 trend filter)</t>
        </is>
      </c>
      <c r="D1065" s="9" t="inlineStr">
        <is>
          <t>Long</t>
        </is>
      </c>
      <c r="E1065" s="10" t="n">
        <v>45119.65625</v>
      </c>
      <c r="F1065" s="10" t="n">
        <v>45119.66666666666</v>
      </c>
      <c r="G1065" s="11" t="n">
        <v>-5.51</v>
      </c>
      <c r="H1065" s="11">
        <f>H1064+G1065</f>
        <v/>
      </c>
    </row>
    <row r="1066">
      <c r="A1066" s="9" t="n">
        <v>1062</v>
      </c>
      <c r="B1066" s="9" t="inlineStr">
        <is>
          <t>Ratchet</t>
        </is>
      </c>
      <c r="C1066" s="9" t="inlineStr">
        <is>
          <t>Stochastic scalp with give-back trail exit</t>
        </is>
      </c>
      <c r="D1066" s="9" t="inlineStr">
        <is>
          <t>Long</t>
        </is>
      </c>
      <c r="E1066" s="10" t="n">
        <v>45119.67013888889</v>
      </c>
      <c r="F1066" s="10" t="n">
        <v>45119.94791666666</v>
      </c>
      <c r="G1066" s="11" t="n">
        <v>15.02</v>
      </c>
      <c r="H1066" s="11">
        <f>H1065+G1066</f>
        <v/>
      </c>
    </row>
    <row r="1067">
      <c r="A1067" s="9" t="n">
        <v>1063</v>
      </c>
      <c r="B1067" s="9" t="inlineStr">
        <is>
          <t>Aurelius_M5</t>
        </is>
      </c>
      <c r="C1067" s="9" t="inlineStr">
        <is>
          <t>MA alignment (EMA21&gt;EMA50&gt;SMA250&gt;SMMA500 vs EMA2400 trend filter)</t>
        </is>
      </c>
      <c r="D1067" s="9" t="inlineStr">
        <is>
          <t>Long</t>
        </is>
      </c>
      <c r="E1067" s="10" t="n">
        <v>45120.14236111111</v>
      </c>
      <c r="F1067" s="10" t="n">
        <v>45120.14236111111</v>
      </c>
      <c r="G1067" s="11" t="n">
        <v>-1.21</v>
      </c>
      <c r="H1067" s="11">
        <f>H1066+G1067</f>
        <v/>
      </c>
    </row>
    <row r="1068">
      <c r="A1068" s="9" t="n">
        <v>1064</v>
      </c>
      <c r="B1068" s="9" t="inlineStr">
        <is>
          <t>Ratchet</t>
        </is>
      </c>
      <c r="C1068" s="9" t="inlineStr">
        <is>
          <t>Stochastic scalp with give-back trail exit</t>
        </is>
      </c>
      <c r="D1068" s="9" t="inlineStr">
        <is>
          <t>Long</t>
        </is>
      </c>
      <c r="E1068" s="10" t="n">
        <v>45120.17361111111</v>
      </c>
      <c r="F1068" s="10" t="n">
        <v>45120.18055555555</v>
      </c>
      <c r="G1068" s="11" t="n">
        <v>-1.49</v>
      </c>
      <c r="H1068" s="11">
        <f>H1067+G1068</f>
        <v/>
      </c>
    </row>
    <row r="1069">
      <c r="A1069" s="9" t="n">
        <v>1065</v>
      </c>
      <c r="B1069" s="9" t="inlineStr">
        <is>
          <t>Ratchet</t>
        </is>
      </c>
      <c r="C1069" s="9" t="inlineStr">
        <is>
          <t>Stochastic scalp with give-back trail exit</t>
        </is>
      </c>
      <c r="D1069" s="9" t="inlineStr">
        <is>
          <t>Long</t>
        </is>
      </c>
      <c r="E1069" s="10" t="n">
        <v>45120.23958333334</v>
      </c>
      <c r="F1069" s="10" t="n">
        <v>45120.24652777778</v>
      </c>
      <c r="G1069" s="11" t="n">
        <v>0.23</v>
      </c>
      <c r="H1069" s="11">
        <f>H1068+G1069</f>
        <v/>
      </c>
    </row>
    <row r="1070">
      <c r="A1070" s="9" t="n">
        <v>1066</v>
      </c>
      <c r="B1070" s="9" t="inlineStr">
        <is>
          <t>Ratchet</t>
        </is>
      </c>
      <c r="C1070" s="9" t="inlineStr">
        <is>
          <t>Stochastic scalp with give-back trail exit</t>
        </is>
      </c>
      <c r="D1070" s="9" t="inlineStr">
        <is>
          <t>Long</t>
        </is>
      </c>
      <c r="E1070" s="10" t="n">
        <v>45120.3125</v>
      </c>
      <c r="F1070" s="10" t="n">
        <v>45120.32291666666</v>
      </c>
      <c r="G1070" s="11" t="n">
        <v>0.16</v>
      </c>
      <c r="H1070" s="11">
        <f>H1069+G1070</f>
        <v/>
      </c>
    </row>
    <row r="1071">
      <c r="A1071" s="9" t="n">
        <v>1067</v>
      </c>
      <c r="B1071" s="9" t="inlineStr">
        <is>
          <t>Meridian</t>
        </is>
      </c>
      <c r="C1071" s="9" t="inlineStr">
        <is>
          <t>21/50 MA cross, 250-period confirm filter, VWAP</t>
        </is>
      </c>
      <c r="D1071" s="9" t="inlineStr">
        <is>
          <t>Long</t>
        </is>
      </c>
      <c r="E1071" s="10" t="n">
        <v>45119.64930555555</v>
      </c>
      <c r="F1071" s="10" t="n">
        <v>45120.34375</v>
      </c>
      <c r="G1071" s="11" t="n">
        <v>13.18</v>
      </c>
      <c r="H1071" s="11">
        <f>H1070+G1071</f>
        <v/>
      </c>
    </row>
    <row r="1072">
      <c r="A1072" s="9" t="n">
        <v>1068</v>
      </c>
      <c r="B1072" s="9" t="inlineStr">
        <is>
          <t>Ratchet</t>
        </is>
      </c>
      <c r="C1072" s="9" t="inlineStr">
        <is>
          <t>Stochastic scalp with give-back trail exit</t>
        </is>
      </c>
      <c r="D1072" s="9" t="inlineStr">
        <is>
          <t>Long</t>
        </is>
      </c>
      <c r="E1072" s="10" t="n">
        <v>45120.41666666666</v>
      </c>
      <c r="F1072" s="10" t="n">
        <v>45120.43055555555</v>
      </c>
      <c r="G1072" s="11" t="n">
        <v>-2.16</v>
      </c>
      <c r="H1072" s="11">
        <f>H1071+G1072</f>
        <v/>
      </c>
    </row>
    <row r="1073">
      <c r="A1073" s="9" t="n">
        <v>1069</v>
      </c>
      <c r="B1073" s="9" t="inlineStr">
        <is>
          <t>Aurelius_M5</t>
        </is>
      </c>
      <c r="C1073" s="9" t="inlineStr">
        <is>
          <t>MA alignment (EMA21&gt;EMA50&gt;SMA250&gt;SMMA500 vs EMA2400 trend filter)</t>
        </is>
      </c>
      <c r="D1073" s="9" t="inlineStr">
        <is>
          <t>Long</t>
        </is>
      </c>
      <c r="E1073" s="10" t="n">
        <v>45120.42013888889</v>
      </c>
      <c r="F1073" s="10" t="n">
        <v>45120.43055555555</v>
      </c>
      <c r="G1073" s="11" t="n">
        <v>-2.72</v>
      </c>
      <c r="H1073" s="11">
        <f>H1072+G1073</f>
        <v/>
      </c>
    </row>
    <row r="1074">
      <c r="A1074" s="9" t="n">
        <v>1070</v>
      </c>
      <c r="B1074" s="9" t="inlineStr">
        <is>
          <t>Ratchet</t>
        </is>
      </c>
      <c r="C1074" s="9" t="inlineStr">
        <is>
          <t>Stochastic scalp with give-back trail exit</t>
        </is>
      </c>
      <c r="D1074" s="9" t="inlineStr">
        <is>
          <t>Long</t>
        </is>
      </c>
      <c r="E1074" s="10" t="n">
        <v>45120.45486111111</v>
      </c>
      <c r="F1074" s="10" t="n">
        <v>45120.46180555555</v>
      </c>
      <c r="G1074" s="11" t="n">
        <v>0.29</v>
      </c>
      <c r="H1074" s="11">
        <f>H1073+G1074</f>
        <v/>
      </c>
    </row>
    <row r="1075">
      <c r="A1075" s="9" t="n">
        <v>1071</v>
      </c>
      <c r="B1075" s="9" t="inlineStr">
        <is>
          <t>Meridian</t>
        </is>
      </c>
      <c r="C1075" s="9" t="inlineStr">
        <is>
          <t>21/50 MA cross, 250-period confirm filter, VWAP</t>
        </is>
      </c>
      <c r="D1075" s="9" t="inlineStr">
        <is>
          <t>Long</t>
        </is>
      </c>
      <c r="E1075" s="10" t="n">
        <v>45120.39930555555</v>
      </c>
      <c r="F1075" s="10" t="n">
        <v>45120.54166666666</v>
      </c>
      <c r="G1075" s="11" t="n">
        <v>-2.15</v>
      </c>
      <c r="H1075" s="11">
        <f>H1074+G1075</f>
        <v/>
      </c>
    </row>
    <row r="1076">
      <c r="A1076" s="9" t="n">
        <v>1072</v>
      </c>
      <c r="B1076" s="9" t="inlineStr">
        <is>
          <t>Ratchet</t>
        </is>
      </c>
      <c r="C1076" s="9" t="inlineStr">
        <is>
          <t>Stochastic scalp with give-back trail exit</t>
        </is>
      </c>
      <c r="D1076" s="9" t="inlineStr">
        <is>
          <t>Long</t>
        </is>
      </c>
      <c r="E1076" s="10" t="n">
        <v>45120.76736111111</v>
      </c>
      <c r="F1076" s="10" t="n">
        <v>45120.78125</v>
      </c>
      <c r="G1076" s="11" t="n">
        <v>-2.65</v>
      </c>
      <c r="H1076" s="11">
        <f>H1075+G1076</f>
        <v/>
      </c>
    </row>
    <row r="1077">
      <c r="A1077" s="9" t="n">
        <v>1073</v>
      </c>
      <c r="B1077" s="9" t="inlineStr">
        <is>
          <t>Meridian</t>
        </is>
      </c>
      <c r="C1077" s="9" t="inlineStr">
        <is>
          <t>21/50 MA cross, 250-period confirm filter, VWAP</t>
        </is>
      </c>
      <c r="D1077" s="9" t="inlineStr">
        <is>
          <t>Short</t>
        </is>
      </c>
      <c r="E1077" s="10" t="n">
        <v>45120.79166666666</v>
      </c>
      <c r="F1077" s="10" t="n">
        <v>45120.80555555555</v>
      </c>
      <c r="G1077" s="11" t="n">
        <v>-3.98</v>
      </c>
      <c r="H1077" s="11">
        <f>H1076+G1077</f>
        <v/>
      </c>
    </row>
    <row r="1078">
      <c r="A1078" s="9" t="n">
        <v>1074</v>
      </c>
      <c r="B1078" s="9" t="inlineStr">
        <is>
          <t>Ratchet</t>
        </is>
      </c>
      <c r="C1078" s="9" t="inlineStr">
        <is>
          <t>Stochastic scalp with give-back trail exit</t>
        </is>
      </c>
      <c r="D1078" s="9" t="inlineStr">
        <is>
          <t>Long</t>
        </is>
      </c>
      <c r="E1078" s="10" t="n">
        <v>45120.91666666666</v>
      </c>
      <c r="F1078" s="10" t="n">
        <v>45120.92708333334</v>
      </c>
      <c r="G1078" s="11" t="n">
        <v>0</v>
      </c>
      <c r="H1078" s="11">
        <f>H1077+G1078</f>
        <v/>
      </c>
    </row>
    <row r="1079">
      <c r="A1079" s="9" t="n">
        <v>1075</v>
      </c>
      <c r="B1079" s="9" t="inlineStr">
        <is>
          <t>Ratchet</t>
        </is>
      </c>
      <c r="C1079" s="9" t="inlineStr">
        <is>
          <t>Stochastic scalp with give-back trail exit</t>
        </is>
      </c>
      <c r="D1079" s="9" t="inlineStr">
        <is>
          <t>Long</t>
        </is>
      </c>
      <c r="E1079" s="10" t="n">
        <v>45121.05555555555</v>
      </c>
      <c r="F1079" s="10" t="n">
        <v>45121.05555555555</v>
      </c>
      <c r="G1079" s="11" t="n">
        <v>-0.46</v>
      </c>
      <c r="H1079" s="11">
        <f>H1078+G1079</f>
        <v/>
      </c>
    </row>
    <row r="1080">
      <c r="A1080" s="9" t="n">
        <v>1076</v>
      </c>
      <c r="B1080" s="9" t="inlineStr">
        <is>
          <t>Vanguard_M5</t>
        </is>
      </c>
      <c r="C1080" s="9" t="inlineStr">
        <is>
          <t>Trendline breakout (fractal swing line) + VWAP/S-R distance gate</t>
        </is>
      </c>
      <c r="D1080" s="9" t="inlineStr">
        <is>
          <t>Short</t>
        </is>
      </c>
      <c r="E1080" s="10" t="n">
        <v>45121.07986111111</v>
      </c>
      <c r="F1080" s="10" t="n">
        <v>45121.08333333334</v>
      </c>
      <c r="G1080" s="11" t="n">
        <v>-1.43</v>
      </c>
      <c r="H1080" s="11">
        <f>H1079+G1080</f>
        <v/>
      </c>
    </row>
    <row r="1081">
      <c r="A1081" s="9" t="n">
        <v>1077</v>
      </c>
      <c r="B1081" s="9" t="inlineStr">
        <is>
          <t>Meridian</t>
        </is>
      </c>
      <c r="C1081" s="9" t="inlineStr">
        <is>
          <t>21/50 MA cross, 250-period confirm filter, VWAP</t>
        </is>
      </c>
      <c r="D1081" s="9" t="inlineStr">
        <is>
          <t>Short</t>
        </is>
      </c>
      <c r="E1081" s="10" t="n">
        <v>45121.14930555555</v>
      </c>
      <c r="F1081" s="10" t="n">
        <v>45121.1875</v>
      </c>
      <c r="G1081" s="11" t="n">
        <v>-1.44</v>
      </c>
      <c r="H1081" s="11">
        <f>H1080+G1081</f>
        <v/>
      </c>
    </row>
    <row r="1082">
      <c r="A1082" s="9" t="n">
        <v>1078</v>
      </c>
      <c r="B1082" s="9" t="inlineStr">
        <is>
          <t>Vanguard_M5</t>
        </is>
      </c>
      <c r="C1082" s="9" t="inlineStr">
        <is>
          <t>Trendline breakout (fractal swing line) + VWAP/S-R distance gate</t>
        </is>
      </c>
      <c r="D1082" s="9" t="inlineStr">
        <is>
          <t>Short</t>
        </is>
      </c>
      <c r="E1082" s="10" t="n">
        <v>45121.09722222222</v>
      </c>
      <c r="F1082" s="10" t="n">
        <v>45121.19791666666</v>
      </c>
      <c r="G1082" s="11" t="n">
        <v>-1.99</v>
      </c>
      <c r="H1082" s="11">
        <f>H1081+G1082</f>
        <v/>
      </c>
    </row>
    <row r="1083">
      <c r="A1083" s="9" t="n">
        <v>1079</v>
      </c>
      <c r="B1083" s="9" t="inlineStr">
        <is>
          <t>Vanguard_M15</t>
        </is>
      </c>
      <c r="C1083" s="9" t="inlineStr">
        <is>
          <t>Trendline breakout (fractal swing line) + VWAP/S-R distance gate - M15 chart</t>
        </is>
      </c>
      <c r="D1083" s="9" t="inlineStr">
        <is>
          <t>Short</t>
        </is>
      </c>
      <c r="E1083" s="10" t="n">
        <v>45121.08333333334</v>
      </c>
      <c r="F1083" s="10" t="n">
        <v>45121.20833333334</v>
      </c>
      <c r="G1083" s="11" t="n">
        <v>-3.6</v>
      </c>
      <c r="H1083" s="11">
        <f>H1082+G1083</f>
        <v/>
      </c>
    </row>
    <row r="1084">
      <c r="A1084" s="9" t="n">
        <v>1080</v>
      </c>
      <c r="B1084" s="9" t="inlineStr">
        <is>
          <t>Ratchet</t>
        </is>
      </c>
      <c r="C1084" s="9" t="inlineStr">
        <is>
          <t>Stochastic scalp with give-back trail exit</t>
        </is>
      </c>
      <c r="D1084" s="9" t="inlineStr">
        <is>
          <t>Long</t>
        </is>
      </c>
      <c r="E1084" s="10" t="n">
        <v>45121.28819444445</v>
      </c>
      <c r="F1084" s="10" t="n">
        <v>45121.29166666666</v>
      </c>
      <c r="G1084" s="11" t="n">
        <v>-1.34</v>
      </c>
      <c r="H1084" s="11">
        <f>H1083+G1084</f>
        <v/>
      </c>
    </row>
    <row r="1085">
      <c r="A1085" s="9" t="n">
        <v>1081</v>
      </c>
      <c r="B1085" s="9" t="inlineStr">
        <is>
          <t>Meridian</t>
        </is>
      </c>
      <c r="C1085" s="9" t="inlineStr">
        <is>
          <t>21/50 MA cross, 250-period confirm filter, VWAP</t>
        </is>
      </c>
      <c r="D1085" s="9" t="inlineStr">
        <is>
          <t>Long</t>
        </is>
      </c>
      <c r="E1085" s="10" t="n">
        <v>45121.19791666666</v>
      </c>
      <c r="F1085" s="10" t="n">
        <v>45121.33333333334</v>
      </c>
      <c r="G1085" s="11" t="n">
        <v>-2.13</v>
      </c>
      <c r="H1085" s="11">
        <f>H1084+G1085</f>
        <v/>
      </c>
    </row>
    <row r="1086">
      <c r="A1086" s="9" t="n">
        <v>1082</v>
      </c>
      <c r="B1086" s="9" t="inlineStr">
        <is>
          <t>Aurelius_M15</t>
        </is>
      </c>
      <c r="C1086" s="9" t="inlineStr">
        <is>
          <t>MA alignment (EMA21&gt;EMA50&gt;SMA250&gt;SMMA500 vs EMA2400 trend filter) - M15 chart</t>
        </is>
      </c>
      <c r="D1086" s="9" t="inlineStr">
        <is>
          <t>Long</t>
        </is>
      </c>
      <c r="E1086" s="10" t="n">
        <v>45119.72916666666</v>
      </c>
      <c r="F1086" s="10" t="n">
        <v>45121.41666666666</v>
      </c>
      <c r="G1086" s="11" t="n">
        <v>1.9</v>
      </c>
      <c r="H1086" s="11">
        <f>H1085+G1086</f>
        <v/>
      </c>
    </row>
    <row r="1087">
      <c r="A1087" s="9" t="n">
        <v>1083</v>
      </c>
      <c r="B1087" s="9" t="inlineStr">
        <is>
          <t>Meridian</t>
        </is>
      </c>
      <c r="C1087" s="9" t="inlineStr">
        <is>
          <t>21/50 MA cross, 250-period confirm filter, VWAP</t>
        </is>
      </c>
      <c r="D1087" s="9" t="inlineStr">
        <is>
          <t>Short</t>
        </is>
      </c>
      <c r="E1087" s="10" t="n">
        <v>45121.68055555555</v>
      </c>
      <c r="F1087" s="10" t="n">
        <v>45121.69791666666</v>
      </c>
      <c r="G1087" s="11" t="n">
        <v>-3.92</v>
      </c>
      <c r="H1087" s="11">
        <f>H1086+G1087</f>
        <v/>
      </c>
    </row>
    <row r="1088">
      <c r="A1088" s="9" t="n">
        <v>1084</v>
      </c>
      <c r="B1088" s="9" t="inlineStr">
        <is>
          <t>Meridian</t>
        </is>
      </c>
      <c r="C1088" s="9" t="inlineStr">
        <is>
          <t>21/50 MA cross, 250-period confirm filter, VWAP</t>
        </is>
      </c>
      <c r="D1088" s="9" t="inlineStr">
        <is>
          <t>Short</t>
        </is>
      </c>
      <c r="E1088" s="10" t="n">
        <v>45121.71527777778</v>
      </c>
      <c r="F1088" s="10" t="n">
        <v>45121.74652777778</v>
      </c>
      <c r="G1088" s="11" t="n">
        <v>-6.14</v>
      </c>
      <c r="H1088" s="11">
        <f>H1087+G1088</f>
        <v/>
      </c>
    </row>
    <row r="1089">
      <c r="A1089" s="9" t="n">
        <v>1085</v>
      </c>
      <c r="B1089" s="9" t="inlineStr">
        <is>
          <t>Meridian</t>
        </is>
      </c>
      <c r="C1089" s="9" t="inlineStr">
        <is>
          <t>21/50 MA cross, 250-period confirm filter, VWAP</t>
        </is>
      </c>
      <c r="D1089" s="9" t="inlineStr">
        <is>
          <t>Long</t>
        </is>
      </c>
      <c r="E1089" s="10" t="n">
        <v>45121.75347222222</v>
      </c>
      <c r="F1089" s="10" t="n">
        <v>45121.91666666666</v>
      </c>
      <c r="G1089" s="11" t="n">
        <v>-1.04</v>
      </c>
      <c r="H1089" s="11">
        <f>H1088+G1089</f>
        <v/>
      </c>
    </row>
    <row r="1090">
      <c r="A1090" s="9" t="n">
        <v>1086</v>
      </c>
      <c r="B1090" s="9" t="inlineStr">
        <is>
          <t>Meridian</t>
        </is>
      </c>
      <c r="C1090" s="9" t="inlineStr">
        <is>
          <t>21/50 MA cross, 250-period confirm filter, VWAP</t>
        </is>
      </c>
      <c r="D1090" s="9" t="inlineStr">
        <is>
          <t>Short</t>
        </is>
      </c>
      <c r="E1090" s="10" t="n">
        <v>45124.43402777778</v>
      </c>
      <c r="F1090" s="10" t="n">
        <v>45124.46875</v>
      </c>
      <c r="G1090" s="11" t="n">
        <v>-3.11</v>
      </c>
      <c r="H1090" s="11">
        <f>H1089+G1090</f>
        <v/>
      </c>
    </row>
    <row r="1091">
      <c r="A1091" s="9" t="n">
        <v>1087</v>
      </c>
      <c r="B1091" s="9" t="inlineStr">
        <is>
          <t>Meridian</t>
        </is>
      </c>
      <c r="C1091" s="9" t="inlineStr">
        <is>
          <t>21/50 MA cross, 250-period confirm filter, VWAP</t>
        </is>
      </c>
      <c r="D1091" s="9" t="inlineStr">
        <is>
          <t>Long</t>
        </is>
      </c>
      <c r="E1091" s="10" t="n">
        <v>45124.47916666666</v>
      </c>
      <c r="F1091" s="10" t="n">
        <v>45124.63888888889</v>
      </c>
      <c r="G1091" s="11" t="n">
        <v>-2.95</v>
      </c>
      <c r="H1091" s="11">
        <f>H1090+G1091</f>
        <v/>
      </c>
    </row>
    <row r="1092">
      <c r="A1092" s="9" t="n">
        <v>1088</v>
      </c>
      <c r="B1092" s="9" t="inlineStr">
        <is>
          <t>Aurelius_M5</t>
        </is>
      </c>
      <c r="C1092" s="9" t="inlineStr">
        <is>
          <t>MA alignment (EMA21&gt;EMA50&gt;SMA250&gt;SMMA500 vs EMA2400 trend filter)</t>
        </is>
      </c>
      <c r="D1092" s="9" t="inlineStr">
        <is>
          <t>Long</t>
        </is>
      </c>
      <c r="E1092" s="10" t="n">
        <v>45124.63541666666</v>
      </c>
      <c r="F1092" s="10" t="n">
        <v>45124.63888888889</v>
      </c>
      <c r="G1092" s="11" t="n">
        <v>-2.44</v>
      </c>
      <c r="H1092" s="11">
        <f>H1091+G1092</f>
        <v/>
      </c>
    </row>
    <row r="1093">
      <c r="A1093" s="9" t="n">
        <v>1089</v>
      </c>
      <c r="B1093" s="9" t="inlineStr">
        <is>
          <t>Meridian</t>
        </is>
      </c>
      <c r="C1093" s="9" t="inlineStr">
        <is>
          <t>21/50 MA cross, 250-period confirm filter, VWAP</t>
        </is>
      </c>
      <c r="D1093" s="9" t="inlineStr">
        <is>
          <t>Short</t>
        </is>
      </c>
      <c r="E1093" s="10" t="n">
        <v>45124.65625</v>
      </c>
      <c r="F1093" s="10" t="n">
        <v>45124.79166666666</v>
      </c>
      <c r="G1093" s="11" t="n">
        <v>-2.72</v>
      </c>
      <c r="H1093" s="11">
        <f>H1092+G1093</f>
        <v/>
      </c>
    </row>
    <row r="1094">
      <c r="A1094" s="9" t="n">
        <v>1090</v>
      </c>
      <c r="B1094" s="9" t="inlineStr">
        <is>
          <t>Aurelius_M5</t>
        </is>
      </c>
      <c r="C1094" s="9" t="inlineStr">
        <is>
          <t>MA alignment (EMA21&gt;EMA50&gt;SMA250&gt;SMMA500 vs EMA2400 trend filter)</t>
        </is>
      </c>
      <c r="D1094" s="9" t="inlineStr">
        <is>
          <t>Long</t>
        </is>
      </c>
      <c r="E1094" s="10" t="n">
        <v>45125.15277777778</v>
      </c>
      <c r="F1094" s="10" t="n">
        <v>45125.15625</v>
      </c>
      <c r="G1094" s="11" t="n">
        <v>-1.21</v>
      </c>
      <c r="H1094" s="11">
        <f>H1093+G1094</f>
        <v/>
      </c>
    </row>
    <row r="1095">
      <c r="A1095" s="9" t="n">
        <v>1091</v>
      </c>
      <c r="B1095" s="9" t="inlineStr">
        <is>
          <t>Vanguard_M15</t>
        </is>
      </c>
      <c r="C1095" s="9" t="inlineStr">
        <is>
          <t>Trendline breakout (fractal swing line) + VWAP/S-R distance gate - M15 chart</t>
        </is>
      </c>
      <c r="D1095" s="9" t="inlineStr">
        <is>
          <t>Long</t>
        </is>
      </c>
      <c r="E1095" s="10" t="n">
        <v>45125.1875</v>
      </c>
      <c r="F1095" s="10" t="n">
        <v>45125.1875</v>
      </c>
      <c r="G1095" s="11" t="n">
        <v>-3.31</v>
      </c>
      <c r="H1095" s="11">
        <f>H1094+G1095</f>
        <v/>
      </c>
    </row>
    <row r="1096">
      <c r="A1096" s="9" t="n">
        <v>1092</v>
      </c>
      <c r="B1096" s="9" t="inlineStr">
        <is>
          <t>Vanguard_M5</t>
        </is>
      </c>
      <c r="C1096" s="9" t="inlineStr">
        <is>
          <t>Trendline breakout (fractal swing line) + VWAP/S-R distance gate</t>
        </is>
      </c>
      <c r="D1096" s="9" t="inlineStr">
        <is>
          <t>Long</t>
        </is>
      </c>
      <c r="E1096" s="10" t="n">
        <v>45125.1875</v>
      </c>
      <c r="F1096" s="10" t="n">
        <v>45125.19444444445</v>
      </c>
      <c r="G1096" s="11" t="n">
        <v>-2.94</v>
      </c>
      <c r="H1096" s="11">
        <f>H1095+G1096</f>
        <v/>
      </c>
    </row>
    <row r="1097">
      <c r="A1097" s="9" t="n">
        <v>1093</v>
      </c>
      <c r="B1097" s="9" t="inlineStr">
        <is>
          <t>Ratchet</t>
        </is>
      </c>
      <c r="C1097" s="9" t="inlineStr">
        <is>
          <t>Stochastic scalp with give-back trail exit</t>
        </is>
      </c>
      <c r="D1097" s="9" t="inlineStr">
        <is>
          <t>Long</t>
        </is>
      </c>
      <c r="E1097" s="10" t="n">
        <v>45125.3125</v>
      </c>
      <c r="F1097" s="10" t="n">
        <v>45125.31944444445</v>
      </c>
      <c r="G1097" s="11" t="n">
        <v>-0.93</v>
      </c>
      <c r="H1097" s="11">
        <f>H1096+G1097</f>
        <v/>
      </c>
    </row>
    <row r="1098">
      <c r="A1098" s="9" t="n">
        <v>1094</v>
      </c>
      <c r="B1098" s="9" t="inlineStr">
        <is>
          <t>Ratchet</t>
        </is>
      </c>
      <c r="C1098" s="9" t="inlineStr">
        <is>
          <t>Stochastic scalp with give-back trail exit</t>
        </is>
      </c>
      <c r="D1098" s="9" t="inlineStr">
        <is>
          <t>Long</t>
        </is>
      </c>
      <c r="E1098" s="10" t="n">
        <v>45125.55555555555</v>
      </c>
      <c r="F1098" s="10" t="n">
        <v>45125.56597222222</v>
      </c>
      <c r="G1098" s="11" t="n">
        <v>0.12</v>
      </c>
      <c r="H1098" s="11">
        <f>H1097+G1098</f>
        <v/>
      </c>
    </row>
    <row r="1099">
      <c r="A1099" s="9" t="n">
        <v>1095</v>
      </c>
      <c r="B1099" s="9" t="inlineStr">
        <is>
          <t>Ratchet</t>
        </is>
      </c>
      <c r="C1099" s="9" t="inlineStr">
        <is>
          <t>Stochastic scalp with give-back trail exit</t>
        </is>
      </c>
      <c r="D1099" s="9" t="inlineStr">
        <is>
          <t>Long</t>
        </is>
      </c>
      <c r="E1099" s="10" t="n">
        <v>45125.63194444445</v>
      </c>
      <c r="F1099" s="10" t="n">
        <v>45125.64583333334</v>
      </c>
      <c r="G1099" s="11" t="n">
        <v>0.32</v>
      </c>
      <c r="H1099" s="11">
        <f>H1098+G1099</f>
        <v/>
      </c>
    </row>
    <row r="1100">
      <c r="A1100" s="9" t="n">
        <v>1096</v>
      </c>
      <c r="B1100" s="9" t="inlineStr">
        <is>
          <t>Ratchet</t>
        </is>
      </c>
      <c r="C1100" s="9" t="inlineStr">
        <is>
          <t>Stochastic scalp with give-back trail exit</t>
        </is>
      </c>
      <c r="D1100" s="9" t="inlineStr">
        <is>
          <t>Long</t>
        </is>
      </c>
      <c r="E1100" s="10" t="n">
        <v>45125.67361111111</v>
      </c>
      <c r="F1100" s="10" t="n">
        <v>45125.68055555555</v>
      </c>
      <c r="G1100" s="11" t="n">
        <v>0.52</v>
      </c>
      <c r="H1100" s="11">
        <f>H1099+G1100</f>
        <v/>
      </c>
    </row>
    <row r="1101">
      <c r="A1101" s="9" t="n">
        <v>1097</v>
      </c>
      <c r="B1101" s="9" t="inlineStr">
        <is>
          <t>Ratchet</t>
        </is>
      </c>
      <c r="C1101" s="9" t="inlineStr">
        <is>
          <t>Stochastic scalp with give-back trail exit</t>
        </is>
      </c>
      <c r="D1101" s="9" t="inlineStr">
        <is>
          <t>Long</t>
        </is>
      </c>
      <c r="E1101" s="10" t="n">
        <v>45125.70486111111</v>
      </c>
      <c r="F1101" s="10" t="n">
        <v>45125.8125</v>
      </c>
      <c r="G1101" s="11" t="n">
        <v>11.38</v>
      </c>
      <c r="H1101" s="11">
        <f>H1100+G1101</f>
        <v/>
      </c>
    </row>
    <row r="1102">
      <c r="A1102" s="9" t="n">
        <v>1098</v>
      </c>
      <c r="B1102" s="9" t="inlineStr">
        <is>
          <t>Aurelius_M5</t>
        </is>
      </c>
      <c r="C1102" s="9" t="inlineStr">
        <is>
          <t>MA alignment (EMA21&gt;EMA50&gt;SMA250&gt;SMMA500 vs EMA2400 trend filter)</t>
        </is>
      </c>
      <c r="D1102" s="9" t="inlineStr">
        <is>
          <t>Long</t>
        </is>
      </c>
      <c r="E1102" s="10" t="n">
        <v>45125.17361111111</v>
      </c>
      <c r="F1102" s="10" t="n">
        <v>45125.84722222222</v>
      </c>
      <c r="G1102" s="11" t="n">
        <v>21.72</v>
      </c>
      <c r="H1102" s="11">
        <f>H1101+G1102</f>
        <v/>
      </c>
    </row>
    <row r="1103">
      <c r="A1103" s="9" t="n">
        <v>1099</v>
      </c>
      <c r="B1103" s="9" t="inlineStr">
        <is>
          <t>Ratchet</t>
        </is>
      </c>
      <c r="C1103" s="9" t="inlineStr">
        <is>
          <t>Stochastic scalp with give-back trail exit</t>
        </is>
      </c>
      <c r="D1103" s="9" t="inlineStr">
        <is>
          <t>Long</t>
        </is>
      </c>
      <c r="E1103" s="10" t="n">
        <v>45126.07638888889</v>
      </c>
      <c r="F1103" s="10" t="n">
        <v>45126.09375</v>
      </c>
      <c r="G1103" s="11" t="n">
        <v>-0.55</v>
      </c>
      <c r="H1103" s="11">
        <f>H1102+G1103</f>
        <v/>
      </c>
    </row>
    <row r="1104">
      <c r="A1104" s="9" t="n">
        <v>1100</v>
      </c>
      <c r="B1104" s="9" t="inlineStr">
        <is>
          <t>Meridian</t>
        </is>
      </c>
      <c r="C1104" s="9" t="inlineStr">
        <is>
          <t>21/50 MA cross, 250-period confirm filter, VWAP</t>
        </is>
      </c>
      <c r="D1104" s="9" t="inlineStr">
        <is>
          <t>Long</t>
        </is>
      </c>
      <c r="E1104" s="10" t="n">
        <v>45126.15972222222</v>
      </c>
      <c r="F1104" s="10" t="n">
        <v>45126.16319444445</v>
      </c>
      <c r="G1104" s="11" t="n">
        <v>-0.35</v>
      </c>
      <c r="H1104" s="11">
        <f>H1103+G1104</f>
        <v/>
      </c>
    </row>
    <row r="1105">
      <c r="A1105" s="9" t="n">
        <v>1101</v>
      </c>
      <c r="B1105" s="9" t="inlineStr">
        <is>
          <t>Meridian</t>
        </is>
      </c>
      <c r="C1105" s="9" t="inlineStr">
        <is>
          <t>21/50 MA cross, 250-period confirm filter, VWAP</t>
        </is>
      </c>
      <c r="D1105" s="9" t="inlineStr">
        <is>
          <t>Long</t>
        </is>
      </c>
      <c r="E1105" s="10" t="n">
        <v>45126.16666666666</v>
      </c>
      <c r="F1105" s="10" t="n">
        <v>45126.17361111111</v>
      </c>
      <c r="G1105" s="11" t="n">
        <v>-1.39</v>
      </c>
      <c r="H1105" s="11">
        <f>H1104+G1105</f>
        <v/>
      </c>
    </row>
    <row r="1106">
      <c r="A1106" s="9" t="n">
        <v>1102</v>
      </c>
      <c r="B1106" s="9" t="inlineStr">
        <is>
          <t>Meridian</t>
        </is>
      </c>
      <c r="C1106" s="9" t="inlineStr">
        <is>
          <t>21/50 MA cross, 250-period confirm filter, VWAP</t>
        </is>
      </c>
      <c r="D1106" s="9" t="inlineStr">
        <is>
          <t>Long</t>
        </is>
      </c>
      <c r="E1106" s="10" t="n">
        <v>45126.37847222222</v>
      </c>
      <c r="F1106" s="10" t="n">
        <v>45126.38541666666</v>
      </c>
      <c r="G1106" s="11" t="n">
        <v>-2.06</v>
      </c>
      <c r="H1106" s="11">
        <f>H1105+G1106</f>
        <v/>
      </c>
    </row>
    <row r="1107">
      <c r="A1107" s="9" t="n">
        <v>1103</v>
      </c>
      <c r="B1107" s="9" t="inlineStr">
        <is>
          <t>Meridian</t>
        </is>
      </c>
      <c r="C1107" s="9" t="inlineStr">
        <is>
          <t>21/50 MA cross, 250-period confirm filter, VWAP</t>
        </is>
      </c>
      <c r="D1107" s="9" t="inlineStr">
        <is>
          <t>Short</t>
        </is>
      </c>
      <c r="E1107" s="10" t="n">
        <v>45126.40625</v>
      </c>
      <c r="F1107" s="10" t="n">
        <v>45126.40972222222</v>
      </c>
      <c r="G1107" s="11" t="n">
        <v>-2.74</v>
      </c>
      <c r="H1107" s="11">
        <f>H1106+G1107</f>
        <v/>
      </c>
    </row>
    <row r="1108">
      <c r="A1108" s="9" t="n">
        <v>1104</v>
      </c>
      <c r="B1108" s="9" t="inlineStr">
        <is>
          <t>Ratchet</t>
        </is>
      </c>
      <c r="C1108" s="9" t="inlineStr">
        <is>
          <t>Stochastic scalp with give-back trail exit</t>
        </is>
      </c>
      <c r="D1108" s="9" t="inlineStr">
        <is>
          <t>Long</t>
        </is>
      </c>
      <c r="E1108" s="10" t="n">
        <v>45126.48958333334</v>
      </c>
      <c r="F1108" s="10" t="n">
        <v>45126.48958333334</v>
      </c>
      <c r="G1108" s="11" t="n">
        <v>-1.4</v>
      </c>
      <c r="H1108" s="11">
        <f>H1107+G1108</f>
        <v/>
      </c>
    </row>
    <row r="1109">
      <c r="A1109" s="9" t="n">
        <v>1105</v>
      </c>
      <c r="B1109" s="9" t="inlineStr">
        <is>
          <t>Aurelius_M5</t>
        </is>
      </c>
      <c r="C1109" s="9" t="inlineStr">
        <is>
          <t>MA alignment (EMA21&gt;EMA50&gt;SMA250&gt;SMMA500 vs EMA2400 trend filter)</t>
        </is>
      </c>
      <c r="D1109" s="9" t="inlineStr">
        <is>
          <t>Long</t>
        </is>
      </c>
      <c r="E1109" s="10" t="n">
        <v>45126.44097222222</v>
      </c>
      <c r="F1109" s="10" t="n">
        <v>45126.54861111111</v>
      </c>
      <c r="G1109" s="11" t="n">
        <v>-2.99</v>
      </c>
      <c r="H1109" s="11">
        <f>H1108+G1109</f>
        <v/>
      </c>
    </row>
    <row r="1110">
      <c r="A1110" s="9" t="n">
        <v>1106</v>
      </c>
      <c r="B1110" s="9" t="inlineStr">
        <is>
          <t>Meridian</t>
        </is>
      </c>
      <c r="C1110" s="9" t="inlineStr">
        <is>
          <t>21/50 MA cross, 250-period confirm filter, VWAP</t>
        </is>
      </c>
      <c r="D1110" s="9" t="inlineStr">
        <is>
          <t>Long</t>
        </is>
      </c>
      <c r="E1110" s="10" t="n">
        <v>45126.42361111111</v>
      </c>
      <c r="F1110" s="10" t="n">
        <v>45126.56597222222</v>
      </c>
      <c r="G1110" s="11" t="n">
        <v>-2.03</v>
      </c>
      <c r="H1110" s="11">
        <f>H1109+G1110</f>
        <v/>
      </c>
    </row>
    <row r="1111">
      <c r="A1111" s="9" t="n">
        <v>1107</v>
      </c>
      <c r="B1111" s="9" t="inlineStr">
        <is>
          <t>Aurelius_M15</t>
        </is>
      </c>
      <c r="C1111" s="9" t="inlineStr">
        <is>
          <t>MA alignment (EMA21&gt;EMA50&gt;SMA250&gt;SMMA500 vs EMA2400 trend filter) - M15 chart</t>
        </is>
      </c>
      <c r="D1111" s="9" t="inlineStr">
        <is>
          <t>Long</t>
        </is>
      </c>
      <c r="E1111" s="10" t="n">
        <v>45125.66666666666</v>
      </c>
      <c r="F1111" s="10" t="n">
        <v>45126.625</v>
      </c>
      <c r="G1111" s="11" t="n">
        <v>4.92</v>
      </c>
      <c r="H1111" s="11">
        <f>H1110+G1111</f>
        <v/>
      </c>
    </row>
    <row r="1112">
      <c r="A1112" s="9" t="n">
        <v>1108</v>
      </c>
      <c r="B1112" s="9" t="inlineStr">
        <is>
          <t>Ratchet</t>
        </is>
      </c>
      <c r="C1112" s="9" t="inlineStr">
        <is>
          <t>Stochastic scalp with give-back trail exit</t>
        </is>
      </c>
      <c r="D1112" s="9" t="inlineStr">
        <is>
          <t>Long</t>
        </is>
      </c>
      <c r="E1112" s="10" t="n">
        <v>45126.67708333334</v>
      </c>
      <c r="F1112" s="10" t="n">
        <v>45126.69791666666</v>
      </c>
      <c r="G1112" s="11" t="n">
        <v>0.31</v>
      </c>
      <c r="H1112" s="11">
        <f>H1111+G1112</f>
        <v/>
      </c>
    </row>
    <row r="1113">
      <c r="A1113" s="9" t="n">
        <v>1109</v>
      </c>
      <c r="B1113" s="9" t="inlineStr">
        <is>
          <t>Ratchet</t>
        </is>
      </c>
      <c r="C1113" s="9" t="inlineStr">
        <is>
          <t>Stochastic scalp with give-back trail exit</t>
        </is>
      </c>
      <c r="D1113" s="9" t="inlineStr">
        <is>
          <t>Long</t>
        </is>
      </c>
      <c r="E1113" s="10" t="n">
        <v>45126.70486111111</v>
      </c>
      <c r="F1113" s="10" t="n">
        <v>45126.70833333334</v>
      </c>
      <c r="G1113" s="11" t="n">
        <v>-2.92</v>
      </c>
      <c r="H1113" s="11">
        <f>H1112+G1113</f>
        <v/>
      </c>
    </row>
    <row r="1114">
      <c r="A1114" s="9" t="n">
        <v>1110</v>
      </c>
      <c r="B1114" s="9" t="inlineStr">
        <is>
          <t>Meridian</t>
        </is>
      </c>
      <c r="C1114" s="9" t="inlineStr">
        <is>
          <t>21/50 MA cross, 250-period confirm filter, VWAP</t>
        </is>
      </c>
      <c r="D1114" s="9" t="inlineStr">
        <is>
          <t>Long</t>
        </is>
      </c>
      <c r="E1114" s="10" t="n">
        <v>45126.66319444445</v>
      </c>
      <c r="F1114" s="10" t="n">
        <v>45126.71527777778</v>
      </c>
      <c r="G1114" s="11" t="n">
        <v>-3.6</v>
      </c>
      <c r="H1114" s="11">
        <f>H1113+G1114</f>
        <v/>
      </c>
    </row>
    <row r="1115">
      <c r="A1115" s="9" t="n">
        <v>1111</v>
      </c>
      <c r="B1115" s="9" t="inlineStr">
        <is>
          <t>Meridian</t>
        </is>
      </c>
      <c r="C1115" s="9" t="inlineStr">
        <is>
          <t>21/50 MA cross, 250-period confirm filter, VWAP</t>
        </is>
      </c>
      <c r="D1115" s="9" t="inlineStr">
        <is>
          <t>Short</t>
        </is>
      </c>
      <c r="E1115" s="10" t="n">
        <v>45126.72569444445</v>
      </c>
      <c r="F1115" s="10" t="n">
        <v>45126.82638888889</v>
      </c>
      <c r="G1115" s="11" t="n">
        <v>-4.25</v>
      </c>
      <c r="H1115" s="11">
        <f>H1114+G1115</f>
        <v/>
      </c>
    </row>
    <row r="1116">
      <c r="A1116" s="9" t="n">
        <v>1112</v>
      </c>
      <c r="B1116" s="9" t="inlineStr">
        <is>
          <t>Ratchet</t>
        </is>
      </c>
      <c r="C1116" s="9" t="inlineStr">
        <is>
          <t>Stochastic scalp with give-back trail exit</t>
        </is>
      </c>
      <c r="D1116" s="9" t="inlineStr">
        <is>
          <t>Long</t>
        </is>
      </c>
      <c r="E1116" s="10" t="n">
        <v>45127.0625</v>
      </c>
      <c r="F1116" s="10" t="n">
        <v>45127.08680555555</v>
      </c>
      <c r="G1116" s="11" t="n">
        <v>-0.96</v>
      </c>
      <c r="H1116" s="11">
        <f>H1115+G1116</f>
        <v/>
      </c>
    </row>
    <row r="1117">
      <c r="A1117" s="9" t="n">
        <v>1113</v>
      </c>
      <c r="B1117" s="9" t="inlineStr">
        <is>
          <t>Ratchet</t>
        </is>
      </c>
      <c r="C1117" s="9" t="inlineStr">
        <is>
          <t>Stochastic scalp with give-back trail exit</t>
        </is>
      </c>
      <c r="D1117" s="9" t="inlineStr">
        <is>
          <t>Long</t>
        </is>
      </c>
      <c r="E1117" s="10" t="n">
        <v>45127.11805555555</v>
      </c>
      <c r="F1117" s="10" t="n">
        <v>45127.12152777778</v>
      </c>
      <c r="G1117" s="11" t="n">
        <v>-0.6</v>
      </c>
      <c r="H1117" s="11">
        <f>H1116+G1117</f>
        <v/>
      </c>
    </row>
    <row r="1118">
      <c r="A1118" s="9" t="n">
        <v>1114</v>
      </c>
      <c r="B1118" s="9" t="inlineStr">
        <is>
          <t>Aurelius_M5</t>
        </is>
      </c>
      <c r="C1118" s="9" t="inlineStr">
        <is>
          <t>MA alignment (EMA21&gt;EMA50&gt;SMA250&gt;SMMA500 vs EMA2400 trend filter)</t>
        </is>
      </c>
      <c r="D1118" s="9" t="inlineStr">
        <is>
          <t>Long</t>
        </is>
      </c>
      <c r="E1118" s="10" t="n">
        <v>45127.14930555555</v>
      </c>
      <c r="F1118" s="10" t="n">
        <v>45127.36111111111</v>
      </c>
      <c r="G1118" s="11" t="n">
        <v>3.38</v>
      </c>
      <c r="H1118" s="11">
        <f>H1117+G1118</f>
        <v/>
      </c>
    </row>
    <row r="1119">
      <c r="A1119" s="9" t="n">
        <v>1115</v>
      </c>
      <c r="B1119" s="9" t="inlineStr">
        <is>
          <t>Meridian</t>
        </is>
      </c>
      <c r="C1119" s="9" t="inlineStr">
        <is>
          <t>21/50 MA cross, 250-period confirm filter, VWAP</t>
        </is>
      </c>
      <c r="D1119" s="9" t="inlineStr">
        <is>
          <t>Long</t>
        </is>
      </c>
      <c r="E1119" s="10" t="n">
        <v>45126.83333333334</v>
      </c>
      <c r="F1119" s="10" t="n">
        <v>45127.37152777778</v>
      </c>
      <c r="G1119" s="11" t="n">
        <v>2.89</v>
      </c>
      <c r="H1119" s="11">
        <f>H1118+G1119</f>
        <v/>
      </c>
    </row>
    <row r="1120">
      <c r="A1120" s="9" t="n">
        <v>1116</v>
      </c>
      <c r="B1120" s="9" t="inlineStr">
        <is>
          <t>Aurelius_M15</t>
        </is>
      </c>
      <c r="C1120" s="9" t="inlineStr">
        <is>
          <t>MA alignment (EMA21&gt;EMA50&gt;SMA250&gt;SMMA500 vs EMA2400 trend filter) - M15 chart</t>
        </is>
      </c>
      <c r="D1120" s="9" t="inlineStr">
        <is>
          <t>Long</t>
        </is>
      </c>
      <c r="E1120" s="10" t="n">
        <v>45127.1875</v>
      </c>
      <c r="F1120" s="10" t="n">
        <v>45127.4375</v>
      </c>
      <c r="G1120" s="11" t="n">
        <v>-3.29</v>
      </c>
      <c r="H1120" s="11">
        <f>H1119+G1120</f>
        <v/>
      </c>
    </row>
    <row r="1121">
      <c r="A1121" s="9" t="n">
        <v>1117</v>
      </c>
      <c r="B1121" s="9" t="inlineStr">
        <is>
          <t>Ratchet</t>
        </is>
      </c>
      <c r="C1121" s="9" t="inlineStr">
        <is>
          <t>Stochastic scalp with give-back trail exit</t>
        </is>
      </c>
      <c r="D1121" s="9" t="inlineStr">
        <is>
          <t>Long</t>
        </is>
      </c>
      <c r="E1121" s="10" t="n">
        <v>45127.55555555555</v>
      </c>
      <c r="F1121" s="10" t="n">
        <v>45127.56597222222</v>
      </c>
      <c r="G1121" s="11" t="n">
        <v>-1.28</v>
      </c>
      <c r="H1121" s="11">
        <f>H1120+G1121</f>
        <v/>
      </c>
    </row>
    <row r="1122">
      <c r="A1122" s="9" t="n">
        <v>1118</v>
      </c>
      <c r="B1122" s="9" t="inlineStr">
        <is>
          <t>Meridian</t>
        </is>
      </c>
      <c r="C1122" s="9" t="inlineStr">
        <is>
          <t>21/50 MA cross, 250-period confirm filter, VWAP</t>
        </is>
      </c>
      <c r="D1122" s="9" t="inlineStr">
        <is>
          <t>Long</t>
        </is>
      </c>
      <c r="E1122" s="10" t="n">
        <v>45127.55555555555</v>
      </c>
      <c r="F1122" s="10" t="n">
        <v>45127.57291666666</v>
      </c>
      <c r="G1122" s="11" t="n">
        <v>-2.15</v>
      </c>
      <c r="H1122" s="11">
        <f>H1121+G1122</f>
        <v/>
      </c>
    </row>
    <row r="1123">
      <c r="A1123" s="9" t="n">
        <v>1119</v>
      </c>
      <c r="B1123" s="9" t="inlineStr">
        <is>
          <t>Vanguard_M15</t>
        </is>
      </c>
      <c r="C1123" s="9" t="inlineStr">
        <is>
          <t>Trendline breakout (fractal swing line) + VWAP/S-R distance gate - M15 chart</t>
        </is>
      </c>
      <c r="D1123" s="9" t="inlineStr">
        <is>
          <t>Long</t>
        </is>
      </c>
      <c r="E1123" s="10" t="n">
        <v>45125.23958333334</v>
      </c>
      <c r="F1123" s="10" t="n">
        <v>45127.63541666666</v>
      </c>
      <c r="G1123" s="11" t="n">
        <v>20.29</v>
      </c>
      <c r="H1123" s="11">
        <f>H1122+G1123</f>
        <v/>
      </c>
    </row>
    <row r="1124">
      <c r="A1124" s="9" t="n">
        <v>1120</v>
      </c>
      <c r="B1124" s="9" t="inlineStr">
        <is>
          <t>Vanguard_M5</t>
        </is>
      </c>
      <c r="C1124" s="9" t="inlineStr">
        <is>
          <t>Trendline breakout (fractal swing line) + VWAP/S-R distance gate</t>
        </is>
      </c>
      <c r="D1124" s="9" t="inlineStr">
        <is>
          <t>Long</t>
        </is>
      </c>
      <c r="E1124" s="10" t="n">
        <v>45125.22222222222</v>
      </c>
      <c r="F1124" s="10" t="n">
        <v>45127.63888888889</v>
      </c>
      <c r="G1124" s="11" t="n">
        <v>19.94</v>
      </c>
      <c r="H1124" s="11">
        <f>H1123+G1124</f>
        <v/>
      </c>
    </row>
    <row r="1125">
      <c r="A1125" s="9" t="n">
        <v>1121</v>
      </c>
      <c r="B1125" s="9" t="inlineStr">
        <is>
          <t>Meridian</t>
        </is>
      </c>
      <c r="C1125" s="9" t="inlineStr">
        <is>
          <t>21/50 MA cross, 250-period confirm filter, VWAP</t>
        </is>
      </c>
      <c r="D1125" s="9" t="inlineStr">
        <is>
          <t>Short</t>
        </is>
      </c>
      <c r="E1125" s="10" t="n">
        <v>45128.25</v>
      </c>
      <c r="F1125" s="10" t="n">
        <v>45128.40625</v>
      </c>
      <c r="G1125" s="11" t="n">
        <v>-0.59</v>
      </c>
      <c r="H1125" s="11">
        <f>H1124+G1125</f>
        <v/>
      </c>
    </row>
    <row r="1126">
      <c r="A1126" s="9" t="n">
        <v>1122</v>
      </c>
      <c r="B1126" s="9" t="inlineStr">
        <is>
          <t>Vanguard_M5</t>
        </is>
      </c>
      <c r="C1126" s="9" t="inlineStr">
        <is>
          <t>Trendline breakout (fractal swing line) + VWAP/S-R distance gate</t>
        </is>
      </c>
      <c r="D1126" s="9" t="inlineStr">
        <is>
          <t>Short</t>
        </is>
      </c>
      <c r="E1126" s="10" t="n">
        <v>45127.64236111111</v>
      </c>
      <c r="F1126" s="10" t="n">
        <v>45128.63541666666</v>
      </c>
      <c r="G1126" s="11" t="n">
        <v>11.39</v>
      </c>
      <c r="H1126" s="11">
        <f>H1125+G1126</f>
        <v/>
      </c>
    </row>
    <row r="1127">
      <c r="A1127" s="9" t="n">
        <v>1123</v>
      </c>
      <c r="B1127" s="9" t="inlineStr">
        <is>
          <t>Meridian</t>
        </is>
      </c>
      <c r="C1127" s="9" t="inlineStr">
        <is>
          <t>21/50 MA cross, 250-period confirm filter, VWAP</t>
        </is>
      </c>
      <c r="D1127" s="9" t="inlineStr">
        <is>
          <t>Short</t>
        </is>
      </c>
      <c r="E1127" s="10" t="n">
        <v>45128.43402777778</v>
      </c>
      <c r="F1127" s="10" t="n">
        <v>45128.63888888889</v>
      </c>
      <c r="G1127" s="11" t="n">
        <v>2.96</v>
      </c>
      <c r="H1127" s="11">
        <f>H1126+G1127</f>
        <v/>
      </c>
    </row>
    <row r="1128">
      <c r="A1128" s="9" t="n">
        <v>1124</v>
      </c>
      <c r="B1128" s="9" t="inlineStr">
        <is>
          <t>Aurelius_M5</t>
        </is>
      </c>
      <c r="C1128" s="9" t="inlineStr">
        <is>
          <t>MA alignment (EMA21&gt;EMA50&gt;SMA250&gt;SMMA500 vs EMA2400 trend filter)</t>
        </is>
      </c>
      <c r="D1128" s="9" t="inlineStr">
        <is>
          <t>Short</t>
        </is>
      </c>
      <c r="E1128" s="10" t="n">
        <v>45128.71527777778</v>
      </c>
      <c r="F1128" s="10" t="n">
        <v>45128.72222222222</v>
      </c>
      <c r="G1128" s="11" t="n">
        <v>-1.15</v>
      </c>
      <c r="H1128" s="11">
        <f>H1127+G1128</f>
        <v/>
      </c>
    </row>
    <row r="1129">
      <c r="A1129" s="9" t="n">
        <v>1125</v>
      </c>
      <c r="B1129" s="9" t="inlineStr">
        <is>
          <t>Vanguard_M15</t>
        </is>
      </c>
      <c r="C1129" s="9" t="inlineStr">
        <is>
          <t>Trendline breakout (fractal swing line) + VWAP/S-R distance gate - M15 chart</t>
        </is>
      </c>
      <c r="D1129" s="9" t="inlineStr">
        <is>
          <t>Short</t>
        </is>
      </c>
      <c r="E1129" s="10" t="n">
        <v>45127.64583333334</v>
      </c>
      <c r="F1129" s="10" t="n">
        <v>45128.83333333334</v>
      </c>
      <c r="G1129" s="11" t="n">
        <v>14.1</v>
      </c>
      <c r="H1129" s="11">
        <f>H1128+G1129</f>
        <v/>
      </c>
    </row>
    <row r="1130">
      <c r="A1130" s="9" t="n">
        <v>1126</v>
      </c>
      <c r="B1130" s="9" t="inlineStr">
        <is>
          <t>Meridian</t>
        </is>
      </c>
      <c r="C1130" s="9" t="inlineStr">
        <is>
          <t>21/50 MA cross, 250-period confirm filter, VWAP</t>
        </is>
      </c>
      <c r="D1130" s="9" t="inlineStr">
        <is>
          <t>Short</t>
        </is>
      </c>
      <c r="E1130" s="10" t="n">
        <v>45128.65625</v>
      </c>
      <c r="F1130" s="10" t="n">
        <v>45128.83680555555</v>
      </c>
      <c r="G1130" s="11" t="n">
        <v>-1</v>
      </c>
      <c r="H1130" s="11">
        <f>H1129+G1130</f>
        <v/>
      </c>
    </row>
    <row r="1131">
      <c r="A1131" s="9" t="n">
        <v>1127</v>
      </c>
      <c r="B1131" s="9" t="inlineStr">
        <is>
          <t>Ratchet</t>
        </is>
      </c>
      <c r="C1131" s="9" t="inlineStr">
        <is>
          <t>Stochastic scalp with give-back trail exit</t>
        </is>
      </c>
      <c r="D1131" s="9" t="inlineStr">
        <is>
          <t>Short</t>
        </is>
      </c>
      <c r="E1131" s="10" t="n">
        <v>45131.3125</v>
      </c>
      <c r="F1131" s="10" t="n">
        <v>45131.32291666666</v>
      </c>
      <c r="G1131" s="11" t="n">
        <v>-1.13</v>
      </c>
      <c r="H1131" s="11">
        <f>H1130+G1131</f>
        <v/>
      </c>
    </row>
    <row r="1132">
      <c r="A1132" s="9" t="n">
        <v>1128</v>
      </c>
      <c r="B1132" s="9" t="inlineStr">
        <is>
          <t>Ratchet</t>
        </is>
      </c>
      <c r="C1132" s="9" t="inlineStr">
        <is>
          <t>Stochastic scalp with give-back trail exit</t>
        </is>
      </c>
      <c r="D1132" s="9" t="inlineStr">
        <is>
          <t>Short</t>
        </is>
      </c>
      <c r="E1132" s="10" t="n">
        <v>45131.38888888889</v>
      </c>
      <c r="F1132" s="10" t="n">
        <v>45131.39236111111</v>
      </c>
      <c r="G1132" s="11" t="n">
        <v>-1.66</v>
      </c>
      <c r="H1132" s="11">
        <f>H1131+G1132</f>
        <v/>
      </c>
    </row>
    <row r="1133">
      <c r="A1133" s="9" t="n">
        <v>1129</v>
      </c>
      <c r="B1133" s="9" t="inlineStr">
        <is>
          <t>Meridian</t>
        </is>
      </c>
      <c r="C1133" s="9" t="inlineStr">
        <is>
          <t>21/50 MA cross, 250-period confirm filter, VWAP</t>
        </is>
      </c>
      <c r="D1133" s="9" t="inlineStr">
        <is>
          <t>Long</t>
        </is>
      </c>
      <c r="E1133" s="10" t="n">
        <v>45131.42013888889</v>
      </c>
      <c r="F1133" s="10" t="n">
        <v>45131.47569444445</v>
      </c>
      <c r="G1133" s="11" t="n">
        <v>-2.53</v>
      </c>
      <c r="H1133" s="11">
        <f>H1132+G1133</f>
        <v/>
      </c>
    </row>
    <row r="1134">
      <c r="A1134" s="9" t="n">
        <v>1130</v>
      </c>
      <c r="B1134" s="9" t="inlineStr">
        <is>
          <t>Meridian</t>
        </is>
      </c>
      <c r="C1134" s="9" t="inlineStr">
        <is>
          <t>21/50 MA cross, 250-period confirm filter, VWAP</t>
        </is>
      </c>
      <c r="D1134" s="9" t="inlineStr">
        <is>
          <t>Short</t>
        </is>
      </c>
      <c r="E1134" s="10" t="n">
        <v>45131.50347222222</v>
      </c>
      <c r="F1134" s="10" t="n">
        <v>45131.50694444445</v>
      </c>
      <c r="G1134" s="11" t="n">
        <v>-2.52</v>
      </c>
      <c r="H1134" s="11">
        <f>H1133+G1134</f>
        <v/>
      </c>
    </row>
    <row r="1135">
      <c r="A1135" s="9" t="n">
        <v>1131</v>
      </c>
      <c r="B1135" s="9" t="inlineStr">
        <is>
          <t>Meridian</t>
        </is>
      </c>
      <c r="C1135" s="9" t="inlineStr">
        <is>
          <t>21/50 MA cross, 250-period confirm filter, VWAP</t>
        </is>
      </c>
      <c r="D1135" s="9" t="inlineStr">
        <is>
          <t>Short</t>
        </is>
      </c>
      <c r="E1135" s="10" t="n">
        <v>45131.69444444445</v>
      </c>
      <c r="F1135" s="10" t="n">
        <v>45131.69791666666</v>
      </c>
      <c r="G1135" s="11" t="n">
        <v>-3.95</v>
      </c>
      <c r="H1135" s="11">
        <f>H1134+G1135</f>
        <v/>
      </c>
    </row>
    <row r="1136">
      <c r="A1136" s="9" t="n">
        <v>1132</v>
      </c>
      <c r="B1136" s="9" t="inlineStr">
        <is>
          <t>Aurelius_M5</t>
        </is>
      </c>
      <c r="C1136" s="9" t="inlineStr">
        <is>
          <t>MA alignment (EMA21&gt;EMA50&gt;SMA250&gt;SMMA500 vs EMA2400 trend filter)</t>
        </is>
      </c>
      <c r="D1136" s="9" t="inlineStr">
        <is>
          <t>Short</t>
        </is>
      </c>
      <c r="E1136" s="10" t="n">
        <v>45132.16319444445</v>
      </c>
      <c r="F1136" s="10" t="n">
        <v>45132.16666666666</v>
      </c>
      <c r="G1136" s="11" t="n">
        <v>-1.46</v>
      </c>
      <c r="H1136" s="11">
        <f>H1135+G1136</f>
        <v/>
      </c>
    </row>
    <row r="1137">
      <c r="A1137" s="9" t="n">
        <v>1133</v>
      </c>
      <c r="B1137" s="9" t="inlineStr">
        <is>
          <t>Vanguard_M15</t>
        </is>
      </c>
      <c r="C1137" s="9" t="inlineStr">
        <is>
          <t>Trendline breakout (fractal swing line) + VWAP/S-R distance gate - M15 chart</t>
        </is>
      </c>
      <c r="D1137" s="9" t="inlineStr">
        <is>
          <t>Short</t>
        </is>
      </c>
      <c r="E1137" s="10" t="n">
        <v>45131.88541666666</v>
      </c>
      <c r="F1137" s="10" t="n">
        <v>45132.19791666666</v>
      </c>
      <c r="G1137" s="11" t="n">
        <v>-6.58</v>
      </c>
      <c r="H1137" s="11">
        <f>H1136+G1137</f>
        <v/>
      </c>
    </row>
    <row r="1138">
      <c r="A1138" s="9" t="n">
        <v>1134</v>
      </c>
      <c r="B1138" s="9" t="inlineStr">
        <is>
          <t>Meridian</t>
        </is>
      </c>
      <c r="C1138" s="9" t="inlineStr">
        <is>
          <t>21/50 MA cross, 250-period confirm filter, VWAP</t>
        </is>
      </c>
      <c r="D1138" s="9" t="inlineStr">
        <is>
          <t>Long</t>
        </is>
      </c>
      <c r="E1138" s="10" t="n">
        <v>45132.49652777778</v>
      </c>
      <c r="F1138" s="10" t="n">
        <v>45132.56944444445</v>
      </c>
      <c r="G1138" s="11" t="n">
        <v>-2.2</v>
      </c>
      <c r="H1138" s="11">
        <f>H1137+G1138</f>
        <v/>
      </c>
    </row>
    <row r="1139">
      <c r="A1139" s="9" t="n">
        <v>1135</v>
      </c>
      <c r="B1139" s="9" t="inlineStr">
        <is>
          <t>Ratchet</t>
        </is>
      </c>
      <c r="C1139" s="9" t="inlineStr">
        <is>
          <t>Stochastic scalp with give-back trail exit</t>
        </is>
      </c>
      <c r="D1139" s="9" t="inlineStr">
        <is>
          <t>Short</t>
        </is>
      </c>
      <c r="E1139" s="10" t="n">
        <v>45132.61111111111</v>
      </c>
      <c r="F1139" s="10" t="n">
        <v>45132.61111111111</v>
      </c>
      <c r="G1139" s="11" t="n">
        <v>-1.92</v>
      </c>
      <c r="H1139" s="11">
        <f>H1138+G1139</f>
        <v/>
      </c>
    </row>
    <row r="1140">
      <c r="A1140" s="9" t="n">
        <v>1136</v>
      </c>
      <c r="B1140" s="9" t="inlineStr">
        <is>
          <t>Ratchet</t>
        </is>
      </c>
      <c r="C1140" s="9" t="inlineStr">
        <is>
          <t>Stochastic scalp with give-back trail exit</t>
        </is>
      </c>
      <c r="D1140" s="9" t="inlineStr">
        <is>
          <t>Short</t>
        </is>
      </c>
      <c r="E1140" s="10" t="n">
        <v>45132.68402777778</v>
      </c>
      <c r="F1140" s="10" t="n">
        <v>45132.6875</v>
      </c>
      <c r="G1140" s="11" t="n">
        <v>-3.3</v>
      </c>
      <c r="H1140" s="11">
        <f>H1139+G1140</f>
        <v/>
      </c>
    </row>
    <row r="1141">
      <c r="A1141" s="9" t="n">
        <v>1137</v>
      </c>
      <c r="B1141" s="9" t="inlineStr">
        <is>
          <t>Aurelius_M5</t>
        </is>
      </c>
      <c r="C1141" s="9" t="inlineStr">
        <is>
          <t>MA alignment (EMA21&gt;EMA50&gt;SMA250&gt;SMMA500 vs EMA2400 trend filter)</t>
        </is>
      </c>
      <c r="D1141" s="9" t="inlineStr">
        <is>
          <t>Short</t>
        </is>
      </c>
      <c r="E1141" s="10" t="n">
        <v>45132.70486111111</v>
      </c>
      <c r="F1141" s="10" t="n">
        <v>45132.74652777778</v>
      </c>
      <c r="G1141" s="11" t="n">
        <v>-3.97</v>
      </c>
      <c r="H1141" s="11">
        <f>H1140+G1141</f>
        <v/>
      </c>
    </row>
    <row r="1142">
      <c r="A1142" s="9" t="n">
        <v>1138</v>
      </c>
      <c r="B1142" s="9" t="inlineStr">
        <is>
          <t>Ratchet</t>
        </is>
      </c>
      <c r="C1142" s="9" t="inlineStr">
        <is>
          <t>Stochastic scalp with give-back trail exit</t>
        </is>
      </c>
      <c r="D1142" s="9" t="inlineStr">
        <is>
          <t>Long</t>
        </is>
      </c>
      <c r="E1142" s="10" t="n">
        <v>45132.91666666666</v>
      </c>
      <c r="F1142" s="10" t="n">
        <v>45132.94791666666</v>
      </c>
      <c r="G1142" s="11" t="n">
        <v>0.44</v>
      </c>
      <c r="H1142" s="11">
        <f>H1141+G1142</f>
        <v/>
      </c>
    </row>
    <row r="1143">
      <c r="A1143" s="9" t="n">
        <v>1139</v>
      </c>
      <c r="B1143" s="9" t="inlineStr">
        <is>
          <t>Ratchet</t>
        </is>
      </c>
      <c r="C1143" s="9" t="inlineStr">
        <is>
          <t>Stochastic scalp with give-back trail exit</t>
        </is>
      </c>
      <c r="D1143" s="9" t="inlineStr">
        <is>
          <t>Long</t>
        </is>
      </c>
      <c r="E1143" s="10" t="n">
        <v>45132.95833333334</v>
      </c>
      <c r="F1143" s="10" t="n">
        <v>45132.96875</v>
      </c>
      <c r="G1143" s="11" t="n">
        <v>0</v>
      </c>
      <c r="H1143" s="11">
        <f>H1142+G1143</f>
        <v/>
      </c>
    </row>
    <row r="1144">
      <c r="A1144" s="9" t="n">
        <v>1140</v>
      </c>
      <c r="B1144" s="9" t="inlineStr">
        <is>
          <t>Meridian</t>
        </is>
      </c>
      <c r="C1144" s="9" t="inlineStr">
        <is>
          <t>21/50 MA cross, 250-period confirm filter, VWAP</t>
        </is>
      </c>
      <c r="D1144" s="9" t="inlineStr">
        <is>
          <t>Long</t>
        </is>
      </c>
      <c r="E1144" s="10" t="n">
        <v>45132.75347222222</v>
      </c>
      <c r="F1144" s="10" t="n">
        <v>45133.19097222222</v>
      </c>
      <c r="G1144" s="11" t="n">
        <v>-1.11</v>
      </c>
      <c r="H1144" s="11">
        <f>H1143+G1144</f>
        <v/>
      </c>
    </row>
    <row r="1145">
      <c r="A1145" s="9" t="n">
        <v>1141</v>
      </c>
      <c r="B1145" s="9" t="inlineStr">
        <is>
          <t>Ratchet</t>
        </is>
      </c>
      <c r="C1145" s="9" t="inlineStr">
        <is>
          <t>Stochastic scalp with give-back trail exit</t>
        </is>
      </c>
      <c r="D1145" s="9" t="inlineStr">
        <is>
          <t>Long</t>
        </is>
      </c>
      <c r="E1145" s="10" t="n">
        <v>45133.64930555555</v>
      </c>
      <c r="F1145" s="10" t="n">
        <v>45133.66319444445</v>
      </c>
      <c r="G1145" s="11" t="n">
        <v>-2.09</v>
      </c>
      <c r="H1145" s="11">
        <f>H1144+G1145</f>
        <v/>
      </c>
    </row>
    <row r="1146">
      <c r="A1146" s="9" t="n">
        <v>1142</v>
      </c>
      <c r="B1146" s="9" t="inlineStr">
        <is>
          <t>Meridian</t>
        </is>
      </c>
      <c r="C1146" s="9" t="inlineStr">
        <is>
          <t>21/50 MA cross, 250-period confirm filter, VWAP</t>
        </is>
      </c>
      <c r="D1146" s="9" t="inlineStr">
        <is>
          <t>Long</t>
        </is>
      </c>
      <c r="E1146" s="10" t="n">
        <v>45133.37847222222</v>
      </c>
      <c r="F1146" s="10" t="n">
        <v>45133.6875</v>
      </c>
      <c r="G1146" s="11" t="n">
        <v>3.12</v>
      </c>
      <c r="H1146" s="11">
        <f>H1145+G1146</f>
        <v/>
      </c>
    </row>
    <row r="1147">
      <c r="A1147" s="9" t="n">
        <v>1143</v>
      </c>
      <c r="B1147" s="9" t="inlineStr">
        <is>
          <t>Ratchet</t>
        </is>
      </c>
      <c r="C1147" s="9" t="inlineStr">
        <is>
          <t>Stochastic scalp with give-back trail exit</t>
        </is>
      </c>
      <c r="D1147" s="9" t="inlineStr">
        <is>
          <t>Long</t>
        </is>
      </c>
      <c r="E1147" s="10" t="n">
        <v>45133.78472222222</v>
      </c>
      <c r="F1147" s="10" t="n">
        <v>45133.8125</v>
      </c>
      <c r="G1147" s="11" t="n">
        <v>-2.55</v>
      </c>
      <c r="H1147" s="11">
        <f>H1146+G1147</f>
        <v/>
      </c>
    </row>
    <row r="1148">
      <c r="A1148" s="9" t="n">
        <v>1144</v>
      </c>
      <c r="B1148" s="9" t="inlineStr">
        <is>
          <t>Meridian</t>
        </is>
      </c>
      <c r="C1148" s="9" t="inlineStr">
        <is>
          <t>21/50 MA cross, 250-period confirm filter, VWAP</t>
        </is>
      </c>
      <c r="D1148" s="9" t="inlineStr">
        <is>
          <t>Long</t>
        </is>
      </c>
      <c r="E1148" s="10" t="n">
        <v>45133.77430555555</v>
      </c>
      <c r="F1148" s="10" t="n">
        <v>45133.83680555555</v>
      </c>
      <c r="G1148" s="11" t="n">
        <v>-4.06</v>
      </c>
      <c r="H1148" s="11">
        <f>H1147+G1148</f>
        <v/>
      </c>
    </row>
    <row r="1149">
      <c r="A1149" s="9" t="n">
        <v>1145</v>
      </c>
      <c r="B1149" s="9" t="inlineStr">
        <is>
          <t>Ratchet</t>
        </is>
      </c>
      <c r="C1149" s="9" t="inlineStr">
        <is>
          <t>Stochastic scalp with give-back trail exit</t>
        </is>
      </c>
      <c r="D1149" s="9" t="inlineStr">
        <is>
          <t>Long</t>
        </is>
      </c>
      <c r="E1149" s="10" t="n">
        <v>45133.95833333334</v>
      </c>
      <c r="F1149" s="10" t="n">
        <v>45133.99652777778</v>
      </c>
      <c r="G1149" s="11" t="n">
        <v>-2.75</v>
      </c>
      <c r="H1149" s="11">
        <f>H1148+G1149</f>
        <v/>
      </c>
    </row>
    <row r="1150">
      <c r="A1150" s="9" t="n">
        <v>1146</v>
      </c>
      <c r="B1150" s="9" t="inlineStr">
        <is>
          <t>Meridian</t>
        </is>
      </c>
      <c r="C1150" s="9" t="inlineStr">
        <is>
          <t>21/50 MA cross, 250-period confirm filter, VWAP</t>
        </is>
      </c>
      <c r="D1150" s="9" t="inlineStr">
        <is>
          <t>Long</t>
        </is>
      </c>
      <c r="E1150" s="10" t="n">
        <v>45133.90277777778</v>
      </c>
      <c r="F1150" s="10" t="n">
        <v>45134.04513888889</v>
      </c>
      <c r="G1150" s="11" t="n">
        <v>-5.47</v>
      </c>
      <c r="H1150" s="11">
        <f>H1149+G1150</f>
        <v/>
      </c>
    </row>
    <row r="1151">
      <c r="A1151" s="9" t="n">
        <v>1147</v>
      </c>
      <c r="B1151" s="9" t="inlineStr">
        <is>
          <t>Ratchet</t>
        </is>
      </c>
      <c r="C1151" s="9" t="inlineStr">
        <is>
          <t>Stochastic scalp with give-back trail exit</t>
        </is>
      </c>
      <c r="D1151" s="9" t="inlineStr">
        <is>
          <t>Long</t>
        </is>
      </c>
      <c r="E1151" s="10" t="n">
        <v>45134.1875</v>
      </c>
      <c r="F1151" s="10" t="n">
        <v>45134.19097222222</v>
      </c>
      <c r="G1151" s="11" t="n">
        <v>0.15</v>
      </c>
      <c r="H1151" s="11">
        <f>H1150+G1151</f>
        <v/>
      </c>
    </row>
    <row r="1152">
      <c r="A1152" s="9" t="n">
        <v>1148</v>
      </c>
      <c r="B1152" s="9" t="inlineStr">
        <is>
          <t>Ratchet</t>
        </is>
      </c>
      <c r="C1152" s="9" t="inlineStr">
        <is>
          <t>Stochastic scalp with give-back trail exit</t>
        </is>
      </c>
      <c r="D1152" s="9" t="inlineStr">
        <is>
          <t>Long</t>
        </is>
      </c>
      <c r="E1152" s="10" t="n">
        <v>45134.26736111111</v>
      </c>
      <c r="F1152" s="10" t="n">
        <v>45134.28125</v>
      </c>
      <c r="G1152" s="11" t="n">
        <v>-1.4</v>
      </c>
      <c r="H1152" s="11">
        <f>H1151+G1152</f>
        <v/>
      </c>
    </row>
    <row r="1153">
      <c r="A1153" s="9" t="n">
        <v>1149</v>
      </c>
      <c r="B1153" s="9" t="inlineStr">
        <is>
          <t>Aurelius_M5</t>
        </is>
      </c>
      <c r="C1153" s="9" t="inlineStr">
        <is>
          <t>MA alignment (EMA21&gt;EMA50&gt;SMA250&gt;SMMA500 vs EMA2400 trend filter)</t>
        </is>
      </c>
      <c r="D1153" s="9" t="inlineStr">
        <is>
          <t>Long</t>
        </is>
      </c>
      <c r="E1153" s="10" t="n">
        <v>45134.19791666666</v>
      </c>
      <c r="F1153" s="10" t="n">
        <v>45134.35069444445</v>
      </c>
      <c r="G1153" s="11" t="n">
        <v>-0.77</v>
      </c>
      <c r="H1153" s="11">
        <f>H1152+G1153</f>
        <v/>
      </c>
    </row>
    <row r="1154">
      <c r="A1154" s="9" t="n">
        <v>1150</v>
      </c>
      <c r="B1154" s="9" t="inlineStr">
        <is>
          <t>Meridian</t>
        </is>
      </c>
      <c r="C1154" s="9" t="inlineStr">
        <is>
          <t>21/50 MA cross, 250-period confirm filter, VWAP</t>
        </is>
      </c>
      <c r="D1154" s="9" t="inlineStr">
        <is>
          <t>Long</t>
        </is>
      </c>
      <c r="E1154" s="10" t="n">
        <v>45134.17361111111</v>
      </c>
      <c r="F1154" s="10" t="n">
        <v>45134.36111111111</v>
      </c>
      <c r="G1154" s="11" t="n">
        <v>1.69</v>
      </c>
      <c r="H1154" s="11">
        <f>H1153+G1154</f>
        <v/>
      </c>
    </row>
    <row r="1155">
      <c r="A1155" s="9" t="n">
        <v>1151</v>
      </c>
      <c r="B1155" s="9" t="inlineStr">
        <is>
          <t>Aurelius_M5</t>
        </is>
      </c>
      <c r="C1155" s="9" t="inlineStr">
        <is>
          <t>MA alignment (EMA21&gt;EMA50&gt;SMA250&gt;SMMA500 vs EMA2400 trend filter)</t>
        </is>
      </c>
      <c r="D1155" s="9" t="inlineStr">
        <is>
          <t>Long</t>
        </is>
      </c>
      <c r="E1155" s="10" t="n">
        <v>45134.45486111111</v>
      </c>
      <c r="F1155" s="10" t="n">
        <v>45134.47569444445</v>
      </c>
      <c r="G1155" s="11" t="n">
        <v>-3.32</v>
      </c>
      <c r="H1155" s="11">
        <f>H1154+G1155</f>
        <v/>
      </c>
    </row>
    <row r="1156">
      <c r="A1156" s="9" t="n">
        <v>1152</v>
      </c>
      <c r="B1156" s="9" t="inlineStr">
        <is>
          <t>Meridian</t>
        </is>
      </c>
      <c r="C1156" s="9" t="inlineStr">
        <is>
          <t>21/50 MA cross, 250-period confirm filter, VWAP</t>
        </is>
      </c>
      <c r="D1156" s="9" t="inlineStr">
        <is>
          <t>Long</t>
        </is>
      </c>
      <c r="E1156" s="10" t="n">
        <v>45134.43402777778</v>
      </c>
      <c r="F1156" s="10" t="n">
        <v>45134.48263888889</v>
      </c>
      <c r="G1156" s="11" t="n">
        <v>-2.99</v>
      </c>
      <c r="H1156" s="11">
        <f>H1155+G1156</f>
        <v/>
      </c>
    </row>
    <row r="1157">
      <c r="A1157" s="9" t="n">
        <v>1153</v>
      </c>
      <c r="B1157" s="9" t="inlineStr">
        <is>
          <t>Meridian</t>
        </is>
      </c>
      <c r="C1157" s="9" t="inlineStr">
        <is>
          <t>21/50 MA cross, 250-period confirm filter, VWAP</t>
        </is>
      </c>
      <c r="D1157" s="9" t="inlineStr">
        <is>
          <t>Long</t>
        </is>
      </c>
      <c r="E1157" s="10" t="n">
        <v>45134.61805555555</v>
      </c>
      <c r="F1157" s="10" t="n">
        <v>45134.63194444445</v>
      </c>
      <c r="G1157" s="11" t="n">
        <v>-2.27</v>
      </c>
      <c r="H1157" s="11">
        <f>H1156+G1157</f>
        <v/>
      </c>
    </row>
    <row r="1158">
      <c r="A1158" s="9" t="n">
        <v>1154</v>
      </c>
      <c r="B1158" s="9" t="inlineStr">
        <is>
          <t>Vanguard_M5</t>
        </is>
      </c>
      <c r="C1158" s="9" t="inlineStr">
        <is>
          <t>Trendline breakout (fractal swing line) + VWAP/S-R distance gate</t>
        </is>
      </c>
      <c r="D1158" s="9" t="inlineStr">
        <is>
          <t>Long</t>
        </is>
      </c>
      <c r="E1158" s="10" t="n">
        <v>45132.75347222222</v>
      </c>
      <c r="F1158" s="10" t="n">
        <v>45134.65625</v>
      </c>
      <c r="G1158" s="11" t="n">
        <v>-2.04</v>
      </c>
      <c r="H1158" s="11">
        <f>H1157+G1158</f>
        <v/>
      </c>
    </row>
    <row r="1159">
      <c r="A1159" s="9" t="n">
        <v>1155</v>
      </c>
      <c r="B1159" s="9" t="inlineStr">
        <is>
          <t>Vanguard_M15</t>
        </is>
      </c>
      <c r="C1159" s="9" t="inlineStr">
        <is>
          <t>Trendline breakout (fractal swing line) + VWAP/S-R distance gate - M15 chart</t>
        </is>
      </c>
      <c r="D1159" s="9" t="inlineStr">
        <is>
          <t>Long</t>
        </is>
      </c>
      <c r="E1159" s="10" t="n">
        <v>45132.77083333334</v>
      </c>
      <c r="F1159" s="10" t="n">
        <v>45134.65625</v>
      </c>
      <c r="G1159" s="11" t="n">
        <v>-3.68</v>
      </c>
      <c r="H1159" s="11">
        <f>H1158+G1159</f>
        <v/>
      </c>
    </row>
    <row r="1160">
      <c r="A1160" s="9" t="n">
        <v>1156</v>
      </c>
      <c r="B1160" s="9" t="inlineStr">
        <is>
          <t>Ratchet</t>
        </is>
      </c>
      <c r="C1160" s="9" t="inlineStr">
        <is>
          <t>Stochastic scalp with give-back trail exit</t>
        </is>
      </c>
      <c r="D1160" s="9" t="inlineStr">
        <is>
          <t>Short</t>
        </is>
      </c>
      <c r="E1160" s="10" t="n">
        <v>45134.74652777778</v>
      </c>
      <c r="F1160" s="10" t="n">
        <v>45134.84027777778</v>
      </c>
      <c r="G1160" s="11" t="n">
        <v>-4.62</v>
      </c>
      <c r="H1160" s="11">
        <f>H1159+G1160</f>
        <v/>
      </c>
    </row>
    <row r="1161">
      <c r="A1161" s="9" t="n">
        <v>1157</v>
      </c>
      <c r="B1161" s="9" t="inlineStr">
        <is>
          <t>Ratchet</t>
        </is>
      </c>
      <c r="C1161" s="9" t="inlineStr">
        <is>
          <t>Stochastic scalp with give-back trail exit</t>
        </is>
      </c>
      <c r="D1161" s="9" t="inlineStr">
        <is>
          <t>Short</t>
        </is>
      </c>
      <c r="E1161" s="10" t="n">
        <v>45135.44444444445</v>
      </c>
      <c r="F1161" s="10" t="n">
        <v>45135.45138888889</v>
      </c>
      <c r="G1161" s="11" t="n">
        <v>0.33</v>
      </c>
      <c r="H1161" s="11">
        <f>H1160+G1161</f>
        <v/>
      </c>
    </row>
    <row r="1162">
      <c r="A1162" s="9" t="n">
        <v>1158</v>
      </c>
      <c r="B1162" s="9" t="inlineStr">
        <is>
          <t>Ratchet</t>
        </is>
      </c>
      <c r="C1162" s="9" t="inlineStr">
        <is>
          <t>Stochastic scalp with give-back trail exit</t>
        </is>
      </c>
      <c r="D1162" s="9" t="inlineStr">
        <is>
          <t>Short</t>
        </is>
      </c>
      <c r="E1162" s="10" t="n">
        <v>45135.46875</v>
      </c>
      <c r="F1162" s="10" t="n">
        <v>45135.52083333334</v>
      </c>
      <c r="G1162" s="11" t="n">
        <v>-2.6</v>
      </c>
      <c r="H1162" s="11">
        <f>H1161+G1162</f>
        <v/>
      </c>
    </row>
    <row r="1163">
      <c r="A1163" s="9" t="n">
        <v>1159</v>
      </c>
      <c r="B1163" s="9" t="inlineStr">
        <is>
          <t>Meridian</t>
        </is>
      </c>
      <c r="C1163" s="9" t="inlineStr">
        <is>
          <t>21/50 MA cross, 250-period confirm filter, VWAP</t>
        </is>
      </c>
      <c r="D1163" s="9" t="inlineStr">
        <is>
          <t>Short</t>
        </is>
      </c>
      <c r="E1163" s="10" t="n">
        <v>45135.4375</v>
      </c>
      <c r="F1163" s="10" t="n">
        <v>45135.54513888889</v>
      </c>
      <c r="G1163" s="11" t="n">
        <v>-0.79</v>
      </c>
      <c r="H1163" s="11">
        <f>H1162+G1163</f>
        <v/>
      </c>
    </row>
    <row r="1164">
      <c r="A1164" s="9" t="n">
        <v>1160</v>
      </c>
      <c r="B1164" s="9" t="inlineStr">
        <is>
          <t>Meridian</t>
        </is>
      </c>
      <c r="C1164" s="9" t="inlineStr">
        <is>
          <t>21/50 MA cross, 250-period confirm filter, VWAP</t>
        </is>
      </c>
      <c r="D1164" s="9" t="inlineStr">
        <is>
          <t>Long</t>
        </is>
      </c>
      <c r="E1164" s="10" t="n">
        <v>45138.0625</v>
      </c>
      <c r="F1164" s="10" t="n">
        <v>45138.08333333334</v>
      </c>
      <c r="G1164" s="11" t="n">
        <v>-1.41</v>
      </c>
      <c r="H1164" s="11">
        <f>H1163+G1164</f>
        <v/>
      </c>
    </row>
    <row r="1165">
      <c r="A1165" s="9" t="n">
        <v>1161</v>
      </c>
      <c r="B1165" s="9" t="inlineStr">
        <is>
          <t>Ratchet</t>
        </is>
      </c>
      <c r="C1165" s="9" t="inlineStr">
        <is>
          <t>Stochastic scalp with give-back trail exit</t>
        </is>
      </c>
      <c r="D1165" s="9" t="inlineStr">
        <is>
          <t>Short</t>
        </is>
      </c>
      <c r="E1165" s="10" t="n">
        <v>45138.32291666666</v>
      </c>
      <c r="F1165" s="10" t="n">
        <v>45138.34375</v>
      </c>
      <c r="G1165" s="11" t="n">
        <v>0.26</v>
      </c>
      <c r="H1165" s="11">
        <f>H1164+G1165</f>
        <v/>
      </c>
    </row>
    <row r="1166">
      <c r="A1166" s="9" t="n">
        <v>1162</v>
      </c>
      <c r="B1166" s="9" t="inlineStr">
        <is>
          <t>Vanguard_M5</t>
        </is>
      </c>
      <c r="C1166" s="9" t="inlineStr">
        <is>
          <t>Trendline breakout (fractal swing line) + VWAP/S-R distance gate</t>
        </is>
      </c>
      <c r="D1166" s="9" t="inlineStr">
        <is>
          <t>Long</t>
        </is>
      </c>
      <c r="E1166" s="10" t="n">
        <v>45138.38888888889</v>
      </c>
      <c r="F1166" s="10" t="n">
        <v>45138.41666666666</v>
      </c>
      <c r="G1166" s="11" t="n">
        <v>-3.59</v>
      </c>
      <c r="H1166" s="11">
        <f>H1165+G1166</f>
        <v/>
      </c>
    </row>
    <row r="1167">
      <c r="A1167" s="9" t="n">
        <v>1163</v>
      </c>
      <c r="B1167" s="9" t="inlineStr">
        <is>
          <t>Aurelius_M5</t>
        </is>
      </c>
      <c r="C1167" s="9" t="inlineStr">
        <is>
          <t>MA alignment (EMA21&gt;EMA50&gt;SMA250&gt;SMMA500 vs EMA2400 trend filter)</t>
        </is>
      </c>
      <c r="D1167" s="9" t="inlineStr">
        <is>
          <t>Short</t>
        </is>
      </c>
      <c r="E1167" s="10" t="n">
        <v>45138.49652777778</v>
      </c>
      <c r="F1167" s="10" t="n">
        <v>45138.52083333334</v>
      </c>
      <c r="G1167" s="11" t="n">
        <v>-2.55</v>
      </c>
      <c r="H1167" s="11">
        <f>H1166+G1167</f>
        <v/>
      </c>
    </row>
    <row r="1168">
      <c r="A1168" s="9" t="n">
        <v>1164</v>
      </c>
      <c r="B1168" s="9" t="inlineStr">
        <is>
          <t>Ratchet</t>
        </is>
      </c>
      <c r="C1168" s="9" t="inlineStr">
        <is>
          <t>Stochastic scalp with give-back trail exit</t>
        </is>
      </c>
      <c r="D1168" s="9" t="inlineStr">
        <is>
          <t>Long</t>
        </is>
      </c>
      <c r="E1168" s="10" t="n">
        <v>45138.76041666666</v>
      </c>
      <c r="F1168" s="10" t="n">
        <v>45138.76736111111</v>
      </c>
      <c r="G1168" s="11" t="n">
        <v>0.28</v>
      </c>
      <c r="H1168" s="11">
        <f>H1167+G1168</f>
        <v/>
      </c>
    </row>
    <row r="1169">
      <c r="A1169" s="9" t="n">
        <v>1165</v>
      </c>
      <c r="B1169" s="9" t="inlineStr">
        <is>
          <t>Ratchet</t>
        </is>
      </c>
      <c r="C1169" s="9" t="inlineStr">
        <is>
          <t>Stochastic scalp with give-back trail exit</t>
        </is>
      </c>
      <c r="D1169" s="9" t="inlineStr">
        <is>
          <t>Short</t>
        </is>
      </c>
      <c r="E1169" s="10" t="n">
        <v>45140.23263888889</v>
      </c>
      <c r="F1169" s="10" t="n">
        <v>45140.26388888889</v>
      </c>
      <c r="G1169" s="11" t="n">
        <v>0.35</v>
      </c>
      <c r="H1169" s="11">
        <f>H1168+G1169</f>
        <v/>
      </c>
    </row>
    <row r="1170">
      <c r="A1170" s="9" t="n">
        <v>1166</v>
      </c>
      <c r="B1170" s="9" t="inlineStr">
        <is>
          <t>Meridian</t>
        </is>
      </c>
      <c r="C1170" s="9" t="inlineStr">
        <is>
          <t>21/50 MA cross, 250-period confirm filter, VWAP</t>
        </is>
      </c>
      <c r="D1170" s="9" t="inlineStr">
        <is>
          <t>Short</t>
        </is>
      </c>
      <c r="E1170" s="10" t="n">
        <v>45140.23263888889</v>
      </c>
      <c r="F1170" s="10" t="n">
        <v>45140.36458333334</v>
      </c>
      <c r="G1170" s="11" t="n">
        <v>-0.97</v>
      </c>
      <c r="H1170" s="11">
        <f>H1169+G1170</f>
        <v/>
      </c>
    </row>
    <row r="1171">
      <c r="A1171" s="9" t="n">
        <v>1167</v>
      </c>
      <c r="B1171" s="9" t="inlineStr">
        <is>
          <t>Aurelius_M5</t>
        </is>
      </c>
      <c r="C1171" s="9" t="inlineStr">
        <is>
          <t>MA alignment (EMA21&gt;EMA50&gt;SMA250&gt;SMMA500 vs EMA2400 trend filter)</t>
        </is>
      </c>
      <c r="D1171" s="9" t="inlineStr">
        <is>
          <t>Short</t>
        </is>
      </c>
      <c r="E1171" s="10" t="n">
        <v>45140.27430555555</v>
      </c>
      <c r="F1171" s="10" t="n">
        <v>45140.36458333334</v>
      </c>
      <c r="G1171" s="11" t="n">
        <v>-0.87</v>
      </c>
      <c r="H1171" s="11">
        <f>H1170+G1171</f>
        <v/>
      </c>
    </row>
    <row r="1172">
      <c r="A1172" s="9" t="n">
        <v>1168</v>
      </c>
      <c r="B1172" s="9" t="inlineStr">
        <is>
          <t>Ratchet</t>
        </is>
      </c>
      <c r="C1172" s="9" t="inlineStr">
        <is>
          <t>Stochastic scalp with give-back trail exit</t>
        </is>
      </c>
      <c r="D1172" s="9" t="inlineStr">
        <is>
          <t>Short</t>
        </is>
      </c>
      <c r="E1172" s="10" t="n">
        <v>45140.69444444445</v>
      </c>
      <c r="F1172" s="10" t="n">
        <v>45140.95486111111</v>
      </c>
      <c r="G1172" s="11" t="n">
        <v>10.53</v>
      </c>
      <c r="H1172" s="11">
        <f>H1171+G1172</f>
        <v/>
      </c>
    </row>
    <row r="1173">
      <c r="A1173" s="9" t="n">
        <v>1169</v>
      </c>
      <c r="B1173" s="9" t="inlineStr">
        <is>
          <t>Meridian</t>
        </is>
      </c>
      <c r="C1173" s="9" t="inlineStr">
        <is>
          <t>21/50 MA cross, 250-period confirm filter, VWAP</t>
        </is>
      </c>
      <c r="D1173" s="9" t="inlineStr">
        <is>
          <t>Short</t>
        </is>
      </c>
      <c r="E1173" s="10" t="n">
        <v>45140.64930555555</v>
      </c>
      <c r="F1173" s="10" t="n">
        <v>45141.13888888889</v>
      </c>
      <c r="G1173" s="11" t="n">
        <v>10.24</v>
      </c>
      <c r="H1173" s="11">
        <f>H1172+G1173</f>
        <v/>
      </c>
    </row>
    <row r="1174">
      <c r="A1174" s="9" t="n">
        <v>1170</v>
      </c>
      <c r="B1174" s="9" t="inlineStr">
        <is>
          <t>Ratchet</t>
        </is>
      </c>
      <c r="C1174" s="9" t="inlineStr">
        <is>
          <t>Stochastic scalp with give-back trail exit</t>
        </is>
      </c>
      <c r="D1174" s="9" t="inlineStr">
        <is>
          <t>Short</t>
        </is>
      </c>
      <c r="E1174" s="10" t="n">
        <v>45141.17013888889</v>
      </c>
      <c r="F1174" s="10" t="n">
        <v>45141.17361111111</v>
      </c>
      <c r="G1174" s="11" t="n">
        <v>-1</v>
      </c>
      <c r="H1174" s="11">
        <f>H1173+G1174</f>
        <v/>
      </c>
    </row>
    <row r="1175">
      <c r="A1175" s="9" t="n">
        <v>1171</v>
      </c>
      <c r="B1175" s="9" t="inlineStr">
        <is>
          <t>Meridian</t>
        </is>
      </c>
      <c r="C1175" s="9" t="inlineStr">
        <is>
          <t>21/50 MA cross, 250-period confirm filter, VWAP</t>
        </is>
      </c>
      <c r="D1175" s="9" t="inlineStr">
        <is>
          <t>Short</t>
        </is>
      </c>
      <c r="E1175" s="10" t="n">
        <v>45141.15625</v>
      </c>
      <c r="F1175" s="10" t="n">
        <v>45141.18402777778</v>
      </c>
      <c r="G1175" s="11" t="n">
        <v>-1.29</v>
      </c>
      <c r="H1175" s="11">
        <f>H1174+G1175</f>
        <v/>
      </c>
    </row>
    <row r="1176">
      <c r="A1176" s="9" t="n">
        <v>1172</v>
      </c>
      <c r="B1176" s="9" t="inlineStr">
        <is>
          <t>Meridian</t>
        </is>
      </c>
      <c r="C1176" s="9" t="inlineStr">
        <is>
          <t>21/50 MA cross, 250-period confirm filter, VWAP</t>
        </is>
      </c>
      <c r="D1176" s="9" t="inlineStr">
        <is>
          <t>Short</t>
        </is>
      </c>
      <c r="E1176" s="10" t="n">
        <v>45141.27777777778</v>
      </c>
      <c r="F1176" s="10" t="n">
        <v>45141.28819444445</v>
      </c>
      <c r="G1176" s="11" t="n">
        <v>-0.79</v>
      </c>
      <c r="H1176" s="11">
        <f>H1175+G1176</f>
        <v/>
      </c>
    </row>
    <row r="1177">
      <c r="A1177" s="9" t="n">
        <v>1173</v>
      </c>
      <c r="B1177" s="9" t="inlineStr">
        <is>
          <t>Ratchet</t>
        </is>
      </c>
      <c r="C1177" s="9" t="inlineStr">
        <is>
          <t>Stochastic scalp with give-back trail exit</t>
        </is>
      </c>
      <c r="D1177" s="9" t="inlineStr">
        <is>
          <t>Short</t>
        </is>
      </c>
      <c r="E1177" s="10" t="n">
        <v>45141.35763888889</v>
      </c>
      <c r="F1177" s="10" t="n">
        <v>45141.36805555555</v>
      </c>
      <c r="G1177" s="11" t="n">
        <v>0.25</v>
      </c>
      <c r="H1177" s="11">
        <f>H1176+G1177</f>
        <v/>
      </c>
    </row>
    <row r="1178">
      <c r="A1178" s="9" t="n">
        <v>1174</v>
      </c>
      <c r="B1178" s="9" t="inlineStr">
        <is>
          <t>Ratchet</t>
        </is>
      </c>
      <c r="C1178" s="9" t="inlineStr">
        <is>
          <t>Stochastic scalp with give-back trail exit</t>
        </is>
      </c>
      <c r="D1178" s="9" t="inlineStr">
        <is>
          <t>Short</t>
        </is>
      </c>
      <c r="E1178" s="10" t="n">
        <v>45141.39583333334</v>
      </c>
      <c r="F1178" s="10" t="n">
        <v>45141.41319444445</v>
      </c>
      <c r="G1178" s="11" t="n">
        <v>0.2</v>
      </c>
      <c r="H1178" s="11">
        <f>H1177+G1178</f>
        <v/>
      </c>
    </row>
    <row r="1179">
      <c r="A1179" s="9" t="n">
        <v>1175</v>
      </c>
      <c r="B1179" s="9" t="inlineStr">
        <is>
          <t>Meridian</t>
        </is>
      </c>
      <c r="C1179" s="9" t="inlineStr">
        <is>
          <t>21/50 MA cross, 250-period confirm filter, VWAP</t>
        </is>
      </c>
      <c r="D1179" s="9" t="inlineStr">
        <is>
          <t>Short</t>
        </is>
      </c>
      <c r="E1179" s="10" t="n">
        <v>45141.32291666666</v>
      </c>
      <c r="F1179" s="10" t="n">
        <v>45141.4375</v>
      </c>
      <c r="G1179" s="11" t="n">
        <v>-2.11</v>
      </c>
      <c r="H1179" s="11">
        <f>H1178+G1179</f>
        <v/>
      </c>
    </row>
    <row r="1180">
      <c r="A1180" s="9" t="n">
        <v>1176</v>
      </c>
      <c r="B1180" s="9" t="inlineStr">
        <is>
          <t>Aurelius_M5</t>
        </is>
      </c>
      <c r="C1180" s="9" t="inlineStr">
        <is>
          <t>MA alignment (EMA21&gt;EMA50&gt;SMA250&gt;SMMA500 vs EMA2400 trend filter)</t>
        </is>
      </c>
      <c r="D1180" s="9" t="inlineStr">
        <is>
          <t>Short</t>
        </is>
      </c>
      <c r="E1180" s="10" t="n">
        <v>45141.34375</v>
      </c>
      <c r="F1180" s="10" t="n">
        <v>45141.4375</v>
      </c>
      <c r="G1180" s="11" t="n">
        <v>-2.08</v>
      </c>
      <c r="H1180" s="11">
        <f>H1179+G1180</f>
        <v/>
      </c>
    </row>
    <row r="1181">
      <c r="A1181" s="9" t="n">
        <v>1177</v>
      </c>
      <c r="B1181" s="9" t="inlineStr">
        <is>
          <t>Aurelius_M15</t>
        </is>
      </c>
      <c r="C1181" s="9" t="inlineStr">
        <is>
          <t>MA alignment (EMA21&gt;EMA50&gt;SMA250&gt;SMMA500 vs EMA2400 trend filter) - M15 chart</t>
        </is>
      </c>
      <c r="D1181" s="9" t="inlineStr">
        <is>
          <t>Short</t>
        </is>
      </c>
      <c r="E1181" s="10" t="n">
        <v>45140.72916666666</v>
      </c>
      <c r="F1181" s="10" t="n">
        <v>45141.53125</v>
      </c>
      <c r="G1181" s="11" t="n">
        <v>-0.98</v>
      </c>
      <c r="H1181" s="11">
        <f>H1180+G1181</f>
        <v/>
      </c>
    </row>
    <row r="1182">
      <c r="A1182" s="9" t="n">
        <v>1178</v>
      </c>
      <c r="B1182" s="9" t="inlineStr">
        <is>
          <t>Ratchet</t>
        </is>
      </c>
      <c r="C1182" s="9" t="inlineStr">
        <is>
          <t>Stochastic scalp with give-back trail exit</t>
        </is>
      </c>
      <c r="D1182" s="9" t="inlineStr">
        <is>
          <t>Short</t>
        </is>
      </c>
      <c r="E1182" s="10" t="n">
        <v>45141.58680555555</v>
      </c>
      <c r="F1182" s="10" t="n">
        <v>45141.59375</v>
      </c>
      <c r="G1182" s="11" t="n">
        <v>-1.81</v>
      </c>
      <c r="H1182" s="11">
        <f>H1181+G1182</f>
        <v/>
      </c>
    </row>
    <row r="1183">
      <c r="A1183" s="9" t="n">
        <v>1179</v>
      </c>
      <c r="B1183" s="9" t="inlineStr">
        <is>
          <t>Meridian</t>
        </is>
      </c>
      <c r="C1183" s="9" t="inlineStr">
        <is>
          <t>21/50 MA cross, 250-period confirm filter, VWAP</t>
        </is>
      </c>
      <c r="D1183" s="9" t="inlineStr">
        <is>
          <t>Long</t>
        </is>
      </c>
      <c r="E1183" s="10" t="n">
        <v>45141.61805555555</v>
      </c>
      <c r="F1183" s="10" t="n">
        <v>45141.625</v>
      </c>
      <c r="G1183" s="11" t="n">
        <v>-2.17</v>
      </c>
      <c r="H1183" s="11">
        <f>H1182+G1183</f>
        <v/>
      </c>
    </row>
    <row r="1184">
      <c r="A1184" s="9" t="n">
        <v>1180</v>
      </c>
      <c r="B1184" s="9" t="inlineStr">
        <is>
          <t>Ratchet</t>
        </is>
      </c>
      <c r="C1184" s="9" t="inlineStr">
        <is>
          <t>Stochastic scalp with give-back trail exit</t>
        </is>
      </c>
      <c r="D1184" s="9" t="inlineStr">
        <is>
          <t>Short</t>
        </is>
      </c>
      <c r="E1184" s="10" t="n">
        <v>45141.64583333334</v>
      </c>
      <c r="F1184" s="10" t="n">
        <v>45141.64583333334</v>
      </c>
      <c r="G1184" s="11" t="n">
        <v>-2.76</v>
      </c>
      <c r="H1184" s="11">
        <f>H1183+G1184</f>
        <v/>
      </c>
    </row>
    <row r="1185">
      <c r="A1185" s="9" t="n">
        <v>1181</v>
      </c>
      <c r="B1185" s="9" t="inlineStr">
        <is>
          <t>Meridian</t>
        </is>
      </c>
      <c r="C1185" s="9" t="inlineStr">
        <is>
          <t>21/50 MA cross, 250-period confirm filter, VWAP</t>
        </is>
      </c>
      <c r="D1185" s="9" t="inlineStr">
        <is>
          <t>Long</t>
        </is>
      </c>
      <c r="E1185" s="10" t="n">
        <v>45141.72916666666</v>
      </c>
      <c r="F1185" s="10" t="n">
        <v>45141.80208333334</v>
      </c>
      <c r="G1185" s="11" t="n">
        <v>-4.1</v>
      </c>
      <c r="H1185" s="11">
        <f>H1184+G1185</f>
        <v/>
      </c>
    </row>
    <row r="1186">
      <c r="A1186" s="9" t="n">
        <v>1182</v>
      </c>
      <c r="B1186" s="9" t="inlineStr">
        <is>
          <t>Meridian</t>
        </is>
      </c>
      <c r="C1186" s="9" t="inlineStr">
        <is>
          <t>21/50 MA cross, 250-period confirm filter, VWAP</t>
        </is>
      </c>
      <c r="D1186" s="9" t="inlineStr">
        <is>
          <t>Long</t>
        </is>
      </c>
      <c r="E1186" s="10" t="n">
        <v>45141.82638888889</v>
      </c>
      <c r="F1186" s="10" t="n">
        <v>45141.85069444445</v>
      </c>
      <c r="G1186" s="11" t="n">
        <v>-1.39</v>
      </c>
      <c r="H1186" s="11">
        <f>H1185+G1186</f>
        <v/>
      </c>
    </row>
    <row r="1187">
      <c r="A1187" s="9" t="n">
        <v>1183</v>
      </c>
      <c r="B1187" s="9" t="inlineStr">
        <is>
          <t>Vanguard_M15</t>
        </is>
      </c>
      <c r="C1187" s="9" t="inlineStr">
        <is>
          <t>Trendline breakout (fractal swing line) + VWAP/S-R distance gate - M15 chart</t>
        </is>
      </c>
      <c r="D1187" s="9" t="inlineStr">
        <is>
          <t>Short</t>
        </is>
      </c>
      <c r="E1187" s="10" t="n">
        <v>45139.44791666666</v>
      </c>
      <c r="F1187" s="10" t="n">
        <v>45142.14583333334</v>
      </c>
      <c r="G1187" s="11" t="n">
        <v>19.33</v>
      </c>
      <c r="H1187" s="11">
        <f>H1186+G1187</f>
        <v/>
      </c>
    </row>
    <row r="1188">
      <c r="A1188" s="9" t="n">
        <v>1184</v>
      </c>
      <c r="B1188" s="9" t="inlineStr">
        <is>
          <t>Vanguard_M5</t>
        </is>
      </c>
      <c r="C1188" s="9" t="inlineStr">
        <is>
          <t>Trendline breakout (fractal swing line) + VWAP/S-R distance gate</t>
        </is>
      </c>
      <c r="D1188" s="9" t="inlineStr">
        <is>
          <t>Short</t>
        </is>
      </c>
      <c r="E1188" s="10" t="n">
        <v>45139.43055555555</v>
      </c>
      <c r="F1188" s="10" t="n">
        <v>45142.14930555555</v>
      </c>
      <c r="G1188" s="11" t="n">
        <v>19.75</v>
      </c>
      <c r="H1188" s="11">
        <f>H1187+G1188</f>
        <v/>
      </c>
    </row>
    <row r="1189">
      <c r="A1189" s="9" t="n">
        <v>1185</v>
      </c>
      <c r="B1189" s="9" t="inlineStr">
        <is>
          <t>Meridian</t>
        </is>
      </c>
      <c r="C1189" s="9" t="inlineStr">
        <is>
          <t>21/50 MA cross, 250-period confirm filter, VWAP</t>
        </is>
      </c>
      <c r="D1189" s="9" t="inlineStr">
        <is>
          <t>Long</t>
        </is>
      </c>
      <c r="E1189" s="10" t="n">
        <v>45142.05902777778</v>
      </c>
      <c r="F1189" s="10" t="n">
        <v>45142.28819444445</v>
      </c>
      <c r="G1189" s="11" t="n">
        <v>-1.2</v>
      </c>
      <c r="H1189" s="11">
        <f>H1188+G1189</f>
        <v/>
      </c>
    </row>
    <row r="1190">
      <c r="A1190" s="9" t="n">
        <v>1186</v>
      </c>
      <c r="B1190" s="9" t="inlineStr">
        <is>
          <t>Vanguard_M5</t>
        </is>
      </c>
      <c r="C1190" s="9" t="inlineStr">
        <is>
          <t>Trendline breakout (fractal swing line) + VWAP/S-R distance gate</t>
        </is>
      </c>
      <c r="D1190" s="9" t="inlineStr">
        <is>
          <t>Long</t>
        </is>
      </c>
      <c r="E1190" s="10" t="n">
        <v>45142.15277777778</v>
      </c>
      <c r="F1190" s="10" t="n">
        <v>45142.30902777778</v>
      </c>
      <c r="G1190" s="11" t="n">
        <v>-2.01</v>
      </c>
      <c r="H1190" s="11">
        <f>H1189+G1190</f>
        <v/>
      </c>
    </row>
    <row r="1191">
      <c r="A1191" s="9" t="n">
        <v>1187</v>
      </c>
      <c r="B1191" s="9" t="inlineStr">
        <is>
          <t>Meridian</t>
        </is>
      </c>
      <c r="C1191" s="9" t="inlineStr">
        <is>
          <t>21/50 MA cross, 250-period confirm filter, VWAP</t>
        </is>
      </c>
      <c r="D1191" s="9" t="inlineStr">
        <is>
          <t>Short</t>
        </is>
      </c>
      <c r="E1191" s="10" t="n">
        <v>45142.29861111111</v>
      </c>
      <c r="F1191" s="10" t="n">
        <v>45142.35069444445</v>
      </c>
      <c r="G1191" s="11" t="n">
        <v>-1.8</v>
      </c>
      <c r="H1191" s="11">
        <f>H1190+G1191</f>
        <v/>
      </c>
    </row>
    <row r="1192">
      <c r="A1192" s="9" t="n">
        <v>1188</v>
      </c>
      <c r="B1192" s="9" t="inlineStr">
        <is>
          <t>Vanguard_M15</t>
        </is>
      </c>
      <c r="C1192" s="9" t="inlineStr">
        <is>
          <t>Trendline breakout (fractal swing line) + VWAP/S-R distance gate - M15 chart</t>
        </is>
      </c>
      <c r="D1192" s="9" t="inlineStr">
        <is>
          <t>Long</t>
        </is>
      </c>
      <c r="E1192" s="10" t="n">
        <v>45142.15625</v>
      </c>
      <c r="F1192" s="10" t="n">
        <v>45142.375</v>
      </c>
      <c r="G1192" s="11" t="n">
        <v>-3.34</v>
      </c>
      <c r="H1192" s="11">
        <f>H1191+G1192</f>
        <v/>
      </c>
    </row>
    <row r="1193">
      <c r="A1193" s="9" t="n">
        <v>1189</v>
      </c>
      <c r="B1193" s="9" t="inlineStr">
        <is>
          <t>Meridian</t>
        </is>
      </c>
      <c r="C1193" s="9" t="inlineStr">
        <is>
          <t>21/50 MA cross, 250-period confirm filter, VWAP</t>
        </is>
      </c>
      <c r="D1193" s="9" t="inlineStr">
        <is>
          <t>Long</t>
        </is>
      </c>
      <c r="E1193" s="10" t="n">
        <v>45142.36111111111</v>
      </c>
      <c r="F1193" s="10" t="n">
        <v>45142.37847222222</v>
      </c>
      <c r="G1193" s="11" t="n">
        <v>-2.07</v>
      </c>
      <c r="H1193" s="11">
        <f>H1192+G1193</f>
        <v/>
      </c>
    </row>
    <row r="1194">
      <c r="A1194" s="9" t="n">
        <v>1190</v>
      </c>
      <c r="B1194" s="9" t="inlineStr">
        <is>
          <t>Ratchet</t>
        </is>
      </c>
      <c r="C1194" s="9" t="inlineStr">
        <is>
          <t>Stochastic scalp with give-back trail exit</t>
        </is>
      </c>
      <c r="D1194" s="9" t="inlineStr">
        <is>
          <t>Short</t>
        </is>
      </c>
      <c r="E1194" s="10" t="n">
        <v>45142.41666666666</v>
      </c>
      <c r="F1194" s="10" t="n">
        <v>45142.46180555555</v>
      </c>
      <c r="G1194" s="11" t="n">
        <v>-0</v>
      </c>
      <c r="H1194" s="11">
        <f>H1193+G1194</f>
        <v/>
      </c>
    </row>
    <row r="1195">
      <c r="A1195" s="9" t="n">
        <v>1191</v>
      </c>
      <c r="B1195" s="9" t="inlineStr">
        <is>
          <t>Ratchet</t>
        </is>
      </c>
      <c r="C1195" s="9" t="inlineStr">
        <is>
          <t>Stochastic scalp with give-back trail exit</t>
        </is>
      </c>
      <c r="D1195" s="9" t="inlineStr">
        <is>
          <t>Short</t>
        </is>
      </c>
      <c r="E1195" s="10" t="n">
        <v>45142.55208333334</v>
      </c>
      <c r="F1195" s="10" t="n">
        <v>45142.55902777778</v>
      </c>
      <c r="G1195" s="11" t="n">
        <v>0.13</v>
      </c>
      <c r="H1195" s="11">
        <f>H1194+G1195</f>
        <v/>
      </c>
    </row>
    <row r="1196">
      <c r="A1196" s="9" t="n">
        <v>1192</v>
      </c>
      <c r="B1196" s="9" t="inlineStr">
        <is>
          <t>Ratchet</t>
        </is>
      </c>
      <c r="C1196" s="9" t="inlineStr">
        <is>
          <t>Stochastic scalp with give-back trail exit</t>
        </is>
      </c>
      <c r="D1196" s="9" t="inlineStr">
        <is>
          <t>Short</t>
        </is>
      </c>
      <c r="E1196" s="10" t="n">
        <v>45142.61111111111</v>
      </c>
      <c r="F1196" s="10" t="n">
        <v>45142.63541666666</v>
      </c>
      <c r="G1196" s="11" t="n">
        <v>0.23</v>
      </c>
      <c r="H1196" s="11">
        <f>H1195+G1196</f>
        <v/>
      </c>
    </row>
    <row r="1197">
      <c r="A1197" s="9" t="n">
        <v>1193</v>
      </c>
      <c r="B1197" s="9" t="inlineStr">
        <is>
          <t>Meridian</t>
        </is>
      </c>
      <c r="C1197" s="9" t="inlineStr">
        <is>
          <t>21/50 MA cross, 250-period confirm filter, VWAP</t>
        </is>
      </c>
      <c r="D1197" s="9" t="inlineStr">
        <is>
          <t>Short</t>
        </is>
      </c>
      <c r="E1197" s="10" t="n">
        <v>45142.38888888889</v>
      </c>
      <c r="F1197" s="10" t="n">
        <v>45142.64583333334</v>
      </c>
      <c r="G1197" s="11" t="n">
        <v>-2.6</v>
      </c>
      <c r="H1197" s="11">
        <f>H1196+G1197</f>
        <v/>
      </c>
    </row>
    <row r="1198">
      <c r="A1198" s="9" t="n">
        <v>1194</v>
      </c>
      <c r="B1198" s="9" t="inlineStr">
        <is>
          <t>Aurelius_M5</t>
        </is>
      </c>
      <c r="C1198" s="9" t="inlineStr">
        <is>
          <t>MA alignment (EMA21&gt;EMA50&gt;SMA250&gt;SMMA500 vs EMA2400 trend filter)</t>
        </is>
      </c>
      <c r="D1198" s="9" t="inlineStr">
        <is>
          <t>Short</t>
        </is>
      </c>
      <c r="E1198" s="10" t="n">
        <v>45142.42013888889</v>
      </c>
      <c r="F1198" s="10" t="n">
        <v>45142.64583333334</v>
      </c>
      <c r="G1198" s="11" t="n">
        <v>-2.33</v>
      </c>
      <c r="H1198" s="11">
        <f>H1197+G1198</f>
        <v/>
      </c>
    </row>
    <row r="1199">
      <c r="A1199" s="9" t="n">
        <v>1195</v>
      </c>
      <c r="B1199" s="9" t="inlineStr">
        <is>
          <t>Aurelius_M15</t>
        </is>
      </c>
      <c r="C1199" s="9" t="inlineStr">
        <is>
          <t>MA alignment (EMA21&gt;EMA50&gt;SMA250&gt;SMMA500 vs EMA2400 trend filter) - M15 chart</t>
        </is>
      </c>
      <c r="D1199" s="9" t="inlineStr">
        <is>
          <t>Short</t>
        </is>
      </c>
      <c r="E1199" s="10" t="n">
        <v>45142.64583333334</v>
      </c>
      <c r="F1199" s="10" t="n">
        <v>45142.64583333334</v>
      </c>
      <c r="G1199" s="11" t="n">
        <v>-3.65</v>
      </c>
      <c r="H1199" s="11">
        <f>H1198+G1199</f>
        <v/>
      </c>
    </row>
    <row r="1200">
      <c r="A1200" s="9" t="n">
        <v>1196</v>
      </c>
      <c r="B1200" s="9" t="inlineStr">
        <is>
          <t>Meridian</t>
        </is>
      </c>
      <c r="C1200" s="9" t="inlineStr">
        <is>
          <t>21/50 MA cross, 250-period confirm filter, VWAP</t>
        </is>
      </c>
      <c r="D1200" s="9" t="inlineStr">
        <is>
          <t>Long</t>
        </is>
      </c>
      <c r="E1200" s="10" t="n">
        <v>45142.65625</v>
      </c>
      <c r="F1200" s="10" t="n">
        <v>45142.91666666666</v>
      </c>
      <c r="G1200" s="11" t="n">
        <v>1.49</v>
      </c>
      <c r="H1200" s="11">
        <f>H1199+G1200</f>
        <v/>
      </c>
    </row>
    <row r="1201">
      <c r="A1201" s="9" t="n">
        <v>1197</v>
      </c>
      <c r="B1201" s="9" t="inlineStr">
        <is>
          <t>Vanguard_M5</t>
        </is>
      </c>
      <c r="C1201" s="9" t="inlineStr">
        <is>
          <t>Trendline breakout (fractal swing line) + VWAP/S-R distance gate</t>
        </is>
      </c>
      <c r="D1201" s="9" t="inlineStr">
        <is>
          <t>Long</t>
        </is>
      </c>
      <c r="E1201" s="10" t="n">
        <v>45142.65277777778</v>
      </c>
      <c r="F1201" s="10" t="n">
        <v>45145.47569444445</v>
      </c>
      <c r="G1201" s="11" t="n">
        <v>-2.98</v>
      </c>
      <c r="H1201" s="11">
        <f>H1200+G1201</f>
        <v/>
      </c>
    </row>
    <row r="1202">
      <c r="A1202" s="9" t="n">
        <v>1198</v>
      </c>
      <c r="B1202" s="9" t="inlineStr">
        <is>
          <t>Vanguard_M15</t>
        </is>
      </c>
      <c r="C1202" s="9" t="inlineStr">
        <is>
          <t>Trendline breakout (fractal swing line) + VWAP/S-R distance gate - M15 chart</t>
        </is>
      </c>
      <c r="D1202" s="9" t="inlineStr">
        <is>
          <t>Long</t>
        </is>
      </c>
      <c r="E1202" s="10" t="n">
        <v>45142.65625</v>
      </c>
      <c r="F1202" s="10" t="n">
        <v>45145.47916666666</v>
      </c>
      <c r="G1202" s="11" t="n">
        <v>-3.56</v>
      </c>
      <c r="H1202" s="11">
        <f>H1201+G1202</f>
        <v/>
      </c>
    </row>
    <row r="1203">
      <c r="A1203" s="9" t="n">
        <v>1199</v>
      </c>
      <c r="B1203" s="9" t="inlineStr">
        <is>
          <t>Aurelius_M5</t>
        </is>
      </c>
      <c r="C1203" s="9" t="inlineStr">
        <is>
          <t>MA alignment (EMA21&gt;EMA50&gt;SMA250&gt;SMMA500 vs EMA2400 trend filter)</t>
        </is>
      </c>
      <c r="D1203" s="9" t="inlineStr">
        <is>
          <t>Short</t>
        </is>
      </c>
      <c r="E1203" s="10" t="n">
        <v>45145.54861111111</v>
      </c>
      <c r="F1203" s="10" t="n">
        <v>45145.64236111111</v>
      </c>
      <c r="G1203" s="11" t="n">
        <v>-2.25</v>
      </c>
      <c r="H1203" s="11">
        <f>H1202+G1203</f>
        <v/>
      </c>
    </row>
    <row r="1204">
      <c r="A1204" s="9" t="n">
        <v>1200</v>
      </c>
      <c r="B1204" s="9" t="inlineStr">
        <is>
          <t>Ratchet</t>
        </is>
      </c>
      <c r="C1204" s="9" t="inlineStr">
        <is>
          <t>Stochastic scalp with give-back trail exit</t>
        </is>
      </c>
      <c r="D1204" s="9" t="inlineStr">
        <is>
          <t>Short</t>
        </is>
      </c>
      <c r="E1204" s="10" t="n">
        <v>45145.75347222222</v>
      </c>
      <c r="F1204" s="10" t="n">
        <v>45145.77777777778</v>
      </c>
      <c r="G1204" s="11" t="n">
        <v>-0</v>
      </c>
      <c r="H1204" s="11">
        <f>H1203+G1204</f>
        <v/>
      </c>
    </row>
    <row r="1205">
      <c r="A1205" s="9" t="n">
        <v>1201</v>
      </c>
      <c r="B1205" s="9" t="inlineStr">
        <is>
          <t>Meridian</t>
        </is>
      </c>
      <c r="C1205" s="9" t="inlineStr">
        <is>
          <t>21/50 MA cross, 250-period confirm filter, VWAP</t>
        </is>
      </c>
      <c r="D1205" s="9" t="inlineStr">
        <is>
          <t>Short</t>
        </is>
      </c>
      <c r="E1205" s="10" t="n">
        <v>45145.73263888889</v>
      </c>
      <c r="F1205" s="10" t="n">
        <v>45145.86458333334</v>
      </c>
      <c r="G1205" s="11" t="n">
        <v>-0.83</v>
      </c>
      <c r="H1205" s="11">
        <f>H1204+G1205</f>
        <v/>
      </c>
    </row>
    <row r="1206">
      <c r="A1206" s="9" t="n">
        <v>1202</v>
      </c>
      <c r="B1206" s="9" t="inlineStr">
        <is>
          <t>Aurelius_M5</t>
        </is>
      </c>
      <c r="C1206" s="9" t="inlineStr">
        <is>
          <t>MA alignment (EMA21&gt;EMA50&gt;SMA250&gt;SMMA500 vs EMA2400 trend filter)</t>
        </is>
      </c>
      <c r="D1206" s="9" t="inlineStr">
        <is>
          <t>Short</t>
        </is>
      </c>
      <c r="E1206" s="10" t="n">
        <v>45145.76041666666</v>
      </c>
      <c r="F1206" s="10" t="n">
        <v>45145.86458333334</v>
      </c>
      <c r="G1206" s="11" t="n">
        <v>-2.22</v>
      </c>
      <c r="H1206" s="11">
        <f>H1205+G1206</f>
        <v/>
      </c>
    </row>
    <row r="1207">
      <c r="A1207" s="9" t="n">
        <v>1203</v>
      </c>
      <c r="B1207" s="9" t="inlineStr">
        <is>
          <t>Aurelius_M5</t>
        </is>
      </c>
      <c r="C1207" s="9" t="inlineStr">
        <is>
          <t>MA alignment (EMA21&gt;EMA50&gt;SMA250&gt;SMMA500 vs EMA2400 trend filter)</t>
        </is>
      </c>
      <c r="D1207" s="9" t="inlineStr">
        <is>
          <t>Short</t>
        </is>
      </c>
      <c r="E1207" s="10" t="n">
        <v>45146.29861111111</v>
      </c>
      <c r="F1207" s="10" t="n">
        <v>45146.32986111111</v>
      </c>
      <c r="G1207" s="11" t="n">
        <v>-1.81</v>
      </c>
      <c r="H1207" s="11">
        <f>H1206+G1207</f>
        <v/>
      </c>
    </row>
    <row r="1208">
      <c r="A1208" s="9" t="n">
        <v>1204</v>
      </c>
      <c r="B1208" s="9" t="inlineStr">
        <is>
          <t>Vanguard_M15</t>
        </is>
      </c>
      <c r="C1208" s="9" t="inlineStr">
        <is>
          <t>Trendline breakout (fractal swing line) + VWAP/S-R distance gate - M15 chart</t>
        </is>
      </c>
      <c r="D1208" s="9" t="inlineStr">
        <is>
          <t>Short</t>
        </is>
      </c>
      <c r="E1208" s="10" t="n">
        <v>45146.1875</v>
      </c>
      <c r="F1208" s="10" t="n">
        <v>45146.48958333334</v>
      </c>
      <c r="G1208" s="11" t="n">
        <v>-1.97</v>
      </c>
      <c r="H1208" s="11">
        <f>H1207+G1208</f>
        <v/>
      </c>
    </row>
    <row r="1209">
      <c r="A1209" s="9" t="n">
        <v>1205</v>
      </c>
      <c r="B1209" s="9" t="inlineStr">
        <is>
          <t>Vanguard_M5</t>
        </is>
      </c>
      <c r="C1209" s="9" t="inlineStr">
        <is>
          <t>Trendline breakout (fractal swing line) + VWAP/S-R distance gate</t>
        </is>
      </c>
      <c r="D1209" s="9" t="inlineStr">
        <is>
          <t>Short</t>
        </is>
      </c>
      <c r="E1209" s="10" t="n">
        <v>45146.18402777778</v>
      </c>
      <c r="F1209" s="10" t="n">
        <v>45146.49305555555</v>
      </c>
      <c r="G1209" s="11" t="n">
        <v>-0.78</v>
      </c>
      <c r="H1209" s="11">
        <f>H1208+G1209</f>
        <v/>
      </c>
    </row>
    <row r="1210">
      <c r="A1210" s="9" t="n">
        <v>1206</v>
      </c>
      <c r="B1210" s="9" t="inlineStr">
        <is>
          <t>Aurelius_M5</t>
        </is>
      </c>
      <c r="C1210" s="9" t="inlineStr">
        <is>
          <t>MA alignment (EMA21&gt;EMA50&gt;SMA250&gt;SMMA500 vs EMA2400 trend filter)</t>
        </is>
      </c>
      <c r="D1210" s="9" t="inlineStr">
        <is>
          <t>Short</t>
        </is>
      </c>
      <c r="E1210" s="10" t="n">
        <v>45146.34722222222</v>
      </c>
      <c r="F1210" s="10" t="n">
        <v>45146.5</v>
      </c>
      <c r="G1210" s="11" t="n">
        <v>-1.58</v>
      </c>
      <c r="H1210" s="11">
        <f>H1209+G1210</f>
        <v/>
      </c>
    </row>
    <row r="1211">
      <c r="A1211" s="9" t="n">
        <v>1207</v>
      </c>
      <c r="B1211" s="9" t="inlineStr">
        <is>
          <t>Meridian</t>
        </is>
      </c>
      <c r="C1211" s="9" t="inlineStr">
        <is>
          <t>21/50 MA cross, 250-period confirm filter, VWAP</t>
        </is>
      </c>
      <c r="D1211" s="9" t="inlineStr">
        <is>
          <t>Short</t>
        </is>
      </c>
      <c r="E1211" s="10" t="n">
        <v>45146.14930555555</v>
      </c>
      <c r="F1211" s="10" t="n">
        <v>45146.51041666666</v>
      </c>
      <c r="G1211" s="11" t="n">
        <v>1.51</v>
      </c>
      <c r="H1211" s="11">
        <f>H1210+G1211</f>
        <v/>
      </c>
    </row>
    <row r="1212">
      <c r="A1212" s="9" t="n">
        <v>1208</v>
      </c>
      <c r="B1212" s="9" t="inlineStr">
        <is>
          <t>Vanguard_M15</t>
        </is>
      </c>
      <c r="C1212" s="9" t="inlineStr">
        <is>
          <t>Trendline breakout (fractal swing line) + VWAP/S-R distance gate - M15 chart</t>
        </is>
      </c>
      <c r="D1212" s="9" t="inlineStr">
        <is>
          <t>Long</t>
        </is>
      </c>
      <c r="E1212" s="10" t="n">
        <v>45146.5</v>
      </c>
      <c r="F1212" s="10" t="n">
        <v>45146.57291666666</v>
      </c>
      <c r="G1212" s="11" t="n">
        <v>-4.76</v>
      </c>
      <c r="H1212" s="11">
        <f>H1211+G1212</f>
        <v/>
      </c>
    </row>
    <row r="1213">
      <c r="A1213" s="9" t="n">
        <v>1209</v>
      </c>
      <c r="B1213" s="9" t="inlineStr">
        <is>
          <t>Vanguard_M5</t>
        </is>
      </c>
      <c r="C1213" s="9" t="inlineStr">
        <is>
          <t>Trendline breakout (fractal swing line) + VWAP/S-R distance gate</t>
        </is>
      </c>
      <c r="D1213" s="9" t="inlineStr">
        <is>
          <t>Long</t>
        </is>
      </c>
      <c r="E1213" s="10" t="n">
        <v>45146.49652777778</v>
      </c>
      <c r="F1213" s="10" t="n">
        <v>45146.57986111111</v>
      </c>
      <c r="G1213" s="11" t="n">
        <v>-3.8</v>
      </c>
      <c r="H1213" s="11">
        <f>H1212+G1213</f>
        <v/>
      </c>
    </row>
    <row r="1214">
      <c r="A1214" s="9" t="n">
        <v>1210</v>
      </c>
      <c r="B1214" s="9" t="inlineStr">
        <is>
          <t>Ratchet</t>
        </is>
      </c>
      <c r="C1214" s="9" t="inlineStr">
        <is>
          <t>Stochastic scalp with give-back trail exit</t>
        </is>
      </c>
      <c r="D1214" s="9" t="inlineStr">
        <is>
          <t>Short</t>
        </is>
      </c>
      <c r="E1214" s="10" t="n">
        <v>45146.77777777778</v>
      </c>
      <c r="F1214" s="10" t="n">
        <v>45146.80208333334</v>
      </c>
      <c r="G1214" s="11" t="n">
        <v>0.25</v>
      </c>
      <c r="H1214" s="11">
        <f>H1213+G1214</f>
        <v/>
      </c>
    </row>
    <row r="1215">
      <c r="A1215" s="9" t="n">
        <v>1211</v>
      </c>
      <c r="B1215" s="9" t="inlineStr">
        <is>
          <t>Ratchet</t>
        </is>
      </c>
      <c r="C1215" s="9" t="inlineStr">
        <is>
          <t>Stochastic scalp with give-back trail exit</t>
        </is>
      </c>
      <c r="D1215" s="9" t="inlineStr">
        <is>
          <t>Short</t>
        </is>
      </c>
      <c r="E1215" s="10" t="n">
        <v>45146.96180555555</v>
      </c>
      <c r="F1215" s="10" t="n">
        <v>45146.99652777778</v>
      </c>
      <c r="G1215" s="11" t="n">
        <v>-0.08</v>
      </c>
      <c r="H1215" s="11">
        <f>H1214+G1215</f>
        <v/>
      </c>
    </row>
    <row r="1216">
      <c r="A1216" s="9" t="n">
        <v>1212</v>
      </c>
      <c r="B1216" s="9" t="inlineStr">
        <is>
          <t>Aurelius_M5</t>
        </is>
      </c>
      <c r="C1216" s="9" t="inlineStr">
        <is>
          <t>MA alignment (EMA21&gt;EMA50&gt;SMA250&gt;SMMA500 vs EMA2400 trend filter)</t>
        </is>
      </c>
      <c r="D1216" s="9" t="inlineStr">
        <is>
          <t>Short</t>
        </is>
      </c>
      <c r="E1216" s="10" t="n">
        <v>45146.59722222222</v>
      </c>
      <c r="F1216" s="10" t="n">
        <v>45147.04166666666</v>
      </c>
      <c r="G1216" s="11" t="n">
        <v>7.58</v>
      </c>
      <c r="H1216" s="11">
        <f>H1215+G1216</f>
        <v/>
      </c>
    </row>
    <row r="1217">
      <c r="A1217" s="9" t="n">
        <v>1213</v>
      </c>
      <c r="B1217" s="9" t="inlineStr">
        <is>
          <t>Meridian</t>
        </is>
      </c>
      <c r="C1217" s="9" t="inlineStr">
        <is>
          <t>21/50 MA cross, 250-period confirm filter, VWAP</t>
        </is>
      </c>
      <c r="D1217" s="9" t="inlineStr">
        <is>
          <t>Short</t>
        </is>
      </c>
      <c r="E1217" s="10" t="n">
        <v>45146.56944444445</v>
      </c>
      <c r="F1217" s="10" t="n">
        <v>45147.13194444445</v>
      </c>
      <c r="G1217" s="11" t="n">
        <v>5.49</v>
      </c>
      <c r="H1217" s="11">
        <f>H1216+G1217</f>
        <v/>
      </c>
    </row>
    <row r="1218">
      <c r="A1218" s="9" t="n">
        <v>1214</v>
      </c>
      <c r="B1218" s="9" t="inlineStr">
        <is>
          <t>Aurelius_M15</t>
        </is>
      </c>
      <c r="C1218" s="9" t="inlineStr">
        <is>
          <t>MA alignment (EMA21&gt;EMA50&gt;SMA250&gt;SMMA500 vs EMA2400 trend filter) - M15 chart</t>
        </is>
      </c>
      <c r="D1218" s="9" t="inlineStr">
        <is>
          <t>Short</t>
        </is>
      </c>
      <c r="E1218" s="10" t="n">
        <v>45145.70833333334</v>
      </c>
      <c r="F1218" s="10" t="n">
        <v>45147.25</v>
      </c>
      <c r="G1218" s="11" t="n">
        <v>3.95</v>
      </c>
      <c r="H1218" s="11">
        <f>H1217+G1218</f>
        <v/>
      </c>
    </row>
    <row r="1219">
      <c r="A1219" s="9" t="n">
        <v>1215</v>
      </c>
      <c r="B1219" s="9" t="inlineStr">
        <is>
          <t>Vanguard_M5</t>
        </is>
      </c>
      <c r="C1219" s="9" t="inlineStr">
        <is>
          <t>Trendline breakout (fractal swing line) + VWAP/S-R distance gate</t>
        </is>
      </c>
      <c r="D1219" s="9" t="inlineStr">
        <is>
          <t>Long</t>
        </is>
      </c>
      <c r="E1219" s="10" t="n">
        <v>45147.19097222222</v>
      </c>
      <c r="F1219" s="10" t="n">
        <v>45147.53472222222</v>
      </c>
      <c r="G1219" s="11" t="n">
        <v>-2.66</v>
      </c>
      <c r="H1219" s="11">
        <f>H1218+G1219</f>
        <v/>
      </c>
    </row>
    <row r="1220">
      <c r="A1220" s="9" t="n">
        <v>1216</v>
      </c>
      <c r="B1220" s="9" t="inlineStr">
        <is>
          <t>Vanguard_M15</t>
        </is>
      </c>
      <c r="C1220" s="9" t="inlineStr">
        <is>
          <t>Trendline breakout (fractal swing line) + VWAP/S-R distance gate - M15 chart</t>
        </is>
      </c>
      <c r="D1220" s="9" t="inlineStr">
        <is>
          <t>Long</t>
        </is>
      </c>
      <c r="E1220" s="10" t="n">
        <v>45147.21875</v>
      </c>
      <c r="F1220" s="10" t="n">
        <v>45147.58333333334</v>
      </c>
      <c r="G1220" s="11" t="n">
        <v>-3.42</v>
      </c>
      <c r="H1220" s="11">
        <f>H1219+G1220</f>
        <v/>
      </c>
    </row>
    <row r="1221">
      <c r="A1221" s="9" t="n">
        <v>1217</v>
      </c>
      <c r="B1221" s="9" t="inlineStr">
        <is>
          <t>Ratchet</t>
        </is>
      </c>
      <c r="C1221" s="9" t="inlineStr">
        <is>
          <t>Stochastic scalp with give-back trail exit</t>
        </is>
      </c>
      <c r="D1221" s="9" t="inlineStr">
        <is>
          <t>Short</t>
        </is>
      </c>
      <c r="E1221" s="10" t="n">
        <v>45147.54861111111</v>
      </c>
      <c r="F1221" s="10" t="n">
        <v>45147.60416666666</v>
      </c>
      <c r="G1221" s="11" t="n">
        <v>0.53</v>
      </c>
      <c r="H1221" s="11">
        <f>H1220+G1221</f>
        <v/>
      </c>
    </row>
    <row r="1222">
      <c r="A1222" s="9" t="n">
        <v>1218</v>
      </c>
      <c r="B1222" s="9" t="inlineStr">
        <is>
          <t>Ratchet</t>
        </is>
      </c>
      <c r="C1222" s="9" t="inlineStr">
        <is>
          <t>Stochastic scalp with give-back trail exit</t>
        </is>
      </c>
      <c r="D1222" s="9" t="inlineStr">
        <is>
          <t>Short</t>
        </is>
      </c>
      <c r="E1222" s="10" t="n">
        <v>45147.64583333334</v>
      </c>
      <c r="F1222" s="10" t="n">
        <v>45147.64930555555</v>
      </c>
      <c r="G1222" s="11" t="n">
        <v>-2.07</v>
      </c>
      <c r="H1222" s="11">
        <f>H1221+G1222</f>
        <v/>
      </c>
    </row>
    <row r="1223">
      <c r="A1223" s="9" t="n">
        <v>1219</v>
      </c>
      <c r="B1223" s="9" t="inlineStr">
        <is>
          <t>Ratchet</t>
        </is>
      </c>
      <c r="C1223" s="9" t="inlineStr">
        <is>
          <t>Stochastic scalp with give-back trail exit</t>
        </is>
      </c>
      <c r="D1223" s="9" t="inlineStr">
        <is>
          <t>Short</t>
        </is>
      </c>
      <c r="E1223" s="10" t="n">
        <v>45147.73958333334</v>
      </c>
      <c r="F1223" s="10" t="n">
        <v>45147.99652777778</v>
      </c>
      <c r="G1223" s="11" t="n">
        <v>7.17</v>
      </c>
      <c r="H1223" s="11">
        <f>H1222+G1223</f>
        <v/>
      </c>
    </row>
    <row r="1224">
      <c r="A1224" s="9" t="n">
        <v>1220</v>
      </c>
      <c r="B1224" s="9" t="inlineStr">
        <is>
          <t>Aurelius_M5</t>
        </is>
      </c>
      <c r="C1224" s="9" t="inlineStr">
        <is>
          <t>MA alignment (EMA21&gt;EMA50&gt;SMA250&gt;SMMA500 vs EMA2400 trend filter)</t>
        </is>
      </c>
      <c r="D1224" s="9" t="inlineStr">
        <is>
          <t>Short</t>
        </is>
      </c>
      <c r="E1224" s="10" t="n">
        <v>45147.68055555555</v>
      </c>
      <c r="F1224" s="10" t="n">
        <v>45148.04166666666</v>
      </c>
      <c r="G1224" s="11" t="n">
        <v>10.64</v>
      </c>
      <c r="H1224" s="11">
        <f>H1223+G1224</f>
        <v/>
      </c>
    </row>
    <row r="1225">
      <c r="A1225" s="9" t="n">
        <v>1221</v>
      </c>
      <c r="B1225" s="9" t="inlineStr">
        <is>
          <t>Aurelius_M15</t>
        </is>
      </c>
      <c r="C1225" s="9" t="inlineStr">
        <is>
          <t>MA alignment (EMA21&gt;EMA50&gt;SMA250&gt;SMMA500 vs EMA2400 trend filter) - M15 chart</t>
        </is>
      </c>
      <c r="D1225" s="9" t="inlineStr">
        <is>
          <t>Short</t>
        </is>
      </c>
      <c r="E1225" s="10" t="n">
        <v>45147.75</v>
      </c>
      <c r="F1225" s="10" t="n">
        <v>45148.125</v>
      </c>
      <c r="G1225" s="11" t="n">
        <v>0.53</v>
      </c>
      <c r="H1225" s="11">
        <f>H1224+G1225</f>
        <v/>
      </c>
    </row>
    <row r="1226">
      <c r="A1226" s="9" t="n">
        <v>1222</v>
      </c>
      <c r="B1226" s="9" t="inlineStr">
        <is>
          <t>Meridian</t>
        </is>
      </c>
      <c r="C1226" s="9" t="inlineStr">
        <is>
          <t>21/50 MA cross, 250-period confirm filter, VWAP</t>
        </is>
      </c>
      <c r="D1226" s="9" t="inlineStr">
        <is>
          <t>Short</t>
        </is>
      </c>
      <c r="E1226" s="10" t="n">
        <v>45148.14236111111</v>
      </c>
      <c r="F1226" s="10" t="n">
        <v>45148.15625</v>
      </c>
      <c r="G1226" s="11" t="n">
        <v>-0.98</v>
      </c>
      <c r="H1226" s="11">
        <f>H1225+G1226</f>
        <v/>
      </c>
    </row>
    <row r="1227">
      <c r="A1227" s="9" t="n">
        <v>1223</v>
      </c>
      <c r="B1227" s="9" t="inlineStr">
        <is>
          <t>Meridian</t>
        </is>
      </c>
      <c r="C1227" s="9" t="inlineStr">
        <is>
          <t>21/50 MA cross, 250-period confirm filter, VWAP</t>
        </is>
      </c>
      <c r="D1227" s="9" t="inlineStr">
        <is>
          <t>Short</t>
        </is>
      </c>
      <c r="E1227" s="10" t="n">
        <v>45148.34027777778</v>
      </c>
      <c r="F1227" s="10" t="n">
        <v>45148.36458333334</v>
      </c>
      <c r="G1227" s="11" t="n">
        <v>-1.51</v>
      </c>
      <c r="H1227" s="11">
        <f>H1226+G1227</f>
        <v/>
      </c>
    </row>
    <row r="1228">
      <c r="A1228" s="9" t="n">
        <v>1224</v>
      </c>
      <c r="B1228" s="9" t="inlineStr">
        <is>
          <t>Meridian</t>
        </is>
      </c>
      <c r="C1228" s="9" t="inlineStr">
        <is>
          <t>21/50 MA cross, 250-period confirm filter, VWAP</t>
        </is>
      </c>
      <c r="D1228" s="9" t="inlineStr">
        <is>
          <t>Short</t>
        </is>
      </c>
      <c r="E1228" s="10" t="n">
        <v>45148.38194444445</v>
      </c>
      <c r="F1228" s="10" t="n">
        <v>45148.40277777778</v>
      </c>
      <c r="G1228" s="11" t="n">
        <v>-2.02</v>
      </c>
      <c r="H1228" s="11">
        <f>H1227+G1228</f>
        <v/>
      </c>
    </row>
    <row r="1229">
      <c r="A1229" s="9" t="n">
        <v>1225</v>
      </c>
      <c r="B1229" s="9" t="inlineStr">
        <is>
          <t>Ratchet</t>
        </is>
      </c>
      <c r="C1229" s="9" t="inlineStr">
        <is>
          <t>Stochastic scalp with give-back trail exit</t>
        </is>
      </c>
      <c r="D1229" s="9" t="inlineStr">
        <is>
          <t>Short</t>
        </is>
      </c>
      <c r="E1229" s="10" t="n">
        <v>45148.38888888889</v>
      </c>
      <c r="F1229" s="10" t="n">
        <v>45148.40277777778</v>
      </c>
      <c r="G1229" s="11" t="n">
        <v>-1.61</v>
      </c>
      <c r="H1229" s="11">
        <f>H1228+G1229</f>
        <v/>
      </c>
    </row>
    <row r="1230">
      <c r="A1230" s="9" t="n">
        <v>1226</v>
      </c>
      <c r="B1230" s="9" t="inlineStr">
        <is>
          <t>Aurelius_M15</t>
        </is>
      </c>
      <c r="C1230" s="9" t="inlineStr">
        <is>
          <t>MA alignment (EMA21&gt;EMA50&gt;SMA250&gt;SMMA500 vs EMA2400 trend filter) - M15 chart</t>
        </is>
      </c>
      <c r="D1230" s="9" t="inlineStr">
        <is>
          <t>Short</t>
        </is>
      </c>
      <c r="E1230" s="10" t="n">
        <v>45148.38541666666</v>
      </c>
      <c r="F1230" s="10" t="n">
        <v>45148.41666666666</v>
      </c>
      <c r="G1230" s="11" t="n">
        <v>-3.21</v>
      </c>
      <c r="H1230" s="11">
        <f>H1229+G1230</f>
        <v/>
      </c>
    </row>
    <row r="1231">
      <c r="A1231" s="9" t="n">
        <v>1227</v>
      </c>
      <c r="B1231" s="9" t="inlineStr">
        <is>
          <t>Meridian</t>
        </is>
      </c>
      <c r="C1231" s="9" t="inlineStr">
        <is>
          <t>21/50 MA cross, 250-period confirm filter, VWAP</t>
        </is>
      </c>
      <c r="D1231" s="9" t="inlineStr">
        <is>
          <t>Short</t>
        </is>
      </c>
      <c r="E1231" s="10" t="n">
        <v>45148.72222222222</v>
      </c>
      <c r="F1231" s="10" t="n">
        <v>45148.79166666666</v>
      </c>
      <c r="G1231" s="11" t="n">
        <v>-5.49</v>
      </c>
      <c r="H1231" s="11">
        <f>H1230+G1231</f>
        <v/>
      </c>
    </row>
    <row r="1232">
      <c r="A1232" s="9" t="n">
        <v>1228</v>
      </c>
      <c r="B1232" s="9" t="inlineStr">
        <is>
          <t>Ratchet</t>
        </is>
      </c>
      <c r="C1232" s="9" t="inlineStr">
        <is>
          <t>Stochastic scalp with give-back trail exit</t>
        </is>
      </c>
      <c r="D1232" s="9" t="inlineStr">
        <is>
          <t>Short</t>
        </is>
      </c>
      <c r="E1232" s="10" t="n">
        <v>45148.84722222222</v>
      </c>
      <c r="F1232" s="10" t="n">
        <v>45148.85069444445</v>
      </c>
      <c r="G1232" s="11" t="n">
        <v>0.4</v>
      </c>
      <c r="H1232" s="11">
        <f>H1231+G1232</f>
        <v/>
      </c>
    </row>
    <row r="1233">
      <c r="A1233" s="9" t="n">
        <v>1229</v>
      </c>
      <c r="B1233" s="9" t="inlineStr">
        <is>
          <t>Ratchet</t>
        </is>
      </c>
      <c r="C1233" s="9" t="inlineStr">
        <is>
          <t>Stochastic scalp with give-back trail exit</t>
        </is>
      </c>
      <c r="D1233" s="9" t="inlineStr">
        <is>
          <t>Short</t>
        </is>
      </c>
      <c r="E1233" s="10" t="n">
        <v>45148.94097222222</v>
      </c>
      <c r="F1233" s="10" t="n">
        <v>45148.95138888889</v>
      </c>
      <c r="G1233" s="11" t="n">
        <v>0.19</v>
      </c>
      <c r="H1233" s="11">
        <f>H1232+G1233</f>
        <v/>
      </c>
    </row>
    <row r="1234">
      <c r="A1234" s="9" t="n">
        <v>1230</v>
      </c>
      <c r="B1234" s="9" t="inlineStr">
        <is>
          <t>Ratchet</t>
        </is>
      </c>
      <c r="C1234" s="9" t="inlineStr">
        <is>
          <t>Stochastic scalp with give-back trail exit</t>
        </is>
      </c>
      <c r="D1234" s="9" t="inlineStr">
        <is>
          <t>Short</t>
        </is>
      </c>
      <c r="E1234" s="10" t="n">
        <v>45149.06597222222</v>
      </c>
      <c r="F1234" s="10" t="n">
        <v>45149.06944444445</v>
      </c>
      <c r="G1234" s="11" t="n">
        <v>-0</v>
      </c>
      <c r="H1234" s="11">
        <f>H1233+G1234</f>
        <v/>
      </c>
    </row>
    <row r="1235">
      <c r="A1235" s="9" t="n">
        <v>1231</v>
      </c>
      <c r="B1235" s="9" t="inlineStr">
        <is>
          <t>Meridian</t>
        </is>
      </c>
      <c r="C1235" s="9" t="inlineStr">
        <is>
          <t>21/50 MA cross, 250-period confirm filter, VWAP</t>
        </is>
      </c>
      <c r="D1235" s="9" t="inlineStr">
        <is>
          <t>Short</t>
        </is>
      </c>
      <c r="E1235" s="10" t="n">
        <v>45148.84375</v>
      </c>
      <c r="F1235" s="10" t="n">
        <v>45149.17013888889</v>
      </c>
      <c r="G1235" s="11" t="n">
        <v>2.84</v>
      </c>
      <c r="H1235" s="11">
        <f>H1234+G1235</f>
        <v/>
      </c>
    </row>
    <row r="1236">
      <c r="A1236" s="9" t="n">
        <v>1232</v>
      </c>
      <c r="B1236" s="9" t="inlineStr">
        <is>
          <t>Meridian</t>
        </is>
      </c>
      <c r="C1236" s="9" t="inlineStr">
        <is>
          <t>21/50 MA cross, 250-period confirm filter, VWAP</t>
        </is>
      </c>
      <c r="D1236" s="9" t="inlineStr">
        <is>
          <t>Short</t>
        </is>
      </c>
      <c r="E1236" s="10" t="n">
        <v>45149.3125</v>
      </c>
      <c r="F1236" s="10" t="n">
        <v>45149.35416666666</v>
      </c>
      <c r="G1236" s="11" t="n">
        <v>-1.46</v>
      </c>
      <c r="H1236" s="11">
        <f>H1235+G1236</f>
        <v/>
      </c>
    </row>
    <row r="1237">
      <c r="A1237" s="9" t="n">
        <v>1233</v>
      </c>
      <c r="B1237" s="9" t="inlineStr">
        <is>
          <t>Aurelius_M5</t>
        </is>
      </c>
      <c r="C1237" s="9" t="inlineStr">
        <is>
          <t>MA alignment (EMA21&gt;EMA50&gt;SMA250&gt;SMMA500 vs EMA2400 trend filter)</t>
        </is>
      </c>
      <c r="D1237" s="9" t="inlineStr">
        <is>
          <t>Short</t>
        </is>
      </c>
      <c r="E1237" s="10" t="n">
        <v>45149.35069444445</v>
      </c>
      <c r="F1237" s="10" t="n">
        <v>45149.35763888889</v>
      </c>
      <c r="G1237" s="11" t="n">
        <v>-1.44</v>
      </c>
      <c r="H1237" s="11">
        <f>H1236+G1237</f>
        <v/>
      </c>
    </row>
    <row r="1238">
      <c r="A1238" s="9" t="n">
        <v>1234</v>
      </c>
      <c r="B1238" s="9" t="inlineStr">
        <is>
          <t>Meridian</t>
        </is>
      </c>
      <c r="C1238" s="9" t="inlineStr">
        <is>
          <t>21/50 MA cross, 250-period confirm filter, VWAP</t>
        </is>
      </c>
      <c r="D1238" s="9" t="inlineStr">
        <is>
          <t>Short</t>
        </is>
      </c>
      <c r="E1238" s="10" t="n">
        <v>45149.65972222222</v>
      </c>
      <c r="F1238" s="10" t="n">
        <v>45149.69097222222</v>
      </c>
      <c r="G1238" s="11" t="n">
        <v>-3.27</v>
      </c>
      <c r="H1238" s="11">
        <f>H1237+G1238</f>
        <v/>
      </c>
    </row>
    <row r="1239">
      <c r="A1239" s="9" t="n">
        <v>1235</v>
      </c>
      <c r="B1239" s="9" t="inlineStr">
        <is>
          <t>Meridian</t>
        </is>
      </c>
      <c r="C1239" s="9" t="inlineStr">
        <is>
          <t>21/50 MA cross, 250-period confirm filter, VWAP</t>
        </is>
      </c>
      <c r="D1239" s="9" t="inlineStr">
        <is>
          <t>Long</t>
        </is>
      </c>
      <c r="E1239" s="10" t="n">
        <v>45149.73611111111</v>
      </c>
      <c r="F1239" s="10" t="n">
        <v>45149.77777777778</v>
      </c>
      <c r="G1239" s="11" t="n">
        <v>-4.34</v>
      </c>
      <c r="H1239" s="11">
        <f>H1238+G1239</f>
        <v/>
      </c>
    </row>
    <row r="1240">
      <c r="A1240" s="9" t="n">
        <v>1236</v>
      </c>
      <c r="B1240" s="9" t="inlineStr">
        <is>
          <t>Ratchet</t>
        </is>
      </c>
      <c r="C1240" s="9" t="inlineStr">
        <is>
          <t>Stochastic scalp with give-back trail exit</t>
        </is>
      </c>
      <c r="D1240" s="9" t="inlineStr">
        <is>
          <t>Short</t>
        </is>
      </c>
      <c r="E1240" s="10" t="n">
        <v>45149.79513888889</v>
      </c>
      <c r="F1240" s="10" t="n">
        <v>45149.87847222222</v>
      </c>
      <c r="G1240" s="11" t="n">
        <v>-0</v>
      </c>
      <c r="H1240" s="11">
        <f>H1239+G1240</f>
        <v/>
      </c>
    </row>
    <row r="1241">
      <c r="A1241" s="9" t="n">
        <v>1237</v>
      </c>
      <c r="B1241" s="9" t="inlineStr">
        <is>
          <t>Ratchet</t>
        </is>
      </c>
      <c r="C1241" s="9" t="inlineStr">
        <is>
          <t>Stochastic scalp with give-back trail exit</t>
        </is>
      </c>
      <c r="D1241" s="9" t="inlineStr">
        <is>
          <t>Short</t>
        </is>
      </c>
      <c r="E1241" s="10" t="n">
        <v>45152.17361111111</v>
      </c>
      <c r="F1241" s="10" t="n">
        <v>45152.18402777778</v>
      </c>
      <c r="G1241" s="11" t="n">
        <v>0.3</v>
      </c>
      <c r="H1241" s="11">
        <f>H1240+G1241</f>
        <v/>
      </c>
    </row>
    <row r="1242">
      <c r="A1242" s="9" t="n">
        <v>1238</v>
      </c>
      <c r="B1242" s="9" t="inlineStr">
        <is>
          <t>Meridian</t>
        </is>
      </c>
      <c r="C1242" s="9" t="inlineStr">
        <is>
          <t>21/50 MA cross, 250-period confirm filter, VWAP</t>
        </is>
      </c>
      <c r="D1242" s="9" t="inlineStr">
        <is>
          <t>Short</t>
        </is>
      </c>
      <c r="E1242" s="10" t="n">
        <v>45152.07638888889</v>
      </c>
      <c r="F1242" s="10" t="n">
        <v>45152.28819444445</v>
      </c>
      <c r="G1242" s="11" t="n">
        <v>1.15</v>
      </c>
      <c r="H1242" s="11">
        <f>H1241+G1242</f>
        <v/>
      </c>
    </row>
    <row r="1243">
      <c r="A1243" s="9" t="n">
        <v>1239</v>
      </c>
      <c r="B1243" s="9" t="inlineStr">
        <is>
          <t>Meridian</t>
        </is>
      </c>
      <c r="C1243" s="9" t="inlineStr">
        <is>
          <t>21/50 MA cross, 250-period confirm filter, VWAP</t>
        </is>
      </c>
      <c r="D1243" s="9" t="inlineStr">
        <is>
          <t>Long</t>
        </is>
      </c>
      <c r="E1243" s="10" t="n">
        <v>45152.44444444445</v>
      </c>
      <c r="F1243" s="10" t="n">
        <v>45152.52083333334</v>
      </c>
      <c r="G1243" s="11" t="n">
        <v>-2.43</v>
      </c>
      <c r="H1243" s="11">
        <f>H1242+G1243</f>
        <v/>
      </c>
    </row>
    <row r="1244">
      <c r="A1244" s="9" t="n">
        <v>1240</v>
      </c>
      <c r="B1244" s="9" t="inlineStr">
        <is>
          <t>Vanguard_M15</t>
        </is>
      </c>
      <c r="C1244" s="9" t="inlineStr">
        <is>
          <t>Trendline breakout (fractal swing line) + VWAP/S-R distance gate - M15 chart</t>
        </is>
      </c>
      <c r="D1244" s="9" t="inlineStr">
        <is>
          <t>Long</t>
        </is>
      </c>
      <c r="E1244" s="10" t="n">
        <v>45152.44791666666</v>
      </c>
      <c r="F1244" s="10" t="n">
        <v>45152.625</v>
      </c>
      <c r="G1244" s="11" t="n">
        <v>-4.02</v>
      </c>
      <c r="H1244" s="11">
        <f>H1243+G1244</f>
        <v/>
      </c>
    </row>
    <row r="1245">
      <c r="A1245" s="9" t="n">
        <v>1241</v>
      </c>
      <c r="B1245" s="9" t="inlineStr">
        <is>
          <t>Vanguard_M5</t>
        </is>
      </c>
      <c r="C1245" s="9" t="inlineStr">
        <is>
          <t>Trendline breakout (fractal swing line) + VWAP/S-R distance gate</t>
        </is>
      </c>
      <c r="D1245" s="9" t="inlineStr">
        <is>
          <t>Long</t>
        </is>
      </c>
      <c r="E1245" s="10" t="n">
        <v>45152.44444444445</v>
      </c>
      <c r="F1245" s="10" t="n">
        <v>45152.62847222222</v>
      </c>
      <c r="G1245" s="11" t="n">
        <v>-3.88</v>
      </c>
      <c r="H1245" s="11">
        <f>H1244+G1245</f>
        <v/>
      </c>
    </row>
    <row r="1246">
      <c r="A1246" s="9" t="n">
        <v>1242</v>
      </c>
      <c r="B1246" s="9" t="inlineStr">
        <is>
          <t>Aurelius_M5</t>
        </is>
      </c>
      <c r="C1246" s="9" t="inlineStr">
        <is>
          <t>MA alignment (EMA21&gt;EMA50&gt;SMA250&gt;SMMA500 vs EMA2400 trend filter)</t>
        </is>
      </c>
      <c r="D1246" s="9" t="inlineStr">
        <is>
          <t>Short</t>
        </is>
      </c>
      <c r="E1246" s="10" t="n">
        <v>45152.64236111111</v>
      </c>
      <c r="F1246" s="10" t="n">
        <v>45152.65277777778</v>
      </c>
      <c r="G1246" s="11" t="n">
        <v>-2.92</v>
      </c>
      <c r="H1246" s="11">
        <f>H1245+G1246</f>
        <v/>
      </c>
    </row>
    <row r="1247">
      <c r="A1247" s="9" t="n">
        <v>1243</v>
      </c>
      <c r="B1247" s="9" t="inlineStr">
        <is>
          <t>Ratchet</t>
        </is>
      </c>
      <c r="C1247" s="9" t="inlineStr">
        <is>
          <t>Stochastic scalp with give-back trail exit</t>
        </is>
      </c>
      <c r="D1247" s="9" t="inlineStr">
        <is>
          <t>Short</t>
        </is>
      </c>
      <c r="E1247" s="10" t="n">
        <v>45152.64930555555</v>
      </c>
      <c r="F1247" s="10" t="n">
        <v>45152.65277777778</v>
      </c>
      <c r="G1247" s="11" t="n">
        <v>-2.42</v>
      </c>
      <c r="H1247" s="11">
        <f>H1246+G1247</f>
        <v/>
      </c>
    </row>
    <row r="1248">
      <c r="A1248" s="9" t="n">
        <v>1244</v>
      </c>
      <c r="B1248" s="9" t="inlineStr">
        <is>
          <t>Aurelius_M15</t>
        </is>
      </c>
      <c r="C1248" s="9" t="inlineStr">
        <is>
          <t>MA alignment (EMA21&gt;EMA50&gt;SMA250&gt;SMMA500 vs EMA2400 trend filter) - M15 chart</t>
        </is>
      </c>
      <c r="D1248" s="9" t="inlineStr">
        <is>
          <t>Short</t>
        </is>
      </c>
      <c r="E1248" s="10" t="n">
        <v>45152.6875</v>
      </c>
      <c r="F1248" s="10" t="n">
        <v>45152.72916666666</v>
      </c>
      <c r="G1248" s="11" t="n">
        <v>-5.49</v>
      </c>
      <c r="H1248" s="11">
        <f>H1247+G1248</f>
        <v/>
      </c>
    </row>
    <row r="1249">
      <c r="A1249" s="9" t="n">
        <v>1245</v>
      </c>
      <c r="B1249" s="9" t="inlineStr">
        <is>
          <t>Ratchet</t>
        </is>
      </c>
      <c r="C1249" s="9" t="inlineStr">
        <is>
          <t>Stochastic scalp with give-back trail exit</t>
        </is>
      </c>
      <c r="D1249" s="9" t="inlineStr">
        <is>
          <t>Short</t>
        </is>
      </c>
      <c r="E1249" s="10" t="n">
        <v>45152.91319444445</v>
      </c>
      <c r="F1249" s="10" t="n">
        <v>45152.9375</v>
      </c>
      <c r="G1249" s="11" t="n">
        <v>0.25</v>
      </c>
      <c r="H1249" s="11">
        <f>H1248+G1249</f>
        <v/>
      </c>
    </row>
    <row r="1250">
      <c r="A1250" s="9" t="n">
        <v>1246</v>
      </c>
      <c r="B1250" s="9" t="inlineStr">
        <is>
          <t>Vanguard_M5</t>
        </is>
      </c>
      <c r="C1250" s="9" t="inlineStr">
        <is>
          <t>Trendline breakout (fractal swing line) + VWAP/S-R distance gate</t>
        </is>
      </c>
      <c r="D1250" s="9" t="inlineStr">
        <is>
          <t>Long</t>
        </is>
      </c>
      <c r="E1250" s="10" t="n">
        <v>45152.77777777778</v>
      </c>
      <c r="F1250" s="10" t="n">
        <v>45153.08333333334</v>
      </c>
      <c r="G1250" s="11" t="n">
        <v>-5.63</v>
      </c>
      <c r="H1250" s="11">
        <f>H1249+G1250</f>
        <v/>
      </c>
    </row>
    <row r="1251">
      <c r="A1251" s="9" t="n">
        <v>1247</v>
      </c>
      <c r="B1251" s="9" t="inlineStr">
        <is>
          <t>Ratchet</t>
        </is>
      </c>
      <c r="C1251" s="9" t="inlineStr">
        <is>
          <t>Stochastic scalp with give-back trail exit</t>
        </is>
      </c>
      <c r="D1251" s="9" t="inlineStr">
        <is>
          <t>Short</t>
        </is>
      </c>
      <c r="E1251" s="10" t="n">
        <v>45153.05555555555</v>
      </c>
      <c r="F1251" s="10" t="n">
        <v>45153.08680555555</v>
      </c>
      <c r="G1251" s="11" t="n">
        <v>0.5</v>
      </c>
      <c r="H1251" s="11">
        <f>H1250+G1251</f>
        <v/>
      </c>
    </row>
    <row r="1252">
      <c r="A1252" s="9" t="n">
        <v>1248</v>
      </c>
      <c r="B1252" s="9" t="inlineStr">
        <is>
          <t>Ratchet</t>
        </is>
      </c>
      <c r="C1252" s="9" t="inlineStr">
        <is>
          <t>Stochastic scalp with give-back trail exit</t>
        </is>
      </c>
      <c r="D1252" s="9" t="inlineStr">
        <is>
          <t>Short</t>
        </is>
      </c>
      <c r="E1252" s="10" t="n">
        <v>45153.11111111111</v>
      </c>
      <c r="F1252" s="10" t="n">
        <v>45153.11458333334</v>
      </c>
      <c r="G1252" s="11" t="n">
        <v>-0.97</v>
      </c>
      <c r="H1252" s="11">
        <f>H1251+G1252</f>
        <v/>
      </c>
    </row>
    <row r="1253">
      <c r="A1253" s="9" t="n">
        <v>1249</v>
      </c>
      <c r="B1253" s="9" t="inlineStr">
        <is>
          <t>Vanguard_M15</t>
        </is>
      </c>
      <c r="C1253" s="9" t="inlineStr">
        <is>
          <t>Trendline breakout (fractal swing line) + VWAP/S-R distance gate - M15 chart</t>
        </is>
      </c>
      <c r="D1253" s="9" t="inlineStr">
        <is>
          <t>Long</t>
        </is>
      </c>
      <c r="E1253" s="10" t="n">
        <v>45152.78125</v>
      </c>
      <c r="F1253" s="10" t="n">
        <v>45153.1875</v>
      </c>
      <c r="G1253" s="11" t="n">
        <v>-7.17</v>
      </c>
      <c r="H1253" s="11">
        <f>H1252+G1253</f>
        <v/>
      </c>
    </row>
    <row r="1254">
      <c r="A1254" s="9" t="n">
        <v>1250</v>
      </c>
      <c r="B1254" s="9" t="inlineStr">
        <is>
          <t>Aurelius_M5</t>
        </is>
      </c>
      <c r="C1254" s="9" t="inlineStr">
        <is>
          <t>MA alignment (EMA21&gt;EMA50&gt;SMA250&gt;SMMA500 vs EMA2400 trend filter)</t>
        </is>
      </c>
      <c r="D1254" s="9" t="inlineStr">
        <is>
          <t>Short</t>
        </is>
      </c>
      <c r="E1254" s="10" t="n">
        <v>45153.1875</v>
      </c>
      <c r="F1254" s="10" t="n">
        <v>45153.29513888889</v>
      </c>
      <c r="G1254" s="11" t="n">
        <v>-0.2</v>
      </c>
      <c r="H1254" s="11">
        <f>H1253+G1254</f>
        <v/>
      </c>
    </row>
    <row r="1255">
      <c r="A1255" s="9" t="n">
        <v>1251</v>
      </c>
      <c r="B1255" s="9" t="inlineStr">
        <is>
          <t>Meridian</t>
        </is>
      </c>
      <c r="C1255" s="9" t="inlineStr">
        <is>
          <t>21/50 MA cross, 250-period confirm filter, VWAP</t>
        </is>
      </c>
      <c r="D1255" s="9" t="inlineStr">
        <is>
          <t>Short</t>
        </is>
      </c>
      <c r="E1255" s="10" t="n">
        <v>45152.89930555555</v>
      </c>
      <c r="F1255" s="10" t="n">
        <v>45153.29861111111</v>
      </c>
      <c r="G1255" s="11" t="n">
        <v>1.74</v>
      </c>
      <c r="H1255" s="11">
        <f>H1254+G1255</f>
        <v/>
      </c>
    </row>
    <row r="1256">
      <c r="A1256" s="9" t="n">
        <v>1252</v>
      </c>
      <c r="B1256" s="9" t="inlineStr">
        <is>
          <t>Aurelius_M5</t>
        </is>
      </c>
      <c r="C1256" s="9" t="inlineStr">
        <is>
          <t>MA alignment (EMA21&gt;EMA50&gt;SMA250&gt;SMMA500 vs EMA2400 trend filter)</t>
        </is>
      </c>
      <c r="D1256" s="9" t="inlineStr">
        <is>
          <t>Short</t>
        </is>
      </c>
      <c r="E1256" s="10" t="n">
        <v>45153.375</v>
      </c>
      <c r="F1256" s="10" t="n">
        <v>45153.38888888889</v>
      </c>
      <c r="G1256" s="11" t="n">
        <v>-1.81</v>
      </c>
      <c r="H1256" s="11">
        <f>H1255+G1256</f>
        <v/>
      </c>
    </row>
    <row r="1257">
      <c r="A1257" s="9" t="n">
        <v>1253</v>
      </c>
      <c r="B1257" s="9" t="inlineStr">
        <is>
          <t>Ratchet</t>
        </is>
      </c>
      <c r="C1257" s="9" t="inlineStr">
        <is>
          <t>Stochastic scalp with give-back trail exit</t>
        </is>
      </c>
      <c r="D1257" s="9" t="inlineStr">
        <is>
          <t>Short</t>
        </is>
      </c>
      <c r="E1257" s="10" t="n">
        <v>45153.40972222222</v>
      </c>
      <c r="F1257" s="10" t="n">
        <v>45153.44444444445</v>
      </c>
      <c r="G1257" s="11" t="n">
        <v>-0</v>
      </c>
      <c r="H1257" s="11">
        <f>H1256+G1257</f>
        <v/>
      </c>
    </row>
    <row r="1258">
      <c r="A1258" s="9" t="n">
        <v>1254</v>
      </c>
      <c r="B1258" s="9" t="inlineStr">
        <is>
          <t>Ratchet</t>
        </is>
      </c>
      <c r="C1258" s="9" t="inlineStr">
        <is>
          <t>Stochastic scalp with give-back trail exit</t>
        </is>
      </c>
      <c r="D1258" s="9" t="inlineStr">
        <is>
          <t>Short</t>
        </is>
      </c>
      <c r="E1258" s="10" t="n">
        <v>45153.52430555555</v>
      </c>
      <c r="F1258" s="10" t="n">
        <v>45153.53125</v>
      </c>
      <c r="G1258" s="11" t="n">
        <v>-1.33</v>
      </c>
      <c r="H1258" s="11">
        <f>H1257+G1258</f>
        <v/>
      </c>
    </row>
    <row r="1259">
      <c r="A1259" s="9" t="n">
        <v>1255</v>
      </c>
      <c r="B1259" s="9" t="inlineStr">
        <is>
          <t>Ratchet</t>
        </is>
      </c>
      <c r="C1259" s="9" t="inlineStr">
        <is>
          <t>Stochastic scalp with give-back trail exit</t>
        </is>
      </c>
      <c r="D1259" s="9" t="inlineStr">
        <is>
          <t>Short</t>
        </is>
      </c>
      <c r="E1259" s="10" t="n">
        <v>45153.56597222222</v>
      </c>
      <c r="F1259" s="10" t="n">
        <v>45153.59375</v>
      </c>
      <c r="G1259" s="11" t="n">
        <v>0.15</v>
      </c>
      <c r="H1259" s="11">
        <f>H1258+G1259</f>
        <v/>
      </c>
    </row>
    <row r="1260">
      <c r="A1260" s="9" t="n">
        <v>1256</v>
      </c>
      <c r="B1260" s="9" t="inlineStr">
        <is>
          <t>Aurelius_M5</t>
        </is>
      </c>
      <c r="C1260" s="9" t="inlineStr">
        <is>
          <t>MA alignment (EMA21&gt;EMA50&gt;SMA250&gt;SMMA500 vs EMA2400 trend filter)</t>
        </is>
      </c>
      <c r="D1260" s="9" t="inlineStr">
        <is>
          <t>Short</t>
        </is>
      </c>
      <c r="E1260" s="10" t="n">
        <v>45153.40625</v>
      </c>
      <c r="F1260" s="10" t="n">
        <v>45153.67361111111</v>
      </c>
      <c r="G1260" s="11" t="n">
        <v>-2.48</v>
      </c>
      <c r="H1260" s="11">
        <f>H1259+G1260</f>
        <v/>
      </c>
    </row>
    <row r="1261">
      <c r="A1261" s="9" t="n">
        <v>1257</v>
      </c>
      <c r="B1261" s="9" t="inlineStr">
        <is>
          <t>Meridian</t>
        </is>
      </c>
      <c r="C1261" s="9" t="inlineStr">
        <is>
          <t>21/50 MA cross, 250-period confirm filter, VWAP</t>
        </is>
      </c>
      <c r="D1261" s="9" t="inlineStr">
        <is>
          <t>Short</t>
        </is>
      </c>
      <c r="E1261" s="10" t="n">
        <v>45153.35763888889</v>
      </c>
      <c r="F1261" s="10" t="n">
        <v>45153.67708333334</v>
      </c>
      <c r="G1261" s="11" t="n">
        <v>-1.57</v>
      </c>
      <c r="H1261" s="11">
        <f>H1260+G1261</f>
        <v/>
      </c>
    </row>
    <row r="1262">
      <c r="A1262" s="9" t="n">
        <v>1258</v>
      </c>
      <c r="B1262" s="9" t="inlineStr">
        <is>
          <t>Meridian</t>
        </is>
      </c>
      <c r="C1262" s="9" t="inlineStr">
        <is>
          <t>21/50 MA cross, 250-period confirm filter, VWAP</t>
        </is>
      </c>
      <c r="D1262" s="9" t="inlineStr">
        <is>
          <t>Short</t>
        </is>
      </c>
      <c r="E1262" s="10" t="n">
        <v>45153.69097222222</v>
      </c>
      <c r="F1262" s="10" t="n">
        <v>45153.72222222222</v>
      </c>
      <c r="G1262" s="11" t="n">
        <v>-4.32</v>
      </c>
      <c r="H1262" s="11">
        <f>H1261+G1262</f>
        <v/>
      </c>
    </row>
    <row r="1263">
      <c r="A1263" s="9" t="n">
        <v>1259</v>
      </c>
      <c r="B1263" s="9" t="inlineStr">
        <is>
          <t>Aurelius_M15</t>
        </is>
      </c>
      <c r="C1263" s="9" t="inlineStr">
        <is>
          <t>MA alignment (EMA21&gt;EMA50&gt;SMA250&gt;SMMA500 vs EMA2400 trend filter) - M15 chart</t>
        </is>
      </c>
      <c r="D1263" s="9" t="inlineStr">
        <is>
          <t>Short</t>
        </is>
      </c>
      <c r="E1263" s="10" t="n">
        <v>45153.38541666666</v>
      </c>
      <c r="F1263" s="10" t="n">
        <v>45153.72916666666</v>
      </c>
      <c r="G1263" s="11" t="n">
        <v>-3.07</v>
      </c>
      <c r="H1263" s="11">
        <f>H1262+G1263</f>
        <v/>
      </c>
    </row>
    <row r="1264">
      <c r="A1264" s="9" t="n">
        <v>1260</v>
      </c>
      <c r="B1264" s="9" t="inlineStr">
        <is>
          <t>Ratchet</t>
        </is>
      </c>
      <c r="C1264" s="9" t="inlineStr">
        <is>
          <t>Stochastic scalp with give-back trail exit</t>
        </is>
      </c>
      <c r="D1264" s="9" t="inlineStr">
        <is>
          <t>Short</t>
        </is>
      </c>
      <c r="E1264" s="10" t="n">
        <v>45153.95138888889</v>
      </c>
      <c r="F1264" s="10" t="n">
        <v>45153.95486111111</v>
      </c>
      <c r="G1264" s="11" t="n">
        <v>-0</v>
      </c>
      <c r="H1264" s="11">
        <f>H1263+G1264</f>
        <v/>
      </c>
    </row>
    <row r="1265">
      <c r="A1265" s="9" t="n">
        <v>1261</v>
      </c>
      <c r="B1265" s="9" t="inlineStr">
        <is>
          <t>Vanguard_M15</t>
        </is>
      </c>
      <c r="C1265" s="9" t="inlineStr">
        <is>
          <t>Trendline breakout (fractal swing line) + VWAP/S-R distance gate - M15 chart</t>
        </is>
      </c>
      <c r="D1265" s="9" t="inlineStr">
        <is>
          <t>Long</t>
        </is>
      </c>
      <c r="E1265" s="10" t="n">
        <v>45153.75</v>
      </c>
      <c r="F1265" s="10" t="n">
        <v>45153.98958333334</v>
      </c>
      <c r="G1265" s="11" t="n">
        <v>-8.68</v>
      </c>
      <c r="H1265" s="11">
        <f>H1264+G1265</f>
        <v/>
      </c>
    </row>
    <row r="1266">
      <c r="A1266" s="9" t="n">
        <v>1262</v>
      </c>
      <c r="B1266" s="9" t="inlineStr">
        <is>
          <t>Ratchet</t>
        </is>
      </c>
      <c r="C1266" s="9" t="inlineStr">
        <is>
          <t>Stochastic scalp with give-back trail exit</t>
        </is>
      </c>
      <c r="D1266" s="9" t="inlineStr">
        <is>
          <t>Short</t>
        </is>
      </c>
      <c r="E1266" s="10" t="n">
        <v>45153.95833333334</v>
      </c>
      <c r="F1266" s="10" t="n">
        <v>45153.99652777778</v>
      </c>
      <c r="G1266" s="11" t="n">
        <v>0.82</v>
      </c>
      <c r="H1266" s="11">
        <f>H1265+G1266</f>
        <v/>
      </c>
    </row>
    <row r="1267">
      <c r="A1267" s="9" t="n">
        <v>1263</v>
      </c>
      <c r="B1267" s="9" t="inlineStr">
        <is>
          <t>Vanguard_M5</t>
        </is>
      </c>
      <c r="C1267" s="9" t="inlineStr">
        <is>
          <t>Trendline breakout (fractal swing line) + VWAP/S-R distance gate</t>
        </is>
      </c>
      <c r="D1267" s="9" t="inlineStr">
        <is>
          <t>Long</t>
        </is>
      </c>
      <c r="E1267" s="10" t="n">
        <v>45153.73611111111</v>
      </c>
      <c r="F1267" s="10" t="n">
        <v>45154.04166666666</v>
      </c>
      <c r="G1267" s="11" t="n">
        <v>-8.09</v>
      </c>
      <c r="H1267" s="11">
        <f>H1266+G1267</f>
        <v/>
      </c>
    </row>
    <row r="1268">
      <c r="A1268" s="9" t="n">
        <v>1264</v>
      </c>
      <c r="B1268" s="9" t="inlineStr">
        <is>
          <t>Ratchet</t>
        </is>
      </c>
      <c r="C1268" s="9" t="inlineStr">
        <is>
          <t>Stochastic scalp with give-back trail exit</t>
        </is>
      </c>
      <c r="D1268" s="9" t="inlineStr">
        <is>
          <t>Short</t>
        </is>
      </c>
      <c r="E1268" s="10" t="n">
        <v>45154.06597222222</v>
      </c>
      <c r="F1268" s="10" t="n">
        <v>45154.07291666666</v>
      </c>
      <c r="G1268" s="11" t="n">
        <v>0.09</v>
      </c>
      <c r="H1268" s="11">
        <f>H1267+G1268</f>
        <v/>
      </c>
    </row>
    <row r="1269">
      <c r="A1269" s="9" t="n">
        <v>1265</v>
      </c>
      <c r="B1269" s="9" t="inlineStr">
        <is>
          <t>Aurelius_M5</t>
        </is>
      </c>
      <c r="C1269" s="9" t="inlineStr">
        <is>
          <t>MA alignment (EMA21&gt;EMA50&gt;SMA250&gt;SMMA500 vs EMA2400 trend filter)</t>
        </is>
      </c>
      <c r="D1269" s="9" t="inlineStr">
        <is>
          <t>Short</t>
        </is>
      </c>
      <c r="E1269" s="10" t="n">
        <v>45154.17013888889</v>
      </c>
      <c r="F1269" s="10" t="n">
        <v>45154.1875</v>
      </c>
      <c r="G1269" s="11" t="n">
        <v>-1.42</v>
      </c>
      <c r="H1269" s="11">
        <f>H1268+G1269</f>
        <v/>
      </c>
    </row>
    <row r="1270">
      <c r="A1270" s="9" t="n">
        <v>1266</v>
      </c>
      <c r="B1270" s="9" t="inlineStr">
        <is>
          <t>Meridian</t>
        </is>
      </c>
      <c r="C1270" s="9" t="inlineStr">
        <is>
          <t>21/50 MA cross, 250-period confirm filter, VWAP</t>
        </is>
      </c>
      <c r="D1270" s="9" t="inlineStr">
        <is>
          <t>Short</t>
        </is>
      </c>
      <c r="E1270" s="10" t="n">
        <v>45153.83333333334</v>
      </c>
      <c r="F1270" s="10" t="n">
        <v>45154.20138888889</v>
      </c>
      <c r="G1270" s="11" t="n">
        <v>0.43</v>
      </c>
      <c r="H1270" s="11">
        <f>H1269+G1270</f>
        <v/>
      </c>
    </row>
    <row r="1271">
      <c r="A1271" s="9" t="n">
        <v>1267</v>
      </c>
      <c r="B1271" s="9" t="inlineStr">
        <is>
          <t>Meridian</t>
        </is>
      </c>
      <c r="C1271" s="9" t="inlineStr">
        <is>
          <t>21/50 MA cross, 250-period confirm filter, VWAP</t>
        </is>
      </c>
      <c r="D1271" s="9" t="inlineStr">
        <is>
          <t>Long</t>
        </is>
      </c>
      <c r="E1271" s="10" t="n">
        <v>45154.47916666666</v>
      </c>
      <c r="F1271" s="10" t="n">
        <v>45154.61805555555</v>
      </c>
      <c r="G1271" s="11" t="n">
        <v>-0.9</v>
      </c>
      <c r="H1271" s="11">
        <f>H1270+G1271</f>
        <v/>
      </c>
    </row>
    <row r="1272">
      <c r="A1272" s="9" t="n">
        <v>1268</v>
      </c>
      <c r="B1272" s="9" t="inlineStr">
        <is>
          <t>Ratchet</t>
        </is>
      </c>
      <c r="C1272" s="9" t="inlineStr">
        <is>
          <t>Stochastic scalp with give-back trail exit</t>
        </is>
      </c>
      <c r="D1272" s="9" t="inlineStr">
        <is>
          <t>Short</t>
        </is>
      </c>
      <c r="E1272" s="10" t="n">
        <v>45155.15625</v>
      </c>
      <c r="F1272" s="10" t="n">
        <v>45155.16319444445</v>
      </c>
      <c r="G1272" s="11" t="n">
        <v>-0</v>
      </c>
      <c r="H1272" s="11">
        <f>H1271+G1272</f>
        <v/>
      </c>
    </row>
    <row r="1273">
      <c r="A1273" s="9" t="n">
        <v>1269</v>
      </c>
      <c r="B1273" s="9" t="inlineStr">
        <is>
          <t>Meridian</t>
        </is>
      </c>
      <c r="C1273" s="9" t="inlineStr">
        <is>
          <t>21/50 MA cross, 250-period confirm filter, VWAP</t>
        </is>
      </c>
      <c r="D1273" s="9" t="inlineStr">
        <is>
          <t>Short</t>
        </is>
      </c>
      <c r="E1273" s="10" t="n">
        <v>45155.36805555555</v>
      </c>
      <c r="F1273" s="10" t="n">
        <v>45155.375</v>
      </c>
      <c r="G1273" s="11" t="n">
        <v>-1.19</v>
      </c>
      <c r="H1273" s="11">
        <f>H1272+G1273</f>
        <v/>
      </c>
    </row>
    <row r="1274">
      <c r="A1274" s="9" t="n">
        <v>1270</v>
      </c>
      <c r="B1274" s="9" t="inlineStr">
        <is>
          <t>Aurelius_M15</t>
        </is>
      </c>
      <c r="C1274" s="9" t="inlineStr">
        <is>
          <t>MA alignment (EMA21&gt;EMA50&gt;SMA250&gt;SMMA500 vs EMA2400 trend filter) - M15 chart</t>
        </is>
      </c>
      <c r="D1274" s="9" t="inlineStr">
        <is>
          <t>Short</t>
        </is>
      </c>
      <c r="E1274" s="10" t="n">
        <v>45154.8125</v>
      </c>
      <c r="F1274" s="10" t="n">
        <v>45155.44791666666</v>
      </c>
      <c r="G1274" s="11" t="n">
        <v>3.58</v>
      </c>
      <c r="H1274" s="11">
        <f>H1273+G1274</f>
        <v/>
      </c>
    </row>
    <row r="1275">
      <c r="A1275" s="9" t="n">
        <v>1271</v>
      </c>
      <c r="B1275" s="9" t="inlineStr">
        <is>
          <t>Ratchet</t>
        </is>
      </c>
      <c r="C1275" s="9" t="inlineStr">
        <is>
          <t>Stochastic scalp with give-back trail exit</t>
        </is>
      </c>
      <c r="D1275" s="9" t="inlineStr">
        <is>
          <t>Short</t>
        </is>
      </c>
      <c r="E1275" s="10" t="n">
        <v>45155.52430555555</v>
      </c>
      <c r="F1275" s="10" t="n">
        <v>45155.53125</v>
      </c>
      <c r="G1275" s="11" t="n">
        <v>-1.18</v>
      </c>
      <c r="H1275" s="11">
        <f>H1274+G1275</f>
        <v/>
      </c>
    </row>
    <row r="1276">
      <c r="A1276" s="9" t="n">
        <v>1272</v>
      </c>
      <c r="B1276" s="9" t="inlineStr">
        <is>
          <t>Meridian</t>
        </is>
      </c>
      <c r="C1276" s="9" t="inlineStr">
        <is>
          <t>21/50 MA cross, 250-period confirm filter, VWAP</t>
        </is>
      </c>
      <c r="D1276" s="9" t="inlineStr">
        <is>
          <t>Short</t>
        </is>
      </c>
      <c r="E1276" s="10" t="n">
        <v>45155.52430555555</v>
      </c>
      <c r="F1276" s="10" t="n">
        <v>45155.54166666666</v>
      </c>
      <c r="G1276" s="11" t="n">
        <v>-1.8</v>
      </c>
      <c r="H1276" s="11">
        <f>H1275+G1276</f>
        <v/>
      </c>
    </row>
    <row r="1277">
      <c r="A1277" s="9" t="n">
        <v>1273</v>
      </c>
      <c r="B1277" s="9" t="inlineStr">
        <is>
          <t>Vanguard_M5</t>
        </is>
      </c>
      <c r="C1277" s="9" t="inlineStr">
        <is>
          <t>Trendline breakout (fractal swing line) + VWAP/S-R distance gate</t>
        </is>
      </c>
      <c r="D1277" s="9" t="inlineStr">
        <is>
          <t>Long</t>
        </is>
      </c>
      <c r="E1277" s="10" t="n">
        <v>45155.67361111111</v>
      </c>
      <c r="F1277" s="10" t="n">
        <v>45155.70486111111</v>
      </c>
      <c r="G1277" s="11" t="n">
        <v>-6.43</v>
      </c>
      <c r="H1277" s="11">
        <f>H1276+G1277</f>
        <v/>
      </c>
    </row>
    <row r="1278">
      <c r="A1278" s="9" t="n">
        <v>1274</v>
      </c>
      <c r="B1278" s="9" t="inlineStr">
        <is>
          <t>Vanguard_M15</t>
        </is>
      </c>
      <c r="C1278" s="9" t="inlineStr">
        <is>
          <t>Trendline breakout (fractal swing line) + VWAP/S-R distance gate - M15 chart</t>
        </is>
      </c>
      <c r="D1278" s="9" t="inlineStr">
        <is>
          <t>Long</t>
        </is>
      </c>
      <c r="E1278" s="10" t="n">
        <v>45155.67708333334</v>
      </c>
      <c r="F1278" s="10" t="n">
        <v>45155.70833333334</v>
      </c>
      <c r="G1278" s="11" t="n">
        <v>-6.21</v>
      </c>
      <c r="H1278" s="11">
        <f>H1277+G1278</f>
        <v/>
      </c>
    </row>
    <row r="1279">
      <c r="A1279" s="9" t="n">
        <v>1275</v>
      </c>
      <c r="B1279" s="9" t="inlineStr">
        <is>
          <t>Ratchet</t>
        </is>
      </c>
      <c r="C1279" s="9" t="inlineStr">
        <is>
          <t>Stochastic scalp with give-back trail exit</t>
        </is>
      </c>
      <c r="D1279" s="9" t="inlineStr">
        <is>
          <t>Short</t>
        </is>
      </c>
      <c r="E1279" s="10" t="n">
        <v>45155.78125</v>
      </c>
      <c r="F1279" s="10" t="n">
        <v>45155.99652777778</v>
      </c>
      <c r="G1279" s="11" t="n">
        <v>3.55</v>
      </c>
      <c r="H1279" s="11">
        <f>H1278+G1279</f>
        <v/>
      </c>
    </row>
    <row r="1280">
      <c r="A1280" s="9" t="n">
        <v>1276</v>
      </c>
      <c r="B1280" s="9" t="inlineStr">
        <is>
          <t>Meridian</t>
        </is>
      </c>
      <c r="C1280" s="9" t="inlineStr">
        <is>
          <t>21/50 MA cross, 250-period confirm filter, VWAP</t>
        </is>
      </c>
      <c r="D1280" s="9" t="inlineStr">
        <is>
          <t>Short</t>
        </is>
      </c>
      <c r="E1280" s="10" t="n">
        <v>45156.32986111111</v>
      </c>
      <c r="F1280" s="10" t="n">
        <v>45156.35763888889</v>
      </c>
      <c r="G1280" s="11" t="n">
        <v>-1.48</v>
      </c>
      <c r="H1280" s="11">
        <f>H1279+G1280</f>
        <v/>
      </c>
    </row>
    <row r="1281">
      <c r="A1281" s="9" t="n">
        <v>1277</v>
      </c>
      <c r="B1281" s="9" t="inlineStr">
        <is>
          <t>Meridian</t>
        </is>
      </c>
      <c r="C1281" s="9" t="inlineStr">
        <is>
          <t>21/50 MA cross, 250-period confirm filter, VWAP</t>
        </is>
      </c>
      <c r="D1281" s="9" t="inlineStr">
        <is>
          <t>Long</t>
        </is>
      </c>
      <c r="E1281" s="10" t="n">
        <v>45156.36805555555</v>
      </c>
      <c r="F1281" s="10" t="n">
        <v>45156.47569444445</v>
      </c>
      <c r="G1281" s="11" t="n">
        <v>-1.56</v>
      </c>
      <c r="H1281" s="11">
        <f>H1280+G1281</f>
        <v/>
      </c>
    </row>
    <row r="1282">
      <c r="A1282" s="9" t="n">
        <v>1278</v>
      </c>
      <c r="B1282" s="9" t="inlineStr">
        <is>
          <t>Meridian</t>
        </is>
      </c>
      <c r="C1282" s="9" t="inlineStr">
        <is>
          <t>21/50 MA cross, 250-period confirm filter, VWAP</t>
        </is>
      </c>
      <c r="D1282" s="9" t="inlineStr">
        <is>
          <t>Short</t>
        </is>
      </c>
      <c r="E1282" s="10" t="n">
        <v>45156.48958333334</v>
      </c>
      <c r="F1282" s="10" t="n">
        <v>45156.54513888889</v>
      </c>
      <c r="G1282" s="11" t="n">
        <v>-2.22</v>
      </c>
      <c r="H1282" s="11">
        <f>H1281+G1282</f>
        <v/>
      </c>
    </row>
    <row r="1283">
      <c r="A1283" s="9" t="n">
        <v>1279</v>
      </c>
      <c r="B1283" s="9" t="inlineStr">
        <is>
          <t>Vanguard_M15</t>
        </is>
      </c>
      <c r="C1283" s="9" t="inlineStr">
        <is>
          <t>Trendline breakout (fractal swing line) + VWAP/S-R distance gate - M15 chart</t>
        </is>
      </c>
      <c r="D1283" s="9" t="inlineStr">
        <is>
          <t>Long</t>
        </is>
      </c>
      <c r="E1283" s="10" t="n">
        <v>45156.54166666666</v>
      </c>
      <c r="F1283" s="10" t="n">
        <v>45156.64583333334</v>
      </c>
      <c r="G1283" s="11" t="n">
        <v>-3.56</v>
      </c>
      <c r="H1283" s="11">
        <f>H1282+G1283</f>
        <v/>
      </c>
    </row>
    <row r="1284">
      <c r="A1284" s="9" t="n">
        <v>1280</v>
      </c>
      <c r="B1284" s="9" t="inlineStr">
        <is>
          <t>Meridian</t>
        </is>
      </c>
      <c r="C1284" s="9" t="inlineStr">
        <is>
          <t>21/50 MA cross, 250-period confirm filter, VWAP</t>
        </is>
      </c>
      <c r="D1284" s="9" t="inlineStr">
        <is>
          <t>Short</t>
        </is>
      </c>
      <c r="E1284" s="10" t="n">
        <v>45156.64583333334</v>
      </c>
      <c r="F1284" s="10" t="n">
        <v>45156.67013888889</v>
      </c>
      <c r="G1284" s="11" t="n">
        <v>-2.3</v>
      </c>
      <c r="H1284" s="11">
        <f>H1283+G1284</f>
        <v/>
      </c>
    </row>
    <row r="1285">
      <c r="A1285" s="9" t="n">
        <v>1281</v>
      </c>
      <c r="B1285" s="9" t="inlineStr">
        <is>
          <t>Meridian</t>
        </is>
      </c>
      <c r="C1285" s="9" t="inlineStr">
        <is>
          <t>21/50 MA cross, 250-period confirm filter, VWAP</t>
        </is>
      </c>
      <c r="D1285" s="9" t="inlineStr">
        <is>
          <t>Long</t>
        </is>
      </c>
      <c r="E1285" s="10" t="n">
        <v>45156.70138888889</v>
      </c>
      <c r="F1285" s="10" t="n">
        <v>45156.75694444445</v>
      </c>
      <c r="G1285" s="11" t="n">
        <v>-3.19</v>
      </c>
      <c r="H1285" s="11">
        <f>H1284+G1285</f>
        <v/>
      </c>
    </row>
    <row r="1286">
      <c r="A1286" s="9" t="n">
        <v>1282</v>
      </c>
      <c r="B1286" s="9" t="inlineStr">
        <is>
          <t>Ratchet</t>
        </is>
      </c>
      <c r="C1286" s="9" t="inlineStr">
        <is>
          <t>Stochastic scalp with give-back trail exit</t>
        </is>
      </c>
      <c r="D1286" s="9" t="inlineStr">
        <is>
          <t>Short</t>
        </is>
      </c>
      <c r="E1286" s="10" t="n">
        <v>45156.78819444445</v>
      </c>
      <c r="F1286" s="10" t="n">
        <v>45156.8125</v>
      </c>
      <c r="G1286" s="11" t="n">
        <v>-0</v>
      </c>
      <c r="H1286" s="11">
        <f>H1285+G1286</f>
        <v/>
      </c>
    </row>
    <row r="1287">
      <c r="A1287" s="9" t="n">
        <v>1283</v>
      </c>
      <c r="B1287" s="9" t="inlineStr">
        <is>
          <t>Aurelius_M15</t>
        </is>
      </c>
      <c r="C1287" s="9" t="inlineStr">
        <is>
          <t>MA alignment (EMA21&gt;EMA50&gt;SMA250&gt;SMMA500 vs EMA2400 trend filter) - M15 chart</t>
        </is>
      </c>
      <c r="D1287" s="9" t="inlineStr">
        <is>
          <t>Short</t>
        </is>
      </c>
      <c r="E1287" s="10" t="n">
        <v>45156.83333333334</v>
      </c>
      <c r="F1287" s="10" t="n">
        <v>45156.92708333334</v>
      </c>
      <c r="G1287" s="11" t="n">
        <v>1.75</v>
      </c>
      <c r="H1287" s="11">
        <f>H1286+G1287</f>
        <v/>
      </c>
    </row>
    <row r="1288">
      <c r="A1288" s="9" t="n">
        <v>1284</v>
      </c>
      <c r="B1288" s="9" t="inlineStr">
        <is>
          <t>Meridian</t>
        </is>
      </c>
      <c r="C1288" s="9" t="inlineStr">
        <is>
          <t>21/50 MA cross, 250-period confirm filter, VWAP</t>
        </is>
      </c>
      <c r="D1288" s="9" t="inlineStr">
        <is>
          <t>Short</t>
        </is>
      </c>
      <c r="E1288" s="10" t="n">
        <v>45159.17708333334</v>
      </c>
      <c r="F1288" s="10" t="n">
        <v>45159.22569444445</v>
      </c>
      <c r="G1288" s="11" t="n">
        <v>-1.58</v>
      </c>
      <c r="H1288" s="11">
        <f>H1287+G1288</f>
        <v/>
      </c>
    </row>
    <row r="1289">
      <c r="A1289" s="9" t="n">
        <v>1285</v>
      </c>
      <c r="B1289" s="9" t="inlineStr">
        <is>
          <t>Aurelius_M5</t>
        </is>
      </c>
      <c r="C1289" s="9" t="inlineStr">
        <is>
          <t>MA alignment (EMA21&gt;EMA50&gt;SMA250&gt;SMMA500 vs EMA2400 trend filter)</t>
        </is>
      </c>
      <c r="D1289" s="9" t="inlineStr">
        <is>
          <t>Short</t>
        </is>
      </c>
      <c r="E1289" s="10" t="n">
        <v>45159.19791666666</v>
      </c>
      <c r="F1289" s="10" t="n">
        <v>45159.22569444445</v>
      </c>
      <c r="G1289" s="11" t="n">
        <v>-2.11</v>
      </c>
      <c r="H1289" s="11">
        <f>H1288+G1289</f>
        <v/>
      </c>
    </row>
    <row r="1290">
      <c r="A1290" s="9" t="n">
        <v>1286</v>
      </c>
      <c r="B1290" s="9" t="inlineStr">
        <is>
          <t>Aurelius_M15</t>
        </is>
      </c>
      <c r="C1290" s="9" t="inlineStr">
        <is>
          <t>MA alignment (EMA21&gt;EMA50&gt;SMA250&gt;SMMA500 vs EMA2400 trend filter) - M15 chart</t>
        </is>
      </c>
      <c r="D1290" s="9" t="inlineStr">
        <is>
          <t>Short</t>
        </is>
      </c>
      <c r="E1290" s="10" t="n">
        <v>45159.1875</v>
      </c>
      <c r="F1290" s="10" t="n">
        <v>45159.22916666666</v>
      </c>
      <c r="G1290" s="11" t="n">
        <v>-2.92</v>
      </c>
      <c r="H1290" s="11">
        <f>H1289+G1290</f>
        <v/>
      </c>
    </row>
    <row r="1291">
      <c r="A1291" s="9" t="n">
        <v>1287</v>
      </c>
      <c r="B1291" s="9" t="inlineStr">
        <is>
          <t>Meridian</t>
        </is>
      </c>
      <c r="C1291" s="9" t="inlineStr">
        <is>
          <t>21/50 MA cross, 250-period confirm filter, VWAP</t>
        </is>
      </c>
      <c r="D1291" s="9" t="inlineStr">
        <is>
          <t>Long</t>
        </is>
      </c>
      <c r="E1291" s="10" t="n">
        <v>45159.25</v>
      </c>
      <c r="F1291" s="10" t="n">
        <v>45159.35763888889</v>
      </c>
      <c r="G1291" s="11" t="n">
        <v>-2.45</v>
      </c>
      <c r="H1291" s="11">
        <f>H1290+G1291</f>
        <v/>
      </c>
    </row>
    <row r="1292">
      <c r="A1292" s="9" t="n">
        <v>1288</v>
      </c>
      <c r="B1292" s="9" t="inlineStr">
        <is>
          <t>Meridian</t>
        </is>
      </c>
      <c r="C1292" s="9" t="inlineStr">
        <is>
          <t>21/50 MA cross, 250-period confirm filter, VWAP</t>
        </is>
      </c>
      <c r="D1292" s="9" t="inlineStr">
        <is>
          <t>Short</t>
        </is>
      </c>
      <c r="E1292" s="10" t="n">
        <v>45159.375</v>
      </c>
      <c r="F1292" s="10" t="n">
        <v>45159.41666666666</v>
      </c>
      <c r="G1292" s="11" t="n">
        <v>-2.22</v>
      </c>
      <c r="H1292" s="11">
        <f>H1291+G1292</f>
        <v/>
      </c>
    </row>
    <row r="1293">
      <c r="A1293" s="9" t="n">
        <v>1289</v>
      </c>
      <c r="B1293" s="9" t="inlineStr">
        <is>
          <t>Ratchet</t>
        </is>
      </c>
      <c r="C1293" s="9" t="inlineStr">
        <is>
          <t>Stochastic scalp with give-back trail exit</t>
        </is>
      </c>
      <c r="D1293" s="9" t="inlineStr">
        <is>
          <t>Short</t>
        </is>
      </c>
      <c r="E1293" s="10" t="n">
        <v>45159.41666666666</v>
      </c>
      <c r="F1293" s="10" t="n">
        <v>45159.4375</v>
      </c>
      <c r="G1293" s="11" t="n">
        <v>-1.45</v>
      </c>
      <c r="H1293" s="11">
        <f>H1292+G1293</f>
        <v/>
      </c>
    </row>
    <row r="1294">
      <c r="A1294" s="9" t="n">
        <v>1290</v>
      </c>
      <c r="B1294" s="9" t="inlineStr">
        <is>
          <t>Ratchet</t>
        </is>
      </c>
      <c r="C1294" s="9" t="inlineStr">
        <is>
          <t>Stochastic scalp with give-back trail exit</t>
        </is>
      </c>
      <c r="D1294" s="9" t="inlineStr">
        <is>
          <t>Short</t>
        </is>
      </c>
      <c r="E1294" s="10" t="n">
        <v>45159.45833333334</v>
      </c>
      <c r="F1294" s="10" t="n">
        <v>45159.51041666666</v>
      </c>
      <c r="G1294" s="11" t="n">
        <v>-1.64</v>
      </c>
      <c r="H1294" s="11">
        <f>H1293+G1294</f>
        <v/>
      </c>
    </row>
    <row r="1295">
      <c r="A1295" s="9" t="n">
        <v>1291</v>
      </c>
      <c r="B1295" s="9" t="inlineStr">
        <is>
          <t>Aurelius_M5</t>
        </is>
      </c>
      <c r="C1295" s="9" t="inlineStr">
        <is>
          <t>MA alignment (EMA21&gt;EMA50&gt;SMA250&gt;SMMA500 vs EMA2400 trend filter)</t>
        </is>
      </c>
      <c r="D1295" s="9" t="inlineStr">
        <is>
          <t>Short</t>
        </is>
      </c>
      <c r="E1295" s="10" t="n">
        <v>45159.47569444445</v>
      </c>
      <c r="F1295" s="10" t="n">
        <v>45159.51388888889</v>
      </c>
      <c r="G1295" s="11" t="n">
        <v>-2.26</v>
      </c>
      <c r="H1295" s="11">
        <f>H1294+G1295</f>
        <v/>
      </c>
    </row>
    <row r="1296">
      <c r="A1296" s="9" t="n">
        <v>1292</v>
      </c>
      <c r="B1296" s="9" t="inlineStr">
        <is>
          <t>Meridian</t>
        </is>
      </c>
      <c r="C1296" s="9" t="inlineStr">
        <is>
          <t>21/50 MA cross, 250-period confirm filter, VWAP</t>
        </is>
      </c>
      <c r="D1296" s="9" t="inlineStr">
        <is>
          <t>Long</t>
        </is>
      </c>
      <c r="E1296" s="10" t="n">
        <v>45159.60763888889</v>
      </c>
      <c r="F1296" s="10" t="n">
        <v>45159.70138888889</v>
      </c>
      <c r="G1296" s="11" t="n">
        <v>-2.24</v>
      </c>
      <c r="H1296" s="11">
        <f>H1295+G1296</f>
        <v/>
      </c>
    </row>
    <row r="1297">
      <c r="A1297" s="9" t="n">
        <v>1293</v>
      </c>
      <c r="B1297" s="9" t="inlineStr">
        <is>
          <t>Meridian</t>
        </is>
      </c>
      <c r="C1297" s="9" t="inlineStr">
        <is>
          <t>21/50 MA cross, 250-period confirm filter, VWAP</t>
        </is>
      </c>
      <c r="D1297" s="9" t="inlineStr">
        <is>
          <t>Short</t>
        </is>
      </c>
      <c r="E1297" s="10" t="n">
        <v>45159.72222222222</v>
      </c>
      <c r="F1297" s="10" t="n">
        <v>45159.82291666666</v>
      </c>
      <c r="G1297" s="11" t="n">
        <v>-4.35</v>
      </c>
      <c r="H1297" s="11">
        <f>H1296+G1297</f>
        <v/>
      </c>
    </row>
    <row r="1298">
      <c r="A1298" s="9" t="n">
        <v>1294</v>
      </c>
      <c r="B1298" s="9" t="inlineStr">
        <is>
          <t>Meridian</t>
        </is>
      </c>
      <c r="C1298" s="9" t="inlineStr">
        <is>
          <t>21/50 MA cross, 250-period confirm filter, VWAP</t>
        </is>
      </c>
      <c r="D1298" s="9" t="inlineStr">
        <is>
          <t>Long</t>
        </is>
      </c>
      <c r="E1298" s="10" t="n">
        <v>45159.82986111111</v>
      </c>
      <c r="F1298" s="10" t="n">
        <v>45160.33680555555</v>
      </c>
      <c r="G1298" s="11" t="n">
        <v>2.38</v>
      </c>
      <c r="H1298" s="11">
        <f>H1297+G1298</f>
        <v/>
      </c>
    </row>
    <row r="1299">
      <c r="A1299" s="9" t="n">
        <v>1295</v>
      </c>
      <c r="B1299" s="9" t="inlineStr">
        <is>
          <t>Meridian</t>
        </is>
      </c>
      <c r="C1299" s="9" t="inlineStr">
        <is>
          <t>21/50 MA cross, 250-period confirm filter, VWAP</t>
        </is>
      </c>
      <c r="D1299" s="9" t="inlineStr">
        <is>
          <t>Long</t>
        </is>
      </c>
      <c r="E1299" s="10" t="n">
        <v>45160.35069444445</v>
      </c>
      <c r="F1299" s="10" t="n">
        <v>45160.65625</v>
      </c>
      <c r="G1299" s="11" t="n">
        <v>0.9399999999999999</v>
      </c>
      <c r="H1299" s="11">
        <f>H1298+G1299</f>
        <v/>
      </c>
    </row>
    <row r="1300">
      <c r="A1300" s="9" t="n">
        <v>1296</v>
      </c>
      <c r="B1300" s="9" t="inlineStr">
        <is>
          <t>Meridian</t>
        </is>
      </c>
      <c r="C1300" s="9" t="inlineStr">
        <is>
          <t>21/50 MA cross, 250-period confirm filter, VWAP</t>
        </is>
      </c>
      <c r="D1300" s="9" t="inlineStr">
        <is>
          <t>Long</t>
        </is>
      </c>
      <c r="E1300" s="10" t="n">
        <v>45160.80208333334</v>
      </c>
      <c r="F1300" s="10" t="n">
        <v>45160.89930555555</v>
      </c>
      <c r="G1300" s="11" t="n">
        <v>-1.81</v>
      </c>
      <c r="H1300" s="11">
        <f>H1299+G1300</f>
        <v/>
      </c>
    </row>
    <row r="1301">
      <c r="A1301" s="9" t="n">
        <v>1297</v>
      </c>
      <c r="B1301" s="9" t="inlineStr">
        <is>
          <t>Ratchet</t>
        </is>
      </c>
      <c r="C1301" s="9" t="inlineStr">
        <is>
          <t>Stochastic scalp with give-back trail exit</t>
        </is>
      </c>
      <c r="D1301" s="9" t="inlineStr">
        <is>
          <t>Long</t>
        </is>
      </c>
      <c r="E1301" s="10" t="n">
        <v>45161.37152777778</v>
      </c>
      <c r="F1301" s="10" t="n">
        <v>45161.375</v>
      </c>
      <c r="G1301" s="11" t="n">
        <v>-1.2</v>
      </c>
      <c r="H1301" s="11">
        <f>H1300+G1301</f>
        <v/>
      </c>
    </row>
    <row r="1302">
      <c r="A1302" s="9" t="n">
        <v>1298</v>
      </c>
      <c r="B1302" s="9" t="inlineStr">
        <is>
          <t>Ratchet</t>
        </is>
      </c>
      <c r="C1302" s="9" t="inlineStr">
        <is>
          <t>Stochastic scalp with give-back trail exit</t>
        </is>
      </c>
      <c r="D1302" s="9" t="inlineStr">
        <is>
          <t>Long</t>
        </is>
      </c>
      <c r="E1302" s="10" t="n">
        <v>45161.46527777778</v>
      </c>
      <c r="F1302" s="10" t="n">
        <v>45161.48958333334</v>
      </c>
      <c r="G1302" s="11" t="n">
        <v>-0</v>
      </c>
      <c r="H1302" s="11">
        <f>H1301+G1302</f>
        <v/>
      </c>
    </row>
    <row r="1303">
      <c r="A1303" s="9" t="n">
        <v>1299</v>
      </c>
      <c r="B1303" s="9" t="inlineStr">
        <is>
          <t>Meridian</t>
        </is>
      </c>
      <c r="C1303" s="9" t="inlineStr">
        <is>
          <t>21/50 MA cross, 250-period confirm filter, VWAP</t>
        </is>
      </c>
      <c r="D1303" s="9" t="inlineStr">
        <is>
          <t>Long</t>
        </is>
      </c>
      <c r="E1303" s="10" t="n">
        <v>45161.60069444445</v>
      </c>
      <c r="F1303" s="10" t="n">
        <v>45161.60416666666</v>
      </c>
      <c r="G1303" s="11" t="n">
        <v>-0.49</v>
      </c>
      <c r="H1303" s="11">
        <f>H1302+G1303</f>
        <v/>
      </c>
    </row>
    <row r="1304">
      <c r="A1304" s="9" t="n">
        <v>1300</v>
      </c>
      <c r="B1304" s="9" t="inlineStr">
        <is>
          <t>Aurelius_M5</t>
        </is>
      </c>
      <c r="C1304" s="9" t="inlineStr">
        <is>
          <t>MA alignment (EMA21&gt;EMA50&gt;SMA250&gt;SMMA500 vs EMA2400 trend filter)</t>
        </is>
      </c>
      <c r="D1304" s="9" t="inlineStr">
        <is>
          <t>Long</t>
        </is>
      </c>
      <c r="E1304" s="10" t="n">
        <v>45161.64583333334</v>
      </c>
      <c r="F1304" s="10" t="n">
        <v>45161.66319444445</v>
      </c>
      <c r="G1304" s="11" t="n">
        <v>-2.65</v>
      </c>
      <c r="H1304" s="11">
        <f>H1303+G1304</f>
        <v/>
      </c>
    </row>
    <row r="1305">
      <c r="A1305" s="9" t="n">
        <v>1301</v>
      </c>
      <c r="B1305" s="9" t="inlineStr">
        <is>
          <t>Aurelius_M15</t>
        </is>
      </c>
      <c r="C1305" s="9" t="inlineStr">
        <is>
          <t>MA alignment (EMA21&gt;EMA50&gt;SMA250&gt;SMMA500 vs EMA2400 trend filter) - M15 chart</t>
        </is>
      </c>
      <c r="D1305" s="9" t="inlineStr">
        <is>
          <t>Long</t>
        </is>
      </c>
      <c r="E1305" s="10" t="n">
        <v>45161.6875</v>
      </c>
      <c r="F1305" s="10" t="n">
        <v>45161.69791666666</v>
      </c>
      <c r="G1305" s="11" t="n">
        <v>-1.83</v>
      </c>
      <c r="H1305" s="11">
        <f>H1304+G1305</f>
        <v/>
      </c>
    </row>
    <row r="1306">
      <c r="A1306" s="9" t="n">
        <v>1302</v>
      </c>
      <c r="B1306" s="9" t="inlineStr">
        <is>
          <t>Aurelius_M5</t>
        </is>
      </c>
      <c r="C1306" s="9" t="inlineStr">
        <is>
          <t>MA alignment (EMA21&gt;EMA50&gt;SMA250&gt;SMMA500 vs EMA2400 trend filter)</t>
        </is>
      </c>
      <c r="D1306" s="9" t="inlineStr">
        <is>
          <t>Long</t>
        </is>
      </c>
      <c r="E1306" s="10" t="n">
        <v>45161.68402777778</v>
      </c>
      <c r="F1306" s="10" t="n">
        <v>45161.90625</v>
      </c>
      <c r="G1306" s="11" t="n">
        <v>7.12</v>
      </c>
      <c r="H1306" s="11">
        <f>H1305+G1306</f>
        <v/>
      </c>
    </row>
    <row r="1307">
      <c r="A1307" s="9" t="n">
        <v>1303</v>
      </c>
      <c r="B1307" s="9" t="inlineStr">
        <is>
          <t>Meridian</t>
        </is>
      </c>
      <c r="C1307" s="9" t="inlineStr">
        <is>
          <t>21/50 MA cross, 250-period confirm filter, VWAP</t>
        </is>
      </c>
      <c r="D1307" s="9" t="inlineStr">
        <is>
          <t>Long</t>
        </is>
      </c>
      <c r="E1307" s="10" t="n">
        <v>45161.60763888889</v>
      </c>
      <c r="F1307" s="10" t="n">
        <v>45161.98263888889</v>
      </c>
      <c r="G1307" s="11" t="n">
        <v>11.53</v>
      </c>
      <c r="H1307" s="11">
        <f>H1306+G1307</f>
        <v/>
      </c>
    </row>
    <row r="1308">
      <c r="A1308" s="9" t="n">
        <v>1304</v>
      </c>
      <c r="B1308" s="9" t="inlineStr">
        <is>
          <t>Aurelius_M5</t>
        </is>
      </c>
      <c r="C1308" s="9" t="inlineStr">
        <is>
          <t>MA alignment (EMA21&gt;EMA50&gt;SMA250&gt;SMMA500 vs EMA2400 trend filter)</t>
        </is>
      </c>
      <c r="D1308" s="9" t="inlineStr">
        <is>
          <t>Long</t>
        </is>
      </c>
      <c r="E1308" s="10" t="n">
        <v>45162.37847222222</v>
      </c>
      <c r="F1308" s="10" t="n">
        <v>45162.45138888889</v>
      </c>
      <c r="G1308" s="11" t="n">
        <v>-2.1</v>
      </c>
      <c r="H1308" s="11">
        <f>H1307+G1308</f>
        <v/>
      </c>
    </row>
    <row r="1309">
      <c r="A1309" s="9" t="n">
        <v>1305</v>
      </c>
      <c r="B1309" s="9" t="inlineStr">
        <is>
          <t>Meridian</t>
        </is>
      </c>
      <c r="C1309" s="9" t="inlineStr">
        <is>
          <t>21/50 MA cross, 250-period confirm filter, VWAP</t>
        </is>
      </c>
      <c r="D1309" s="9" t="inlineStr">
        <is>
          <t>Long</t>
        </is>
      </c>
      <c r="E1309" s="10" t="n">
        <v>45162.07291666666</v>
      </c>
      <c r="F1309" s="10" t="n">
        <v>45162.51388888889</v>
      </c>
      <c r="G1309" s="11" t="n">
        <v>2.73</v>
      </c>
      <c r="H1309" s="11">
        <f>H1308+G1309</f>
        <v/>
      </c>
    </row>
    <row r="1310">
      <c r="A1310" s="9" t="n">
        <v>1306</v>
      </c>
      <c r="B1310" s="9" t="inlineStr">
        <is>
          <t>Ratchet</t>
        </is>
      </c>
      <c r="C1310" s="9" t="inlineStr">
        <is>
          <t>Stochastic scalp with give-back trail exit</t>
        </is>
      </c>
      <c r="D1310" s="9" t="inlineStr">
        <is>
          <t>Long</t>
        </is>
      </c>
      <c r="E1310" s="10" t="n">
        <v>45162.77777777778</v>
      </c>
      <c r="F1310" s="10" t="n">
        <v>45162.79166666666</v>
      </c>
      <c r="G1310" s="11" t="n">
        <v>0.24</v>
      </c>
      <c r="H1310" s="11">
        <f>H1309+G1310</f>
        <v/>
      </c>
    </row>
    <row r="1311">
      <c r="A1311" s="9" t="n">
        <v>1307</v>
      </c>
      <c r="B1311" s="9" t="inlineStr">
        <is>
          <t>Meridian</t>
        </is>
      </c>
      <c r="C1311" s="9" t="inlineStr">
        <is>
          <t>21/50 MA cross, 250-period confirm filter, VWAP</t>
        </is>
      </c>
      <c r="D1311" s="9" t="inlineStr">
        <is>
          <t>Short</t>
        </is>
      </c>
      <c r="E1311" s="10" t="n">
        <v>45162.84722222222</v>
      </c>
      <c r="F1311" s="10" t="n">
        <v>45162.85763888889</v>
      </c>
      <c r="G1311" s="11" t="n">
        <v>-1.39</v>
      </c>
      <c r="H1311" s="11">
        <f>H1310+G1311</f>
        <v/>
      </c>
    </row>
    <row r="1312">
      <c r="A1312" s="9" t="n">
        <v>1308</v>
      </c>
      <c r="B1312" s="9" t="inlineStr">
        <is>
          <t>Vanguard_M5</t>
        </is>
      </c>
      <c r="C1312" s="9" t="inlineStr">
        <is>
          <t>Trendline breakout (fractal swing line) + VWAP/S-R distance gate</t>
        </is>
      </c>
      <c r="D1312" s="9" t="inlineStr">
        <is>
          <t>Short</t>
        </is>
      </c>
      <c r="E1312" s="10" t="n">
        <v>45163.08680555555</v>
      </c>
      <c r="F1312" s="10" t="n">
        <v>45163.19791666666</v>
      </c>
      <c r="G1312" s="11" t="n">
        <v>-1.59</v>
      </c>
      <c r="H1312" s="11">
        <f>H1311+G1312</f>
        <v/>
      </c>
    </row>
    <row r="1313">
      <c r="A1313" s="9" t="n">
        <v>1309</v>
      </c>
      <c r="B1313" s="9" t="inlineStr">
        <is>
          <t>Meridian</t>
        </is>
      </c>
      <c r="C1313" s="9" t="inlineStr">
        <is>
          <t>21/50 MA cross, 250-period confirm filter, VWAP</t>
        </is>
      </c>
      <c r="D1313" s="9" t="inlineStr">
        <is>
          <t>Short</t>
        </is>
      </c>
      <c r="E1313" s="10" t="n">
        <v>45162.86111111111</v>
      </c>
      <c r="F1313" s="10" t="n">
        <v>45163.23263888889</v>
      </c>
      <c r="G1313" s="11" t="n">
        <v>1.04</v>
      </c>
      <c r="H1313" s="11">
        <f>H1312+G1313</f>
        <v/>
      </c>
    </row>
    <row r="1314">
      <c r="A1314" s="9" t="n">
        <v>1310</v>
      </c>
      <c r="B1314" s="9" t="inlineStr">
        <is>
          <t>Meridian</t>
        </is>
      </c>
      <c r="C1314" s="9" t="inlineStr">
        <is>
          <t>21/50 MA cross, 250-period confirm filter, VWAP</t>
        </is>
      </c>
      <c r="D1314" s="9" t="inlineStr">
        <is>
          <t>Short</t>
        </is>
      </c>
      <c r="E1314" s="10" t="n">
        <v>45163.23611111111</v>
      </c>
      <c r="F1314" s="10" t="n">
        <v>45163.44791666666</v>
      </c>
      <c r="G1314" s="11" t="n">
        <v>-0.23</v>
      </c>
      <c r="H1314" s="11">
        <f>H1313+G1314</f>
        <v/>
      </c>
    </row>
    <row r="1315">
      <c r="A1315" s="9" t="n">
        <v>1311</v>
      </c>
      <c r="B1315" s="9" t="inlineStr">
        <is>
          <t>Meridian</t>
        </is>
      </c>
      <c r="C1315" s="9" t="inlineStr">
        <is>
          <t>21/50 MA cross, 250-period confirm filter, VWAP</t>
        </is>
      </c>
      <c r="D1315" s="9" t="inlineStr">
        <is>
          <t>Short</t>
        </is>
      </c>
      <c r="E1315" s="10" t="n">
        <v>45163.46527777778</v>
      </c>
      <c r="F1315" s="10" t="n">
        <v>45163.47222222222</v>
      </c>
      <c r="G1315" s="11" t="n">
        <v>-1.12</v>
      </c>
      <c r="H1315" s="11">
        <f>H1314+G1315</f>
        <v/>
      </c>
    </row>
    <row r="1316">
      <c r="A1316" s="9" t="n">
        <v>1312</v>
      </c>
      <c r="B1316" s="9" t="inlineStr">
        <is>
          <t>Meridian</t>
        </is>
      </c>
      <c r="C1316" s="9" t="inlineStr">
        <is>
          <t>21/50 MA cross, 250-period confirm filter, VWAP</t>
        </is>
      </c>
      <c r="D1316" s="9" t="inlineStr">
        <is>
          <t>Short</t>
        </is>
      </c>
      <c r="E1316" s="10" t="n">
        <v>45163.47916666666</v>
      </c>
      <c r="F1316" s="10" t="n">
        <v>45163.49305555555</v>
      </c>
      <c r="G1316" s="11" t="n">
        <v>-1.56</v>
      </c>
      <c r="H1316" s="11">
        <f>H1315+G1316</f>
        <v/>
      </c>
    </row>
    <row r="1317">
      <c r="A1317" s="9" t="n">
        <v>1313</v>
      </c>
      <c r="B1317" s="9" t="inlineStr">
        <is>
          <t>Vanguard_M15</t>
        </is>
      </c>
      <c r="C1317" s="9" t="inlineStr">
        <is>
          <t>Trendline breakout (fractal swing line) + VWAP/S-R distance gate - M15 chart</t>
        </is>
      </c>
      <c r="D1317" s="9" t="inlineStr">
        <is>
          <t>Short</t>
        </is>
      </c>
      <c r="E1317" s="10" t="n">
        <v>45163.09375</v>
      </c>
      <c r="F1317" s="10" t="n">
        <v>45163.625</v>
      </c>
      <c r="G1317" s="11" t="n">
        <v>-3.15</v>
      </c>
      <c r="H1317" s="11">
        <f>H1316+G1317</f>
        <v/>
      </c>
    </row>
    <row r="1318">
      <c r="A1318" s="9" t="n">
        <v>1314</v>
      </c>
      <c r="B1318" s="9" t="inlineStr">
        <is>
          <t>Aurelius_M5</t>
        </is>
      </c>
      <c r="C1318" s="9" t="inlineStr">
        <is>
          <t>MA alignment (EMA21&gt;EMA50&gt;SMA250&gt;SMMA500 vs EMA2400 trend filter)</t>
        </is>
      </c>
      <c r="D1318" s="9" t="inlineStr">
        <is>
          <t>Long</t>
        </is>
      </c>
      <c r="E1318" s="10" t="n">
        <v>45163.67361111111</v>
      </c>
      <c r="F1318" s="10" t="n">
        <v>45163.67708333334</v>
      </c>
      <c r="G1318" s="11" t="n">
        <v>-2.33</v>
      </c>
      <c r="H1318" s="11">
        <f>H1317+G1318</f>
        <v/>
      </c>
    </row>
    <row r="1319">
      <c r="A1319" s="9" t="n">
        <v>1315</v>
      </c>
      <c r="B1319" s="9" t="inlineStr">
        <is>
          <t>Aurelius_M15</t>
        </is>
      </c>
      <c r="C1319" s="9" t="inlineStr">
        <is>
          <t>MA alignment (EMA21&gt;EMA50&gt;SMA250&gt;SMMA500 vs EMA2400 trend filter) - M15 chart</t>
        </is>
      </c>
      <c r="D1319" s="9" t="inlineStr">
        <is>
          <t>Long</t>
        </is>
      </c>
      <c r="E1319" s="10" t="n">
        <v>45163.66666666666</v>
      </c>
      <c r="F1319" s="10" t="n">
        <v>45163.6875</v>
      </c>
      <c r="G1319" s="11" t="n">
        <v>-3.55</v>
      </c>
      <c r="H1319" s="11">
        <f>H1318+G1319</f>
        <v/>
      </c>
    </row>
    <row r="1320">
      <c r="A1320" s="9" t="n">
        <v>1316</v>
      </c>
      <c r="B1320" s="9" t="inlineStr">
        <is>
          <t>Meridian</t>
        </is>
      </c>
      <c r="C1320" s="9" t="inlineStr">
        <is>
          <t>21/50 MA cross, 250-period confirm filter, VWAP</t>
        </is>
      </c>
      <c r="D1320" s="9" t="inlineStr">
        <is>
          <t>Short</t>
        </is>
      </c>
      <c r="E1320" s="10" t="n">
        <v>45163.6875</v>
      </c>
      <c r="F1320" s="10" t="n">
        <v>45163.70833333334</v>
      </c>
      <c r="G1320" s="11" t="n">
        <v>-2.6</v>
      </c>
      <c r="H1320" s="11">
        <f>H1319+G1320</f>
        <v/>
      </c>
    </row>
    <row r="1321">
      <c r="A1321" s="9" t="n">
        <v>1317</v>
      </c>
      <c r="B1321" s="9" t="inlineStr">
        <is>
          <t>Meridian</t>
        </is>
      </c>
      <c r="C1321" s="9" t="inlineStr">
        <is>
          <t>21/50 MA cross, 250-period confirm filter, VWAP</t>
        </is>
      </c>
      <c r="D1321" s="9" t="inlineStr">
        <is>
          <t>Long</t>
        </is>
      </c>
      <c r="E1321" s="10" t="n">
        <v>45163.71875</v>
      </c>
      <c r="F1321" s="10" t="n">
        <v>45163.72222222222</v>
      </c>
      <c r="G1321" s="11" t="n">
        <v>-5.7</v>
      </c>
      <c r="H1321" s="11">
        <f>H1320+G1321</f>
        <v/>
      </c>
    </row>
    <row r="1322">
      <c r="A1322" s="9" t="n">
        <v>1318</v>
      </c>
      <c r="B1322" s="9" t="inlineStr">
        <is>
          <t>Ratchet</t>
        </is>
      </c>
      <c r="C1322" s="9" t="inlineStr">
        <is>
          <t>Stochastic scalp with give-back trail exit</t>
        </is>
      </c>
      <c r="D1322" s="9" t="inlineStr">
        <is>
          <t>Short</t>
        </is>
      </c>
      <c r="E1322" s="10" t="n">
        <v>45163.74652777778</v>
      </c>
      <c r="F1322" s="10" t="n">
        <v>45163.75</v>
      </c>
      <c r="G1322" s="11" t="n">
        <v>-0</v>
      </c>
      <c r="H1322" s="11">
        <f>H1321+G1322</f>
        <v/>
      </c>
    </row>
    <row r="1323">
      <c r="A1323" s="9" t="n">
        <v>1319</v>
      </c>
      <c r="B1323" s="9" t="inlineStr">
        <is>
          <t>Aurelius_M5</t>
        </is>
      </c>
      <c r="C1323" s="9" t="inlineStr">
        <is>
          <t>MA alignment (EMA21&gt;EMA50&gt;SMA250&gt;SMMA500 vs EMA2400 trend filter)</t>
        </is>
      </c>
      <c r="D1323" s="9" t="inlineStr">
        <is>
          <t>Long</t>
        </is>
      </c>
      <c r="E1323" s="10" t="n">
        <v>45166.38888888889</v>
      </c>
      <c r="F1323" s="10" t="n">
        <v>45166.40277777778</v>
      </c>
      <c r="G1323" s="11" t="n">
        <v>-1.47</v>
      </c>
      <c r="H1323" s="11">
        <f>H1322+G1323</f>
        <v/>
      </c>
    </row>
    <row r="1324">
      <c r="A1324" s="9" t="n">
        <v>1320</v>
      </c>
      <c r="B1324" s="9" t="inlineStr">
        <is>
          <t>Meridian</t>
        </is>
      </c>
      <c r="C1324" s="9" t="inlineStr">
        <is>
          <t>21/50 MA cross, 250-period confirm filter, VWAP</t>
        </is>
      </c>
      <c r="D1324" s="9" t="inlineStr">
        <is>
          <t>Long</t>
        </is>
      </c>
      <c r="E1324" s="10" t="n">
        <v>45166.65625</v>
      </c>
      <c r="F1324" s="10" t="n">
        <v>45166.68402777778</v>
      </c>
      <c r="G1324" s="11" t="n">
        <v>-2.3</v>
      </c>
      <c r="H1324" s="11">
        <f>H1323+G1324</f>
        <v/>
      </c>
    </row>
    <row r="1325">
      <c r="A1325" s="9" t="n">
        <v>1321</v>
      </c>
      <c r="B1325" s="9" t="inlineStr">
        <is>
          <t>Aurelius_M5</t>
        </is>
      </c>
      <c r="C1325" s="9" t="inlineStr">
        <is>
          <t>MA alignment (EMA21&gt;EMA50&gt;SMA250&gt;SMMA500 vs EMA2400 trend filter)</t>
        </is>
      </c>
      <c r="D1325" s="9" t="inlineStr">
        <is>
          <t>Long</t>
        </is>
      </c>
      <c r="E1325" s="10" t="n">
        <v>45166.67361111111</v>
      </c>
      <c r="F1325" s="10" t="n">
        <v>45166.6875</v>
      </c>
      <c r="G1325" s="11" t="n">
        <v>-2.3</v>
      </c>
      <c r="H1325" s="11">
        <f>H1324+G1325</f>
        <v/>
      </c>
    </row>
    <row r="1326">
      <c r="A1326" s="9" t="n">
        <v>1322</v>
      </c>
      <c r="B1326" s="9" t="inlineStr">
        <is>
          <t>Vanguard_M15</t>
        </is>
      </c>
      <c r="C1326" s="9" t="inlineStr">
        <is>
          <t>Trendline breakout (fractal swing line) + VWAP/S-R distance gate - M15 chart</t>
        </is>
      </c>
      <c r="D1326" s="9" t="inlineStr">
        <is>
          <t>Long</t>
        </is>
      </c>
      <c r="E1326" s="10" t="n">
        <v>45166.78125</v>
      </c>
      <c r="F1326" s="10" t="n">
        <v>45166.83333333334</v>
      </c>
      <c r="G1326" s="11" t="n">
        <v>-5.66</v>
      </c>
      <c r="H1326" s="11">
        <f>H1325+G1326</f>
        <v/>
      </c>
    </row>
    <row r="1327">
      <c r="A1327" s="9" t="n">
        <v>1323</v>
      </c>
      <c r="B1327" s="9" t="inlineStr">
        <is>
          <t>Vanguard_M5</t>
        </is>
      </c>
      <c r="C1327" s="9" t="inlineStr">
        <is>
          <t>Trendline breakout (fractal swing line) + VWAP/S-R distance gate</t>
        </is>
      </c>
      <c r="D1327" s="9" t="inlineStr">
        <is>
          <t>Long</t>
        </is>
      </c>
      <c r="E1327" s="10" t="n">
        <v>45166.77430555555</v>
      </c>
      <c r="F1327" s="10" t="n">
        <v>45166.83680555555</v>
      </c>
      <c r="G1327" s="11" t="n">
        <v>-4.33</v>
      </c>
      <c r="H1327" s="11">
        <f>H1326+G1327</f>
        <v/>
      </c>
    </row>
    <row r="1328">
      <c r="A1328" s="9" t="n">
        <v>1324</v>
      </c>
      <c r="B1328" s="9" t="inlineStr">
        <is>
          <t>Aurelius_M5</t>
        </is>
      </c>
      <c r="C1328" s="9" t="inlineStr">
        <is>
          <t>MA alignment (EMA21&gt;EMA50&gt;SMA250&gt;SMMA500 vs EMA2400 trend filter)</t>
        </is>
      </c>
      <c r="D1328" s="9" t="inlineStr">
        <is>
          <t>Long</t>
        </is>
      </c>
      <c r="E1328" s="10" t="n">
        <v>45166.70486111111</v>
      </c>
      <c r="F1328" s="10" t="n">
        <v>45166.85763888889</v>
      </c>
      <c r="G1328" s="11" t="n">
        <v>1.89</v>
      </c>
      <c r="H1328" s="11">
        <f>H1327+G1328</f>
        <v/>
      </c>
    </row>
    <row r="1329">
      <c r="A1329" s="9" t="n">
        <v>1325</v>
      </c>
      <c r="B1329" s="9" t="inlineStr">
        <is>
          <t>Ratchet</t>
        </is>
      </c>
      <c r="C1329" s="9" t="inlineStr">
        <is>
          <t>Stochastic scalp with give-back trail exit</t>
        </is>
      </c>
      <c r="D1329" s="9" t="inlineStr">
        <is>
          <t>Long</t>
        </is>
      </c>
      <c r="E1329" s="10" t="n">
        <v>45167.36458333334</v>
      </c>
      <c r="F1329" s="10" t="n">
        <v>45167.36805555555</v>
      </c>
      <c r="G1329" s="11" t="n">
        <v>0</v>
      </c>
      <c r="H1329" s="11">
        <f>H1328+G1329</f>
        <v/>
      </c>
    </row>
    <row r="1330">
      <c r="A1330" s="9" t="n">
        <v>1326</v>
      </c>
      <c r="B1330" s="9" t="inlineStr">
        <is>
          <t>Aurelius_M5</t>
        </is>
      </c>
      <c r="C1330" s="9" t="inlineStr">
        <is>
          <t>MA alignment (EMA21&gt;EMA50&gt;SMA250&gt;SMMA500 vs EMA2400 trend filter)</t>
        </is>
      </c>
      <c r="D1330" s="9" t="inlineStr">
        <is>
          <t>Long</t>
        </is>
      </c>
      <c r="E1330" s="10" t="n">
        <v>45167.375</v>
      </c>
      <c r="F1330" s="10" t="n">
        <v>45167.40625</v>
      </c>
      <c r="G1330" s="11" t="n">
        <v>-1.42</v>
      </c>
      <c r="H1330" s="11">
        <f>H1329+G1330</f>
        <v/>
      </c>
    </row>
    <row r="1331">
      <c r="A1331" s="9" t="n">
        <v>1327</v>
      </c>
      <c r="B1331" s="9" t="inlineStr">
        <is>
          <t>Meridian</t>
        </is>
      </c>
      <c r="C1331" s="9" t="inlineStr">
        <is>
          <t>21/50 MA cross, 250-period confirm filter, VWAP</t>
        </is>
      </c>
      <c r="D1331" s="9" t="inlineStr">
        <is>
          <t>Long</t>
        </is>
      </c>
      <c r="E1331" s="10" t="n">
        <v>45166.92361111111</v>
      </c>
      <c r="F1331" s="10" t="n">
        <v>45167.42013888889</v>
      </c>
      <c r="G1331" s="11" t="n">
        <v>2.19</v>
      </c>
      <c r="H1331" s="11">
        <f>H1330+G1331</f>
        <v/>
      </c>
    </row>
    <row r="1332">
      <c r="A1332" s="9" t="n">
        <v>1328</v>
      </c>
      <c r="B1332" s="9" t="inlineStr">
        <is>
          <t>Meridian</t>
        </is>
      </c>
      <c r="C1332" s="9" t="inlineStr">
        <is>
          <t>21/50 MA cross, 250-period confirm filter, VWAP</t>
        </is>
      </c>
      <c r="D1332" s="9" t="inlineStr">
        <is>
          <t>Long</t>
        </is>
      </c>
      <c r="E1332" s="10" t="n">
        <v>45167.54513888889</v>
      </c>
      <c r="F1332" s="10" t="n">
        <v>45167.54861111111</v>
      </c>
      <c r="G1332" s="11" t="n">
        <v>-0.73</v>
      </c>
      <c r="H1332" s="11">
        <f>H1331+G1332</f>
        <v/>
      </c>
    </row>
    <row r="1333">
      <c r="A1333" s="9" t="n">
        <v>1329</v>
      </c>
      <c r="B1333" s="9" t="inlineStr">
        <is>
          <t>Vanguard_M15</t>
        </is>
      </c>
      <c r="C1333" s="9" t="inlineStr">
        <is>
          <t>Trendline breakout (fractal swing line) + VWAP/S-R distance gate - M15 chart</t>
        </is>
      </c>
      <c r="D1333" s="9" t="inlineStr">
        <is>
          <t>Long</t>
        </is>
      </c>
      <c r="E1333" s="10" t="n">
        <v>45167.10416666666</v>
      </c>
      <c r="F1333" s="10" t="n">
        <v>45167.57291666666</v>
      </c>
      <c r="G1333" s="11" t="n">
        <v>-1.06</v>
      </c>
      <c r="H1333" s="11">
        <f>H1332+G1333</f>
        <v/>
      </c>
    </row>
    <row r="1334">
      <c r="A1334" s="9" t="n">
        <v>1330</v>
      </c>
      <c r="B1334" s="9" t="inlineStr">
        <is>
          <t>Vanguard_M5</t>
        </is>
      </c>
      <c r="C1334" s="9" t="inlineStr">
        <is>
          <t>Trendline breakout (fractal swing line) + VWAP/S-R distance gate</t>
        </is>
      </c>
      <c r="D1334" s="9" t="inlineStr">
        <is>
          <t>Long</t>
        </is>
      </c>
      <c r="E1334" s="10" t="n">
        <v>45167.10069444445</v>
      </c>
      <c r="F1334" s="10" t="n">
        <v>45167.57638888889</v>
      </c>
      <c r="G1334" s="11" t="n">
        <v>-0.45</v>
      </c>
      <c r="H1334" s="11">
        <f>H1333+G1334</f>
        <v/>
      </c>
    </row>
    <row r="1335">
      <c r="A1335" s="9" t="n">
        <v>1331</v>
      </c>
      <c r="B1335" s="9" t="inlineStr">
        <is>
          <t>Aurelius_M15</t>
        </is>
      </c>
      <c r="C1335" s="9" t="inlineStr">
        <is>
          <t>MA alignment (EMA21&gt;EMA50&gt;SMA250&gt;SMMA500 vs EMA2400 trend filter) - M15 chart</t>
        </is>
      </c>
      <c r="D1335" s="9" t="inlineStr">
        <is>
          <t>Long</t>
        </is>
      </c>
      <c r="E1335" s="10" t="n">
        <v>45166.72916666666</v>
      </c>
      <c r="F1335" s="10" t="n">
        <v>45167.625</v>
      </c>
      <c r="G1335" s="11" t="n">
        <v>-2.26</v>
      </c>
      <c r="H1335" s="11">
        <f>H1334+G1335</f>
        <v/>
      </c>
    </row>
    <row r="1336">
      <c r="A1336" s="9" t="n">
        <v>1332</v>
      </c>
      <c r="B1336" s="9" t="inlineStr">
        <is>
          <t>Vanguard_M5</t>
        </is>
      </c>
      <c r="C1336" s="9" t="inlineStr">
        <is>
          <t>Trendline breakout (fractal swing line) + VWAP/S-R distance gate</t>
        </is>
      </c>
      <c r="D1336" s="9" t="inlineStr">
        <is>
          <t>Short</t>
        </is>
      </c>
      <c r="E1336" s="10" t="n">
        <v>45167.57986111111</v>
      </c>
      <c r="F1336" s="10" t="n">
        <v>45167.70833333334</v>
      </c>
      <c r="G1336" s="11" t="n">
        <v>-2.66</v>
      </c>
      <c r="H1336" s="11">
        <f>H1335+G1336</f>
        <v/>
      </c>
    </row>
    <row r="1337">
      <c r="A1337" s="9" t="n">
        <v>1333</v>
      </c>
      <c r="B1337" s="9" t="inlineStr">
        <is>
          <t>Vanguard_M15</t>
        </is>
      </c>
      <c r="C1337" s="9" t="inlineStr">
        <is>
          <t>Trendline breakout (fractal swing line) + VWAP/S-R distance gate - M15 chart</t>
        </is>
      </c>
      <c r="D1337" s="9" t="inlineStr">
        <is>
          <t>Short</t>
        </is>
      </c>
      <c r="E1337" s="10" t="n">
        <v>45167.58333333334</v>
      </c>
      <c r="F1337" s="10" t="n">
        <v>45167.70833333334</v>
      </c>
      <c r="G1337" s="11" t="n">
        <v>-3.49</v>
      </c>
      <c r="H1337" s="11">
        <f>H1336+G1337</f>
        <v/>
      </c>
    </row>
    <row r="1338">
      <c r="A1338" s="9" t="n">
        <v>1334</v>
      </c>
      <c r="B1338" s="9" t="inlineStr">
        <is>
          <t>Ratchet</t>
        </is>
      </c>
      <c r="C1338" s="9" t="inlineStr">
        <is>
          <t>Stochastic scalp with give-back trail exit</t>
        </is>
      </c>
      <c r="D1338" s="9" t="inlineStr">
        <is>
          <t>Long</t>
        </is>
      </c>
      <c r="E1338" s="10" t="n">
        <v>45167.875</v>
      </c>
      <c r="F1338" s="10" t="n">
        <v>45167.89236111111</v>
      </c>
      <c r="G1338" s="11" t="n">
        <v>-1.55</v>
      </c>
      <c r="H1338" s="11">
        <f>H1337+G1338</f>
        <v/>
      </c>
    </row>
    <row r="1339">
      <c r="A1339" s="9" t="n">
        <v>1335</v>
      </c>
      <c r="B1339" s="9" t="inlineStr">
        <is>
          <t>Meridian</t>
        </is>
      </c>
      <c r="C1339" s="9" t="inlineStr">
        <is>
          <t>21/50 MA cross, 250-period confirm filter, VWAP</t>
        </is>
      </c>
      <c r="D1339" s="9" t="inlineStr">
        <is>
          <t>Long</t>
        </is>
      </c>
      <c r="E1339" s="10" t="n">
        <v>45167.71180555555</v>
      </c>
      <c r="F1339" s="10" t="n">
        <v>45168.14583333334</v>
      </c>
      <c r="G1339" s="11" t="n">
        <v>6.47</v>
      </c>
      <c r="H1339" s="11">
        <f>H1338+G1339</f>
        <v/>
      </c>
    </row>
    <row r="1340">
      <c r="A1340" s="9" t="n">
        <v>1336</v>
      </c>
      <c r="B1340" s="9" t="inlineStr">
        <is>
          <t>Meridian</t>
        </is>
      </c>
      <c r="C1340" s="9" t="inlineStr">
        <is>
          <t>21/50 MA cross, 250-period confirm filter, VWAP</t>
        </is>
      </c>
      <c r="D1340" s="9" t="inlineStr">
        <is>
          <t>Long</t>
        </is>
      </c>
      <c r="E1340" s="10" t="n">
        <v>45168.22916666666</v>
      </c>
      <c r="F1340" s="10" t="n">
        <v>45168.26388888889</v>
      </c>
      <c r="G1340" s="11" t="n">
        <v>-0.88</v>
      </c>
      <c r="H1340" s="11">
        <f>H1339+G1340</f>
        <v/>
      </c>
    </row>
    <row r="1341">
      <c r="A1341" s="9" t="n">
        <v>1337</v>
      </c>
      <c r="B1341" s="9" t="inlineStr">
        <is>
          <t>Ratchet</t>
        </is>
      </c>
      <c r="C1341" s="9" t="inlineStr">
        <is>
          <t>Stochastic scalp with give-back trail exit</t>
        </is>
      </c>
      <c r="D1341" s="9" t="inlineStr">
        <is>
          <t>Long</t>
        </is>
      </c>
      <c r="E1341" s="10" t="n">
        <v>45168.27777777778</v>
      </c>
      <c r="F1341" s="10" t="n">
        <v>45168.30555555555</v>
      </c>
      <c r="G1341" s="11" t="n">
        <v>-0.8</v>
      </c>
      <c r="H1341" s="11">
        <f>H1340+G1341</f>
        <v/>
      </c>
    </row>
    <row r="1342">
      <c r="A1342" s="9" t="n">
        <v>1338</v>
      </c>
      <c r="B1342" s="9" t="inlineStr">
        <is>
          <t>Meridian</t>
        </is>
      </c>
      <c r="C1342" s="9" t="inlineStr">
        <is>
          <t>21/50 MA cross, 250-period confirm filter, VWAP</t>
        </is>
      </c>
      <c r="D1342" s="9" t="inlineStr">
        <is>
          <t>Long</t>
        </is>
      </c>
      <c r="E1342" s="10" t="n">
        <v>45168.27083333334</v>
      </c>
      <c r="F1342" s="10" t="n">
        <v>45168.32291666666</v>
      </c>
      <c r="G1342" s="11" t="n">
        <v>-0.43</v>
      </c>
      <c r="H1342" s="11">
        <f>H1341+G1342</f>
        <v/>
      </c>
    </row>
    <row r="1343">
      <c r="A1343" s="9" t="n">
        <v>1339</v>
      </c>
      <c r="B1343" s="9" t="inlineStr">
        <is>
          <t>Ratchet</t>
        </is>
      </c>
      <c r="C1343" s="9" t="inlineStr">
        <is>
          <t>Stochastic scalp with give-back trail exit</t>
        </is>
      </c>
      <c r="D1343" s="9" t="inlineStr">
        <is>
          <t>Long</t>
        </is>
      </c>
      <c r="E1343" s="10" t="n">
        <v>45168.51041666666</v>
      </c>
      <c r="F1343" s="10" t="n">
        <v>45168.54861111111</v>
      </c>
      <c r="G1343" s="11" t="n">
        <v>0.54</v>
      </c>
      <c r="H1343" s="11">
        <f>H1342+G1343</f>
        <v/>
      </c>
    </row>
    <row r="1344">
      <c r="A1344" s="9" t="n">
        <v>1340</v>
      </c>
      <c r="B1344" s="9" t="inlineStr">
        <is>
          <t>Vanguard_M15</t>
        </is>
      </c>
      <c r="C1344" s="9" t="inlineStr">
        <is>
          <t>Trendline breakout (fractal swing line) + VWAP/S-R distance gate - M15 chart</t>
        </is>
      </c>
      <c r="D1344" s="9" t="inlineStr">
        <is>
          <t>Long</t>
        </is>
      </c>
      <c r="E1344" s="10" t="n">
        <v>45167.71875</v>
      </c>
      <c r="F1344" s="10" t="n">
        <v>45168.79166666666</v>
      </c>
      <c r="G1344" s="11" t="n">
        <v>13.53</v>
      </c>
      <c r="H1344" s="11">
        <f>H1343+G1344</f>
        <v/>
      </c>
    </row>
    <row r="1345">
      <c r="A1345" s="9" t="n">
        <v>1341</v>
      </c>
      <c r="B1345" s="9" t="inlineStr">
        <is>
          <t>Ratchet</t>
        </is>
      </c>
      <c r="C1345" s="9" t="inlineStr">
        <is>
          <t>Stochastic scalp with give-back trail exit</t>
        </is>
      </c>
      <c r="D1345" s="9" t="inlineStr">
        <is>
          <t>Long</t>
        </is>
      </c>
      <c r="E1345" s="10" t="n">
        <v>45168.83680555555</v>
      </c>
      <c r="F1345" s="10" t="n">
        <v>45168.84375</v>
      </c>
      <c r="G1345" s="11" t="n">
        <v>-0</v>
      </c>
      <c r="H1345" s="11">
        <f>H1344+G1345</f>
        <v/>
      </c>
    </row>
    <row r="1346">
      <c r="A1346" s="9" t="n">
        <v>1342</v>
      </c>
      <c r="B1346" s="9" t="inlineStr">
        <is>
          <t>Ratchet</t>
        </is>
      </c>
      <c r="C1346" s="9" t="inlineStr">
        <is>
          <t>Stochastic scalp with give-back trail exit</t>
        </is>
      </c>
      <c r="D1346" s="9" t="inlineStr">
        <is>
          <t>Long</t>
        </is>
      </c>
      <c r="E1346" s="10" t="n">
        <v>45168.84722222222</v>
      </c>
      <c r="F1346" s="10" t="n">
        <v>45168.85763888889</v>
      </c>
      <c r="G1346" s="11" t="n">
        <v>-1.1</v>
      </c>
      <c r="H1346" s="11">
        <f>H1345+G1346</f>
        <v/>
      </c>
    </row>
    <row r="1347">
      <c r="A1347" s="9" t="n">
        <v>1343</v>
      </c>
      <c r="B1347" s="9" t="inlineStr">
        <is>
          <t>Meridian</t>
        </is>
      </c>
      <c r="C1347" s="9" t="inlineStr">
        <is>
          <t>21/50 MA cross, 250-period confirm filter, VWAP</t>
        </is>
      </c>
      <c r="D1347" s="9" t="inlineStr">
        <is>
          <t>Long</t>
        </is>
      </c>
      <c r="E1347" s="10" t="n">
        <v>45168.50347222222</v>
      </c>
      <c r="F1347" s="10" t="n">
        <v>45168.89930555555</v>
      </c>
      <c r="G1347" s="11" t="n">
        <v>6.53</v>
      </c>
      <c r="H1347" s="11">
        <f>H1346+G1347</f>
        <v/>
      </c>
    </row>
    <row r="1348">
      <c r="A1348" s="9" t="n">
        <v>1344</v>
      </c>
      <c r="B1348" s="9" t="inlineStr">
        <is>
          <t>Ratchet</t>
        </is>
      </c>
      <c r="C1348" s="9" t="inlineStr">
        <is>
          <t>Stochastic scalp with give-back trail exit</t>
        </is>
      </c>
      <c r="D1348" s="9" t="inlineStr">
        <is>
          <t>Long</t>
        </is>
      </c>
      <c r="E1348" s="10" t="n">
        <v>45169.08333333334</v>
      </c>
      <c r="F1348" s="10" t="n">
        <v>45169.13888888889</v>
      </c>
      <c r="G1348" s="11" t="n">
        <v>0</v>
      </c>
      <c r="H1348" s="11">
        <f>H1347+G1348</f>
        <v/>
      </c>
    </row>
    <row r="1349">
      <c r="A1349" s="9" t="n">
        <v>1345</v>
      </c>
      <c r="B1349" s="9" t="inlineStr">
        <is>
          <t>Meridian</t>
        </is>
      </c>
      <c r="C1349" s="9" t="inlineStr">
        <is>
          <t>21/50 MA cross, 250-period confirm filter, VWAP</t>
        </is>
      </c>
      <c r="D1349" s="9" t="inlineStr">
        <is>
          <t>Long</t>
        </is>
      </c>
      <c r="E1349" s="10" t="n">
        <v>45169.06597222222</v>
      </c>
      <c r="F1349" s="10" t="n">
        <v>45169.3125</v>
      </c>
      <c r="G1349" s="11" t="n">
        <v>0.2</v>
      </c>
      <c r="H1349" s="11">
        <f>H1348+G1349</f>
        <v/>
      </c>
    </row>
    <row r="1350">
      <c r="A1350" s="9" t="n">
        <v>1346</v>
      </c>
      <c r="B1350" s="9" t="inlineStr">
        <is>
          <t>Aurelius_M15</t>
        </is>
      </c>
      <c r="C1350" s="9" t="inlineStr">
        <is>
          <t>MA alignment (EMA21&gt;EMA50&gt;SMA250&gt;SMMA500 vs EMA2400 trend filter) - M15 chart</t>
        </is>
      </c>
      <c r="D1350" s="9" t="inlineStr">
        <is>
          <t>Long</t>
        </is>
      </c>
      <c r="E1350" s="10" t="n">
        <v>45167.77083333334</v>
      </c>
      <c r="F1350" s="10" t="n">
        <v>45169.41666666666</v>
      </c>
      <c r="G1350" s="11" t="n">
        <v>8.029999999999999</v>
      </c>
      <c r="H1350" s="11">
        <f>H1349+G1350</f>
        <v/>
      </c>
    </row>
    <row r="1351">
      <c r="A1351" s="9" t="n">
        <v>1347</v>
      </c>
      <c r="B1351" s="9" t="inlineStr">
        <is>
          <t>Meridian</t>
        </is>
      </c>
      <c r="C1351" s="9" t="inlineStr">
        <is>
          <t>21/50 MA cross, 250-period confirm filter, VWAP</t>
        </is>
      </c>
      <c r="D1351" s="9" t="inlineStr">
        <is>
          <t>Long</t>
        </is>
      </c>
      <c r="E1351" s="10" t="n">
        <v>45169.625</v>
      </c>
      <c r="F1351" s="10" t="n">
        <v>45169.64583333334</v>
      </c>
      <c r="G1351" s="11" t="n">
        <v>-1.39</v>
      </c>
      <c r="H1351" s="11">
        <f>H1350+G1351</f>
        <v/>
      </c>
    </row>
    <row r="1352">
      <c r="A1352" s="9" t="n">
        <v>1348</v>
      </c>
      <c r="B1352" s="9" t="inlineStr">
        <is>
          <t>Vanguard_M15</t>
        </is>
      </c>
      <c r="C1352" s="9" t="inlineStr">
        <is>
          <t>Trendline breakout (fractal swing line) + VWAP/S-R distance gate - M15 chart</t>
        </is>
      </c>
      <c r="D1352" s="9" t="inlineStr">
        <is>
          <t>Long</t>
        </is>
      </c>
      <c r="E1352" s="10" t="n">
        <v>45169.63541666666</v>
      </c>
      <c r="F1352" s="10" t="n">
        <v>45169.64583333334</v>
      </c>
      <c r="G1352" s="11" t="n">
        <v>-3.07</v>
      </c>
      <c r="H1352" s="11">
        <f>H1351+G1352</f>
        <v/>
      </c>
    </row>
    <row r="1353">
      <c r="A1353" s="9" t="n">
        <v>1349</v>
      </c>
      <c r="B1353" s="9" t="inlineStr">
        <is>
          <t>Vanguard_M5</t>
        </is>
      </c>
      <c r="C1353" s="9" t="inlineStr">
        <is>
          <t>Trendline breakout (fractal swing line) + VWAP/S-R distance gate</t>
        </is>
      </c>
      <c r="D1353" s="9" t="inlineStr">
        <is>
          <t>Long</t>
        </is>
      </c>
      <c r="E1353" s="10" t="n">
        <v>45169.63541666666</v>
      </c>
      <c r="F1353" s="10" t="n">
        <v>45169.64583333334</v>
      </c>
      <c r="G1353" s="11" t="n">
        <v>-2.74</v>
      </c>
      <c r="H1353" s="11">
        <f>H1352+G1353</f>
        <v/>
      </c>
    </row>
    <row r="1354">
      <c r="A1354" s="9" t="n">
        <v>1350</v>
      </c>
      <c r="B1354" s="9" t="inlineStr">
        <is>
          <t>Aurelius_M5</t>
        </is>
      </c>
      <c r="C1354" s="9" t="inlineStr">
        <is>
          <t>MA alignment (EMA21&gt;EMA50&gt;SMA250&gt;SMMA500 vs EMA2400 trend filter)</t>
        </is>
      </c>
      <c r="D1354" s="9" t="inlineStr">
        <is>
          <t>Long</t>
        </is>
      </c>
      <c r="E1354" s="10" t="n">
        <v>45169.64583333334</v>
      </c>
      <c r="F1354" s="10" t="n">
        <v>45169.64583333334</v>
      </c>
      <c r="G1354" s="11" t="n">
        <v>-1.8</v>
      </c>
      <c r="H1354" s="11">
        <f>H1353+G1354</f>
        <v/>
      </c>
    </row>
    <row r="1355">
      <c r="A1355" s="9" t="n">
        <v>1351</v>
      </c>
      <c r="B1355" s="9" t="inlineStr">
        <is>
          <t>Meridian</t>
        </is>
      </c>
      <c r="C1355" s="9" t="inlineStr">
        <is>
          <t>21/50 MA cross, 250-period confirm filter, VWAP</t>
        </is>
      </c>
      <c r="D1355" s="9" t="inlineStr">
        <is>
          <t>Short</t>
        </is>
      </c>
      <c r="E1355" s="10" t="n">
        <v>45169.67708333334</v>
      </c>
      <c r="F1355" s="10" t="n">
        <v>45170.17708333334</v>
      </c>
      <c r="G1355" s="11" t="n">
        <v>0.67</v>
      </c>
      <c r="H1355" s="11">
        <f>H1354+G1355</f>
        <v/>
      </c>
    </row>
    <row r="1356">
      <c r="A1356" s="9" t="n">
        <v>1352</v>
      </c>
      <c r="B1356" s="9" t="inlineStr">
        <is>
          <t>Meridian</t>
        </is>
      </c>
      <c r="C1356" s="9" t="inlineStr">
        <is>
          <t>21/50 MA cross, 250-period confirm filter, VWAP</t>
        </is>
      </c>
      <c r="D1356" s="9" t="inlineStr">
        <is>
          <t>Short</t>
        </is>
      </c>
      <c r="E1356" s="10" t="n">
        <v>45170.26388888889</v>
      </c>
      <c r="F1356" s="10" t="n">
        <v>45170.36111111111</v>
      </c>
      <c r="G1356" s="11" t="n">
        <v>-1.55</v>
      </c>
      <c r="H1356" s="11">
        <f>H1355+G1356</f>
        <v/>
      </c>
    </row>
    <row r="1357">
      <c r="A1357" s="9" t="n">
        <v>1353</v>
      </c>
      <c r="B1357" s="9" t="inlineStr">
        <is>
          <t>Ratchet</t>
        </is>
      </c>
      <c r="C1357" s="9" t="inlineStr">
        <is>
          <t>Stochastic scalp with give-back trail exit</t>
        </is>
      </c>
      <c r="D1357" s="9" t="inlineStr">
        <is>
          <t>Long</t>
        </is>
      </c>
      <c r="E1357" s="10" t="n">
        <v>45170.67361111111</v>
      </c>
      <c r="F1357" s="10" t="n">
        <v>45170.69097222222</v>
      </c>
      <c r="G1357" s="11" t="n">
        <v>-0</v>
      </c>
      <c r="H1357" s="11">
        <f>H1356+G1357</f>
        <v/>
      </c>
    </row>
    <row r="1358">
      <c r="A1358" s="9" t="n">
        <v>1354</v>
      </c>
      <c r="B1358" s="9" t="inlineStr">
        <is>
          <t>Meridian</t>
        </is>
      </c>
      <c r="C1358" s="9" t="inlineStr">
        <is>
          <t>21/50 MA cross, 250-period confirm filter, VWAP</t>
        </is>
      </c>
      <c r="D1358" s="9" t="inlineStr">
        <is>
          <t>Long</t>
        </is>
      </c>
      <c r="E1358" s="10" t="n">
        <v>45170.42708333334</v>
      </c>
      <c r="F1358" s="10" t="n">
        <v>45170.70138888889</v>
      </c>
      <c r="G1358" s="11" t="n">
        <v>-1.66</v>
      </c>
      <c r="H1358" s="11">
        <f>H1357+G1358</f>
        <v/>
      </c>
    </row>
    <row r="1359">
      <c r="A1359" s="9" t="n">
        <v>1355</v>
      </c>
      <c r="B1359" s="9" t="inlineStr">
        <is>
          <t>Meridian</t>
        </is>
      </c>
      <c r="C1359" s="9" t="inlineStr">
        <is>
          <t>21/50 MA cross, 250-period confirm filter, VWAP</t>
        </is>
      </c>
      <c r="D1359" s="9" t="inlineStr">
        <is>
          <t>Short</t>
        </is>
      </c>
      <c r="E1359" s="10" t="n">
        <v>45170.71875</v>
      </c>
      <c r="F1359" s="10" t="n">
        <v>45170.91319444445</v>
      </c>
      <c r="G1359" s="11" t="n">
        <v>0.2</v>
      </c>
      <c r="H1359" s="11">
        <f>H1358+G1359</f>
        <v/>
      </c>
    </row>
    <row r="1360">
      <c r="A1360" s="9" t="n">
        <v>1356</v>
      </c>
      <c r="B1360" s="9" t="inlineStr">
        <is>
          <t>Vanguard_M5</t>
        </is>
      </c>
      <c r="C1360" s="9" t="inlineStr">
        <is>
          <t>Trendline breakout (fractal swing line) + VWAP/S-R distance gate</t>
        </is>
      </c>
      <c r="D1360" s="9" t="inlineStr">
        <is>
          <t>Long</t>
        </is>
      </c>
      <c r="E1360" s="10" t="n">
        <v>45174.34722222222</v>
      </c>
      <c r="F1360" s="10" t="n">
        <v>45174.36111111111</v>
      </c>
      <c r="G1360" s="11" t="n">
        <v>-1.78</v>
      </c>
      <c r="H1360" s="11">
        <f>H1359+G1360</f>
        <v/>
      </c>
    </row>
    <row r="1361">
      <c r="A1361" s="9" t="n">
        <v>1357</v>
      </c>
      <c r="B1361" s="9" t="inlineStr">
        <is>
          <t>Meridian</t>
        </is>
      </c>
      <c r="C1361" s="9" t="inlineStr">
        <is>
          <t>21/50 MA cross, 250-period confirm filter, VWAP</t>
        </is>
      </c>
      <c r="D1361" s="9" t="inlineStr">
        <is>
          <t>Short</t>
        </is>
      </c>
      <c r="E1361" s="10" t="n">
        <v>45174.38541666666</v>
      </c>
      <c r="F1361" s="10" t="n">
        <v>45174.41666666666</v>
      </c>
      <c r="G1361" s="11" t="n">
        <v>-1.57</v>
      </c>
      <c r="H1361" s="11">
        <f>H1360+G1361</f>
        <v/>
      </c>
    </row>
    <row r="1362">
      <c r="A1362" s="9" t="n">
        <v>1358</v>
      </c>
      <c r="B1362" s="9" t="inlineStr">
        <is>
          <t>Ratchet</t>
        </is>
      </c>
      <c r="C1362" s="9" t="inlineStr">
        <is>
          <t>Stochastic scalp with give-back trail exit</t>
        </is>
      </c>
      <c r="D1362" s="9" t="inlineStr">
        <is>
          <t>Short</t>
        </is>
      </c>
      <c r="E1362" s="10" t="n">
        <v>45174.54166666666</v>
      </c>
      <c r="F1362" s="10" t="n">
        <v>45174.55208333334</v>
      </c>
      <c r="G1362" s="11" t="n">
        <v>-1.19</v>
      </c>
      <c r="H1362" s="11">
        <f>H1361+G1362</f>
        <v/>
      </c>
    </row>
    <row r="1363">
      <c r="A1363" s="9" t="n">
        <v>1359</v>
      </c>
      <c r="B1363" s="9" t="inlineStr">
        <is>
          <t>Ratchet</t>
        </is>
      </c>
      <c r="C1363" s="9" t="inlineStr">
        <is>
          <t>Stochastic scalp with give-back trail exit</t>
        </is>
      </c>
      <c r="D1363" s="9" t="inlineStr">
        <is>
          <t>Short</t>
        </is>
      </c>
      <c r="E1363" s="10" t="n">
        <v>45174.625</v>
      </c>
      <c r="F1363" s="10" t="n">
        <v>45174.62847222222</v>
      </c>
      <c r="G1363" s="11" t="n">
        <v>-1.31</v>
      </c>
      <c r="H1363" s="11">
        <f>H1362+G1363</f>
        <v/>
      </c>
    </row>
    <row r="1364">
      <c r="A1364" s="9" t="n">
        <v>1360</v>
      </c>
      <c r="B1364" s="9" t="inlineStr">
        <is>
          <t>Aurelius_M5</t>
        </is>
      </c>
      <c r="C1364" s="9" t="inlineStr">
        <is>
          <t>MA alignment (EMA21&gt;EMA50&gt;SMA250&gt;SMMA500 vs EMA2400 trend filter)</t>
        </is>
      </c>
      <c r="D1364" s="9" t="inlineStr">
        <is>
          <t>Short</t>
        </is>
      </c>
      <c r="E1364" s="10" t="n">
        <v>45174.67708333334</v>
      </c>
      <c r="F1364" s="10" t="n">
        <v>45174.68402777778</v>
      </c>
      <c r="G1364" s="11" t="n">
        <v>-2.14</v>
      </c>
      <c r="H1364" s="11">
        <f>H1363+G1364</f>
        <v/>
      </c>
    </row>
    <row r="1365">
      <c r="A1365" s="9" t="n">
        <v>1361</v>
      </c>
      <c r="B1365" s="9" t="inlineStr">
        <is>
          <t>Ratchet</t>
        </is>
      </c>
      <c r="C1365" s="9" t="inlineStr">
        <is>
          <t>Stochastic scalp with give-back trail exit</t>
        </is>
      </c>
      <c r="D1365" s="9" t="inlineStr">
        <is>
          <t>Short</t>
        </is>
      </c>
      <c r="E1365" s="10" t="n">
        <v>45174.84027777778</v>
      </c>
      <c r="F1365" s="10" t="n">
        <v>45174.92708333334</v>
      </c>
      <c r="G1365" s="11" t="n">
        <v>0.23</v>
      </c>
      <c r="H1365" s="11">
        <f>H1364+G1365</f>
        <v/>
      </c>
    </row>
    <row r="1366">
      <c r="A1366" s="9" t="n">
        <v>1362</v>
      </c>
      <c r="B1366" s="9" t="inlineStr">
        <is>
          <t>Aurelius_M5</t>
        </is>
      </c>
      <c r="C1366" s="9" t="inlineStr">
        <is>
          <t>MA alignment (EMA21&gt;EMA50&gt;SMA250&gt;SMMA500 vs EMA2400 trend filter)</t>
        </is>
      </c>
      <c r="D1366" s="9" t="inlineStr">
        <is>
          <t>Short</t>
        </is>
      </c>
      <c r="E1366" s="10" t="n">
        <v>45174.72569444445</v>
      </c>
      <c r="F1366" s="10" t="n">
        <v>45175.04166666666</v>
      </c>
      <c r="G1366" s="11" t="n">
        <v>0.78</v>
      </c>
      <c r="H1366" s="11">
        <f>H1365+G1366</f>
        <v/>
      </c>
    </row>
    <row r="1367">
      <c r="A1367" s="9" t="n">
        <v>1363</v>
      </c>
      <c r="B1367" s="9" t="inlineStr">
        <is>
          <t>Meridian</t>
        </is>
      </c>
      <c r="C1367" s="9" t="inlineStr">
        <is>
          <t>21/50 MA cross, 250-period confirm filter, VWAP</t>
        </is>
      </c>
      <c r="D1367" s="9" t="inlineStr">
        <is>
          <t>Short</t>
        </is>
      </c>
      <c r="E1367" s="10" t="n">
        <v>45175.13194444445</v>
      </c>
      <c r="F1367" s="10" t="n">
        <v>45175.27083333334</v>
      </c>
      <c r="G1367" s="11" t="n">
        <v>-0</v>
      </c>
      <c r="H1367" s="11">
        <f>H1366+G1367</f>
        <v/>
      </c>
    </row>
    <row r="1368">
      <c r="A1368" s="9" t="n">
        <v>1364</v>
      </c>
      <c r="B1368" s="9" t="inlineStr">
        <is>
          <t>Ratchet</t>
        </is>
      </c>
      <c r="C1368" s="9" t="inlineStr">
        <is>
          <t>Stochastic scalp with give-back trail exit</t>
        </is>
      </c>
      <c r="D1368" s="9" t="inlineStr">
        <is>
          <t>Short</t>
        </is>
      </c>
      <c r="E1368" s="10" t="n">
        <v>45175.44444444445</v>
      </c>
      <c r="F1368" s="10" t="n">
        <v>45175.44791666666</v>
      </c>
      <c r="G1368" s="11" t="n">
        <v>-0</v>
      </c>
      <c r="H1368" s="11">
        <f>H1367+G1368</f>
        <v/>
      </c>
    </row>
    <row r="1369">
      <c r="A1369" s="9" t="n">
        <v>1365</v>
      </c>
      <c r="B1369" s="9" t="inlineStr">
        <is>
          <t>Aurelius_M5</t>
        </is>
      </c>
      <c r="C1369" s="9" t="inlineStr">
        <is>
          <t>MA alignment (EMA21&gt;EMA50&gt;SMA250&gt;SMMA500 vs EMA2400 trend filter)</t>
        </is>
      </c>
      <c r="D1369" s="9" t="inlineStr">
        <is>
          <t>Short</t>
        </is>
      </c>
      <c r="E1369" s="10" t="n">
        <v>45175.4375</v>
      </c>
      <c r="F1369" s="10" t="n">
        <v>45175.54166666666</v>
      </c>
      <c r="G1369" s="11" t="n">
        <v>-1.85</v>
      </c>
      <c r="H1369" s="11">
        <f>H1368+G1369</f>
        <v/>
      </c>
    </row>
    <row r="1370">
      <c r="A1370" s="9" t="n">
        <v>1366</v>
      </c>
      <c r="B1370" s="9" t="inlineStr">
        <is>
          <t>Aurelius_M15</t>
        </is>
      </c>
      <c r="C1370" s="9" t="inlineStr">
        <is>
          <t>MA alignment (EMA21&gt;EMA50&gt;SMA250&gt;SMMA500 vs EMA2400 trend filter) - M15 chart</t>
        </is>
      </c>
      <c r="D1370" s="9" t="inlineStr">
        <is>
          <t>Short</t>
        </is>
      </c>
      <c r="E1370" s="10" t="n">
        <v>45175.44791666666</v>
      </c>
      <c r="F1370" s="10" t="n">
        <v>45175.54166666666</v>
      </c>
      <c r="G1370" s="11" t="n">
        <v>-2.76</v>
      </c>
      <c r="H1370" s="11">
        <f>H1369+G1370</f>
        <v/>
      </c>
    </row>
    <row r="1371">
      <c r="A1371" s="9" t="n">
        <v>1367</v>
      </c>
      <c r="B1371" s="9" t="inlineStr">
        <is>
          <t>Meridian</t>
        </is>
      </c>
      <c r="C1371" s="9" t="inlineStr">
        <is>
          <t>21/50 MA cross, 250-period confirm filter, VWAP</t>
        </is>
      </c>
      <c r="D1371" s="9" t="inlineStr">
        <is>
          <t>Long</t>
        </is>
      </c>
      <c r="E1371" s="10" t="n">
        <v>45175.55555555555</v>
      </c>
      <c r="F1371" s="10" t="n">
        <v>45175.61458333334</v>
      </c>
      <c r="G1371" s="11" t="n">
        <v>-1.94</v>
      </c>
      <c r="H1371" s="11">
        <f>H1370+G1371</f>
        <v/>
      </c>
    </row>
    <row r="1372">
      <c r="A1372" s="9" t="n">
        <v>1368</v>
      </c>
      <c r="B1372" s="9" t="inlineStr">
        <is>
          <t>Aurelius_M5</t>
        </is>
      </c>
      <c r="C1372" s="9" t="inlineStr">
        <is>
          <t>MA alignment (EMA21&gt;EMA50&gt;SMA250&gt;SMMA500 vs EMA2400 trend filter)</t>
        </is>
      </c>
      <c r="D1372" s="9" t="inlineStr">
        <is>
          <t>Short</t>
        </is>
      </c>
      <c r="E1372" s="10" t="n">
        <v>45175.67361111111</v>
      </c>
      <c r="F1372" s="10" t="n">
        <v>45175.69097222222</v>
      </c>
      <c r="G1372" s="11" t="n">
        <v>-2.49</v>
      </c>
      <c r="H1372" s="11">
        <f>H1371+G1372</f>
        <v/>
      </c>
    </row>
    <row r="1373">
      <c r="A1373" s="9" t="n">
        <v>1369</v>
      </c>
      <c r="B1373" s="9" t="inlineStr">
        <is>
          <t>Meridian</t>
        </is>
      </c>
      <c r="C1373" s="9" t="inlineStr">
        <is>
          <t>21/50 MA cross, 250-period confirm filter, VWAP</t>
        </is>
      </c>
      <c r="D1373" s="9" t="inlineStr">
        <is>
          <t>Short</t>
        </is>
      </c>
      <c r="E1373" s="10" t="n">
        <v>45175.66319444445</v>
      </c>
      <c r="F1373" s="10" t="n">
        <v>45175.69791666666</v>
      </c>
      <c r="G1373" s="11" t="n">
        <v>-2.25</v>
      </c>
      <c r="H1373" s="11">
        <f>H1372+G1373</f>
        <v/>
      </c>
    </row>
    <row r="1374">
      <c r="A1374" s="9" t="n">
        <v>1370</v>
      </c>
      <c r="B1374" s="9" t="inlineStr">
        <is>
          <t>Aurelius_M15</t>
        </is>
      </c>
      <c r="C1374" s="9" t="inlineStr">
        <is>
          <t>MA alignment (EMA21&gt;EMA50&gt;SMA250&gt;SMMA500 vs EMA2400 trend filter) - M15 chart</t>
        </is>
      </c>
      <c r="D1374" s="9" t="inlineStr">
        <is>
          <t>Short</t>
        </is>
      </c>
      <c r="E1374" s="10" t="n">
        <v>45175.66666666666</v>
      </c>
      <c r="F1374" s="10" t="n">
        <v>45175.69791666666</v>
      </c>
      <c r="G1374" s="11" t="n">
        <v>-3.3</v>
      </c>
      <c r="H1374" s="11">
        <f>H1373+G1374</f>
        <v/>
      </c>
    </row>
    <row r="1375">
      <c r="A1375" s="9" t="n">
        <v>1371</v>
      </c>
      <c r="B1375" s="9" t="inlineStr">
        <is>
          <t>Vanguard_M5</t>
        </is>
      </c>
      <c r="C1375" s="9" t="inlineStr">
        <is>
          <t>Trendline breakout (fractal swing line) + VWAP/S-R distance gate</t>
        </is>
      </c>
      <c r="D1375" s="9" t="inlineStr">
        <is>
          <t>Long</t>
        </is>
      </c>
      <c r="E1375" s="10" t="n">
        <v>45175.70486111111</v>
      </c>
      <c r="F1375" s="10" t="n">
        <v>45175.70833333334</v>
      </c>
      <c r="G1375" s="11" t="n">
        <v>-5.66</v>
      </c>
      <c r="H1375" s="11">
        <f>H1374+G1375</f>
        <v/>
      </c>
    </row>
    <row r="1376">
      <c r="A1376" s="9" t="n">
        <v>1372</v>
      </c>
      <c r="B1376" s="9" t="inlineStr">
        <is>
          <t>Vanguard_M15</t>
        </is>
      </c>
      <c r="C1376" s="9" t="inlineStr">
        <is>
          <t>Trendline breakout (fractal swing line) + VWAP/S-R distance gate - M15 chart</t>
        </is>
      </c>
      <c r="D1376" s="9" t="inlineStr">
        <is>
          <t>Long</t>
        </is>
      </c>
      <c r="E1376" s="10" t="n">
        <v>45175.70833333334</v>
      </c>
      <c r="F1376" s="10" t="n">
        <v>45175.70833333334</v>
      </c>
      <c r="G1376" s="11" t="n">
        <v>-5.6</v>
      </c>
      <c r="H1376" s="11">
        <f>H1375+G1376</f>
        <v/>
      </c>
    </row>
    <row r="1377">
      <c r="A1377" s="9" t="n">
        <v>1373</v>
      </c>
      <c r="B1377" s="9" t="inlineStr">
        <is>
          <t>Ratchet</t>
        </is>
      </c>
      <c r="C1377" s="9" t="inlineStr">
        <is>
          <t>Stochastic scalp with give-back trail exit</t>
        </is>
      </c>
      <c r="D1377" s="9" t="inlineStr">
        <is>
          <t>Short</t>
        </is>
      </c>
      <c r="E1377" s="10" t="n">
        <v>45175.72222222222</v>
      </c>
      <c r="F1377" s="10" t="n">
        <v>45175.82638888889</v>
      </c>
      <c r="G1377" s="11" t="n">
        <v>1.86</v>
      </c>
      <c r="H1377" s="11">
        <f>H1376+G1377</f>
        <v/>
      </c>
    </row>
    <row r="1378">
      <c r="A1378" s="9" t="n">
        <v>1374</v>
      </c>
      <c r="B1378" s="9" t="inlineStr">
        <is>
          <t>Aurelius_M5</t>
        </is>
      </c>
      <c r="C1378" s="9" t="inlineStr">
        <is>
          <t>MA alignment (EMA21&gt;EMA50&gt;SMA250&gt;SMMA500 vs EMA2400 trend filter)</t>
        </is>
      </c>
      <c r="D1378" s="9" t="inlineStr">
        <is>
          <t>Short</t>
        </is>
      </c>
      <c r="E1378" s="10" t="n">
        <v>45175.71180555555</v>
      </c>
      <c r="F1378" s="10" t="n">
        <v>45176.04166666666</v>
      </c>
      <c r="G1378" s="11" t="n">
        <v>4.53</v>
      </c>
      <c r="H1378" s="11">
        <f>H1377+G1378</f>
        <v/>
      </c>
    </row>
    <row r="1379">
      <c r="A1379" s="9" t="n">
        <v>1375</v>
      </c>
      <c r="B1379" s="9" t="inlineStr">
        <is>
          <t>Ratchet</t>
        </is>
      </c>
      <c r="C1379" s="9" t="inlineStr">
        <is>
          <t>Stochastic scalp with give-back trail exit</t>
        </is>
      </c>
      <c r="D1379" s="9" t="inlineStr">
        <is>
          <t>Short</t>
        </is>
      </c>
      <c r="E1379" s="10" t="n">
        <v>45176.15972222222</v>
      </c>
      <c r="F1379" s="10" t="n">
        <v>45176.16666666666</v>
      </c>
      <c r="G1379" s="11" t="n">
        <v>-0.57</v>
      </c>
      <c r="H1379" s="11">
        <f>H1378+G1379</f>
        <v/>
      </c>
    </row>
    <row r="1380">
      <c r="A1380" s="9" t="n">
        <v>1376</v>
      </c>
      <c r="B1380" s="9" t="inlineStr">
        <is>
          <t>Meridian</t>
        </is>
      </c>
      <c r="C1380" s="9" t="inlineStr">
        <is>
          <t>21/50 MA cross, 250-period confirm filter, VWAP</t>
        </is>
      </c>
      <c r="D1380" s="9" t="inlineStr">
        <is>
          <t>Short</t>
        </is>
      </c>
      <c r="E1380" s="10" t="n">
        <v>45176.10763888889</v>
      </c>
      <c r="F1380" s="10" t="n">
        <v>45176.17361111111</v>
      </c>
      <c r="G1380" s="11" t="n">
        <v>-0.86</v>
      </c>
      <c r="H1380" s="11">
        <f>H1379+G1380</f>
        <v/>
      </c>
    </row>
    <row r="1381">
      <c r="A1381" s="9" t="n">
        <v>1377</v>
      </c>
      <c r="B1381" s="9" t="inlineStr">
        <is>
          <t>Aurelius_M15</t>
        </is>
      </c>
      <c r="C1381" s="9" t="inlineStr">
        <is>
          <t>MA alignment (EMA21&gt;EMA50&gt;SMA250&gt;SMMA500 vs EMA2400 trend filter) - M15 chart</t>
        </is>
      </c>
      <c r="D1381" s="9" t="inlineStr">
        <is>
          <t>Short</t>
        </is>
      </c>
      <c r="E1381" s="10" t="n">
        <v>45175.75</v>
      </c>
      <c r="F1381" s="10" t="n">
        <v>45176.25</v>
      </c>
      <c r="G1381" s="11" t="n">
        <v>-1.78</v>
      </c>
      <c r="H1381" s="11">
        <f>H1380+G1381</f>
        <v/>
      </c>
    </row>
    <row r="1382">
      <c r="A1382" s="9" t="n">
        <v>1378</v>
      </c>
      <c r="B1382" s="9" t="inlineStr">
        <is>
          <t>Meridian</t>
        </is>
      </c>
      <c r="C1382" s="9" t="inlineStr">
        <is>
          <t>21/50 MA cross, 250-period confirm filter, VWAP</t>
        </is>
      </c>
      <c r="D1382" s="9" t="inlineStr">
        <is>
          <t>Short</t>
        </is>
      </c>
      <c r="E1382" s="10" t="n">
        <v>45176.36805555555</v>
      </c>
      <c r="F1382" s="10" t="n">
        <v>45176.38194444445</v>
      </c>
      <c r="G1382" s="11" t="n">
        <v>-1.56</v>
      </c>
      <c r="H1382" s="11">
        <f>H1381+G1382</f>
        <v/>
      </c>
    </row>
    <row r="1383">
      <c r="A1383" s="9" t="n">
        <v>1379</v>
      </c>
      <c r="B1383" s="9" t="inlineStr">
        <is>
          <t>Aurelius_M5</t>
        </is>
      </c>
      <c r="C1383" s="9" t="inlineStr">
        <is>
          <t>MA alignment (EMA21&gt;EMA50&gt;SMA250&gt;SMMA500 vs EMA2400 trend filter)</t>
        </is>
      </c>
      <c r="D1383" s="9" t="inlineStr">
        <is>
          <t>Short</t>
        </is>
      </c>
      <c r="E1383" s="10" t="n">
        <v>45176.37847222222</v>
      </c>
      <c r="F1383" s="10" t="n">
        <v>45176.40277777778</v>
      </c>
      <c r="G1383" s="11" t="n">
        <v>-1.6</v>
      </c>
      <c r="H1383" s="11">
        <f>H1382+G1383</f>
        <v/>
      </c>
    </row>
    <row r="1384">
      <c r="A1384" s="9" t="n">
        <v>1380</v>
      </c>
      <c r="B1384" s="9" t="inlineStr">
        <is>
          <t>Ratchet</t>
        </is>
      </c>
      <c r="C1384" s="9" t="inlineStr">
        <is>
          <t>Stochastic scalp with give-back trail exit</t>
        </is>
      </c>
      <c r="D1384" s="9" t="inlineStr">
        <is>
          <t>Short</t>
        </is>
      </c>
      <c r="E1384" s="10" t="n">
        <v>45176.42013888889</v>
      </c>
      <c r="F1384" s="10" t="n">
        <v>45176.42361111111</v>
      </c>
      <c r="G1384" s="11" t="n">
        <v>0.11</v>
      </c>
      <c r="H1384" s="11">
        <f>H1383+G1384</f>
        <v/>
      </c>
    </row>
    <row r="1385">
      <c r="A1385" s="9" t="n">
        <v>1381</v>
      </c>
      <c r="B1385" s="9" t="inlineStr">
        <is>
          <t>Ratchet</t>
        </is>
      </c>
      <c r="C1385" s="9" t="inlineStr">
        <is>
          <t>Stochastic scalp with give-back trail exit</t>
        </is>
      </c>
      <c r="D1385" s="9" t="inlineStr">
        <is>
          <t>Short</t>
        </is>
      </c>
      <c r="E1385" s="10" t="n">
        <v>45176.43402777778</v>
      </c>
      <c r="F1385" s="10" t="n">
        <v>45176.45138888889</v>
      </c>
      <c r="G1385" s="11" t="n">
        <v>0.1</v>
      </c>
      <c r="H1385" s="11">
        <f>H1384+G1385</f>
        <v/>
      </c>
    </row>
    <row r="1386">
      <c r="A1386" s="9" t="n">
        <v>1382</v>
      </c>
      <c r="B1386" s="9" t="inlineStr">
        <is>
          <t>Meridian</t>
        </is>
      </c>
      <c r="C1386" s="9" t="inlineStr">
        <is>
          <t>21/50 MA cross, 250-period confirm filter, VWAP</t>
        </is>
      </c>
      <c r="D1386" s="9" t="inlineStr">
        <is>
          <t>Short</t>
        </is>
      </c>
      <c r="E1386" s="10" t="n">
        <v>45176.42013888889</v>
      </c>
      <c r="F1386" s="10" t="n">
        <v>45176.50694444445</v>
      </c>
      <c r="G1386" s="11" t="n">
        <v>-0.59</v>
      </c>
      <c r="H1386" s="11">
        <f>H1385+G1386</f>
        <v/>
      </c>
    </row>
    <row r="1387">
      <c r="A1387" s="9" t="n">
        <v>1383</v>
      </c>
      <c r="B1387" s="9" t="inlineStr">
        <is>
          <t>Aurelius_M5</t>
        </is>
      </c>
      <c r="C1387" s="9" t="inlineStr">
        <is>
          <t>MA alignment (EMA21&gt;EMA50&gt;SMA250&gt;SMMA500 vs EMA2400 trend filter)</t>
        </is>
      </c>
      <c r="D1387" s="9" t="inlineStr">
        <is>
          <t>Short</t>
        </is>
      </c>
      <c r="E1387" s="10" t="n">
        <v>45176.45486111111</v>
      </c>
      <c r="F1387" s="10" t="n">
        <v>45176.50694444445</v>
      </c>
      <c r="G1387" s="11" t="n">
        <v>-0.75</v>
      </c>
      <c r="H1387" s="11">
        <f>H1386+G1387</f>
        <v/>
      </c>
    </row>
    <row r="1388">
      <c r="A1388" s="9" t="n">
        <v>1384</v>
      </c>
      <c r="B1388" s="9" t="inlineStr">
        <is>
          <t>Vanguard_M5</t>
        </is>
      </c>
      <c r="C1388" s="9" t="inlineStr">
        <is>
          <t>Trendline breakout (fractal swing line) + VWAP/S-R distance gate</t>
        </is>
      </c>
      <c r="D1388" s="9" t="inlineStr">
        <is>
          <t>Long</t>
        </is>
      </c>
      <c r="E1388" s="10" t="n">
        <v>45176.63194444445</v>
      </c>
      <c r="F1388" s="10" t="n">
        <v>45176.64583333334</v>
      </c>
      <c r="G1388" s="11" t="n">
        <v>-2.75</v>
      </c>
      <c r="H1388" s="11">
        <f>H1387+G1388</f>
        <v/>
      </c>
    </row>
    <row r="1389">
      <c r="A1389" s="9" t="n">
        <v>1385</v>
      </c>
      <c r="B1389" s="9" t="inlineStr">
        <is>
          <t>Vanguard_M15</t>
        </is>
      </c>
      <c r="C1389" s="9" t="inlineStr">
        <is>
          <t>Trendline breakout (fractal swing line) + VWAP/S-R distance gate - M15 chart</t>
        </is>
      </c>
      <c r="D1389" s="9" t="inlineStr">
        <is>
          <t>Long</t>
        </is>
      </c>
      <c r="E1389" s="10" t="n">
        <v>45176.66666666666</v>
      </c>
      <c r="F1389" s="10" t="n">
        <v>45176.69791666666</v>
      </c>
      <c r="G1389" s="11" t="n">
        <v>-5.15</v>
      </c>
      <c r="H1389" s="11">
        <f>H1388+G1389</f>
        <v/>
      </c>
    </row>
    <row r="1390">
      <c r="A1390" s="9" t="n">
        <v>1386</v>
      </c>
      <c r="B1390" s="9" t="inlineStr">
        <is>
          <t>Vanguard_M5</t>
        </is>
      </c>
      <c r="C1390" s="9" t="inlineStr">
        <is>
          <t>Trendline breakout (fractal swing line) + VWAP/S-R distance gate</t>
        </is>
      </c>
      <c r="D1390" s="9" t="inlineStr">
        <is>
          <t>Long</t>
        </is>
      </c>
      <c r="E1390" s="10" t="n">
        <v>45176.66666666666</v>
      </c>
      <c r="F1390" s="10" t="n">
        <v>45176.71875</v>
      </c>
      <c r="G1390" s="11" t="n">
        <v>-5.46</v>
      </c>
      <c r="H1390" s="11">
        <f>H1389+G1390</f>
        <v/>
      </c>
    </row>
    <row r="1391">
      <c r="A1391" s="9" t="n">
        <v>1387</v>
      </c>
      <c r="B1391" s="9" t="inlineStr">
        <is>
          <t>Meridian</t>
        </is>
      </c>
      <c r="C1391" s="9" t="inlineStr">
        <is>
          <t>21/50 MA cross, 250-period confirm filter, VWAP</t>
        </is>
      </c>
      <c r="D1391" s="9" t="inlineStr">
        <is>
          <t>Long</t>
        </is>
      </c>
      <c r="E1391" s="10" t="n">
        <v>45176.79861111111</v>
      </c>
      <c r="F1391" s="10" t="n">
        <v>45176.82291666666</v>
      </c>
      <c r="G1391" s="11" t="n">
        <v>-2.08</v>
      </c>
      <c r="H1391" s="11">
        <f>H1390+G1391</f>
        <v/>
      </c>
    </row>
    <row r="1392">
      <c r="A1392" s="9" t="n">
        <v>1388</v>
      </c>
      <c r="B1392" s="9" t="inlineStr">
        <is>
          <t>Ratchet</t>
        </is>
      </c>
      <c r="C1392" s="9" t="inlineStr">
        <is>
          <t>Stochastic scalp with give-back trail exit</t>
        </is>
      </c>
      <c r="D1392" s="9" t="inlineStr">
        <is>
          <t>Short</t>
        </is>
      </c>
      <c r="E1392" s="10" t="n">
        <v>45176.83680555555</v>
      </c>
      <c r="F1392" s="10" t="n">
        <v>45176.84027777778</v>
      </c>
      <c r="G1392" s="11" t="n">
        <v>0.1</v>
      </c>
      <c r="H1392" s="11">
        <f>H1391+G1392</f>
        <v/>
      </c>
    </row>
    <row r="1393">
      <c r="A1393" s="9" t="n">
        <v>1389</v>
      </c>
      <c r="B1393" s="9" t="inlineStr">
        <is>
          <t>Meridian</t>
        </is>
      </c>
      <c r="C1393" s="9" t="inlineStr">
        <is>
          <t>21/50 MA cross, 250-period confirm filter, VWAP</t>
        </is>
      </c>
      <c r="D1393" s="9" t="inlineStr">
        <is>
          <t>Long</t>
        </is>
      </c>
      <c r="E1393" s="10" t="n">
        <v>45176.91319444445</v>
      </c>
      <c r="F1393" s="10" t="n">
        <v>45176.94791666666</v>
      </c>
      <c r="G1393" s="11" t="n">
        <v>-1.26</v>
      </c>
      <c r="H1393" s="11">
        <f>H1392+G1393</f>
        <v/>
      </c>
    </row>
    <row r="1394">
      <c r="A1394" s="9" t="n">
        <v>1390</v>
      </c>
      <c r="B1394" s="9" t="inlineStr">
        <is>
          <t>Meridian</t>
        </is>
      </c>
      <c r="C1394" s="9" t="inlineStr">
        <is>
          <t>21/50 MA cross, 250-period confirm filter, VWAP</t>
        </is>
      </c>
      <c r="D1394" s="9" t="inlineStr">
        <is>
          <t>Short</t>
        </is>
      </c>
      <c r="E1394" s="10" t="n">
        <v>45176.96527777778</v>
      </c>
      <c r="F1394" s="10" t="n">
        <v>45177.04166666666</v>
      </c>
      <c r="G1394" s="11" t="n">
        <v>-0.24</v>
      </c>
      <c r="H1394" s="11">
        <f>H1393+G1394</f>
        <v/>
      </c>
    </row>
    <row r="1395">
      <c r="A1395" s="9" t="n">
        <v>1391</v>
      </c>
      <c r="B1395" s="9" t="inlineStr">
        <is>
          <t>Meridian</t>
        </is>
      </c>
      <c r="C1395" s="9" t="inlineStr">
        <is>
          <t>21/50 MA cross, 250-period confirm filter, VWAP</t>
        </is>
      </c>
      <c r="D1395" s="9" t="inlineStr">
        <is>
          <t>Long</t>
        </is>
      </c>
      <c r="E1395" s="10" t="n">
        <v>45177.54166666666</v>
      </c>
      <c r="F1395" s="10" t="n">
        <v>45177.56597222222</v>
      </c>
      <c r="G1395" s="11" t="n">
        <v>-1.57</v>
      </c>
      <c r="H1395" s="11">
        <f>H1394+G1395</f>
        <v/>
      </c>
    </row>
    <row r="1396">
      <c r="A1396" s="9" t="n">
        <v>1392</v>
      </c>
      <c r="B1396" s="9" t="inlineStr">
        <is>
          <t>Meridian</t>
        </is>
      </c>
      <c r="C1396" s="9" t="inlineStr">
        <is>
          <t>21/50 MA cross, 250-period confirm filter, VWAP</t>
        </is>
      </c>
      <c r="D1396" s="9" t="inlineStr">
        <is>
          <t>Long</t>
        </is>
      </c>
      <c r="E1396" s="10" t="n">
        <v>45177.71180555555</v>
      </c>
      <c r="F1396" s="10" t="n">
        <v>45177.74305555555</v>
      </c>
      <c r="G1396" s="11" t="n">
        <v>-3.92</v>
      </c>
      <c r="H1396" s="11">
        <f>H1395+G1396</f>
        <v/>
      </c>
    </row>
    <row r="1397">
      <c r="A1397" s="9" t="n">
        <v>1393</v>
      </c>
      <c r="B1397" s="9" t="inlineStr">
        <is>
          <t>Ratchet</t>
        </is>
      </c>
      <c r="C1397" s="9" t="inlineStr">
        <is>
          <t>Stochastic scalp with give-back trail exit</t>
        </is>
      </c>
      <c r="D1397" s="9" t="inlineStr">
        <is>
          <t>Long</t>
        </is>
      </c>
      <c r="E1397" s="10" t="n">
        <v>45177.71875</v>
      </c>
      <c r="F1397" s="10" t="n">
        <v>45177.74305555555</v>
      </c>
      <c r="G1397" s="11" t="n">
        <v>-2.98</v>
      </c>
      <c r="H1397" s="11">
        <f>H1396+G1397</f>
        <v/>
      </c>
    </row>
    <row r="1398">
      <c r="A1398" s="9" t="n">
        <v>1394</v>
      </c>
      <c r="B1398" s="9" t="inlineStr">
        <is>
          <t>Vanguard_M15</t>
        </is>
      </c>
      <c r="C1398" s="9" t="inlineStr">
        <is>
          <t>Trendline breakout (fractal swing line) + VWAP/S-R distance gate - M15 chart</t>
        </is>
      </c>
      <c r="D1398" s="9" t="inlineStr">
        <is>
          <t>Long</t>
        </is>
      </c>
      <c r="E1398" s="10" t="n">
        <v>45177.14583333334</v>
      </c>
      <c r="F1398" s="10" t="n">
        <v>45177.79166666666</v>
      </c>
      <c r="G1398" s="11" t="n">
        <v>-2.47</v>
      </c>
      <c r="H1398" s="11">
        <f>H1397+G1398</f>
        <v/>
      </c>
    </row>
    <row r="1399">
      <c r="A1399" s="9" t="n">
        <v>1395</v>
      </c>
      <c r="B1399" s="9" t="inlineStr">
        <is>
          <t>Vanguard_M5</t>
        </is>
      </c>
      <c r="C1399" s="9" t="inlineStr">
        <is>
          <t>Trendline breakout (fractal swing line) + VWAP/S-R distance gate</t>
        </is>
      </c>
      <c r="D1399" s="9" t="inlineStr">
        <is>
          <t>Long</t>
        </is>
      </c>
      <c r="E1399" s="10" t="n">
        <v>45177.05208333334</v>
      </c>
      <c r="F1399" s="10" t="n">
        <v>45177.80902777778</v>
      </c>
      <c r="G1399" s="11" t="n">
        <v>-1.35</v>
      </c>
      <c r="H1399" s="11">
        <f>H1398+G1399</f>
        <v/>
      </c>
    </row>
    <row r="1400">
      <c r="A1400" s="9" t="n">
        <v>1396</v>
      </c>
      <c r="B1400" s="9" t="inlineStr">
        <is>
          <t>Meridian</t>
        </is>
      </c>
      <c r="C1400" s="9" t="inlineStr">
        <is>
          <t>21/50 MA cross, 250-period confirm filter, VWAP</t>
        </is>
      </c>
      <c r="D1400" s="9" t="inlineStr">
        <is>
          <t>Short</t>
        </is>
      </c>
      <c r="E1400" s="10" t="n">
        <v>45177.76736111111</v>
      </c>
      <c r="F1400" s="10" t="n">
        <v>45177.91666666666</v>
      </c>
      <c r="G1400" s="11" t="n">
        <v>2.44</v>
      </c>
      <c r="H1400" s="11">
        <f>H1399+G1400</f>
        <v/>
      </c>
    </row>
    <row r="1401">
      <c r="A1401" s="9" t="n">
        <v>1397</v>
      </c>
      <c r="B1401" s="9" t="inlineStr">
        <is>
          <t>Ratchet</t>
        </is>
      </c>
      <c r="C1401" s="9" t="inlineStr">
        <is>
          <t>Stochastic scalp with give-back trail exit</t>
        </is>
      </c>
      <c r="D1401" s="9" t="inlineStr">
        <is>
          <t>Long</t>
        </is>
      </c>
      <c r="E1401" s="10" t="n">
        <v>45180.35416666666</v>
      </c>
      <c r="F1401" s="10" t="n">
        <v>45180.40972222222</v>
      </c>
      <c r="G1401" s="11" t="n">
        <v>0.31</v>
      </c>
      <c r="H1401" s="11">
        <f>H1400+G1401</f>
        <v/>
      </c>
    </row>
    <row r="1402">
      <c r="A1402" s="9" t="n">
        <v>1398</v>
      </c>
      <c r="B1402" s="9" t="inlineStr">
        <is>
          <t>Meridian</t>
        </is>
      </c>
      <c r="C1402" s="9" t="inlineStr">
        <is>
          <t>21/50 MA cross, 250-period confirm filter, VWAP</t>
        </is>
      </c>
      <c r="D1402" s="9" t="inlineStr">
        <is>
          <t>Long</t>
        </is>
      </c>
      <c r="E1402" s="10" t="n">
        <v>45180.67013888889</v>
      </c>
      <c r="F1402" s="10" t="n">
        <v>45180.69791666666</v>
      </c>
      <c r="G1402" s="11" t="n">
        <v>-2.42</v>
      </c>
      <c r="H1402" s="11">
        <f>H1401+G1402</f>
        <v/>
      </c>
    </row>
    <row r="1403">
      <c r="A1403" s="9" t="n">
        <v>1399</v>
      </c>
      <c r="B1403" s="9" t="inlineStr">
        <is>
          <t>Ratchet</t>
        </is>
      </c>
      <c r="C1403" s="9" t="inlineStr">
        <is>
          <t>Stochastic scalp with give-back trail exit</t>
        </is>
      </c>
      <c r="D1403" s="9" t="inlineStr">
        <is>
          <t>Long</t>
        </is>
      </c>
      <c r="E1403" s="10" t="n">
        <v>45180.69097222222</v>
      </c>
      <c r="F1403" s="10" t="n">
        <v>45180.69791666666</v>
      </c>
      <c r="G1403" s="11" t="n">
        <v>-2.03</v>
      </c>
      <c r="H1403" s="11">
        <f>H1402+G1403</f>
        <v/>
      </c>
    </row>
    <row r="1404">
      <c r="A1404" s="9" t="n">
        <v>1400</v>
      </c>
      <c r="B1404" s="9" t="inlineStr">
        <is>
          <t>Ratchet</t>
        </is>
      </c>
      <c r="C1404" s="9" t="inlineStr">
        <is>
          <t>Stochastic scalp with give-back trail exit</t>
        </is>
      </c>
      <c r="D1404" s="9" t="inlineStr">
        <is>
          <t>Short</t>
        </is>
      </c>
      <c r="E1404" s="10" t="n">
        <v>45181.15972222222</v>
      </c>
      <c r="F1404" s="10" t="n">
        <v>45181.17013888889</v>
      </c>
      <c r="G1404" s="11" t="n">
        <v>0.07000000000000001</v>
      </c>
      <c r="H1404" s="11">
        <f>H1403+G1404</f>
        <v/>
      </c>
    </row>
    <row r="1405">
      <c r="A1405" s="9" t="n">
        <v>1401</v>
      </c>
      <c r="B1405" s="9" t="inlineStr">
        <is>
          <t>Ratchet</t>
        </is>
      </c>
      <c r="C1405" s="9" t="inlineStr">
        <is>
          <t>Stochastic scalp with give-back trail exit</t>
        </is>
      </c>
      <c r="D1405" s="9" t="inlineStr">
        <is>
          <t>Short</t>
        </is>
      </c>
      <c r="E1405" s="10" t="n">
        <v>45181.35416666666</v>
      </c>
      <c r="F1405" s="10" t="n">
        <v>45181.36111111111</v>
      </c>
      <c r="G1405" s="11" t="n">
        <v>-0</v>
      </c>
      <c r="H1405" s="11">
        <f>H1404+G1405</f>
        <v/>
      </c>
    </row>
    <row r="1406">
      <c r="A1406" s="9" t="n">
        <v>1402</v>
      </c>
      <c r="B1406" s="9" t="inlineStr">
        <is>
          <t>Ratchet</t>
        </is>
      </c>
      <c r="C1406" s="9" t="inlineStr">
        <is>
          <t>Stochastic scalp with give-back trail exit</t>
        </is>
      </c>
      <c r="D1406" s="9" t="inlineStr">
        <is>
          <t>Short</t>
        </is>
      </c>
      <c r="E1406" s="10" t="n">
        <v>45181.44097222222</v>
      </c>
      <c r="F1406" s="10" t="n">
        <v>45181.44444444445</v>
      </c>
      <c r="G1406" s="11" t="n">
        <v>-0</v>
      </c>
      <c r="H1406" s="11">
        <f>H1405+G1406</f>
        <v/>
      </c>
    </row>
    <row r="1407">
      <c r="A1407" s="9" t="n">
        <v>1403</v>
      </c>
      <c r="B1407" s="9" t="inlineStr">
        <is>
          <t>Ratchet</t>
        </is>
      </c>
      <c r="C1407" s="9" t="inlineStr">
        <is>
          <t>Stochastic scalp with give-back trail exit</t>
        </is>
      </c>
      <c r="D1407" s="9" t="inlineStr">
        <is>
          <t>Short</t>
        </is>
      </c>
      <c r="E1407" s="10" t="n">
        <v>45181.45138888889</v>
      </c>
      <c r="F1407" s="10" t="n">
        <v>45181.46180555555</v>
      </c>
      <c r="G1407" s="11" t="n">
        <v>-0.87</v>
      </c>
      <c r="H1407" s="11">
        <f>H1406+G1407</f>
        <v/>
      </c>
    </row>
    <row r="1408">
      <c r="A1408" s="9" t="n">
        <v>1404</v>
      </c>
      <c r="B1408" s="9" t="inlineStr">
        <is>
          <t>Ratchet</t>
        </is>
      </c>
      <c r="C1408" s="9" t="inlineStr">
        <is>
          <t>Stochastic scalp with give-back trail exit</t>
        </is>
      </c>
      <c r="D1408" s="9" t="inlineStr">
        <is>
          <t>Short</t>
        </is>
      </c>
      <c r="E1408" s="10" t="n">
        <v>45181.50347222222</v>
      </c>
      <c r="F1408" s="10" t="n">
        <v>45181.52083333334</v>
      </c>
      <c r="G1408" s="11" t="n">
        <v>0.09</v>
      </c>
      <c r="H1408" s="11">
        <f>H1407+G1408</f>
        <v/>
      </c>
    </row>
    <row r="1409">
      <c r="A1409" s="9" t="n">
        <v>1405</v>
      </c>
      <c r="B1409" s="9" t="inlineStr">
        <is>
          <t>Ratchet</t>
        </is>
      </c>
      <c r="C1409" s="9" t="inlineStr">
        <is>
          <t>Stochastic scalp with give-back trail exit</t>
        </is>
      </c>
      <c r="D1409" s="9" t="inlineStr">
        <is>
          <t>Short</t>
        </is>
      </c>
      <c r="E1409" s="10" t="n">
        <v>45181.70833333334</v>
      </c>
      <c r="F1409" s="10" t="n">
        <v>45181.72569444445</v>
      </c>
      <c r="G1409" s="11" t="n">
        <v>-2.68</v>
      </c>
      <c r="H1409" s="11">
        <f>H1408+G1409</f>
        <v/>
      </c>
    </row>
    <row r="1410">
      <c r="A1410" s="9" t="n">
        <v>1406</v>
      </c>
      <c r="B1410" s="9" t="inlineStr">
        <is>
          <t>Meridian</t>
        </is>
      </c>
      <c r="C1410" s="9" t="inlineStr">
        <is>
          <t>21/50 MA cross, 250-period confirm filter, VWAP</t>
        </is>
      </c>
      <c r="D1410" s="9" t="inlineStr">
        <is>
          <t>Short</t>
        </is>
      </c>
      <c r="E1410" s="10" t="n">
        <v>45181.34722222222</v>
      </c>
      <c r="F1410" s="10" t="n">
        <v>45181.80555555555</v>
      </c>
      <c r="G1410" s="11" t="n">
        <v>6.43</v>
      </c>
      <c r="H1410" s="11">
        <f>H1409+G1410</f>
        <v/>
      </c>
    </row>
    <row r="1411">
      <c r="A1411" s="9" t="n">
        <v>1407</v>
      </c>
      <c r="B1411" s="9" t="inlineStr">
        <is>
          <t>Meridian</t>
        </is>
      </c>
      <c r="C1411" s="9" t="inlineStr">
        <is>
          <t>21/50 MA cross, 250-period confirm filter, VWAP</t>
        </is>
      </c>
      <c r="D1411" s="9" t="inlineStr">
        <is>
          <t>Short</t>
        </is>
      </c>
      <c r="E1411" s="10" t="n">
        <v>45181.84722222222</v>
      </c>
      <c r="F1411" s="10" t="n">
        <v>45181.85069444445</v>
      </c>
      <c r="G1411" s="11" t="n">
        <v>-1.09</v>
      </c>
      <c r="H1411" s="11">
        <f>H1410+G1411</f>
        <v/>
      </c>
    </row>
    <row r="1412">
      <c r="A1412" s="9" t="n">
        <v>1408</v>
      </c>
      <c r="B1412" s="9" t="inlineStr">
        <is>
          <t>Meridian</t>
        </is>
      </c>
      <c r="C1412" s="9" t="inlineStr">
        <is>
          <t>21/50 MA cross, 250-period confirm filter, VWAP</t>
        </is>
      </c>
      <c r="D1412" s="9" t="inlineStr">
        <is>
          <t>Short</t>
        </is>
      </c>
      <c r="E1412" s="10" t="n">
        <v>45181.85416666666</v>
      </c>
      <c r="F1412" s="10" t="n">
        <v>45181.90625</v>
      </c>
      <c r="G1412" s="11" t="n">
        <v>-1.11</v>
      </c>
      <c r="H1412" s="11">
        <f>H1411+G1412</f>
        <v/>
      </c>
    </row>
    <row r="1413">
      <c r="A1413" s="9" t="n">
        <v>1409</v>
      </c>
      <c r="B1413" s="9" t="inlineStr">
        <is>
          <t>Ratchet</t>
        </is>
      </c>
      <c r="C1413" s="9" t="inlineStr">
        <is>
          <t>Stochastic scalp with give-back trail exit</t>
        </is>
      </c>
      <c r="D1413" s="9" t="inlineStr">
        <is>
          <t>Short</t>
        </is>
      </c>
      <c r="E1413" s="10" t="n">
        <v>45182.15972222222</v>
      </c>
      <c r="F1413" s="10" t="n">
        <v>45182.17361111111</v>
      </c>
      <c r="G1413" s="11" t="n">
        <v>0.06</v>
      </c>
      <c r="H1413" s="11">
        <f>H1412+G1413</f>
        <v/>
      </c>
    </row>
    <row r="1414">
      <c r="A1414" s="9" t="n">
        <v>1410</v>
      </c>
      <c r="B1414" s="9" t="inlineStr">
        <is>
          <t>Meridian</t>
        </is>
      </c>
      <c r="C1414" s="9" t="inlineStr">
        <is>
          <t>21/50 MA cross, 250-period confirm filter, VWAP</t>
        </is>
      </c>
      <c r="D1414" s="9" t="inlineStr">
        <is>
          <t>Short</t>
        </is>
      </c>
      <c r="E1414" s="10" t="n">
        <v>45182.15972222222</v>
      </c>
      <c r="F1414" s="10" t="n">
        <v>45182.17708333334</v>
      </c>
      <c r="G1414" s="11" t="n">
        <v>-0.92</v>
      </c>
      <c r="H1414" s="11">
        <f>H1413+G1414</f>
        <v/>
      </c>
    </row>
    <row r="1415">
      <c r="A1415" s="9" t="n">
        <v>1411</v>
      </c>
      <c r="B1415" s="9" t="inlineStr">
        <is>
          <t>Aurelius_M5</t>
        </is>
      </c>
      <c r="C1415" s="9" t="inlineStr">
        <is>
          <t>MA alignment (EMA21&gt;EMA50&gt;SMA250&gt;SMMA500 vs EMA2400 trend filter)</t>
        </is>
      </c>
      <c r="D1415" s="9" t="inlineStr">
        <is>
          <t>Short</t>
        </is>
      </c>
      <c r="E1415" s="10" t="n">
        <v>45182.20138888889</v>
      </c>
      <c r="F1415" s="10" t="n">
        <v>45182.32638888889</v>
      </c>
      <c r="G1415" s="11" t="n">
        <v>-0.38</v>
      </c>
      <c r="H1415" s="11">
        <f>H1414+G1415</f>
        <v/>
      </c>
    </row>
    <row r="1416">
      <c r="A1416" s="9" t="n">
        <v>1412</v>
      </c>
      <c r="B1416" s="9" t="inlineStr">
        <is>
          <t>Ratchet</t>
        </is>
      </c>
      <c r="C1416" s="9" t="inlineStr">
        <is>
          <t>Stochastic scalp with give-back trail exit</t>
        </is>
      </c>
      <c r="D1416" s="9" t="inlineStr">
        <is>
          <t>Short</t>
        </is>
      </c>
      <c r="E1416" s="10" t="n">
        <v>45182.38541666666</v>
      </c>
      <c r="F1416" s="10" t="n">
        <v>45182.39236111111</v>
      </c>
      <c r="G1416" s="11" t="n">
        <v>0.14</v>
      </c>
      <c r="H1416" s="11">
        <f>H1415+G1416</f>
        <v/>
      </c>
    </row>
    <row r="1417">
      <c r="A1417" s="9" t="n">
        <v>1413</v>
      </c>
      <c r="B1417" s="9" t="inlineStr">
        <is>
          <t>Ratchet</t>
        </is>
      </c>
      <c r="C1417" s="9" t="inlineStr">
        <is>
          <t>Stochastic scalp with give-back trail exit</t>
        </is>
      </c>
      <c r="D1417" s="9" t="inlineStr">
        <is>
          <t>Short</t>
        </is>
      </c>
      <c r="E1417" s="10" t="n">
        <v>45182.39583333334</v>
      </c>
      <c r="F1417" s="10" t="n">
        <v>45182.43402777778</v>
      </c>
      <c r="G1417" s="11" t="n">
        <v>-1.55</v>
      </c>
      <c r="H1417" s="11">
        <f>H1416+G1417</f>
        <v/>
      </c>
    </row>
    <row r="1418">
      <c r="A1418" s="9" t="n">
        <v>1414</v>
      </c>
      <c r="B1418" s="9" t="inlineStr">
        <is>
          <t>Meridian</t>
        </is>
      </c>
      <c r="C1418" s="9" t="inlineStr">
        <is>
          <t>21/50 MA cross, 250-period confirm filter, VWAP</t>
        </is>
      </c>
      <c r="D1418" s="9" t="inlineStr">
        <is>
          <t>Short</t>
        </is>
      </c>
      <c r="E1418" s="10" t="n">
        <v>45182.36458333334</v>
      </c>
      <c r="F1418" s="10" t="n">
        <v>45182.45486111111</v>
      </c>
      <c r="G1418" s="11" t="n">
        <v>-1.44</v>
      </c>
      <c r="H1418" s="11">
        <f>H1417+G1418</f>
        <v/>
      </c>
    </row>
    <row r="1419">
      <c r="A1419" s="9" t="n">
        <v>1415</v>
      </c>
      <c r="B1419" s="9" t="inlineStr">
        <is>
          <t>Aurelius_M5</t>
        </is>
      </c>
      <c r="C1419" s="9" t="inlineStr">
        <is>
          <t>MA alignment (EMA21&gt;EMA50&gt;SMA250&gt;SMMA500 vs EMA2400 trend filter)</t>
        </is>
      </c>
      <c r="D1419" s="9" t="inlineStr">
        <is>
          <t>Short</t>
        </is>
      </c>
      <c r="E1419" s="10" t="n">
        <v>45182.40625</v>
      </c>
      <c r="F1419" s="10" t="n">
        <v>45182.45486111111</v>
      </c>
      <c r="G1419" s="11" t="n">
        <v>-1.55</v>
      </c>
      <c r="H1419" s="11">
        <f>H1418+G1419</f>
        <v/>
      </c>
    </row>
    <row r="1420">
      <c r="A1420" s="9" t="n">
        <v>1416</v>
      </c>
      <c r="B1420" s="9" t="inlineStr">
        <is>
          <t>Aurelius_M15</t>
        </is>
      </c>
      <c r="C1420" s="9" t="inlineStr">
        <is>
          <t>MA alignment (EMA21&gt;EMA50&gt;SMA250&gt;SMMA500 vs EMA2400 trend filter) - M15 chart</t>
        </is>
      </c>
      <c r="D1420" s="9" t="inlineStr">
        <is>
          <t>Short</t>
        </is>
      </c>
      <c r="E1420" s="10" t="n">
        <v>45181.38541666666</v>
      </c>
      <c r="F1420" s="10" t="n">
        <v>45182.625</v>
      </c>
      <c r="G1420" s="11" t="n">
        <v>6.82</v>
      </c>
      <c r="H1420" s="11">
        <f>H1419+G1420</f>
        <v/>
      </c>
    </row>
    <row r="1421">
      <c r="A1421" s="9" t="n">
        <v>1417</v>
      </c>
      <c r="B1421" s="9" t="inlineStr">
        <is>
          <t>Meridian</t>
        </is>
      </c>
      <c r="C1421" s="9" t="inlineStr">
        <is>
          <t>21/50 MA cross, 250-period confirm filter, VWAP</t>
        </is>
      </c>
      <c r="D1421" s="9" t="inlineStr">
        <is>
          <t>Long</t>
        </is>
      </c>
      <c r="E1421" s="10" t="n">
        <v>45182.6875</v>
      </c>
      <c r="F1421" s="10" t="n">
        <v>45182.78125</v>
      </c>
      <c r="G1421" s="11" t="n">
        <v>-3.91</v>
      </c>
      <c r="H1421" s="11">
        <f>H1420+G1421</f>
        <v/>
      </c>
    </row>
    <row r="1422">
      <c r="A1422" s="9" t="n">
        <v>1418</v>
      </c>
      <c r="B1422" s="9" t="inlineStr">
        <is>
          <t>Ratchet</t>
        </is>
      </c>
      <c r="C1422" s="9" t="inlineStr">
        <is>
          <t>Stochastic scalp with give-back trail exit</t>
        </is>
      </c>
      <c r="D1422" s="9" t="inlineStr">
        <is>
          <t>Short</t>
        </is>
      </c>
      <c r="E1422" s="10" t="n">
        <v>45182.80208333334</v>
      </c>
      <c r="F1422" s="10" t="n">
        <v>45182.8125</v>
      </c>
      <c r="G1422" s="11" t="n">
        <v>-1.74</v>
      </c>
      <c r="H1422" s="11">
        <f>H1421+G1422</f>
        <v/>
      </c>
    </row>
    <row r="1423">
      <c r="A1423" s="9" t="n">
        <v>1419</v>
      </c>
      <c r="B1423" s="9" t="inlineStr">
        <is>
          <t>Ratchet</t>
        </is>
      </c>
      <c r="C1423" s="9" t="inlineStr">
        <is>
          <t>Stochastic scalp with give-back trail exit</t>
        </is>
      </c>
      <c r="D1423" s="9" t="inlineStr">
        <is>
          <t>Short</t>
        </is>
      </c>
      <c r="E1423" s="10" t="n">
        <v>45182.88194444445</v>
      </c>
      <c r="F1423" s="10" t="n">
        <v>45182.91319444445</v>
      </c>
      <c r="G1423" s="11" t="n">
        <v>0.17</v>
      </c>
      <c r="H1423" s="11">
        <f>H1422+G1423</f>
        <v/>
      </c>
    </row>
    <row r="1424">
      <c r="A1424" s="9" t="n">
        <v>1420</v>
      </c>
      <c r="B1424" s="9" t="inlineStr">
        <is>
          <t>Ratchet</t>
        </is>
      </c>
      <c r="C1424" s="9" t="inlineStr">
        <is>
          <t>Stochastic scalp with give-back trail exit</t>
        </is>
      </c>
      <c r="D1424" s="9" t="inlineStr">
        <is>
          <t>Short</t>
        </is>
      </c>
      <c r="E1424" s="10" t="n">
        <v>45183.25694444445</v>
      </c>
      <c r="F1424" s="10" t="n">
        <v>45183.26041666666</v>
      </c>
      <c r="G1424" s="11" t="n">
        <v>0.13</v>
      </c>
      <c r="H1424" s="11">
        <f>H1423+G1424</f>
        <v/>
      </c>
    </row>
    <row r="1425">
      <c r="A1425" s="9" t="n">
        <v>1421</v>
      </c>
      <c r="B1425" s="9" t="inlineStr">
        <is>
          <t>Ratchet</t>
        </is>
      </c>
      <c r="C1425" s="9" t="inlineStr">
        <is>
          <t>Stochastic scalp with give-back trail exit</t>
        </is>
      </c>
      <c r="D1425" s="9" t="inlineStr">
        <is>
          <t>Short</t>
        </is>
      </c>
      <c r="E1425" s="10" t="n">
        <v>45183.26388888889</v>
      </c>
      <c r="F1425" s="10" t="n">
        <v>45183.3125</v>
      </c>
      <c r="G1425" s="11" t="n">
        <v>-1.31</v>
      </c>
      <c r="H1425" s="11">
        <f>H1424+G1425</f>
        <v/>
      </c>
    </row>
    <row r="1426">
      <c r="A1426" s="9" t="n">
        <v>1422</v>
      </c>
      <c r="B1426" s="9" t="inlineStr">
        <is>
          <t>Ratchet</t>
        </is>
      </c>
      <c r="C1426" s="9" t="inlineStr">
        <is>
          <t>Stochastic scalp with give-back trail exit</t>
        </is>
      </c>
      <c r="D1426" s="9" t="inlineStr">
        <is>
          <t>Short</t>
        </is>
      </c>
      <c r="E1426" s="10" t="n">
        <v>45183.32638888889</v>
      </c>
      <c r="F1426" s="10" t="n">
        <v>45183.34375</v>
      </c>
      <c r="G1426" s="11" t="n">
        <v>0.09</v>
      </c>
      <c r="H1426" s="11">
        <f>H1425+G1426</f>
        <v/>
      </c>
    </row>
    <row r="1427">
      <c r="A1427" s="9" t="n">
        <v>1423</v>
      </c>
      <c r="B1427" s="9" t="inlineStr">
        <is>
          <t>Aurelius_M5</t>
        </is>
      </c>
      <c r="C1427" s="9" t="inlineStr">
        <is>
          <t>MA alignment (EMA21&gt;EMA50&gt;SMA250&gt;SMMA500 vs EMA2400 trend filter)</t>
        </is>
      </c>
      <c r="D1427" s="9" t="inlineStr">
        <is>
          <t>Short</t>
        </is>
      </c>
      <c r="E1427" s="10" t="n">
        <v>45183.31944444445</v>
      </c>
      <c r="F1427" s="10" t="n">
        <v>45183.35416666666</v>
      </c>
      <c r="G1427" s="11" t="n">
        <v>-1.31</v>
      </c>
      <c r="H1427" s="11">
        <f>H1426+G1427</f>
        <v/>
      </c>
    </row>
    <row r="1428">
      <c r="A1428" s="9" t="n">
        <v>1424</v>
      </c>
      <c r="B1428" s="9" t="inlineStr">
        <is>
          <t>Vanguard_M15</t>
        </is>
      </c>
      <c r="C1428" s="9" t="inlineStr">
        <is>
          <t>Trendline breakout (fractal swing line) + VWAP/S-R distance gate - M15 chart</t>
        </is>
      </c>
      <c r="D1428" s="9" t="inlineStr">
        <is>
          <t>Long</t>
        </is>
      </c>
      <c r="E1428" s="10" t="n">
        <v>45182.69791666666</v>
      </c>
      <c r="F1428" s="10" t="n">
        <v>45183.38541666666</v>
      </c>
      <c r="G1428" s="11" t="n">
        <v>-7.27</v>
      </c>
      <c r="H1428" s="11">
        <f>H1427+G1428</f>
        <v/>
      </c>
    </row>
    <row r="1429">
      <c r="A1429" s="9" t="n">
        <v>1425</v>
      </c>
      <c r="B1429" s="9" t="inlineStr">
        <is>
          <t>Vanguard_M5</t>
        </is>
      </c>
      <c r="C1429" s="9" t="inlineStr">
        <is>
          <t>Trendline breakout (fractal swing line) + VWAP/S-R distance gate</t>
        </is>
      </c>
      <c r="D1429" s="9" t="inlineStr">
        <is>
          <t>Long</t>
        </is>
      </c>
      <c r="E1429" s="10" t="n">
        <v>45182.69097222222</v>
      </c>
      <c r="F1429" s="10" t="n">
        <v>45183.41666666666</v>
      </c>
      <c r="G1429" s="11" t="n">
        <v>-7.88</v>
      </c>
      <c r="H1429" s="11">
        <f>H1428+G1429</f>
        <v/>
      </c>
    </row>
    <row r="1430">
      <c r="A1430" s="9" t="n">
        <v>1426</v>
      </c>
      <c r="B1430" s="9" t="inlineStr">
        <is>
          <t>Aurelius_M5</t>
        </is>
      </c>
      <c r="C1430" s="9" t="inlineStr">
        <is>
          <t>MA alignment (EMA21&gt;EMA50&gt;SMA250&gt;SMMA500 vs EMA2400 trend filter)</t>
        </is>
      </c>
      <c r="D1430" s="9" t="inlineStr">
        <is>
          <t>Short</t>
        </is>
      </c>
      <c r="E1430" s="10" t="n">
        <v>45183.37847222222</v>
      </c>
      <c r="F1430" s="10" t="n">
        <v>45183.57638888889</v>
      </c>
      <c r="G1430" s="11" t="n">
        <v>0.19</v>
      </c>
      <c r="H1430" s="11">
        <f>H1429+G1430</f>
        <v/>
      </c>
    </row>
    <row r="1431">
      <c r="A1431" s="9" t="n">
        <v>1427</v>
      </c>
      <c r="B1431" s="9" t="inlineStr">
        <is>
          <t>Meridian</t>
        </is>
      </c>
      <c r="C1431" s="9" t="inlineStr">
        <is>
          <t>21/50 MA cross, 250-period confirm filter, VWAP</t>
        </is>
      </c>
      <c r="D1431" s="9" t="inlineStr">
        <is>
          <t>Short</t>
        </is>
      </c>
      <c r="E1431" s="10" t="n">
        <v>45183.25694444445</v>
      </c>
      <c r="F1431" s="10" t="n">
        <v>45183.57986111111</v>
      </c>
      <c r="G1431" s="11" t="n">
        <v>1.23</v>
      </c>
      <c r="H1431" s="11">
        <f>H1430+G1431</f>
        <v/>
      </c>
    </row>
    <row r="1432">
      <c r="A1432" s="9" t="n">
        <v>1428</v>
      </c>
      <c r="B1432" s="9" t="inlineStr">
        <is>
          <t>Meridian</t>
        </is>
      </c>
      <c r="C1432" s="9" t="inlineStr">
        <is>
          <t>21/50 MA cross, 250-period confirm filter, VWAP</t>
        </is>
      </c>
      <c r="D1432" s="9" t="inlineStr">
        <is>
          <t>Short</t>
        </is>
      </c>
      <c r="E1432" s="10" t="n">
        <v>45183.64930555555</v>
      </c>
      <c r="F1432" s="10" t="n">
        <v>45183.65972222222</v>
      </c>
      <c r="G1432" s="11" t="n">
        <v>-3.6</v>
      </c>
      <c r="H1432" s="11">
        <f>H1431+G1432</f>
        <v/>
      </c>
    </row>
    <row r="1433">
      <c r="A1433" s="9" t="n">
        <v>1429</v>
      </c>
      <c r="B1433" s="9" t="inlineStr">
        <is>
          <t>Aurelius_M5</t>
        </is>
      </c>
      <c r="C1433" s="9" t="inlineStr">
        <is>
          <t>MA alignment (EMA21&gt;EMA50&gt;SMA250&gt;SMMA500 vs EMA2400 trend filter)</t>
        </is>
      </c>
      <c r="D1433" s="9" t="inlineStr">
        <is>
          <t>Short</t>
        </is>
      </c>
      <c r="E1433" s="10" t="n">
        <v>45183.71180555555</v>
      </c>
      <c r="F1433" s="10" t="n">
        <v>45183.72916666666</v>
      </c>
      <c r="G1433" s="11" t="n">
        <v>-4.93</v>
      </c>
      <c r="H1433" s="11">
        <f>H1432+G1433</f>
        <v/>
      </c>
    </row>
    <row r="1434">
      <c r="A1434" s="9" t="n">
        <v>1430</v>
      </c>
      <c r="B1434" s="9" t="inlineStr">
        <is>
          <t>Aurelius_M15</t>
        </is>
      </c>
      <c r="C1434" s="9" t="inlineStr">
        <is>
          <t>MA alignment (EMA21&gt;EMA50&gt;SMA250&gt;SMMA500 vs EMA2400 trend filter) - M15 chart</t>
        </is>
      </c>
      <c r="D1434" s="9" t="inlineStr">
        <is>
          <t>Short</t>
        </is>
      </c>
      <c r="E1434" s="10" t="n">
        <v>45183.21875</v>
      </c>
      <c r="F1434" s="10" t="n">
        <v>45183.84375</v>
      </c>
      <c r="G1434" s="11" t="n">
        <v>-0.83</v>
      </c>
      <c r="H1434" s="11">
        <f>H1433+G1434</f>
        <v/>
      </c>
    </row>
    <row r="1435">
      <c r="A1435" s="9" t="n">
        <v>1431</v>
      </c>
      <c r="B1435" s="9" t="inlineStr">
        <is>
          <t>Ratchet</t>
        </is>
      </c>
      <c r="C1435" s="9" t="inlineStr">
        <is>
          <t>Stochastic scalp with give-back trail exit</t>
        </is>
      </c>
      <c r="D1435" s="9" t="inlineStr">
        <is>
          <t>Long</t>
        </is>
      </c>
      <c r="E1435" s="10" t="n">
        <v>45184.52430555555</v>
      </c>
      <c r="F1435" s="10" t="n">
        <v>45184.53819444445</v>
      </c>
      <c r="G1435" s="11" t="n">
        <v>-1.13</v>
      </c>
      <c r="H1435" s="11">
        <f>H1434+G1435</f>
        <v/>
      </c>
    </row>
    <row r="1436">
      <c r="A1436" s="9" t="n">
        <v>1432</v>
      </c>
      <c r="B1436" s="9" t="inlineStr">
        <is>
          <t>Ratchet</t>
        </is>
      </c>
      <c r="C1436" s="9" t="inlineStr">
        <is>
          <t>Stochastic scalp with give-back trail exit</t>
        </is>
      </c>
      <c r="D1436" s="9" t="inlineStr">
        <is>
          <t>Long</t>
        </is>
      </c>
      <c r="E1436" s="10" t="n">
        <v>45184.60763888889</v>
      </c>
      <c r="F1436" s="10" t="n">
        <v>45184.61805555555</v>
      </c>
      <c r="G1436" s="11" t="n">
        <v>0.22</v>
      </c>
      <c r="H1436" s="11">
        <f>H1435+G1436</f>
        <v/>
      </c>
    </row>
    <row r="1437">
      <c r="A1437" s="9" t="n">
        <v>1433</v>
      </c>
      <c r="B1437" s="9" t="inlineStr">
        <is>
          <t>Ratchet</t>
        </is>
      </c>
      <c r="C1437" s="9" t="inlineStr">
        <is>
          <t>Stochastic scalp with give-back trail exit</t>
        </is>
      </c>
      <c r="D1437" s="9" t="inlineStr">
        <is>
          <t>Long</t>
        </is>
      </c>
      <c r="E1437" s="10" t="n">
        <v>45184.625</v>
      </c>
      <c r="F1437" s="10" t="n">
        <v>45184.62847222222</v>
      </c>
      <c r="G1437" s="11" t="n">
        <v>0.19</v>
      </c>
      <c r="H1437" s="11">
        <f>H1436+G1437</f>
        <v/>
      </c>
    </row>
    <row r="1438">
      <c r="A1438" s="9" t="n">
        <v>1434</v>
      </c>
      <c r="B1438" s="9" t="inlineStr">
        <is>
          <t>Meridian</t>
        </is>
      </c>
      <c r="C1438" s="9" t="inlineStr">
        <is>
          <t>21/50 MA cross, 250-period confirm filter, VWAP</t>
        </is>
      </c>
      <c r="D1438" s="9" t="inlineStr">
        <is>
          <t>Long</t>
        </is>
      </c>
      <c r="E1438" s="10" t="n">
        <v>45183.75347222222</v>
      </c>
      <c r="F1438" s="10" t="n">
        <v>45184.66666666666</v>
      </c>
      <c r="G1438" s="11" t="n">
        <v>7.86</v>
      </c>
      <c r="H1438" s="11">
        <f>H1437+G1438</f>
        <v/>
      </c>
    </row>
    <row r="1439">
      <c r="A1439" s="9" t="n">
        <v>1435</v>
      </c>
      <c r="B1439" s="9" t="inlineStr">
        <is>
          <t>Ratchet</t>
        </is>
      </c>
      <c r="C1439" s="9" t="inlineStr">
        <is>
          <t>Stochastic scalp with give-back trail exit</t>
        </is>
      </c>
      <c r="D1439" s="9" t="inlineStr">
        <is>
          <t>Long</t>
        </is>
      </c>
      <c r="E1439" s="10" t="n">
        <v>45184.69791666666</v>
      </c>
      <c r="F1439" s="10" t="n">
        <v>45184.70138888889</v>
      </c>
      <c r="G1439" s="11" t="n">
        <v>-3</v>
      </c>
      <c r="H1439" s="11">
        <f>H1438+G1439</f>
        <v/>
      </c>
    </row>
    <row r="1440">
      <c r="A1440" s="9" t="n">
        <v>1436</v>
      </c>
      <c r="B1440" s="9" t="inlineStr">
        <is>
          <t>Meridian</t>
        </is>
      </c>
      <c r="C1440" s="9" t="inlineStr">
        <is>
          <t>21/50 MA cross, 250-period confirm filter, VWAP</t>
        </is>
      </c>
      <c r="D1440" s="9" t="inlineStr">
        <is>
          <t>Long</t>
        </is>
      </c>
      <c r="E1440" s="10" t="n">
        <v>45184.67361111111</v>
      </c>
      <c r="F1440" s="10" t="n">
        <v>45184.89236111111</v>
      </c>
      <c r="G1440" s="11" t="n">
        <v>4.57</v>
      </c>
      <c r="H1440" s="11">
        <f>H1439+G1440</f>
        <v/>
      </c>
    </row>
    <row r="1441">
      <c r="A1441" s="9" t="n">
        <v>1437</v>
      </c>
      <c r="B1441" s="9" t="inlineStr">
        <is>
          <t>Aurelius_M15</t>
        </is>
      </c>
      <c r="C1441" s="9" t="inlineStr">
        <is>
          <t>MA alignment (EMA21&gt;EMA50&gt;SMA250&gt;SMMA500 vs EMA2400 trend filter) - M15 chart</t>
        </is>
      </c>
      <c r="D1441" s="9" t="inlineStr">
        <is>
          <t>Long</t>
        </is>
      </c>
      <c r="E1441" s="10" t="n">
        <v>45187.17708333334</v>
      </c>
      <c r="F1441" s="10" t="n">
        <v>45187.1875</v>
      </c>
      <c r="G1441" s="11" t="n">
        <v>-2.55</v>
      </c>
      <c r="H1441" s="11">
        <f>H1440+G1441</f>
        <v/>
      </c>
    </row>
    <row r="1442">
      <c r="A1442" s="9" t="n">
        <v>1438</v>
      </c>
      <c r="B1442" s="9" t="inlineStr">
        <is>
          <t>Aurelius_M5</t>
        </is>
      </c>
      <c r="C1442" s="9" t="inlineStr">
        <is>
          <t>MA alignment (EMA21&gt;EMA50&gt;SMA250&gt;SMMA500 vs EMA2400 trend filter)</t>
        </is>
      </c>
      <c r="D1442" s="9" t="inlineStr">
        <is>
          <t>Long</t>
        </is>
      </c>
      <c r="E1442" s="10" t="n">
        <v>45187.17708333334</v>
      </c>
      <c r="F1442" s="10" t="n">
        <v>45187.1875</v>
      </c>
      <c r="G1442" s="11" t="n">
        <v>-1.3</v>
      </c>
      <c r="H1442" s="11">
        <f>H1441+G1442</f>
        <v/>
      </c>
    </row>
    <row r="1443">
      <c r="A1443" s="9" t="n">
        <v>1439</v>
      </c>
      <c r="B1443" s="9" t="inlineStr">
        <is>
          <t>Meridian</t>
        </is>
      </c>
      <c r="C1443" s="9" t="inlineStr">
        <is>
          <t>21/50 MA cross, 250-period confirm filter, VWAP</t>
        </is>
      </c>
      <c r="D1443" s="9" t="inlineStr">
        <is>
          <t>Long</t>
        </is>
      </c>
      <c r="E1443" s="10" t="n">
        <v>45187.16319444445</v>
      </c>
      <c r="F1443" s="10" t="n">
        <v>45187.19097222222</v>
      </c>
      <c r="G1443" s="11" t="n">
        <v>-0.97</v>
      </c>
      <c r="H1443" s="11">
        <f>H1442+G1443</f>
        <v/>
      </c>
    </row>
    <row r="1444">
      <c r="A1444" s="9" t="n">
        <v>1440</v>
      </c>
      <c r="B1444" s="9" t="inlineStr">
        <is>
          <t>Ratchet</t>
        </is>
      </c>
      <c r="C1444" s="9" t="inlineStr">
        <is>
          <t>Stochastic scalp with give-back trail exit</t>
        </is>
      </c>
      <c r="D1444" s="9" t="inlineStr">
        <is>
          <t>Long</t>
        </is>
      </c>
      <c r="E1444" s="10" t="n">
        <v>45187.21527777778</v>
      </c>
      <c r="F1444" s="10" t="n">
        <v>45187.37152777778</v>
      </c>
      <c r="G1444" s="11" t="n">
        <v>4.55</v>
      </c>
      <c r="H1444" s="11">
        <f>H1443+G1444</f>
        <v/>
      </c>
    </row>
    <row r="1445">
      <c r="A1445" s="9" t="n">
        <v>1441</v>
      </c>
      <c r="B1445" s="9" t="inlineStr">
        <is>
          <t>Ratchet</t>
        </is>
      </c>
      <c r="C1445" s="9" t="inlineStr">
        <is>
          <t>Stochastic scalp with give-back trail exit</t>
        </is>
      </c>
      <c r="D1445" s="9" t="inlineStr">
        <is>
          <t>Long</t>
        </is>
      </c>
      <c r="E1445" s="10" t="n">
        <v>45187.38194444445</v>
      </c>
      <c r="F1445" s="10" t="n">
        <v>45187.38541666666</v>
      </c>
      <c r="G1445" s="11" t="n">
        <v>-1.09</v>
      </c>
      <c r="H1445" s="11">
        <f>H1444+G1445</f>
        <v/>
      </c>
    </row>
    <row r="1446">
      <c r="A1446" s="9" t="n">
        <v>1442</v>
      </c>
      <c r="B1446" s="9" t="inlineStr">
        <is>
          <t>Aurelius_M5</t>
        </is>
      </c>
      <c r="C1446" s="9" t="inlineStr">
        <is>
          <t>MA alignment (EMA21&gt;EMA50&gt;SMA250&gt;SMMA500 vs EMA2400 trend filter)</t>
        </is>
      </c>
      <c r="D1446" s="9" t="inlineStr">
        <is>
          <t>Long</t>
        </is>
      </c>
      <c r="E1446" s="10" t="n">
        <v>45187.20486111111</v>
      </c>
      <c r="F1446" s="10" t="n">
        <v>45187.45833333334</v>
      </c>
      <c r="G1446" s="11" t="n">
        <v>0.44</v>
      </c>
      <c r="H1446" s="11">
        <f>H1445+G1446</f>
        <v/>
      </c>
    </row>
    <row r="1447">
      <c r="A1447" s="9" t="n">
        <v>1443</v>
      </c>
      <c r="B1447" s="9" t="inlineStr">
        <is>
          <t>Meridian</t>
        </is>
      </c>
      <c r="C1447" s="9" t="inlineStr">
        <is>
          <t>21/50 MA cross, 250-period confirm filter, VWAP</t>
        </is>
      </c>
      <c r="D1447" s="9" t="inlineStr">
        <is>
          <t>Long</t>
        </is>
      </c>
      <c r="E1447" s="10" t="n">
        <v>45187.60069444445</v>
      </c>
      <c r="F1447" s="10" t="n">
        <v>45187.61458333334</v>
      </c>
      <c r="G1447" s="11" t="n">
        <v>-1.11</v>
      </c>
      <c r="H1447" s="11">
        <f>H1446+G1447</f>
        <v/>
      </c>
    </row>
    <row r="1448">
      <c r="A1448" s="9" t="n">
        <v>1444</v>
      </c>
      <c r="B1448" s="9" t="inlineStr">
        <is>
          <t>Ratchet</t>
        </is>
      </c>
      <c r="C1448" s="9" t="inlineStr">
        <is>
          <t>Stochastic scalp with give-back trail exit</t>
        </is>
      </c>
      <c r="D1448" s="9" t="inlineStr">
        <is>
          <t>Long</t>
        </is>
      </c>
      <c r="E1448" s="10" t="n">
        <v>45187.79166666666</v>
      </c>
      <c r="F1448" s="10" t="n">
        <v>45187.79513888889</v>
      </c>
      <c r="G1448" s="11" t="n">
        <v>-1.49</v>
      </c>
      <c r="H1448" s="11">
        <f>H1447+G1448</f>
        <v/>
      </c>
    </row>
    <row r="1449">
      <c r="A1449" s="9" t="n">
        <v>1445</v>
      </c>
      <c r="B1449" s="9" t="inlineStr">
        <is>
          <t>Ratchet</t>
        </is>
      </c>
      <c r="C1449" s="9" t="inlineStr">
        <is>
          <t>Stochastic scalp with give-back trail exit</t>
        </is>
      </c>
      <c r="D1449" s="9" t="inlineStr">
        <is>
          <t>Long</t>
        </is>
      </c>
      <c r="E1449" s="10" t="n">
        <v>45188.05208333334</v>
      </c>
      <c r="F1449" s="10" t="n">
        <v>45188.06597222222</v>
      </c>
      <c r="G1449" s="11" t="n">
        <v>-0.6899999999999999</v>
      </c>
      <c r="H1449" s="11">
        <f>H1448+G1449</f>
        <v/>
      </c>
    </row>
    <row r="1450">
      <c r="A1450" s="9" t="n">
        <v>1446</v>
      </c>
      <c r="B1450" s="9" t="inlineStr">
        <is>
          <t>Meridian</t>
        </is>
      </c>
      <c r="C1450" s="9" t="inlineStr">
        <is>
          <t>21/50 MA cross, 250-period confirm filter, VWAP</t>
        </is>
      </c>
      <c r="D1450" s="9" t="inlineStr">
        <is>
          <t>Long</t>
        </is>
      </c>
      <c r="E1450" s="10" t="n">
        <v>45187.75694444445</v>
      </c>
      <c r="F1450" s="10" t="n">
        <v>45188.18402777778</v>
      </c>
      <c r="G1450" s="11" t="n">
        <v>5.44</v>
      </c>
      <c r="H1450" s="11">
        <f>H1449+G1450</f>
        <v/>
      </c>
    </row>
    <row r="1451">
      <c r="A1451" s="9" t="n">
        <v>1447</v>
      </c>
      <c r="B1451" s="9" t="inlineStr">
        <is>
          <t>Vanguard_M5</t>
        </is>
      </c>
      <c r="C1451" s="9" t="inlineStr">
        <is>
          <t>Trendline breakout (fractal swing line) + VWAP/S-R distance gate</t>
        </is>
      </c>
      <c r="D1451" s="9" t="inlineStr">
        <is>
          <t>Long</t>
        </is>
      </c>
      <c r="E1451" s="10" t="n">
        <v>45183.74652777778</v>
      </c>
      <c r="F1451" s="10" t="n">
        <v>45188.40277777778</v>
      </c>
      <c r="G1451" s="11" t="n">
        <v>20.66</v>
      </c>
      <c r="H1451" s="11">
        <f>H1450+G1451</f>
        <v/>
      </c>
    </row>
    <row r="1452">
      <c r="A1452" s="9" t="n">
        <v>1448</v>
      </c>
      <c r="B1452" s="9" t="inlineStr">
        <is>
          <t>Vanguard_M5</t>
        </is>
      </c>
      <c r="C1452" s="9" t="inlineStr">
        <is>
          <t>Trendline breakout (fractal swing line) + VWAP/S-R distance gate</t>
        </is>
      </c>
      <c r="D1452" s="9" t="inlineStr">
        <is>
          <t>Short</t>
        </is>
      </c>
      <c r="E1452" s="10" t="n">
        <v>45188.40625</v>
      </c>
      <c r="F1452" s="10" t="n">
        <v>45188.42361111111</v>
      </c>
      <c r="G1452" s="11" t="n">
        <v>-2.12</v>
      </c>
      <c r="H1452" s="11">
        <f>H1451+G1452</f>
        <v/>
      </c>
    </row>
    <row r="1453">
      <c r="A1453" s="9" t="n">
        <v>1449</v>
      </c>
      <c r="B1453" s="9" t="inlineStr">
        <is>
          <t>Ratchet</t>
        </is>
      </c>
      <c r="C1453" s="9" t="inlineStr">
        <is>
          <t>Stochastic scalp with give-back trail exit</t>
        </is>
      </c>
      <c r="D1453" s="9" t="inlineStr">
        <is>
          <t>Long</t>
        </is>
      </c>
      <c r="E1453" s="10" t="n">
        <v>45188.51736111111</v>
      </c>
      <c r="F1453" s="10" t="n">
        <v>45188.52083333334</v>
      </c>
      <c r="G1453" s="11" t="n">
        <v>0</v>
      </c>
      <c r="H1453" s="11">
        <f>H1452+G1453</f>
        <v/>
      </c>
    </row>
    <row r="1454">
      <c r="A1454" s="9" t="n">
        <v>1450</v>
      </c>
      <c r="B1454" s="9" t="inlineStr">
        <is>
          <t>Ratchet</t>
        </is>
      </c>
      <c r="C1454" s="9" t="inlineStr">
        <is>
          <t>Stochastic scalp with give-back trail exit</t>
        </is>
      </c>
      <c r="D1454" s="9" t="inlineStr">
        <is>
          <t>Long</t>
        </is>
      </c>
      <c r="E1454" s="10" t="n">
        <v>45188.60416666666</v>
      </c>
      <c r="F1454" s="10" t="n">
        <v>45188.60763888889</v>
      </c>
      <c r="G1454" s="11" t="n">
        <v>0</v>
      </c>
      <c r="H1454" s="11">
        <f>H1453+G1454</f>
        <v/>
      </c>
    </row>
    <row r="1455">
      <c r="A1455" s="9" t="n">
        <v>1451</v>
      </c>
      <c r="B1455" s="9" t="inlineStr">
        <is>
          <t>Aurelius_M5</t>
        </is>
      </c>
      <c r="C1455" s="9" t="inlineStr">
        <is>
          <t>MA alignment (EMA21&gt;EMA50&gt;SMA250&gt;SMMA500 vs EMA2400 trend filter)</t>
        </is>
      </c>
      <c r="D1455" s="9" t="inlineStr">
        <is>
          <t>Long</t>
        </is>
      </c>
      <c r="E1455" s="10" t="n">
        <v>45188.66319444445</v>
      </c>
      <c r="F1455" s="10" t="n">
        <v>45188.67708333334</v>
      </c>
      <c r="G1455" s="11" t="n">
        <v>-2.26</v>
      </c>
      <c r="H1455" s="11">
        <f>H1454+G1455</f>
        <v/>
      </c>
    </row>
    <row r="1456">
      <c r="A1456" s="9" t="n">
        <v>1452</v>
      </c>
      <c r="B1456" s="9" t="inlineStr">
        <is>
          <t>Vanguard_M15</t>
        </is>
      </c>
      <c r="C1456" s="9" t="inlineStr">
        <is>
          <t>Trendline breakout (fractal swing line) + VWAP/S-R distance gate - M15 chart</t>
        </is>
      </c>
      <c r="D1456" s="9" t="inlineStr">
        <is>
          <t>Long</t>
        </is>
      </c>
      <c r="E1456" s="10" t="n">
        <v>45183.76041666666</v>
      </c>
      <c r="F1456" s="10" t="n">
        <v>45188.70833333334</v>
      </c>
      <c r="G1456" s="11" t="n">
        <v>20.85</v>
      </c>
      <c r="H1456" s="11">
        <f>H1455+G1456</f>
        <v/>
      </c>
    </row>
    <row r="1457">
      <c r="A1457" s="9" t="n">
        <v>1453</v>
      </c>
      <c r="B1457" s="9" t="inlineStr">
        <is>
          <t>Meridian</t>
        </is>
      </c>
      <c r="C1457" s="9" t="inlineStr">
        <is>
          <t>21/50 MA cross, 250-period confirm filter, VWAP</t>
        </is>
      </c>
      <c r="D1457" s="9" t="inlineStr">
        <is>
          <t>Short</t>
        </is>
      </c>
      <c r="E1457" s="10" t="n">
        <v>45188.71180555555</v>
      </c>
      <c r="F1457" s="10" t="n">
        <v>45189.27430555555</v>
      </c>
      <c r="G1457" s="11" t="n">
        <v>1.59</v>
      </c>
      <c r="H1457" s="11">
        <f>H1456+G1457</f>
        <v/>
      </c>
    </row>
    <row r="1458">
      <c r="A1458" s="9" t="n">
        <v>1454</v>
      </c>
      <c r="B1458" s="9" t="inlineStr">
        <is>
          <t>Meridian</t>
        </is>
      </c>
      <c r="C1458" s="9" t="inlineStr">
        <is>
          <t>21/50 MA cross, 250-period confirm filter, VWAP</t>
        </is>
      </c>
      <c r="D1458" s="9" t="inlineStr">
        <is>
          <t>Short</t>
        </is>
      </c>
      <c r="E1458" s="10" t="n">
        <v>45189.43055555555</v>
      </c>
      <c r="F1458" s="10" t="n">
        <v>45189.47222222222</v>
      </c>
      <c r="G1458" s="11" t="n">
        <v>-1.7</v>
      </c>
      <c r="H1458" s="11">
        <f>H1457+G1458</f>
        <v/>
      </c>
    </row>
    <row r="1459">
      <c r="A1459" s="9" t="n">
        <v>1455</v>
      </c>
      <c r="B1459" s="9" t="inlineStr">
        <is>
          <t>Vanguard_M15</t>
        </is>
      </c>
      <c r="C1459" s="9" t="inlineStr">
        <is>
          <t>Trendline breakout (fractal swing line) + VWAP/S-R distance gate - M15 chart</t>
        </is>
      </c>
      <c r="D1459" s="9" t="inlineStr">
        <is>
          <t>Short</t>
        </is>
      </c>
      <c r="E1459" s="10" t="n">
        <v>45188.71875</v>
      </c>
      <c r="F1459" s="10" t="n">
        <v>45189.54166666666</v>
      </c>
      <c r="G1459" s="11" t="n">
        <v>-0.07000000000000001</v>
      </c>
      <c r="H1459" s="11">
        <f>H1458+G1459</f>
        <v/>
      </c>
    </row>
    <row r="1460">
      <c r="A1460" s="9" t="n">
        <v>1456</v>
      </c>
      <c r="B1460" s="9" t="inlineStr">
        <is>
          <t>Vanguard_M5</t>
        </is>
      </c>
      <c r="C1460" s="9" t="inlineStr">
        <is>
          <t>Trendline breakout (fractal swing line) + VWAP/S-R distance gate</t>
        </is>
      </c>
      <c r="D1460" s="9" t="inlineStr">
        <is>
          <t>Short</t>
        </is>
      </c>
      <c r="E1460" s="10" t="n">
        <v>45188.69444444445</v>
      </c>
      <c r="F1460" s="10" t="n">
        <v>45189.63541666666</v>
      </c>
      <c r="G1460" s="11" t="n">
        <v>-0.31</v>
      </c>
      <c r="H1460" s="11">
        <f>H1459+G1460</f>
        <v/>
      </c>
    </row>
    <row r="1461">
      <c r="A1461" s="9" t="n">
        <v>1457</v>
      </c>
      <c r="B1461" s="9" t="inlineStr">
        <is>
          <t>Ratchet</t>
        </is>
      </c>
      <c r="C1461" s="9" t="inlineStr">
        <is>
          <t>Stochastic scalp with give-back trail exit</t>
        </is>
      </c>
      <c r="D1461" s="9" t="inlineStr">
        <is>
          <t>Long</t>
        </is>
      </c>
      <c r="E1461" s="10" t="n">
        <v>45189.71875</v>
      </c>
      <c r="F1461" s="10" t="n">
        <v>45189.77083333334</v>
      </c>
      <c r="G1461" s="11" t="n">
        <v>0.59</v>
      </c>
      <c r="H1461" s="11">
        <f>H1460+G1461</f>
        <v/>
      </c>
    </row>
    <row r="1462">
      <c r="A1462" s="9" t="n">
        <v>1458</v>
      </c>
      <c r="B1462" s="9" t="inlineStr">
        <is>
          <t>Ratchet</t>
        </is>
      </c>
      <c r="C1462" s="9" t="inlineStr">
        <is>
          <t>Stochastic scalp with give-back trail exit</t>
        </is>
      </c>
      <c r="D1462" s="9" t="inlineStr">
        <is>
          <t>Long</t>
        </is>
      </c>
      <c r="E1462" s="10" t="n">
        <v>45189.86458333334</v>
      </c>
      <c r="F1462" s="10" t="n">
        <v>45189.875</v>
      </c>
      <c r="G1462" s="11" t="n">
        <v>-1.44</v>
      </c>
      <c r="H1462" s="11">
        <f>H1461+G1462</f>
        <v/>
      </c>
    </row>
    <row r="1463">
      <c r="A1463" s="9" t="n">
        <v>1459</v>
      </c>
      <c r="B1463" s="9" t="inlineStr">
        <is>
          <t>Meridian</t>
        </is>
      </c>
      <c r="C1463" s="9" t="inlineStr">
        <is>
          <t>21/50 MA cross, 250-period confirm filter, VWAP</t>
        </is>
      </c>
      <c r="D1463" s="9" t="inlineStr">
        <is>
          <t>Long</t>
        </is>
      </c>
      <c r="E1463" s="10" t="n">
        <v>45189.54166666666</v>
      </c>
      <c r="F1463" s="10" t="n">
        <v>45189.92361111111</v>
      </c>
      <c r="G1463" s="11" t="n">
        <v>8.960000000000001</v>
      </c>
      <c r="H1463" s="11">
        <f>H1462+G1463</f>
        <v/>
      </c>
    </row>
    <row r="1464">
      <c r="A1464" s="9" t="n">
        <v>1460</v>
      </c>
      <c r="B1464" s="9" t="inlineStr">
        <is>
          <t>Aurelius_M5</t>
        </is>
      </c>
      <c r="C1464" s="9" t="inlineStr">
        <is>
          <t>MA alignment (EMA21&gt;EMA50&gt;SMA250&gt;SMMA500 vs EMA2400 trend filter)</t>
        </is>
      </c>
      <c r="D1464" s="9" t="inlineStr">
        <is>
          <t>Long</t>
        </is>
      </c>
      <c r="E1464" s="10" t="n">
        <v>45189.65277777778</v>
      </c>
      <c r="F1464" s="10" t="n">
        <v>45189.92361111111</v>
      </c>
      <c r="G1464" s="11" t="n">
        <v>8.56</v>
      </c>
      <c r="H1464" s="11">
        <f>H1463+G1464</f>
        <v/>
      </c>
    </row>
    <row r="1465">
      <c r="A1465" s="9" t="n">
        <v>1461</v>
      </c>
      <c r="B1465" s="9" t="inlineStr">
        <is>
          <t>Aurelius_M15</t>
        </is>
      </c>
      <c r="C1465" s="9" t="inlineStr">
        <is>
          <t>MA alignment (EMA21&gt;EMA50&gt;SMA250&gt;SMMA500 vs EMA2400 trend filter) - M15 chart</t>
        </is>
      </c>
      <c r="D1465" s="9" t="inlineStr">
        <is>
          <t>Long</t>
        </is>
      </c>
      <c r="E1465" s="10" t="n">
        <v>45189.66666666666</v>
      </c>
      <c r="F1465" s="10" t="n">
        <v>45189.98958333334</v>
      </c>
      <c r="G1465" s="11" t="n">
        <v>-3.1</v>
      </c>
      <c r="H1465" s="11">
        <f>H1464+G1465</f>
        <v/>
      </c>
    </row>
    <row r="1466">
      <c r="A1466" s="9" t="n">
        <v>1462</v>
      </c>
      <c r="B1466" s="9" t="inlineStr">
        <is>
          <t>Ratchet</t>
        </is>
      </c>
      <c r="C1466" s="9" t="inlineStr">
        <is>
          <t>Stochastic scalp with give-back trail exit</t>
        </is>
      </c>
      <c r="D1466" s="9" t="inlineStr">
        <is>
          <t>Short</t>
        </is>
      </c>
      <c r="E1466" s="10" t="n">
        <v>45190.50694444445</v>
      </c>
      <c r="F1466" s="10" t="n">
        <v>45190.52777777778</v>
      </c>
      <c r="G1466" s="11" t="n">
        <v>-1.26</v>
      </c>
      <c r="H1466" s="11">
        <f>H1465+G1466</f>
        <v/>
      </c>
    </row>
    <row r="1467">
      <c r="A1467" s="9" t="n">
        <v>1463</v>
      </c>
      <c r="B1467" s="9" t="inlineStr">
        <is>
          <t>Ratchet</t>
        </is>
      </c>
      <c r="C1467" s="9" t="inlineStr">
        <is>
          <t>Stochastic scalp with give-back trail exit</t>
        </is>
      </c>
      <c r="D1467" s="9" t="inlineStr">
        <is>
          <t>Short</t>
        </is>
      </c>
      <c r="E1467" s="10" t="n">
        <v>45190.59027777778</v>
      </c>
      <c r="F1467" s="10" t="n">
        <v>45190.71180555555</v>
      </c>
      <c r="G1467" s="11" t="n">
        <v>2.49</v>
      </c>
      <c r="H1467" s="11">
        <f>H1466+G1467</f>
        <v/>
      </c>
    </row>
    <row r="1468">
      <c r="A1468" s="9" t="n">
        <v>1464</v>
      </c>
      <c r="B1468" s="9" t="inlineStr">
        <is>
          <t>Ratchet</t>
        </is>
      </c>
      <c r="C1468" s="9" t="inlineStr">
        <is>
          <t>Stochastic scalp with give-back trail exit</t>
        </is>
      </c>
      <c r="D1468" s="9" t="inlineStr">
        <is>
          <t>Short</t>
        </is>
      </c>
      <c r="E1468" s="10" t="n">
        <v>45190.78472222222</v>
      </c>
      <c r="F1468" s="10" t="n">
        <v>45190.80555555555</v>
      </c>
      <c r="G1468" s="11" t="n">
        <v>0.34</v>
      </c>
      <c r="H1468" s="11">
        <f>H1467+G1468</f>
        <v/>
      </c>
    </row>
    <row r="1469">
      <c r="A1469" s="9" t="n">
        <v>1465</v>
      </c>
      <c r="B1469" s="9" t="inlineStr">
        <is>
          <t>Aurelius_M5</t>
        </is>
      </c>
      <c r="C1469" s="9" t="inlineStr">
        <is>
          <t>MA alignment (EMA21&gt;EMA50&gt;SMA250&gt;SMMA500 vs EMA2400 trend filter)</t>
        </is>
      </c>
      <c r="D1469" s="9" t="inlineStr">
        <is>
          <t>Short</t>
        </is>
      </c>
      <c r="E1469" s="10" t="n">
        <v>45190.74305555555</v>
      </c>
      <c r="F1469" s="10" t="n">
        <v>45190.86458333334</v>
      </c>
      <c r="G1469" s="11" t="n">
        <v>-1.04</v>
      </c>
      <c r="H1469" s="11">
        <f>H1468+G1469</f>
        <v/>
      </c>
    </row>
    <row r="1470">
      <c r="A1470" s="9" t="n">
        <v>1466</v>
      </c>
      <c r="B1470" s="9" t="inlineStr">
        <is>
          <t>Meridian</t>
        </is>
      </c>
      <c r="C1470" s="9" t="inlineStr">
        <is>
          <t>21/50 MA cross, 250-period confirm filter, VWAP</t>
        </is>
      </c>
      <c r="D1470" s="9" t="inlineStr">
        <is>
          <t>Long</t>
        </is>
      </c>
      <c r="E1470" s="10" t="n">
        <v>45191.5625</v>
      </c>
      <c r="F1470" s="10" t="n">
        <v>45191.56944444445</v>
      </c>
      <c r="G1470" s="11" t="n">
        <v>-0.9</v>
      </c>
      <c r="H1470" s="11">
        <f>H1469+G1470</f>
        <v/>
      </c>
    </row>
    <row r="1471">
      <c r="A1471" s="9" t="n">
        <v>1467</v>
      </c>
      <c r="B1471" s="9" t="inlineStr">
        <is>
          <t>Meridian</t>
        </is>
      </c>
      <c r="C1471" s="9" t="inlineStr">
        <is>
          <t>21/50 MA cross, 250-period confirm filter, VWAP</t>
        </is>
      </c>
      <c r="D1471" s="9" t="inlineStr">
        <is>
          <t>Long</t>
        </is>
      </c>
      <c r="E1471" s="10" t="n">
        <v>45191.61805555555</v>
      </c>
      <c r="F1471" s="10" t="n">
        <v>45191.62847222222</v>
      </c>
      <c r="G1471" s="11" t="n">
        <v>-1.65</v>
      </c>
      <c r="H1471" s="11">
        <f>H1470+G1471</f>
        <v/>
      </c>
    </row>
    <row r="1472">
      <c r="A1472" s="9" t="n">
        <v>1468</v>
      </c>
      <c r="B1472" s="9" t="inlineStr">
        <is>
          <t>Meridian</t>
        </is>
      </c>
      <c r="C1472" s="9" t="inlineStr">
        <is>
          <t>21/50 MA cross, 250-period confirm filter, VWAP</t>
        </is>
      </c>
      <c r="D1472" s="9" t="inlineStr">
        <is>
          <t>Long</t>
        </is>
      </c>
      <c r="E1472" s="10" t="n">
        <v>45191.67361111111</v>
      </c>
      <c r="F1472" s="10" t="n">
        <v>45191.83333333334</v>
      </c>
      <c r="G1472" s="11" t="n">
        <v>-1.16</v>
      </c>
      <c r="H1472" s="11">
        <f>H1471+G1472</f>
        <v/>
      </c>
    </row>
    <row r="1473">
      <c r="A1473" s="9" t="n">
        <v>1469</v>
      </c>
      <c r="B1473" s="9" t="inlineStr">
        <is>
          <t>Meridian</t>
        </is>
      </c>
      <c r="C1473" s="9" t="inlineStr">
        <is>
          <t>21/50 MA cross, 250-period confirm filter, VWAP</t>
        </is>
      </c>
      <c r="D1473" s="9" t="inlineStr">
        <is>
          <t>Short</t>
        </is>
      </c>
      <c r="E1473" s="10" t="n">
        <v>45194.08680555555</v>
      </c>
      <c r="F1473" s="10" t="n">
        <v>45194.10416666666</v>
      </c>
      <c r="G1473" s="11" t="n">
        <v>-1.12</v>
      </c>
      <c r="H1473" s="11">
        <f>H1472+G1473</f>
        <v/>
      </c>
    </row>
    <row r="1474">
      <c r="A1474" s="9" t="n">
        <v>1470</v>
      </c>
      <c r="B1474" s="9" t="inlineStr">
        <is>
          <t>Aurelius_M5</t>
        </is>
      </c>
      <c r="C1474" s="9" t="inlineStr">
        <is>
          <t>MA alignment (EMA21&gt;EMA50&gt;SMA250&gt;SMMA500 vs EMA2400 trend filter)</t>
        </is>
      </c>
      <c r="D1474" s="9" t="inlineStr">
        <is>
          <t>Short</t>
        </is>
      </c>
      <c r="E1474" s="10" t="n">
        <v>45194.13541666666</v>
      </c>
      <c r="F1474" s="10" t="n">
        <v>45194.41666666666</v>
      </c>
      <c r="G1474" s="11" t="n">
        <v>-1.34</v>
      </c>
      <c r="H1474" s="11">
        <f>H1473+G1474</f>
        <v/>
      </c>
    </row>
    <row r="1475">
      <c r="A1475" s="9" t="n">
        <v>1471</v>
      </c>
      <c r="B1475" s="9" t="inlineStr">
        <is>
          <t>Meridian</t>
        </is>
      </c>
      <c r="C1475" s="9" t="inlineStr">
        <is>
          <t>21/50 MA cross, 250-period confirm filter, VWAP</t>
        </is>
      </c>
      <c r="D1475" s="9" t="inlineStr">
        <is>
          <t>Long</t>
        </is>
      </c>
      <c r="E1475" s="10" t="n">
        <v>45194.42361111111</v>
      </c>
      <c r="F1475" s="10" t="n">
        <v>45194.43055555555</v>
      </c>
      <c r="G1475" s="11" t="n">
        <v>-1.99</v>
      </c>
      <c r="H1475" s="11">
        <f>H1474+G1475</f>
        <v/>
      </c>
    </row>
    <row r="1476">
      <c r="A1476" s="9" t="n">
        <v>1472</v>
      </c>
      <c r="B1476" s="9" t="inlineStr">
        <is>
          <t>Vanguard_M15</t>
        </is>
      </c>
      <c r="C1476" s="9" t="inlineStr">
        <is>
          <t>Trendline breakout (fractal swing line) + VWAP/S-R distance gate - M15 chart</t>
        </is>
      </c>
      <c r="D1476" s="9" t="inlineStr">
        <is>
          <t>Long</t>
        </is>
      </c>
      <c r="E1476" s="10" t="n">
        <v>45194.41666666666</v>
      </c>
      <c r="F1476" s="10" t="n">
        <v>45194.46875</v>
      </c>
      <c r="G1476" s="11" t="n">
        <v>-2.97</v>
      </c>
      <c r="H1476" s="11">
        <f>H1475+G1476</f>
        <v/>
      </c>
    </row>
    <row r="1477">
      <c r="A1477" s="9" t="n">
        <v>1473</v>
      </c>
      <c r="B1477" s="9" t="inlineStr">
        <is>
          <t>Meridian</t>
        </is>
      </c>
      <c r="C1477" s="9" t="inlineStr">
        <is>
          <t>21/50 MA cross, 250-period confirm filter, VWAP</t>
        </is>
      </c>
      <c r="D1477" s="9" t="inlineStr">
        <is>
          <t>Short</t>
        </is>
      </c>
      <c r="E1477" s="10" t="n">
        <v>45194.47569444445</v>
      </c>
      <c r="F1477" s="10" t="n">
        <v>45194.48263888889</v>
      </c>
      <c r="G1477" s="11" t="n">
        <v>-2.2</v>
      </c>
      <c r="H1477" s="11">
        <f>H1476+G1477</f>
        <v/>
      </c>
    </row>
    <row r="1478">
      <c r="A1478" s="9" t="n">
        <v>1474</v>
      </c>
      <c r="B1478" s="9" t="inlineStr">
        <is>
          <t>Ratchet</t>
        </is>
      </c>
      <c r="C1478" s="9" t="inlineStr">
        <is>
          <t>Stochastic scalp with give-back trail exit</t>
        </is>
      </c>
      <c r="D1478" s="9" t="inlineStr">
        <is>
          <t>Short</t>
        </is>
      </c>
      <c r="E1478" s="10" t="n">
        <v>45194.51736111111</v>
      </c>
      <c r="F1478" s="10" t="n">
        <v>45194.55208333334</v>
      </c>
      <c r="G1478" s="11" t="n">
        <v>-1.47</v>
      </c>
      <c r="H1478" s="11">
        <f>H1477+G1478</f>
        <v/>
      </c>
    </row>
    <row r="1479">
      <c r="A1479" s="9" t="n">
        <v>1475</v>
      </c>
      <c r="B1479" s="9" t="inlineStr">
        <is>
          <t>Aurelius_M5</t>
        </is>
      </c>
      <c r="C1479" s="9" t="inlineStr">
        <is>
          <t>MA alignment (EMA21&gt;EMA50&gt;SMA250&gt;SMMA500 vs EMA2400 trend filter)</t>
        </is>
      </c>
      <c r="D1479" s="9" t="inlineStr">
        <is>
          <t>Short</t>
        </is>
      </c>
      <c r="E1479" s="10" t="n">
        <v>45194.51041666666</v>
      </c>
      <c r="F1479" s="10" t="n">
        <v>45194.55902777778</v>
      </c>
      <c r="G1479" s="11" t="n">
        <v>-2.1</v>
      </c>
      <c r="H1479" s="11">
        <f>H1478+G1479</f>
        <v/>
      </c>
    </row>
    <row r="1480">
      <c r="A1480" s="9" t="n">
        <v>1476</v>
      </c>
      <c r="B1480" s="9" t="inlineStr">
        <is>
          <t>Aurelius_M15</t>
        </is>
      </c>
      <c r="C1480" s="9" t="inlineStr">
        <is>
          <t>MA alignment (EMA21&gt;EMA50&gt;SMA250&gt;SMMA500 vs EMA2400 trend filter) - M15 chart</t>
        </is>
      </c>
      <c r="D1480" s="9" t="inlineStr">
        <is>
          <t>Short</t>
        </is>
      </c>
      <c r="E1480" s="10" t="n">
        <v>45194.46875</v>
      </c>
      <c r="F1480" s="10" t="n">
        <v>45194.5625</v>
      </c>
      <c r="G1480" s="11" t="n">
        <v>-1.7</v>
      </c>
      <c r="H1480" s="11">
        <f>H1479+G1480</f>
        <v/>
      </c>
    </row>
    <row r="1481">
      <c r="A1481" s="9" t="n">
        <v>1477</v>
      </c>
      <c r="B1481" s="9" t="inlineStr">
        <is>
          <t>Ratchet</t>
        </is>
      </c>
      <c r="C1481" s="9" t="inlineStr">
        <is>
          <t>Stochastic scalp with give-back trail exit</t>
        </is>
      </c>
      <c r="D1481" s="9" t="inlineStr">
        <is>
          <t>Long</t>
        </is>
      </c>
      <c r="E1481" s="10" t="n">
        <v>45194.66666666666</v>
      </c>
      <c r="F1481" s="10" t="n">
        <v>45194.67708333334</v>
      </c>
      <c r="G1481" s="11" t="n">
        <v>-1.69</v>
      </c>
      <c r="H1481" s="11">
        <f>H1480+G1481</f>
        <v/>
      </c>
    </row>
    <row r="1482">
      <c r="A1482" s="9" t="n">
        <v>1478</v>
      </c>
      <c r="B1482" s="9" t="inlineStr">
        <is>
          <t>Ratchet</t>
        </is>
      </c>
      <c r="C1482" s="9" t="inlineStr">
        <is>
          <t>Stochastic scalp with give-back trail exit</t>
        </is>
      </c>
      <c r="D1482" s="9" t="inlineStr">
        <is>
          <t>Short</t>
        </is>
      </c>
      <c r="E1482" s="10" t="n">
        <v>45194.75</v>
      </c>
      <c r="F1482" s="10" t="n">
        <v>45194.82638888889</v>
      </c>
      <c r="G1482" s="11" t="n">
        <v>-0</v>
      </c>
      <c r="H1482" s="11">
        <f>H1481+G1482</f>
        <v/>
      </c>
    </row>
    <row r="1483">
      <c r="A1483" s="9" t="n">
        <v>1479</v>
      </c>
      <c r="B1483" s="9" t="inlineStr">
        <is>
          <t>Ratchet</t>
        </is>
      </c>
      <c r="C1483" s="9" t="inlineStr">
        <is>
          <t>Stochastic scalp with give-back trail exit</t>
        </is>
      </c>
      <c r="D1483" s="9" t="inlineStr">
        <is>
          <t>Short</t>
        </is>
      </c>
      <c r="E1483" s="10" t="n">
        <v>45194.86805555555</v>
      </c>
      <c r="F1483" s="10" t="n">
        <v>45194.90972222222</v>
      </c>
      <c r="G1483" s="11" t="n">
        <v>0.19</v>
      </c>
      <c r="H1483" s="11">
        <f>H1482+G1483</f>
        <v/>
      </c>
    </row>
    <row r="1484">
      <c r="A1484" s="9" t="n">
        <v>1480</v>
      </c>
      <c r="B1484" s="9" t="inlineStr">
        <is>
          <t>Ratchet</t>
        </is>
      </c>
      <c r="C1484" s="9" t="inlineStr">
        <is>
          <t>Stochastic scalp with give-back trail exit</t>
        </is>
      </c>
      <c r="D1484" s="9" t="inlineStr">
        <is>
          <t>Short</t>
        </is>
      </c>
      <c r="E1484" s="10" t="n">
        <v>45194.94791666666</v>
      </c>
      <c r="F1484" s="10" t="n">
        <v>45194.99652777778</v>
      </c>
      <c r="G1484" s="11" t="n">
        <v>-0.63</v>
      </c>
      <c r="H1484" s="11">
        <f>H1483+G1484</f>
        <v/>
      </c>
    </row>
    <row r="1485">
      <c r="A1485" s="9" t="n">
        <v>1481</v>
      </c>
      <c r="B1485" s="9" t="inlineStr">
        <is>
          <t>Aurelius_M5</t>
        </is>
      </c>
      <c r="C1485" s="9" t="inlineStr">
        <is>
          <t>MA alignment (EMA21&gt;EMA50&gt;SMA250&gt;SMMA500 vs EMA2400 trend filter)</t>
        </is>
      </c>
      <c r="D1485" s="9" t="inlineStr">
        <is>
          <t>Short</t>
        </is>
      </c>
      <c r="E1485" s="10" t="n">
        <v>45194.72916666666</v>
      </c>
      <c r="F1485" s="10" t="n">
        <v>45195.04166666666</v>
      </c>
      <c r="G1485" s="11" t="n">
        <v>0.68</v>
      </c>
      <c r="H1485" s="11">
        <f>H1484+G1485</f>
        <v/>
      </c>
    </row>
    <row r="1486">
      <c r="A1486" s="9" t="n">
        <v>1482</v>
      </c>
      <c r="B1486" s="9" t="inlineStr">
        <is>
          <t>Aurelius_M5</t>
        </is>
      </c>
      <c r="C1486" s="9" t="inlineStr">
        <is>
          <t>MA alignment (EMA21&gt;EMA50&gt;SMA250&gt;SMMA500 vs EMA2400 trend filter)</t>
        </is>
      </c>
      <c r="D1486" s="9" t="inlineStr">
        <is>
          <t>Short</t>
        </is>
      </c>
      <c r="E1486" s="10" t="n">
        <v>45195.16319444445</v>
      </c>
      <c r="F1486" s="10" t="n">
        <v>45195.17708333334</v>
      </c>
      <c r="G1486" s="11" t="n">
        <v>-0.73</v>
      </c>
      <c r="H1486" s="11">
        <f>H1485+G1486</f>
        <v/>
      </c>
    </row>
    <row r="1487">
      <c r="A1487" s="9" t="n">
        <v>1483</v>
      </c>
      <c r="B1487" s="9" t="inlineStr">
        <is>
          <t>Ratchet</t>
        </is>
      </c>
      <c r="C1487" s="9" t="inlineStr">
        <is>
          <t>Stochastic scalp with give-back trail exit</t>
        </is>
      </c>
      <c r="D1487" s="9" t="inlineStr">
        <is>
          <t>Short</t>
        </is>
      </c>
      <c r="E1487" s="10" t="n">
        <v>45195.20833333334</v>
      </c>
      <c r="F1487" s="10" t="n">
        <v>45195.22222222222</v>
      </c>
      <c r="G1487" s="11" t="n">
        <v>0.16</v>
      </c>
      <c r="H1487" s="11">
        <f>H1486+G1487</f>
        <v/>
      </c>
    </row>
    <row r="1488">
      <c r="A1488" s="9" t="n">
        <v>1484</v>
      </c>
      <c r="B1488" s="9" t="inlineStr">
        <is>
          <t>Ratchet</t>
        </is>
      </c>
      <c r="C1488" s="9" t="inlineStr">
        <is>
          <t>Stochastic scalp with give-back trail exit</t>
        </is>
      </c>
      <c r="D1488" s="9" t="inlineStr">
        <is>
          <t>Short</t>
        </is>
      </c>
      <c r="E1488" s="10" t="n">
        <v>45195.29861111111</v>
      </c>
      <c r="F1488" s="10" t="n">
        <v>45195.30902777778</v>
      </c>
      <c r="G1488" s="11" t="n">
        <v>-0.64</v>
      </c>
      <c r="H1488" s="11">
        <f>H1487+G1488</f>
        <v/>
      </c>
    </row>
    <row r="1489">
      <c r="A1489" s="9" t="n">
        <v>1485</v>
      </c>
      <c r="B1489" s="9" t="inlineStr">
        <is>
          <t>Ratchet</t>
        </is>
      </c>
      <c r="C1489" s="9" t="inlineStr">
        <is>
          <t>Stochastic scalp with give-back trail exit</t>
        </is>
      </c>
      <c r="D1489" s="9" t="inlineStr">
        <is>
          <t>Short</t>
        </is>
      </c>
      <c r="E1489" s="10" t="n">
        <v>45195.37152777778</v>
      </c>
      <c r="F1489" s="10" t="n">
        <v>45195.37847222222</v>
      </c>
      <c r="G1489" s="11" t="n">
        <v>0.09</v>
      </c>
      <c r="H1489" s="11">
        <f>H1488+G1489</f>
        <v/>
      </c>
    </row>
    <row r="1490">
      <c r="A1490" s="9" t="n">
        <v>1486</v>
      </c>
      <c r="B1490" s="9" t="inlineStr">
        <is>
          <t>Aurelius_M5</t>
        </is>
      </c>
      <c r="C1490" s="9" t="inlineStr">
        <is>
          <t>MA alignment (EMA21&gt;EMA50&gt;SMA250&gt;SMMA500 vs EMA2400 trend filter)</t>
        </is>
      </c>
      <c r="D1490" s="9" t="inlineStr">
        <is>
          <t>Short</t>
        </is>
      </c>
      <c r="E1490" s="10" t="n">
        <v>45195.37847222222</v>
      </c>
      <c r="F1490" s="10" t="n">
        <v>45195.45833333334</v>
      </c>
      <c r="G1490" s="11" t="n">
        <v>-1.04</v>
      </c>
      <c r="H1490" s="11">
        <f>H1489+G1490</f>
        <v/>
      </c>
    </row>
    <row r="1491">
      <c r="A1491" s="9" t="n">
        <v>1487</v>
      </c>
      <c r="B1491" s="9" t="inlineStr">
        <is>
          <t>Meridian</t>
        </is>
      </c>
      <c r="C1491" s="9" t="inlineStr">
        <is>
          <t>21/50 MA cross, 250-period confirm filter, VWAP</t>
        </is>
      </c>
      <c r="D1491" s="9" t="inlineStr">
        <is>
          <t>Short</t>
        </is>
      </c>
      <c r="E1491" s="10" t="n">
        <v>45194.72222222222</v>
      </c>
      <c r="F1491" s="10" t="n">
        <v>45195.47569444445</v>
      </c>
      <c r="G1491" s="11" t="n">
        <v>3.22</v>
      </c>
      <c r="H1491" s="11">
        <f>H1490+G1491</f>
        <v/>
      </c>
    </row>
    <row r="1492">
      <c r="A1492" s="9" t="n">
        <v>1488</v>
      </c>
      <c r="B1492" s="9" t="inlineStr">
        <is>
          <t>Ratchet</t>
        </is>
      </c>
      <c r="C1492" s="9" t="inlineStr">
        <is>
          <t>Stochastic scalp with give-back trail exit</t>
        </is>
      </c>
      <c r="D1492" s="9" t="inlineStr">
        <is>
          <t>Short</t>
        </is>
      </c>
      <c r="E1492" s="10" t="n">
        <v>45195.52083333334</v>
      </c>
      <c r="F1492" s="10" t="n">
        <v>45195.54861111111</v>
      </c>
      <c r="G1492" s="11" t="n">
        <v>0.12</v>
      </c>
      <c r="H1492" s="11">
        <f>H1491+G1492</f>
        <v/>
      </c>
    </row>
    <row r="1493">
      <c r="A1493" s="9" t="n">
        <v>1489</v>
      </c>
      <c r="B1493" s="9" t="inlineStr">
        <is>
          <t>Aurelius_M5</t>
        </is>
      </c>
      <c r="C1493" s="9" t="inlineStr">
        <is>
          <t>MA alignment (EMA21&gt;EMA50&gt;SMA250&gt;SMMA500 vs EMA2400 trend filter)</t>
        </is>
      </c>
      <c r="D1493" s="9" t="inlineStr">
        <is>
          <t>Short</t>
        </is>
      </c>
      <c r="E1493" s="10" t="n">
        <v>45195.57986111111</v>
      </c>
      <c r="F1493" s="10" t="n">
        <v>45195.59375</v>
      </c>
      <c r="G1493" s="11" t="n">
        <v>-1.62</v>
      </c>
      <c r="H1493" s="11">
        <f>H1492+G1493</f>
        <v/>
      </c>
    </row>
    <row r="1494">
      <c r="A1494" s="9" t="n">
        <v>1490</v>
      </c>
      <c r="B1494" s="9" t="inlineStr">
        <is>
          <t>Ratchet</t>
        </is>
      </c>
      <c r="C1494" s="9" t="inlineStr">
        <is>
          <t>Stochastic scalp with give-back trail exit</t>
        </is>
      </c>
      <c r="D1494" s="9" t="inlineStr">
        <is>
          <t>Short</t>
        </is>
      </c>
      <c r="E1494" s="10" t="n">
        <v>45195.63541666666</v>
      </c>
      <c r="F1494" s="10" t="n">
        <v>45195.64236111111</v>
      </c>
      <c r="G1494" s="11" t="n">
        <v>0.26</v>
      </c>
      <c r="H1494" s="11">
        <f>H1493+G1494</f>
        <v/>
      </c>
    </row>
    <row r="1495">
      <c r="A1495" s="9" t="n">
        <v>1491</v>
      </c>
      <c r="B1495" s="9" t="inlineStr">
        <is>
          <t>Ratchet</t>
        </is>
      </c>
      <c r="C1495" s="9" t="inlineStr">
        <is>
          <t>Stochastic scalp with give-back trail exit</t>
        </is>
      </c>
      <c r="D1495" s="9" t="inlineStr">
        <is>
          <t>Short</t>
        </is>
      </c>
      <c r="E1495" s="10" t="n">
        <v>45195.73611111111</v>
      </c>
      <c r="F1495" s="10" t="n">
        <v>45195.99652777778</v>
      </c>
      <c r="G1495" s="11" t="n">
        <v>6.31</v>
      </c>
      <c r="H1495" s="11">
        <f>H1494+G1495</f>
        <v/>
      </c>
    </row>
    <row r="1496">
      <c r="A1496" s="9" t="n">
        <v>1492</v>
      </c>
      <c r="B1496" s="9" t="inlineStr">
        <is>
          <t>Aurelius_M5</t>
        </is>
      </c>
      <c r="C1496" s="9" t="inlineStr">
        <is>
          <t>MA alignment (EMA21&gt;EMA50&gt;SMA250&gt;SMMA500 vs EMA2400 trend filter)</t>
        </is>
      </c>
      <c r="D1496" s="9" t="inlineStr">
        <is>
          <t>Short</t>
        </is>
      </c>
      <c r="E1496" s="10" t="n">
        <v>45195.61111111111</v>
      </c>
      <c r="F1496" s="10" t="n">
        <v>45196.04166666666</v>
      </c>
      <c r="G1496" s="11" t="n">
        <v>11.48</v>
      </c>
      <c r="H1496" s="11">
        <f>H1495+G1496</f>
        <v/>
      </c>
    </row>
    <row r="1497">
      <c r="A1497" s="9" t="n">
        <v>1493</v>
      </c>
      <c r="B1497" s="9" t="inlineStr">
        <is>
          <t>Meridian</t>
        </is>
      </c>
      <c r="C1497" s="9" t="inlineStr">
        <is>
          <t>21/50 MA cross, 250-period confirm filter, VWAP</t>
        </is>
      </c>
      <c r="D1497" s="9" t="inlineStr">
        <is>
          <t>Short</t>
        </is>
      </c>
      <c r="E1497" s="10" t="n">
        <v>45195.52083333334</v>
      </c>
      <c r="F1497" s="10" t="n">
        <v>45196.11805555555</v>
      </c>
      <c r="G1497" s="11" t="n">
        <v>10.45</v>
      </c>
      <c r="H1497" s="11">
        <f>H1496+G1497</f>
        <v/>
      </c>
    </row>
    <row r="1498">
      <c r="A1498" s="9" t="n">
        <v>1494</v>
      </c>
      <c r="B1498" s="9" t="inlineStr">
        <is>
          <t>Meridian</t>
        </is>
      </c>
      <c r="C1498" s="9" t="inlineStr">
        <is>
          <t>21/50 MA cross, 250-period confirm filter, VWAP</t>
        </is>
      </c>
      <c r="D1498" s="9" t="inlineStr">
        <is>
          <t>Short</t>
        </is>
      </c>
      <c r="E1498" s="10" t="n">
        <v>45196.16666666666</v>
      </c>
      <c r="F1498" s="10" t="n">
        <v>45196.1875</v>
      </c>
      <c r="G1498" s="11" t="n">
        <v>-1.22</v>
      </c>
      <c r="H1498" s="11">
        <f>H1497+G1498</f>
        <v/>
      </c>
    </row>
    <row r="1499">
      <c r="A1499" s="9" t="n">
        <v>1495</v>
      </c>
      <c r="B1499" s="9" t="inlineStr">
        <is>
          <t>Ratchet</t>
        </is>
      </c>
      <c r="C1499" s="9" t="inlineStr">
        <is>
          <t>Stochastic scalp with give-back trail exit</t>
        </is>
      </c>
      <c r="D1499" s="9" t="inlineStr">
        <is>
          <t>Short</t>
        </is>
      </c>
      <c r="E1499" s="10" t="n">
        <v>45196.23958333334</v>
      </c>
      <c r="F1499" s="10" t="n">
        <v>45196.40972222222</v>
      </c>
      <c r="G1499" s="11" t="n">
        <v>1.25</v>
      </c>
      <c r="H1499" s="11">
        <f>H1498+G1499</f>
        <v/>
      </c>
    </row>
    <row r="1500">
      <c r="A1500" s="9" t="n">
        <v>1496</v>
      </c>
      <c r="B1500" s="9" t="inlineStr">
        <is>
          <t>Ratchet</t>
        </is>
      </c>
      <c r="C1500" s="9" t="inlineStr">
        <is>
          <t>Stochastic scalp with give-back trail exit</t>
        </is>
      </c>
      <c r="D1500" s="9" t="inlineStr">
        <is>
          <t>Short</t>
        </is>
      </c>
      <c r="E1500" s="10" t="n">
        <v>45196.68055555555</v>
      </c>
      <c r="F1500" s="10" t="n">
        <v>45196.95833333334</v>
      </c>
      <c r="G1500" s="11" t="n">
        <v>14.25</v>
      </c>
      <c r="H1500" s="11">
        <f>H1499+G1500</f>
        <v/>
      </c>
    </row>
    <row r="1501">
      <c r="A1501" s="9" t="n">
        <v>1497</v>
      </c>
      <c r="B1501" s="9" t="inlineStr">
        <is>
          <t>Ratchet</t>
        </is>
      </c>
      <c r="C1501" s="9" t="inlineStr">
        <is>
          <t>Stochastic scalp with give-back trail exit</t>
        </is>
      </c>
      <c r="D1501" s="9" t="inlineStr">
        <is>
          <t>Short</t>
        </is>
      </c>
      <c r="E1501" s="10" t="n">
        <v>45196.97222222222</v>
      </c>
      <c r="F1501" s="10" t="n">
        <v>45196.99652777778</v>
      </c>
      <c r="G1501" s="11" t="n">
        <v>0.58</v>
      </c>
      <c r="H1501" s="11">
        <f>H1500+G1501</f>
        <v/>
      </c>
    </row>
    <row r="1502">
      <c r="A1502" s="9" t="n">
        <v>1498</v>
      </c>
      <c r="B1502" s="9" t="inlineStr">
        <is>
          <t>Aurelius_M5</t>
        </is>
      </c>
      <c r="C1502" s="9" t="inlineStr">
        <is>
          <t>MA alignment (EMA21&gt;EMA50&gt;SMA250&gt;SMMA500 vs EMA2400 trend filter)</t>
        </is>
      </c>
      <c r="D1502" s="9" t="inlineStr">
        <is>
          <t>Short</t>
        </is>
      </c>
      <c r="E1502" s="10" t="n">
        <v>45196.42708333334</v>
      </c>
      <c r="F1502" s="10" t="n">
        <v>45197.04166666666</v>
      </c>
      <c r="G1502" s="11" t="n">
        <v>22.14</v>
      </c>
      <c r="H1502" s="11">
        <f>H1501+G1502</f>
        <v/>
      </c>
    </row>
    <row r="1503">
      <c r="A1503" s="9" t="n">
        <v>1499</v>
      </c>
      <c r="B1503" s="9" t="inlineStr">
        <is>
          <t>Meridian</t>
        </is>
      </c>
      <c r="C1503" s="9" t="inlineStr">
        <is>
          <t>21/50 MA cross, 250-period confirm filter, VWAP</t>
        </is>
      </c>
      <c r="D1503" s="9" t="inlineStr">
        <is>
          <t>Short</t>
        </is>
      </c>
      <c r="E1503" s="10" t="n">
        <v>45196.23958333334</v>
      </c>
      <c r="F1503" s="10" t="n">
        <v>45197.13888888889</v>
      </c>
      <c r="G1503" s="11" t="n">
        <v>22.68</v>
      </c>
      <c r="H1503" s="11">
        <f>H1502+G1503</f>
        <v/>
      </c>
    </row>
    <row r="1504">
      <c r="A1504" s="9" t="n">
        <v>1500</v>
      </c>
      <c r="B1504" s="9" t="inlineStr">
        <is>
          <t>Ratchet</t>
        </is>
      </c>
      <c r="C1504" s="9" t="inlineStr">
        <is>
          <t>Stochastic scalp with give-back trail exit</t>
        </is>
      </c>
      <c r="D1504" s="9" t="inlineStr">
        <is>
          <t>Short</t>
        </is>
      </c>
      <c r="E1504" s="10" t="n">
        <v>45197.25694444445</v>
      </c>
      <c r="F1504" s="10" t="n">
        <v>45197.30208333334</v>
      </c>
      <c r="G1504" s="11" t="n">
        <v>0.14</v>
      </c>
      <c r="H1504" s="11">
        <f>H1503+G1504</f>
        <v/>
      </c>
    </row>
    <row r="1505">
      <c r="A1505" s="9" t="n">
        <v>1501</v>
      </c>
      <c r="B1505" s="9" t="inlineStr">
        <is>
          <t>Aurelius_M5</t>
        </is>
      </c>
      <c r="C1505" s="9" t="inlineStr">
        <is>
          <t>MA alignment (EMA21&gt;EMA50&gt;SMA250&gt;SMMA500 vs EMA2400 trend filter)</t>
        </is>
      </c>
      <c r="D1505" s="9" t="inlineStr">
        <is>
          <t>Short</t>
        </is>
      </c>
      <c r="E1505" s="10" t="n">
        <v>45197.19097222222</v>
      </c>
      <c r="F1505" s="10" t="n">
        <v>45197.33333333334</v>
      </c>
      <c r="G1505" s="11" t="n">
        <v>-1.7</v>
      </c>
      <c r="H1505" s="11">
        <f>H1504+G1505</f>
        <v/>
      </c>
    </row>
    <row r="1506">
      <c r="A1506" s="9" t="n">
        <v>1502</v>
      </c>
      <c r="B1506" s="9" t="inlineStr">
        <is>
          <t>Meridian</t>
        </is>
      </c>
      <c r="C1506" s="9" t="inlineStr">
        <is>
          <t>21/50 MA cross, 250-period confirm filter, VWAP</t>
        </is>
      </c>
      <c r="D1506" s="9" t="inlineStr">
        <is>
          <t>Short</t>
        </is>
      </c>
      <c r="E1506" s="10" t="n">
        <v>45197.15625</v>
      </c>
      <c r="F1506" s="10" t="n">
        <v>45197.35416666666</v>
      </c>
      <c r="G1506" s="11" t="n">
        <v>0.1</v>
      </c>
      <c r="H1506" s="11">
        <f>H1505+G1506</f>
        <v/>
      </c>
    </row>
    <row r="1507">
      <c r="A1507" s="9" t="n">
        <v>1503</v>
      </c>
      <c r="B1507" s="9" t="inlineStr">
        <is>
          <t>Meridian</t>
        </is>
      </c>
      <c r="C1507" s="9" t="inlineStr">
        <is>
          <t>21/50 MA cross, 250-period confirm filter, VWAP</t>
        </is>
      </c>
      <c r="D1507" s="9" t="inlineStr">
        <is>
          <t>Short</t>
        </is>
      </c>
      <c r="E1507" s="10" t="n">
        <v>45197.40972222222</v>
      </c>
      <c r="F1507" s="10" t="n">
        <v>45197.41666666666</v>
      </c>
      <c r="G1507" s="11" t="n">
        <v>-2.14</v>
      </c>
      <c r="H1507" s="11">
        <f>H1506+G1507</f>
        <v/>
      </c>
    </row>
    <row r="1508">
      <c r="A1508" s="9" t="n">
        <v>1504</v>
      </c>
      <c r="B1508" s="9" t="inlineStr">
        <is>
          <t>Ratchet</t>
        </is>
      </c>
      <c r="C1508" s="9" t="inlineStr">
        <is>
          <t>Stochastic scalp with give-back trail exit</t>
        </is>
      </c>
      <c r="D1508" s="9" t="inlineStr">
        <is>
          <t>Short</t>
        </is>
      </c>
      <c r="E1508" s="10" t="n">
        <v>45197.40972222222</v>
      </c>
      <c r="F1508" s="10" t="n">
        <v>45197.41666666666</v>
      </c>
      <c r="G1508" s="11" t="n">
        <v>-1.68</v>
      </c>
      <c r="H1508" s="11">
        <f>H1507+G1508</f>
        <v/>
      </c>
    </row>
    <row r="1509">
      <c r="A1509" s="9" t="n">
        <v>1505</v>
      </c>
      <c r="B1509" s="9" t="inlineStr">
        <is>
          <t>Ratchet</t>
        </is>
      </c>
      <c r="C1509" s="9" t="inlineStr">
        <is>
          <t>Stochastic scalp with give-back trail exit</t>
        </is>
      </c>
      <c r="D1509" s="9" t="inlineStr">
        <is>
          <t>Short</t>
        </is>
      </c>
      <c r="E1509" s="10" t="n">
        <v>45197.52430555555</v>
      </c>
      <c r="F1509" s="10" t="n">
        <v>45197.52777777778</v>
      </c>
      <c r="G1509" s="11" t="n">
        <v>-1.37</v>
      </c>
      <c r="H1509" s="11">
        <f>H1508+G1509</f>
        <v/>
      </c>
    </row>
    <row r="1510">
      <c r="A1510" s="9" t="n">
        <v>1506</v>
      </c>
      <c r="B1510" s="9" t="inlineStr">
        <is>
          <t>Meridian</t>
        </is>
      </c>
      <c r="C1510" s="9" t="inlineStr">
        <is>
          <t>21/50 MA cross, 250-period confirm filter, VWAP</t>
        </is>
      </c>
      <c r="D1510" s="9" t="inlineStr">
        <is>
          <t>Short</t>
        </is>
      </c>
      <c r="E1510" s="10" t="n">
        <v>45197.49305555555</v>
      </c>
      <c r="F1510" s="10" t="n">
        <v>45197.53472222222</v>
      </c>
      <c r="G1510" s="11" t="n">
        <v>-2.1</v>
      </c>
      <c r="H1510" s="11">
        <f>H1509+G1510</f>
        <v/>
      </c>
    </row>
    <row r="1511">
      <c r="A1511" s="9" t="n">
        <v>1507</v>
      </c>
      <c r="B1511" s="9" t="inlineStr">
        <is>
          <t>Ratchet</t>
        </is>
      </c>
      <c r="C1511" s="9" t="inlineStr">
        <is>
          <t>Stochastic scalp with give-back trail exit</t>
        </is>
      </c>
      <c r="D1511" s="9" t="inlineStr">
        <is>
          <t>Short</t>
        </is>
      </c>
      <c r="E1511" s="10" t="n">
        <v>45197.56944444445</v>
      </c>
      <c r="F1511" s="10" t="n">
        <v>45197.59027777778</v>
      </c>
      <c r="G1511" s="11" t="n">
        <v>-1.35</v>
      </c>
      <c r="H1511" s="11">
        <f>H1510+G1511</f>
        <v/>
      </c>
    </row>
    <row r="1512">
      <c r="A1512" s="9" t="n">
        <v>1508</v>
      </c>
      <c r="B1512" s="9" t="inlineStr">
        <is>
          <t>Meridian</t>
        </is>
      </c>
      <c r="C1512" s="9" t="inlineStr">
        <is>
          <t>21/50 MA cross, 250-period confirm filter, VWAP</t>
        </is>
      </c>
      <c r="D1512" s="9" t="inlineStr">
        <is>
          <t>Short</t>
        </is>
      </c>
      <c r="E1512" s="10" t="n">
        <v>45197.61111111111</v>
      </c>
      <c r="F1512" s="10" t="n">
        <v>45197.61458333334</v>
      </c>
      <c r="G1512" s="11" t="n">
        <v>-1.86</v>
      </c>
      <c r="H1512" s="11">
        <f>H1511+G1512</f>
        <v/>
      </c>
    </row>
    <row r="1513">
      <c r="A1513" s="9" t="n">
        <v>1509</v>
      </c>
      <c r="B1513" s="9" t="inlineStr">
        <is>
          <t>Ratchet</t>
        </is>
      </c>
      <c r="C1513" s="9" t="inlineStr">
        <is>
          <t>Stochastic scalp with give-back trail exit</t>
        </is>
      </c>
      <c r="D1513" s="9" t="inlineStr">
        <is>
          <t>Short</t>
        </is>
      </c>
      <c r="E1513" s="10" t="n">
        <v>45197.70833333334</v>
      </c>
      <c r="F1513" s="10" t="n">
        <v>45197.71527777778</v>
      </c>
      <c r="G1513" s="11" t="n">
        <v>-3.66</v>
      </c>
      <c r="H1513" s="11">
        <f>H1512+G1513</f>
        <v/>
      </c>
    </row>
    <row r="1514">
      <c r="A1514" s="9" t="n">
        <v>1510</v>
      </c>
      <c r="B1514" s="9" t="inlineStr">
        <is>
          <t>Ratchet</t>
        </is>
      </c>
      <c r="C1514" s="9" t="inlineStr">
        <is>
          <t>Stochastic scalp with give-back trail exit</t>
        </is>
      </c>
      <c r="D1514" s="9" t="inlineStr">
        <is>
          <t>Short</t>
        </is>
      </c>
      <c r="E1514" s="10" t="n">
        <v>45197.72569444445</v>
      </c>
      <c r="F1514" s="10" t="n">
        <v>45197.76041666666</v>
      </c>
      <c r="G1514" s="11" t="n">
        <v>12.65</v>
      </c>
      <c r="H1514" s="11">
        <f>H1513+G1514</f>
        <v/>
      </c>
    </row>
    <row r="1515">
      <c r="A1515" s="9" t="n">
        <v>1511</v>
      </c>
      <c r="B1515" s="9" t="inlineStr">
        <is>
          <t>Aurelius_M5</t>
        </is>
      </c>
      <c r="C1515" s="9" t="inlineStr">
        <is>
          <t>MA alignment (EMA21&gt;EMA50&gt;SMA250&gt;SMMA500 vs EMA2400 trend filter)</t>
        </is>
      </c>
      <c r="D1515" s="9" t="inlineStr">
        <is>
          <t>Short</t>
        </is>
      </c>
      <c r="E1515" s="10" t="n">
        <v>45197.73611111111</v>
      </c>
      <c r="F1515" s="10" t="n">
        <v>45197.91666666666</v>
      </c>
      <c r="G1515" s="11" t="n">
        <v>2.39</v>
      </c>
      <c r="H1515" s="11">
        <f>H1514+G1515</f>
        <v/>
      </c>
    </row>
    <row r="1516">
      <c r="A1516" s="9" t="n">
        <v>1512</v>
      </c>
      <c r="B1516" s="9" t="inlineStr">
        <is>
          <t>Ratchet</t>
        </is>
      </c>
      <c r="C1516" s="9" t="inlineStr">
        <is>
          <t>Stochastic scalp with give-back trail exit</t>
        </is>
      </c>
      <c r="D1516" s="9" t="inlineStr">
        <is>
          <t>Short</t>
        </is>
      </c>
      <c r="E1516" s="10" t="n">
        <v>45198.07638888889</v>
      </c>
      <c r="F1516" s="10" t="n">
        <v>45198.09027777778</v>
      </c>
      <c r="G1516" s="11" t="n">
        <v>-1.16</v>
      </c>
      <c r="H1516" s="11">
        <f>H1515+G1516</f>
        <v/>
      </c>
    </row>
    <row r="1517">
      <c r="A1517" s="9" t="n">
        <v>1513</v>
      </c>
      <c r="B1517" s="9" t="inlineStr">
        <is>
          <t>Meridian</t>
        </is>
      </c>
      <c r="C1517" s="9" t="inlineStr">
        <is>
          <t>21/50 MA cross, 250-period confirm filter, VWAP</t>
        </is>
      </c>
      <c r="D1517" s="9" t="inlineStr">
        <is>
          <t>Short</t>
        </is>
      </c>
      <c r="E1517" s="10" t="n">
        <v>45198.06944444445</v>
      </c>
      <c r="F1517" s="10" t="n">
        <v>45198.11805555555</v>
      </c>
      <c r="G1517" s="11" t="n">
        <v>-1.64</v>
      </c>
      <c r="H1517" s="11">
        <f>H1516+G1517</f>
        <v/>
      </c>
    </row>
    <row r="1518">
      <c r="A1518" s="9" t="n">
        <v>1514</v>
      </c>
      <c r="B1518" s="9" t="inlineStr">
        <is>
          <t>Ratchet</t>
        </is>
      </c>
      <c r="C1518" s="9" t="inlineStr">
        <is>
          <t>Stochastic scalp with give-back trail exit</t>
        </is>
      </c>
      <c r="D1518" s="9" t="inlineStr">
        <is>
          <t>Short</t>
        </is>
      </c>
      <c r="E1518" s="10" t="n">
        <v>45198.28819444445</v>
      </c>
      <c r="F1518" s="10" t="n">
        <v>45198.29166666666</v>
      </c>
      <c r="G1518" s="11" t="n">
        <v>0.09</v>
      </c>
      <c r="H1518" s="11">
        <f>H1517+G1518</f>
        <v/>
      </c>
    </row>
    <row r="1519">
      <c r="A1519" s="9" t="n">
        <v>1515</v>
      </c>
      <c r="B1519" s="9" t="inlineStr">
        <is>
          <t>Meridian</t>
        </is>
      </c>
      <c r="C1519" s="9" t="inlineStr">
        <is>
          <t>21/50 MA cross, 250-period confirm filter, VWAP</t>
        </is>
      </c>
      <c r="D1519" s="9" t="inlineStr">
        <is>
          <t>Short</t>
        </is>
      </c>
      <c r="E1519" s="10" t="n">
        <v>45198.25</v>
      </c>
      <c r="F1519" s="10" t="n">
        <v>45198.36458333334</v>
      </c>
      <c r="G1519" s="11" t="n">
        <v>-1.54</v>
      </c>
      <c r="H1519" s="11">
        <f>H1518+G1519</f>
        <v/>
      </c>
    </row>
    <row r="1520">
      <c r="A1520" s="9" t="n">
        <v>1516</v>
      </c>
      <c r="B1520" s="9" t="inlineStr">
        <is>
          <t>Aurelius_M5</t>
        </is>
      </c>
      <c r="C1520" s="9" t="inlineStr">
        <is>
          <t>MA alignment (EMA21&gt;EMA50&gt;SMA250&gt;SMMA500 vs EMA2400 trend filter)</t>
        </is>
      </c>
      <c r="D1520" s="9" t="inlineStr">
        <is>
          <t>Short</t>
        </is>
      </c>
      <c r="E1520" s="10" t="n">
        <v>45198.33680555555</v>
      </c>
      <c r="F1520" s="10" t="n">
        <v>45198.36458333334</v>
      </c>
      <c r="G1520" s="11" t="n">
        <v>-1.46</v>
      </c>
      <c r="H1520" s="11">
        <f>H1519+G1520</f>
        <v/>
      </c>
    </row>
    <row r="1521">
      <c r="A1521" s="9" t="n">
        <v>1517</v>
      </c>
      <c r="B1521" s="9" t="inlineStr">
        <is>
          <t>Vanguard_M5</t>
        </is>
      </c>
      <c r="C1521" s="9" t="inlineStr">
        <is>
          <t>Trendline breakout (fractal swing line) + VWAP/S-R distance gate</t>
        </is>
      </c>
      <c r="D1521" s="9" t="inlineStr">
        <is>
          <t>Short</t>
        </is>
      </c>
      <c r="E1521" s="10" t="n">
        <v>45195.14930555555</v>
      </c>
      <c r="F1521" s="10" t="n">
        <v>45198.38194444445</v>
      </c>
      <c r="G1521" s="11" t="n">
        <v>47.23</v>
      </c>
      <c r="H1521" s="11">
        <f>H1520+G1521</f>
        <v/>
      </c>
    </row>
    <row r="1522">
      <c r="A1522" s="9" t="n">
        <v>1518</v>
      </c>
      <c r="B1522" s="9" t="inlineStr">
        <is>
          <t>Vanguard_M15</t>
        </is>
      </c>
      <c r="C1522" s="9" t="inlineStr">
        <is>
          <t>Trendline breakout (fractal swing line) + VWAP/S-R distance gate - M15 chart</t>
        </is>
      </c>
      <c r="D1522" s="9" t="inlineStr">
        <is>
          <t>Short</t>
        </is>
      </c>
      <c r="E1522" s="10" t="n">
        <v>45195.16666666666</v>
      </c>
      <c r="F1522" s="10" t="n">
        <v>45198.38541666666</v>
      </c>
      <c r="G1522" s="11" t="n">
        <v>46.39</v>
      </c>
      <c r="H1522" s="11">
        <f>H1521+G1522</f>
        <v/>
      </c>
    </row>
    <row r="1523">
      <c r="A1523" s="9" t="n">
        <v>1519</v>
      </c>
      <c r="B1523" s="9" t="inlineStr">
        <is>
          <t>Aurelius_M15</t>
        </is>
      </c>
      <c r="C1523" s="9" t="inlineStr">
        <is>
          <t>MA alignment (EMA21&gt;EMA50&gt;SMA250&gt;SMMA500 vs EMA2400 trend filter) - M15 chart</t>
        </is>
      </c>
      <c r="D1523" s="9" t="inlineStr">
        <is>
          <t>Short</t>
        </is>
      </c>
      <c r="E1523" s="10" t="n">
        <v>45195.63541666666</v>
      </c>
      <c r="F1523" s="10" t="n">
        <v>45198.4375</v>
      </c>
      <c r="G1523" s="11" t="n">
        <v>40.38</v>
      </c>
      <c r="H1523" s="11">
        <f>H1522+G1523</f>
        <v/>
      </c>
    </row>
    <row r="1524">
      <c r="A1524" s="9" t="n">
        <v>1520</v>
      </c>
      <c r="B1524" s="9" t="inlineStr">
        <is>
          <t>Vanguard_M15</t>
        </is>
      </c>
      <c r="C1524" s="9" t="inlineStr">
        <is>
          <t>Trendline breakout (fractal swing line) + VWAP/S-R distance gate - M15 chart</t>
        </is>
      </c>
      <c r="D1524" s="9" t="inlineStr">
        <is>
          <t>Long</t>
        </is>
      </c>
      <c r="E1524" s="10" t="n">
        <v>45198.39583333334</v>
      </c>
      <c r="F1524" s="10" t="n">
        <v>45198.70833333334</v>
      </c>
      <c r="G1524" s="11" t="n">
        <v>-3.91</v>
      </c>
      <c r="H1524" s="11">
        <f>H1523+G1524</f>
        <v/>
      </c>
    </row>
    <row r="1525">
      <c r="A1525" s="9" t="n">
        <v>1521</v>
      </c>
      <c r="B1525" s="9" t="inlineStr">
        <is>
          <t>Meridian</t>
        </is>
      </c>
      <c r="C1525" s="9" t="inlineStr">
        <is>
          <t>21/50 MA cross, 250-period confirm filter, VWAP</t>
        </is>
      </c>
      <c r="D1525" s="9" t="inlineStr">
        <is>
          <t>Long</t>
        </is>
      </c>
      <c r="E1525" s="10" t="n">
        <v>45198.66319444445</v>
      </c>
      <c r="F1525" s="10" t="n">
        <v>45198.70833333334</v>
      </c>
      <c r="G1525" s="11" t="n">
        <v>-3.6</v>
      </c>
      <c r="H1525" s="11">
        <f>H1524+G1525</f>
        <v/>
      </c>
    </row>
    <row r="1526">
      <c r="A1526" s="9" t="n">
        <v>1522</v>
      </c>
      <c r="B1526" s="9" t="inlineStr">
        <is>
          <t>Vanguard_M5</t>
        </is>
      </c>
      <c r="C1526" s="9" t="inlineStr">
        <is>
          <t>Trendline breakout (fractal swing line) + VWAP/S-R distance gate</t>
        </is>
      </c>
      <c r="D1526" s="9" t="inlineStr">
        <is>
          <t>Long</t>
        </is>
      </c>
      <c r="E1526" s="10" t="n">
        <v>45198.38541666666</v>
      </c>
      <c r="F1526" s="10" t="n">
        <v>45198.71180555555</v>
      </c>
      <c r="G1526" s="11" t="n">
        <v>-2.96</v>
      </c>
      <c r="H1526" s="11">
        <f>H1525+G1526</f>
        <v/>
      </c>
    </row>
    <row r="1527">
      <c r="A1527" s="9" t="n">
        <v>1523</v>
      </c>
      <c r="B1527" s="9" t="inlineStr">
        <is>
          <t>Meridian</t>
        </is>
      </c>
      <c r="C1527" s="9" t="inlineStr">
        <is>
          <t>21/50 MA cross, 250-period confirm filter, VWAP</t>
        </is>
      </c>
      <c r="D1527" s="9" t="inlineStr">
        <is>
          <t>Short</t>
        </is>
      </c>
      <c r="E1527" s="10" t="n">
        <v>45198.71527777778</v>
      </c>
      <c r="F1527" s="10" t="n">
        <v>45198.91666666666</v>
      </c>
      <c r="G1527" s="11" t="n">
        <v>14.06</v>
      </c>
      <c r="H1527" s="11">
        <f>H1526+G1527</f>
        <v/>
      </c>
    </row>
    <row r="1528">
      <c r="A1528" s="9" t="n">
        <v>1524</v>
      </c>
      <c r="B1528" s="9" t="inlineStr">
        <is>
          <t>Ratchet</t>
        </is>
      </c>
      <c r="C1528" s="9" t="inlineStr">
        <is>
          <t>Stochastic scalp with give-back trail exit</t>
        </is>
      </c>
      <c r="D1528" s="9" t="inlineStr">
        <is>
          <t>Short</t>
        </is>
      </c>
      <c r="E1528" s="10" t="n">
        <v>45198.74305555555</v>
      </c>
      <c r="F1528" s="10" t="n">
        <v>45198.91666666666</v>
      </c>
      <c r="G1528" s="11" t="n">
        <v>11.91</v>
      </c>
      <c r="H1528" s="11">
        <f>H1527+G1528</f>
        <v/>
      </c>
    </row>
    <row r="1529">
      <c r="A1529" s="9" t="n">
        <v>1525</v>
      </c>
      <c r="B1529" s="9" t="inlineStr">
        <is>
          <t>Ratchet</t>
        </is>
      </c>
      <c r="C1529" s="9" t="inlineStr">
        <is>
          <t>Stochastic scalp with give-back trail exit</t>
        </is>
      </c>
      <c r="D1529" s="9" t="inlineStr">
        <is>
          <t>Short</t>
        </is>
      </c>
      <c r="E1529" s="10" t="n">
        <v>45201.15625</v>
      </c>
      <c r="F1529" s="10" t="n">
        <v>45201.15972222222</v>
      </c>
      <c r="G1529" s="11" t="n">
        <v>-0.37</v>
      </c>
      <c r="H1529" s="11">
        <f>H1528+G1529</f>
        <v/>
      </c>
    </row>
    <row r="1530">
      <c r="A1530" s="9" t="n">
        <v>1526</v>
      </c>
      <c r="B1530" s="9" t="inlineStr">
        <is>
          <t>Ratchet</t>
        </is>
      </c>
      <c r="C1530" s="9" t="inlineStr">
        <is>
          <t>Stochastic scalp with give-back trail exit</t>
        </is>
      </c>
      <c r="D1530" s="9" t="inlineStr">
        <is>
          <t>Short</t>
        </is>
      </c>
      <c r="E1530" s="10" t="n">
        <v>45201.32638888889</v>
      </c>
      <c r="F1530" s="10" t="n">
        <v>45201.37847222222</v>
      </c>
      <c r="G1530" s="11" t="n">
        <v>0.88</v>
      </c>
      <c r="H1530" s="11">
        <f>H1529+G1530</f>
        <v/>
      </c>
    </row>
    <row r="1531">
      <c r="A1531" s="9" t="n">
        <v>1527</v>
      </c>
      <c r="B1531" s="9" t="inlineStr">
        <is>
          <t>Ratchet</t>
        </is>
      </c>
      <c r="C1531" s="9" t="inlineStr">
        <is>
          <t>Stochastic scalp with give-back trail exit</t>
        </is>
      </c>
      <c r="D1531" s="9" t="inlineStr">
        <is>
          <t>Short</t>
        </is>
      </c>
      <c r="E1531" s="10" t="n">
        <v>45201.44097222222</v>
      </c>
      <c r="F1531" s="10" t="n">
        <v>45201.46180555555</v>
      </c>
      <c r="G1531" s="11" t="n">
        <v>0.9399999999999999</v>
      </c>
      <c r="H1531" s="11">
        <f>H1530+G1531</f>
        <v/>
      </c>
    </row>
    <row r="1532">
      <c r="A1532" s="9" t="n">
        <v>1528</v>
      </c>
      <c r="B1532" s="9" t="inlineStr">
        <is>
          <t>Ratchet</t>
        </is>
      </c>
      <c r="C1532" s="9" t="inlineStr">
        <is>
          <t>Stochastic scalp with give-back trail exit</t>
        </is>
      </c>
      <c r="D1532" s="9" t="inlineStr">
        <is>
          <t>Short</t>
        </is>
      </c>
      <c r="E1532" s="10" t="n">
        <v>45201.71180555555</v>
      </c>
      <c r="F1532" s="10" t="n">
        <v>45201.72569444445</v>
      </c>
      <c r="G1532" s="11" t="n">
        <v>1.38</v>
      </c>
      <c r="H1532" s="11">
        <f>H1531+G1532</f>
        <v/>
      </c>
    </row>
    <row r="1533">
      <c r="A1533" s="9" t="n">
        <v>1529</v>
      </c>
      <c r="B1533" s="9" t="inlineStr">
        <is>
          <t>Ratchet</t>
        </is>
      </c>
      <c r="C1533" s="9" t="inlineStr">
        <is>
          <t>Stochastic scalp with give-back trail exit</t>
        </is>
      </c>
      <c r="D1533" s="9" t="inlineStr">
        <is>
          <t>Short</t>
        </is>
      </c>
      <c r="E1533" s="10" t="n">
        <v>45201.89930555555</v>
      </c>
      <c r="F1533" s="10" t="n">
        <v>45201.90277777778</v>
      </c>
      <c r="G1533" s="11" t="n">
        <v>0.19</v>
      </c>
      <c r="H1533" s="11">
        <f>H1532+G1533</f>
        <v/>
      </c>
    </row>
    <row r="1534">
      <c r="A1534" s="9" t="n">
        <v>1530</v>
      </c>
      <c r="B1534" s="9" t="inlineStr">
        <is>
          <t>Aurelius_M5</t>
        </is>
      </c>
      <c r="C1534" s="9" t="inlineStr">
        <is>
          <t>MA alignment (EMA21&gt;EMA50&gt;SMA250&gt;SMMA500 vs EMA2400 trend filter)</t>
        </is>
      </c>
      <c r="D1534" s="9" t="inlineStr">
        <is>
          <t>Short</t>
        </is>
      </c>
      <c r="E1534" s="10" t="n">
        <v>45201.47569444445</v>
      </c>
      <c r="F1534" s="10" t="n">
        <v>45202.04166666666</v>
      </c>
      <c r="G1534" s="11" t="n">
        <v>13.57</v>
      </c>
      <c r="H1534" s="11">
        <f>H1533+G1534</f>
        <v/>
      </c>
    </row>
    <row r="1535">
      <c r="A1535" s="9" t="n">
        <v>1531</v>
      </c>
      <c r="B1535" s="9" t="inlineStr">
        <is>
          <t>Ratchet</t>
        </is>
      </c>
      <c r="C1535" s="9" t="inlineStr">
        <is>
          <t>Stochastic scalp with give-back trail exit</t>
        </is>
      </c>
      <c r="D1535" s="9" t="inlineStr">
        <is>
          <t>Short</t>
        </is>
      </c>
      <c r="E1535" s="10" t="n">
        <v>45202.06944444445</v>
      </c>
      <c r="F1535" s="10" t="n">
        <v>45202.07291666666</v>
      </c>
      <c r="G1535" s="11" t="n">
        <v>-0</v>
      </c>
      <c r="H1535" s="11">
        <f>H1534+G1535</f>
        <v/>
      </c>
    </row>
    <row r="1536">
      <c r="A1536" s="9" t="n">
        <v>1532</v>
      </c>
      <c r="B1536" s="9" t="inlineStr">
        <is>
          <t>Ratchet</t>
        </is>
      </c>
      <c r="C1536" s="9" t="inlineStr">
        <is>
          <t>Stochastic scalp with give-back trail exit</t>
        </is>
      </c>
      <c r="D1536" s="9" t="inlineStr">
        <is>
          <t>Short</t>
        </is>
      </c>
      <c r="E1536" s="10" t="n">
        <v>45202.19444444445</v>
      </c>
      <c r="F1536" s="10" t="n">
        <v>45202.28819444445</v>
      </c>
      <c r="G1536" s="11" t="n">
        <v>2.11</v>
      </c>
      <c r="H1536" s="11">
        <f>H1535+G1536</f>
        <v/>
      </c>
    </row>
    <row r="1537">
      <c r="A1537" s="9" t="n">
        <v>1533</v>
      </c>
      <c r="B1537" s="9" t="inlineStr">
        <is>
          <t>Ratchet</t>
        </is>
      </c>
      <c r="C1537" s="9" t="inlineStr">
        <is>
          <t>Stochastic scalp with give-back trail exit</t>
        </is>
      </c>
      <c r="D1537" s="9" t="inlineStr">
        <is>
          <t>Short</t>
        </is>
      </c>
      <c r="E1537" s="10" t="n">
        <v>45202.35069444445</v>
      </c>
      <c r="F1537" s="10" t="n">
        <v>45202.37152777778</v>
      </c>
      <c r="G1537" s="11" t="n">
        <v>0.3</v>
      </c>
      <c r="H1537" s="11">
        <f>H1536+G1537</f>
        <v/>
      </c>
    </row>
    <row r="1538">
      <c r="A1538" s="9" t="n">
        <v>1534</v>
      </c>
      <c r="B1538" s="9" t="inlineStr">
        <is>
          <t>Aurelius_M5</t>
        </is>
      </c>
      <c r="C1538" s="9" t="inlineStr">
        <is>
          <t>MA alignment (EMA21&gt;EMA50&gt;SMA250&gt;SMMA500 vs EMA2400 trend filter)</t>
        </is>
      </c>
      <c r="D1538" s="9" t="inlineStr">
        <is>
          <t>Short</t>
        </is>
      </c>
      <c r="E1538" s="10" t="n">
        <v>45202.37847222222</v>
      </c>
      <c r="F1538" s="10" t="n">
        <v>45202.37847222222</v>
      </c>
      <c r="G1538" s="11" t="n">
        <v>-2.12</v>
      </c>
      <c r="H1538" s="11">
        <f>H1537+G1538</f>
        <v/>
      </c>
    </row>
    <row r="1539">
      <c r="A1539" s="9" t="n">
        <v>1535</v>
      </c>
      <c r="B1539" s="9" t="inlineStr">
        <is>
          <t>Meridian</t>
        </is>
      </c>
      <c r="C1539" s="9" t="inlineStr">
        <is>
          <t>21/50 MA cross, 250-period confirm filter, VWAP</t>
        </is>
      </c>
      <c r="D1539" s="9" t="inlineStr">
        <is>
          <t>Short</t>
        </is>
      </c>
      <c r="E1539" s="10" t="n">
        <v>45201.44097222222</v>
      </c>
      <c r="F1539" s="10" t="n">
        <v>45202.39583333334</v>
      </c>
      <c r="G1539" s="11" t="n">
        <v>19.66</v>
      </c>
      <c r="H1539" s="11">
        <f>H1538+G1539</f>
        <v/>
      </c>
    </row>
    <row r="1540">
      <c r="A1540" s="9" t="n">
        <v>1536</v>
      </c>
      <c r="B1540" s="9" t="inlineStr">
        <is>
          <t>Meridian</t>
        </is>
      </c>
      <c r="C1540" s="9" t="inlineStr">
        <is>
          <t>21/50 MA cross, 250-period confirm filter, VWAP</t>
        </is>
      </c>
      <c r="D1540" s="9" t="inlineStr">
        <is>
          <t>Short</t>
        </is>
      </c>
      <c r="E1540" s="10" t="n">
        <v>45202.6875</v>
      </c>
      <c r="F1540" s="10" t="n">
        <v>45202.69444444445</v>
      </c>
      <c r="G1540" s="11" t="n">
        <v>-3.5</v>
      </c>
      <c r="H1540" s="11">
        <f>H1539+G1540</f>
        <v/>
      </c>
    </row>
    <row r="1541">
      <c r="A1541" s="9" t="n">
        <v>1537</v>
      </c>
      <c r="B1541" s="9" t="inlineStr">
        <is>
          <t>Meridian</t>
        </is>
      </c>
      <c r="C1541" s="9" t="inlineStr">
        <is>
          <t>21/50 MA cross, 250-period confirm filter, VWAP</t>
        </is>
      </c>
      <c r="D1541" s="9" t="inlineStr">
        <is>
          <t>Short</t>
        </is>
      </c>
      <c r="E1541" s="10" t="n">
        <v>45202.71527777778</v>
      </c>
      <c r="F1541" s="10" t="n">
        <v>45202.71527777778</v>
      </c>
      <c r="G1541" s="11" t="n">
        <v>-6.17</v>
      </c>
      <c r="H1541" s="11">
        <f>H1540+G1541</f>
        <v/>
      </c>
    </row>
    <row r="1542">
      <c r="A1542" s="9" t="n">
        <v>1538</v>
      </c>
      <c r="B1542" s="9" t="inlineStr">
        <is>
          <t>Meridian</t>
        </is>
      </c>
      <c r="C1542" s="9" t="inlineStr">
        <is>
          <t>21/50 MA cross, 250-period confirm filter, VWAP</t>
        </is>
      </c>
      <c r="D1542" s="9" t="inlineStr">
        <is>
          <t>Long</t>
        </is>
      </c>
      <c r="E1542" s="10" t="n">
        <v>45202.72916666666</v>
      </c>
      <c r="F1542" s="10" t="n">
        <v>45202.77430555555</v>
      </c>
      <c r="G1542" s="11" t="n">
        <v>-4.15</v>
      </c>
      <c r="H1542" s="11">
        <f>H1541+G1542</f>
        <v/>
      </c>
    </row>
    <row r="1543">
      <c r="A1543" s="9" t="n">
        <v>1539</v>
      </c>
      <c r="B1543" s="9" t="inlineStr">
        <is>
          <t>Meridian</t>
        </is>
      </c>
      <c r="C1543" s="9" t="inlineStr">
        <is>
          <t>21/50 MA cross, 250-period confirm filter, VWAP</t>
        </is>
      </c>
      <c r="D1543" s="9" t="inlineStr">
        <is>
          <t>Long</t>
        </is>
      </c>
      <c r="E1543" s="10" t="n">
        <v>45202.81597222222</v>
      </c>
      <c r="F1543" s="10" t="n">
        <v>45202.82638888889</v>
      </c>
      <c r="G1543" s="11" t="n">
        <v>-3.64</v>
      </c>
      <c r="H1543" s="11">
        <f>H1542+G1543</f>
        <v/>
      </c>
    </row>
    <row r="1544">
      <c r="A1544" s="9" t="n">
        <v>1540</v>
      </c>
      <c r="B1544" s="9" t="inlineStr">
        <is>
          <t>Ratchet</t>
        </is>
      </c>
      <c r="C1544" s="9" t="inlineStr">
        <is>
          <t>Stochastic scalp with give-back trail exit</t>
        </is>
      </c>
      <c r="D1544" s="9" t="inlineStr">
        <is>
          <t>Short</t>
        </is>
      </c>
      <c r="E1544" s="10" t="n">
        <v>45202.92013888889</v>
      </c>
      <c r="F1544" s="10" t="n">
        <v>45202.99652777778</v>
      </c>
      <c r="G1544" s="11" t="n">
        <v>0.28</v>
      </c>
      <c r="H1544" s="11">
        <f>H1543+G1544</f>
        <v/>
      </c>
    </row>
    <row r="1545">
      <c r="A1545" s="9" t="n">
        <v>1541</v>
      </c>
      <c r="B1545" s="9" t="inlineStr">
        <is>
          <t>Ratchet</t>
        </is>
      </c>
      <c r="C1545" s="9" t="inlineStr">
        <is>
          <t>Stochastic scalp with give-back trail exit</t>
        </is>
      </c>
      <c r="D1545" s="9" t="inlineStr">
        <is>
          <t>Short</t>
        </is>
      </c>
      <c r="E1545" s="10" t="n">
        <v>45203.06597222222</v>
      </c>
      <c r="F1545" s="10" t="n">
        <v>45203.09027777778</v>
      </c>
      <c r="G1545" s="11" t="n">
        <v>0.29</v>
      </c>
      <c r="H1545" s="11">
        <f>H1544+G1545</f>
        <v/>
      </c>
    </row>
    <row r="1546">
      <c r="A1546" s="9" t="n">
        <v>1542</v>
      </c>
      <c r="B1546" s="9" t="inlineStr">
        <is>
          <t>Vanguard_M15</t>
        </is>
      </c>
      <c r="C1546" s="9" t="inlineStr">
        <is>
          <t>Trendline breakout (fractal swing line) + VWAP/S-R distance gate - M15 chart</t>
        </is>
      </c>
      <c r="D1546" s="9" t="inlineStr">
        <is>
          <t>Short</t>
        </is>
      </c>
      <c r="E1546" s="10" t="n">
        <v>45198.71875</v>
      </c>
      <c r="F1546" s="10" t="n">
        <v>45203.14583333334</v>
      </c>
      <c r="G1546" s="11" t="n">
        <v>37.48</v>
      </c>
      <c r="H1546" s="11">
        <f>H1545+G1546</f>
        <v/>
      </c>
    </row>
    <row r="1547">
      <c r="A1547" s="9" t="n">
        <v>1543</v>
      </c>
      <c r="B1547" s="9" t="inlineStr">
        <is>
          <t>Vanguard_M5</t>
        </is>
      </c>
      <c r="C1547" s="9" t="inlineStr">
        <is>
          <t>Trendline breakout (fractal swing line) + VWAP/S-R distance gate</t>
        </is>
      </c>
      <c r="D1547" s="9" t="inlineStr">
        <is>
          <t>Long</t>
        </is>
      </c>
      <c r="E1547" s="10" t="n">
        <v>45203.15277777778</v>
      </c>
      <c r="F1547" s="10" t="n">
        <v>45203.19097222222</v>
      </c>
      <c r="G1547" s="11" t="n">
        <v>-2.99</v>
      </c>
      <c r="H1547" s="11">
        <f>H1546+G1547</f>
        <v/>
      </c>
    </row>
    <row r="1548">
      <c r="A1548" s="9" t="n">
        <v>1544</v>
      </c>
      <c r="B1548" s="9" t="inlineStr">
        <is>
          <t>Ratchet</t>
        </is>
      </c>
      <c r="C1548" s="9" t="inlineStr">
        <is>
          <t>Stochastic scalp with give-back trail exit</t>
        </is>
      </c>
      <c r="D1548" s="9" t="inlineStr">
        <is>
          <t>Short</t>
        </is>
      </c>
      <c r="E1548" s="10" t="n">
        <v>45203.22916666666</v>
      </c>
      <c r="F1548" s="10" t="n">
        <v>45203.24305555555</v>
      </c>
      <c r="G1548" s="11" t="n">
        <v>0.33</v>
      </c>
      <c r="H1548" s="11">
        <f>H1547+G1548</f>
        <v/>
      </c>
    </row>
    <row r="1549">
      <c r="A1549" s="9" t="n">
        <v>1545</v>
      </c>
      <c r="B1549" s="9" t="inlineStr">
        <is>
          <t>Vanguard_M15</t>
        </is>
      </c>
      <c r="C1549" s="9" t="inlineStr">
        <is>
          <t>Trendline breakout (fractal swing line) + VWAP/S-R distance gate - M15 chart</t>
        </is>
      </c>
      <c r="D1549" s="9" t="inlineStr">
        <is>
          <t>Long</t>
        </is>
      </c>
      <c r="E1549" s="10" t="n">
        <v>45203.15625</v>
      </c>
      <c r="F1549" s="10" t="n">
        <v>45203.28125</v>
      </c>
      <c r="G1549" s="11" t="n">
        <v>-5.06</v>
      </c>
      <c r="H1549" s="11">
        <f>H1548+G1549</f>
        <v/>
      </c>
    </row>
    <row r="1550">
      <c r="A1550" s="9" t="n">
        <v>1546</v>
      </c>
      <c r="B1550" s="9" t="inlineStr">
        <is>
          <t>Ratchet</t>
        </is>
      </c>
      <c r="C1550" s="9" t="inlineStr">
        <is>
          <t>Stochastic scalp with give-back trail exit</t>
        </is>
      </c>
      <c r="D1550" s="9" t="inlineStr">
        <is>
          <t>Short</t>
        </is>
      </c>
      <c r="E1550" s="10" t="n">
        <v>45203.27083333334</v>
      </c>
      <c r="F1550" s="10" t="n">
        <v>45203.28819444445</v>
      </c>
      <c r="G1550" s="11" t="n">
        <v>0.19</v>
      </c>
      <c r="H1550" s="11">
        <f>H1549+G1550</f>
        <v/>
      </c>
    </row>
    <row r="1551">
      <c r="A1551" s="9" t="n">
        <v>1547</v>
      </c>
      <c r="B1551" s="9" t="inlineStr">
        <is>
          <t>Aurelius_M5</t>
        </is>
      </c>
      <c r="C1551" s="9" t="inlineStr">
        <is>
          <t>MA alignment (EMA21&gt;EMA50&gt;SMA250&gt;SMMA500 vs EMA2400 trend filter)</t>
        </is>
      </c>
      <c r="D1551" s="9" t="inlineStr">
        <is>
          <t>Short</t>
        </is>
      </c>
      <c r="E1551" s="10" t="n">
        <v>45203.39236111111</v>
      </c>
      <c r="F1551" s="10" t="n">
        <v>45203.43055555555</v>
      </c>
      <c r="G1551" s="11" t="n">
        <v>-2.08</v>
      </c>
      <c r="H1551" s="11">
        <f>H1550+G1551</f>
        <v/>
      </c>
    </row>
    <row r="1552">
      <c r="A1552" s="9" t="n">
        <v>1548</v>
      </c>
      <c r="B1552" s="9" t="inlineStr">
        <is>
          <t>Meridian</t>
        </is>
      </c>
      <c r="C1552" s="9" t="inlineStr">
        <is>
          <t>21/50 MA cross, 250-period confirm filter, VWAP</t>
        </is>
      </c>
      <c r="D1552" s="9" t="inlineStr">
        <is>
          <t>Short</t>
        </is>
      </c>
      <c r="E1552" s="10" t="n">
        <v>45203.34375</v>
      </c>
      <c r="F1552" s="10" t="n">
        <v>45203.46527777778</v>
      </c>
      <c r="G1552" s="11" t="n">
        <v>-1.31</v>
      </c>
      <c r="H1552" s="11">
        <f>H1551+G1552</f>
        <v/>
      </c>
    </row>
    <row r="1553">
      <c r="A1553" s="9" t="n">
        <v>1549</v>
      </c>
      <c r="B1553" s="9" t="inlineStr">
        <is>
          <t>Aurelius_M15</t>
        </is>
      </c>
      <c r="C1553" s="9" t="inlineStr">
        <is>
          <t>MA alignment (EMA21&gt;EMA50&gt;SMA250&gt;SMMA500 vs EMA2400 trend filter) - M15 chart</t>
        </is>
      </c>
      <c r="D1553" s="9" t="inlineStr">
        <is>
          <t>Short</t>
        </is>
      </c>
      <c r="E1553" s="10" t="n">
        <v>45203.42708333334</v>
      </c>
      <c r="F1553" s="10" t="n">
        <v>45203.5</v>
      </c>
      <c r="G1553" s="11" t="n">
        <v>-4.16</v>
      </c>
      <c r="H1553" s="11">
        <f>H1552+G1553</f>
        <v/>
      </c>
    </row>
    <row r="1554">
      <c r="A1554" s="9" t="n">
        <v>1550</v>
      </c>
      <c r="B1554" s="9" t="inlineStr">
        <is>
          <t>Ratchet</t>
        </is>
      </c>
      <c r="C1554" s="9" t="inlineStr">
        <is>
          <t>Stochastic scalp with give-back trail exit</t>
        </is>
      </c>
      <c r="D1554" s="9" t="inlineStr">
        <is>
          <t>Short</t>
        </is>
      </c>
      <c r="E1554" s="10" t="n">
        <v>45203.73263888889</v>
      </c>
      <c r="F1554" s="10" t="n">
        <v>45203.75347222222</v>
      </c>
      <c r="G1554" s="11" t="n">
        <v>-4.67</v>
      </c>
      <c r="H1554" s="11">
        <f>H1553+G1554</f>
        <v/>
      </c>
    </row>
    <row r="1555">
      <c r="A1555" s="9" t="n">
        <v>1551</v>
      </c>
      <c r="B1555" s="9" t="inlineStr">
        <is>
          <t>Meridian</t>
        </is>
      </c>
      <c r="C1555" s="9" t="inlineStr">
        <is>
          <t>21/50 MA cross, 250-period confirm filter, VWAP</t>
        </is>
      </c>
      <c r="D1555" s="9" t="inlineStr">
        <is>
          <t>Short</t>
        </is>
      </c>
      <c r="E1555" s="10" t="n">
        <v>45203.70833333334</v>
      </c>
      <c r="F1555" s="10" t="n">
        <v>45203.76041666666</v>
      </c>
      <c r="G1555" s="11" t="n">
        <v>-4.95</v>
      </c>
      <c r="H1555" s="11">
        <f>H1554+G1555</f>
        <v/>
      </c>
    </row>
    <row r="1556">
      <c r="A1556" s="9" t="n">
        <v>1552</v>
      </c>
      <c r="B1556" s="9" t="inlineStr">
        <is>
          <t>Meridian</t>
        </is>
      </c>
      <c r="C1556" s="9" t="inlineStr">
        <is>
          <t>21/50 MA cross, 250-period confirm filter, VWAP</t>
        </is>
      </c>
      <c r="D1556" s="9" t="inlineStr">
        <is>
          <t>Long</t>
        </is>
      </c>
      <c r="E1556" s="10" t="n">
        <v>45203.79166666666</v>
      </c>
      <c r="F1556" s="10" t="n">
        <v>45203.79513888889</v>
      </c>
      <c r="G1556" s="11" t="n">
        <v>-1.92</v>
      </c>
      <c r="H1556" s="11">
        <f>H1555+G1556</f>
        <v/>
      </c>
    </row>
    <row r="1557">
      <c r="A1557" s="9" t="n">
        <v>1553</v>
      </c>
      <c r="B1557" s="9" t="inlineStr">
        <is>
          <t>Meridian</t>
        </is>
      </c>
      <c r="C1557" s="9" t="inlineStr">
        <is>
          <t>21/50 MA cross, 250-period confirm filter, VWAP</t>
        </is>
      </c>
      <c r="D1557" s="9" t="inlineStr">
        <is>
          <t>Long</t>
        </is>
      </c>
      <c r="E1557" s="10" t="n">
        <v>45203.80555555555</v>
      </c>
      <c r="F1557" s="10" t="n">
        <v>45203.80902777778</v>
      </c>
      <c r="G1557" s="11" t="n">
        <v>-1.6</v>
      </c>
      <c r="H1557" s="11">
        <f>H1556+G1557</f>
        <v/>
      </c>
    </row>
    <row r="1558">
      <c r="A1558" s="9" t="n">
        <v>1554</v>
      </c>
      <c r="B1558" s="9" t="inlineStr">
        <is>
          <t>Vanguard_M5</t>
        </is>
      </c>
      <c r="C1558" s="9" t="inlineStr">
        <is>
          <t>Trendline breakout (fractal swing line) + VWAP/S-R distance gate</t>
        </is>
      </c>
      <c r="D1558" s="9" t="inlineStr">
        <is>
          <t>Short</t>
        </is>
      </c>
      <c r="E1558" s="10" t="n">
        <v>45203.89930555555</v>
      </c>
      <c r="F1558" s="10" t="n">
        <v>45203.9375</v>
      </c>
      <c r="G1558" s="11" t="n">
        <v>-3.94</v>
      </c>
      <c r="H1558" s="11">
        <f>H1557+G1558</f>
        <v/>
      </c>
    </row>
    <row r="1559">
      <c r="A1559" s="9" t="n">
        <v>1555</v>
      </c>
      <c r="B1559" s="9" t="inlineStr">
        <is>
          <t>Vanguard_M15</t>
        </is>
      </c>
      <c r="C1559" s="9" t="inlineStr">
        <is>
          <t>Trendline breakout (fractal swing line) + VWAP/S-R distance gate - M15 chart</t>
        </is>
      </c>
      <c r="D1559" s="9" t="inlineStr">
        <is>
          <t>Short</t>
        </is>
      </c>
      <c r="E1559" s="10" t="n">
        <v>45203.90625</v>
      </c>
      <c r="F1559" s="10" t="n">
        <v>45203.94791666666</v>
      </c>
      <c r="G1559" s="11" t="n">
        <v>-6.4</v>
      </c>
      <c r="H1559" s="11">
        <f>H1558+G1559</f>
        <v/>
      </c>
    </row>
    <row r="1560">
      <c r="A1560" s="9" t="n">
        <v>1556</v>
      </c>
      <c r="B1560" s="9" t="inlineStr">
        <is>
          <t>Meridian</t>
        </is>
      </c>
      <c r="C1560" s="9" t="inlineStr">
        <is>
          <t>21/50 MA cross, 250-period confirm filter, VWAP</t>
        </is>
      </c>
      <c r="D1560" s="9" t="inlineStr">
        <is>
          <t>Long</t>
        </is>
      </c>
      <c r="E1560" s="10" t="n">
        <v>45203.95833333334</v>
      </c>
      <c r="F1560" s="10" t="n">
        <v>45203.97222222222</v>
      </c>
      <c r="G1560" s="11" t="n">
        <v>-2.17</v>
      </c>
      <c r="H1560" s="11">
        <f>H1559+G1560</f>
        <v/>
      </c>
    </row>
    <row r="1561">
      <c r="A1561" s="9" t="n">
        <v>1557</v>
      </c>
      <c r="B1561" s="9" t="inlineStr">
        <is>
          <t>Vanguard_M5</t>
        </is>
      </c>
      <c r="C1561" s="9" t="inlineStr">
        <is>
          <t>Trendline breakout (fractal swing line) + VWAP/S-R distance gate</t>
        </is>
      </c>
      <c r="D1561" s="9" t="inlineStr">
        <is>
          <t>Long</t>
        </is>
      </c>
      <c r="E1561" s="10" t="n">
        <v>45204.29861111111</v>
      </c>
      <c r="F1561" s="10" t="n">
        <v>45204.35416666666</v>
      </c>
      <c r="G1561" s="11" t="n">
        <v>-2.13</v>
      </c>
      <c r="H1561" s="11">
        <f>H1560+G1561</f>
        <v/>
      </c>
    </row>
    <row r="1562">
      <c r="A1562" s="9" t="n">
        <v>1558</v>
      </c>
      <c r="B1562" s="9" t="inlineStr">
        <is>
          <t>Vanguard_M15</t>
        </is>
      </c>
      <c r="C1562" s="9" t="inlineStr">
        <is>
          <t>Trendline breakout (fractal swing line) + VWAP/S-R distance gate - M15 chart</t>
        </is>
      </c>
      <c r="D1562" s="9" t="inlineStr">
        <is>
          <t>Long</t>
        </is>
      </c>
      <c r="E1562" s="10" t="n">
        <v>45204.30208333334</v>
      </c>
      <c r="F1562" s="10" t="n">
        <v>45204.375</v>
      </c>
      <c r="G1562" s="11" t="n">
        <v>-3.63</v>
      </c>
      <c r="H1562" s="11">
        <f>H1561+G1562</f>
        <v/>
      </c>
    </row>
    <row r="1563">
      <c r="A1563" s="9" t="n">
        <v>1559</v>
      </c>
      <c r="B1563" s="9" t="inlineStr">
        <is>
          <t>Ratchet</t>
        </is>
      </c>
      <c r="C1563" s="9" t="inlineStr">
        <is>
          <t>Stochastic scalp with give-back trail exit</t>
        </is>
      </c>
      <c r="D1563" s="9" t="inlineStr">
        <is>
          <t>Short</t>
        </is>
      </c>
      <c r="E1563" s="10" t="n">
        <v>45204.59722222222</v>
      </c>
      <c r="F1563" s="10" t="n">
        <v>45204.60763888889</v>
      </c>
      <c r="G1563" s="11" t="n">
        <v>0.31</v>
      </c>
      <c r="H1563" s="11">
        <f>H1562+G1563</f>
        <v/>
      </c>
    </row>
    <row r="1564">
      <c r="A1564" s="9" t="n">
        <v>1560</v>
      </c>
      <c r="B1564" s="9" t="inlineStr">
        <is>
          <t>Ratchet</t>
        </is>
      </c>
      <c r="C1564" s="9" t="inlineStr">
        <is>
          <t>Stochastic scalp with give-back trail exit</t>
        </is>
      </c>
      <c r="D1564" s="9" t="inlineStr">
        <is>
          <t>Short</t>
        </is>
      </c>
      <c r="E1564" s="10" t="n">
        <v>45204.64930555555</v>
      </c>
      <c r="F1564" s="10" t="n">
        <v>45204.68402777778</v>
      </c>
      <c r="G1564" s="11" t="n">
        <v>1.61</v>
      </c>
      <c r="H1564" s="11">
        <f>H1563+G1564</f>
        <v/>
      </c>
    </row>
    <row r="1565">
      <c r="A1565" s="9" t="n">
        <v>1561</v>
      </c>
      <c r="B1565" s="9" t="inlineStr">
        <is>
          <t>Ratchet</t>
        </is>
      </c>
      <c r="C1565" s="9" t="inlineStr">
        <is>
          <t>Stochastic scalp with give-back trail exit</t>
        </is>
      </c>
      <c r="D1565" s="9" t="inlineStr">
        <is>
          <t>Short</t>
        </is>
      </c>
      <c r="E1565" s="10" t="n">
        <v>45204.73611111111</v>
      </c>
      <c r="F1565" s="10" t="n">
        <v>45204.77430555555</v>
      </c>
      <c r="G1565" s="11" t="n">
        <v>-0</v>
      </c>
      <c r="H1565" s="11">
        <f>H1564+G1565</f>
        <v/>
      </c>
    </row>
    <row r="1566">
      <c r="A1566" s="9" t="n">
        <v>1562</v>
      </c>
      <c r="B1566" s="9" t="inlineStr">
        <is>
          <t>Ratchet</t>
        </is>
      </c>
      <c r="C1566" s="9" t="inlineStr">
        <is>
          <t>Stochastic scalp with give-back trail exit</t>
        </is>
      </c>
      <c r="D1566" s="9" t="inlineStr">
        <is>
          <t>Short</t>
        </is>
      </c>
      <c r="E1566" s="10" t="n">
        <v>45204.77777777778</v>
      </c>
      <c r="F1566" s="10" t="n">
        <v>45204.78125</v>
      </c>
      <c r="G1566" s="11" t="n">
        <v>0.33</v>
      </c>
      <c r="H1566" s="11">
        <f>H1565+G1566</f>
        <v/>
      </c>
    </row>
    <row r="1567">
      <c r="A1567" s="9" t="n">
        <v>1563</v>
      </c>
      <c r="B1567" s="9" t="inlineStr">
        <is>
          <t>Ratchet</t>
        </is>
      </c>
      <c r="C1567" s="9" t="inlineStr">
        <is>
          <t>Stochastic scalp with give-back trail exit</t>
        </is>
      </c>
      <c r="D1567" s="9" t="inlineStr">
        <is>
          <t>Short</t>
        </is>
      </c>
      <c r="E1567" s="10" t="n">
        <v>45204.79166666666</v>
      </c>
      <c r="F1567" s="10" t="n">
        <v>45204.85416666666</v>
      </c>
      <c r="G1567" s="11" t="n">
        <v>-3.01</v>
      </c>
      <c r="H1567" s="11">
        <f>H1566+G1567</f>
        <v/>
      </c>
    </row>
    <row r="1568">
      <c r="A1568" s="9" t="n">
        <v>1564</v>
      </c>
      <c r="B1568" s="9" t="inlineStr">
        <is>
          <t>Aurelius_M5</t>
        </is>
      </c>
      <c r="C1568" s="9" t="inlineStr">
        <is>
          <t>MA alignment (EMA21&gt;EMA50&gt;SMA250&gt;SMMA500 vs EMA2400 trend filter)</t>
        </is>
      </c>
      <c r="D1568" s="9" t="inlineStr">
        <is>
          <t>Short</t>
        </is>
      </c>
      <c r="E1568" s="10" t="n">
        <v>45204.72569444445</v>
      </c>
      <c r="F1568" s="10" t="n">
        <v>45204.87847222222</v>
      </c>
      <c r="G1568" s="11" t="n">
        <v>-1.42</v>
      </c>
      <c r="H1568" s="11">
        <f>H1567+G1568</f>
        <v/>
      </c>
    </row>
    <row r="1569">
      <c r="A1569" s="9" t="n">
        <v>1565</v>
      </c>
      <c r="B1569" s="9" t="inlineStr">
        <is>
          <t>Aurelius_M15</t>
        </is>
      </c>
      <c r="C1569" s="9" t="inlineStr">
        <is>
          <t>MA alignment (EMA21&gt;EMA50&gt;SMA250&gt;SMMA500 vs EMA2400 trend filter) - M15 chart</t>
        </is>
      </c>
      <c r="D1569" s="9" t="inlineStr">
        <is>
          <t>Short</t>
        </is>
      </c>
      <c r="E1569" s="10" t="n">
        <v>45204.64583333334</v>
      </c>
      <c r="F1569" s="10" t="n">
        <v>45205.125</v>
      </c>
      <c r="G1569" s="11" t="n">
        <v>-1.08</v>
      </c>
      <c r="H1569" s="11">
        <f>H1568+G1569</f>
        <v/>
      </c>
    </row>
    <row r="1570">
      <c r="A1570" s="9" t="n">
        <v>1566</v>
      </c>
      <c r="B1570" s="9" t="inlineStr">
        <is>
          <t>Ratchet</t>
        </is>
      </c>
      <c r="C1570" s="9" t="inlineStr">
        <is>
          <t>Stochastic scalp with give-back trail exit</t>
        </is>
      </c>
      <c r="D1570" s="9" t="inlineStr">
        <is>
          <t>Short</t>
        </is>
      </c>
      <c r="E1570" s="10" t="n">
        <v>45205.42361111111</v>
      </c>
      <c r="F1570" s="10" t="n">
        <v>45205.44097222222</v>
      </c>
      <c r="G1570" s="11" t="n">
        <v>-1.41</v>
      </c>
      <c r="H1570" s="11">
        <f>H1569+G1570</f>
        <v/>
      </c>
    </row>
    <row r="1571">
      <c r="A1571" s="9" t="n">
        <v>1567</v>
      </c>
      <c r="B1571" s="9" t="inlineStr">
        <is>
          <t>Meridian</t>
        </is>
      </c>
      <c r="C1571" s="9" t="inlineStr">
        <is>
          <t>21/50 MA cross, 250-period confirm filter, VWAP</t>
        </is>
      </c>
      <c r="D1571" s="9" t="inlineStr">
        <is>
          <t>Long</t>
        </is>
      </c>
      <c r="E1571" s="10" t="n">
        <v>45205.52430555555</v>
      </c>
      <c r="F1571" s="10" t="n">
        <v>45205.53819444445</v>
      </c>
      <c r="G1571" s="11" t="n">
        <v>-0.99</v>
      </c>
      <c r="H1571" s="11">
        <f>H1570+G1571</f>
        <v/>
      </c>
    </row>
    <row r="1572">
      <c r="A1572" s="9" t="n">
        <v>1568</v>
      </c>
      <c r="B1572" s="9" t="inlineStr">
        <is>
          <t>Meridian</t>
        </is>
      </c>
      <c r="C1572" s="9" t="inlineStr">
        <is>
          <t>21/50 MA cross, 250-period confirm filter, VWAP</t>
        </is>
      </c>
      <c r="D1572" s="9" t="inlineStr">
        <is>
          <t>Long</t>
        </is>
      </c>
      <c r="E1572" s="10" t="n">
        <v>45205.54861111111</v>
      </c>
      <c r="F1572" s="10" t="n">
        <v>45205.58680555555</v>
      </c>
      <c r="G1572" s="11" t="n">
        <v>-2.08</v>
      </c>
      <c r="H1572" s="11">
        <f>H1571+G1572</f>
        <v/>
      </c>
    </row>
    <row r="1573">
      <c r="A1573" s="9" t="n">
        <v>1569</v>
      </c>
      <c r="B1573" s="9" t="inlineStr">
        <is>
          <t>Meridian</t>
        </is>
      </c>
      <c r="C1573" s="9" t="inlineStr">
        <is>
          <t>21/50 MA cross, 250-period confirm filter, VWAP</t>
        </is>
      </c>
      <c r="D1573" s="9" t="inlineStr">
        <is>
          <t>Long</t>
        </is>
      </c>
      <c r="E1573" s="10" t="n">
        <v>45205.71527777778</v>
      </c>
      <c r="F1573" s="10" t="n">
        <v>45205.91666666666</v>
      </c>
      <c r="G1573" s="11" t="n">
        <v>7.91</v>
      </c>
      <c r="H1573" s="11">
        <f>H1572+G1573</f>
        <v/>
      </c>
    </row>
    <row r="1574">
      <c r="A1574" s="9" t="n">
        <v>1570</v>
      </c>
      <c r="B1574" s="9" t="inlineStr">
        <is>
          <t>Ratchet</t>
        </is>
      </c>
      <c r="C1574" s="9" t="inlineStr">
        <is>
          <t>Stochastic scalp with give-back trail exit</t>
        </is>
      </c>
      <c r="D1574" s="9" t="inlineStr">
        <is>
          <t>Long</t>
        </is>
      </c>
      <c r="E1574" s="10" t="n">
        <v>45208.08333333334</v>
      </c>
      <c r="F1574" s="10" t="n">
        <v>45208.16666666666</v>
      </c>
      <c r="G1574" s="11" t="n">
        <v>0.67</v>
      </c>
      <c r="H1574" s="11">
        <f>H1573+G1574</f>
        <v/>
      </c>
    </row>
    <row r="1575">
      <c r="A1575" s="9" t="n">
        <v>1571</v>
      </c>
      <c r="B1575" s="9" t="inlineStr">
        <is>
          <t>Ratchet</t>
        </is>
      </c>
      <c r="C1575" s="9" t="inlineStr">
        <is>
          <t>Stochastic scalp with give-back trail exit</t>
        </is>
      </c>
      <c r="D1575" s="9" t="inlineStr">
        <is>
          <t>Long</t>
        </is>
      </c>
      <c r="E1575" s="10" t="n">
        <v>45208.36805555555</v>
      </c>
      <c r="F1575" s="10" t="n">
        <v>45208.39236111111</v>
      </c>
      <c r="G1575" s="11" t="n">
        <v>0.64</v>
      </c>
      <c r="H1575" s="11">
        <f>H1574+G1575</f>
        <v/>
      </c>
    </row>
    <row r="1576">
      <c r="A1576" s="9" t="n">
        <v>1572</v>
      </c>
      <c r="B1576" s="9" t="inlineStr">
        <is>
          <t>Aurelius_M5</t>
        </is>
      </c>
      <c r="C1576" s="9" t="inlineStr">
        <is>
          <t>MA alignment (EMA21&gt;EMA50&gt;SMA250&gt;SMMA500 vs EMA2400 trend filter)</t>
        </is>
      </c>
      <c r="D1576" s="9" t="inlineStr">
        <is>
          <t>Long</t>
        </is>
      </c>
      <c r="E1576" s="10" t="n">
        <v>45208.36458333334</v>
      </c>
      <c r="F1576" s="10" t="n">
        <v>45208.42013888889</v>
      </c>
      <c r="G1576" s="11" t="n">
        <v>-2.66</v>
      </c>
      <c r="H1576" s="11">
        <f>H1575+G1576</f>
        <v/>
      </c>
    </row>
    <row r="1577">
      <c r="A1577" s="9" t="n">
        <v>1573</v>
      </c>
      <c r="B1577" s="9" t="inlineStr">
        <is>
          <t>Ratchet</t>
        </is>
      </c>
      <c r="C1577" s="9" t="inlineStr">
        <is>
          <t>Stochastic scalp with give-back trail exit</t>
        </is>
      </c>
      <c r="D1577" s="9" t="inlineStr">
        <is>
          <t>Long</t>
        </is>
      </c>
      <c r="E1577" s="10" t="n">
        <v>45208.45486111111</v>
      </c>
      <c r="F1577" s="10" t="n">
        <v>45208.46875</v>
      </c>
      <c r="G1577" s="11" t="n">
        <v>-2.07</v>
      </c>
      <c r="H1577" s="11">
        <f>H1576+G1577</f>
        <v/>
      </c>
    </row>
    <row r="1578">
      <c r="A1578" s="9" t="n">
        <v>1574</v>
      </c>
      <c r="B1578" s="9" t="inlineStr">
        <is>
          <t>Ratchet</t>
        </is>
      </c>
      <c r="C1578" s="9" t="inlineStr">
        <is>
          <t>Stochastic scalp with give-back trail exit</t>
        </is>
      </c>
      <c r="D1578" s="9" t="inlineStr">
        <is>
          <t>Long</t>
        </is>
      </c>
      <c r="E1578" s="10" t="n">
        <v>45208.52430555555</v>
      </c>
      <c r="F1578" s="10" t="n">
        <v>45208.53472222222</v>
      </c>
      <c r="G1578" s="11" t="n">
        <v>-1.42</v>
      </c>
      <c r="H1578" s="11">
        <f>H1577+G1578</f>
        <v/>
      </c>
    </row>
    <row r="1579">
      <c r="A1579" s="9" t="n">
        <v>1575</v>
      </c>
      <c r="B1579" s="9" t="inlineStr">
        <is>
          <t>Meridian</t>
        </is>
      </c>
      <c r="C1579" s="9" t="inlineStr">
        <is>
          <t>21/50 MA cross, 250-period confirm filter, VWAP</t>
        </is>
      </c>
      <c r="D1579" s="9" t="inlineStr">
        <is>
          <t>Long</t>
        </is>
      </c>
      <c r="E1579" s="10" t="n">
        <v>45208.51388888889</v>
      </c>
      <c r="F1579" s="10" t="n">
        <v>45208.56944444445</v>
      </c>
      <c r="G1579" s="11" t="n">
        <v>-2.32</v>
      </c>
      <c r="H1579" s="11">
        <f>H1578+G1579</f>
        <v/>
      </c>
    </row>
    <row r="1580">
      <c r="A1580" s="9" t="n">
        <v>1576</v>
      </c>
      <c r="B1580" s="9" t="inlineStr">
        <is>
          <t>Aurelius_M5</t>
        </is>
      </c>
      <c r="C1580" s="9" t="inlineStr">
        <is>
          <t>MA alignment (EMA21&gt;EMA50&gt;SMA250&gt;SMMA500 vs EMA2400 trend filter)</t>
        </is>
      </c>
      <c r="D1580" s="9" t="inlineStr">
        <is>
          <t>Long</t>
        </is>
      </c>
      <c r="E1580" s="10" t="n">
        <v>45208.55555555555</v>
      </c>
      <c r="F1580" s="10" t="n">
        <v>45208.58680555555</v>
      </c>
      <c r="G1580" s="11" t="n">
        <v>-1.73</v>
      </c>
      <c r="H1580" s="11">
        <f>H1579+G1580</f>
        <v/>
      </c>
    </row>
    <row r="1581">
      <c r="A1581" s="9" t="n">
        <v>1577</v>
      </c>
      <c r="B1581" s="9" t="inlineStr">
        <is>
          <t>Ratchet</t>
        </is>
      </c>
      <c r="C1581" s="9" t="inlineStr">
        <is>
          <t>Stochastic scalp with give-back trail exit</t>
        </is>
      </c>
      <c r="D1581" s="9" t="inlineStr">
        <is>
          <t>Long</t>
        </is>
      </c>
      <c r="E1581" s="10" t="n">
        <v>45208.74652777778</v>
      </c>
      <c r="F1581" s="10" t="n">
        <v>45208.75</v>
      </c>
      <c r="G1581" s="11" t="n">
        <v>0.44</v>
      </c>
      <c r="H1581" s="11">
        <f>H1580+G1581</f>
        <v/>
      </c>
    </row>
    <row r="1582">
      <c r="A1582" s="9" t="n">
        <v>1578</v>
      </c>
      <c r="B1582" s="9" t="inlineStr">
        <is>
          <t>Ratchet</t>
        </is>
      </c>
      <c r="C1582" s="9" t="inlineStr">
        <is>
          <t>Stochastic scalp with give-back trail exit</t>
        </is>
      </c>
      <c r="D1582" s="9" t="inlineStr">
        <is>
          <t>Long</t>
        </is>
      </c>
      <c r="E1582" s="10" t="n">
        <v>45208.76041666666</v>
      </c>
      <c r="F1582" s="10" t="n">
        <v>45208.79861111111</v>
      </c>
      <c r="G1582" s="11" t="n">
        <v>-2.66</v>
      </c>
      <c r="H1582" s="11">
        <f>H1581+G1582</f>
        <v/>
      </c>
    </row>
    <row r="1583">
      <c r="A1583" s="9" t="n">
        <v>1579</v>
      </c>
      <c r="B1583" s="9" t="inlineStr">
        <is>
          <t>Aurelius_M5</t>
        </is>
      </c>
      <c r="C1583" s="9" t="inlineStr">
        <is>
          <t>MA alignment (EMA21&gt;EMA50&gt;SMA250&gt;SMMA500 vs EMA2400 trend filter)</t>
        </is>
      </c>
      <c r="D1583" s="9" t="inlineStr">
        <is>
          <t>Long</t>
        </is>
      </c>
      <c r="E1583" s="10" t="n">
        <v>45208.76041666666</v>
      </c>
      <c r="F1583" s="10" t="n">
        <v>45209.04166666666</v>
      </c>
      <c r="G1583" s="11" t="n">
        <v>8.800000000000001</v>
      </c>
      <c r="H1583" s="11">
        <f>H1582+G1583</f>
        <v/>
      </c>
    </row>
    <row r="1584">
      <c r="A1584" s="9" t="n">
        <v>1580</v>
      </c>
      <c r="B1584" s="9" t="inlineStr">
        <is>
          <t>Ratchet</t>
        </is>
      </c>
      <c r="C1584" s="9" t="inlineStr">
        <is>
          <t>Stochastic scalp with give-back trail exit</t>
        </is>
      </c>
      <c r="D1584" s="9" t="inlineStr">
        <is>
          <t>Long</t>
        </is>
      </c>
      <c r="E1584" s="10" t="n">
        <v>45209.13888888889</v>
      </c>
      <c r="F1584" s="10" t="n">
        <v>45209.13888888889</v>
      </c>
      <c r="G1584" s="11" t="n">
        <v>-1.52</v>
      </c>
      <c r="H1584" s="11">
        <f>H1583+G1584</f>
        <v/>
      </c>
    </row>
    <row r="1585">
      <c r="A1585" s="9" t="n">
        <v>1581</v>
      </c>
      <c r="B1585" s="9" t="inlineStr">
        <is>
          <t>Ratchet</t>
        </is>
      </c>
      <c r="C1585" s="9" t="inlineStr">
        <is>
          <t>Stochastic scalp with give-back trail exit</t>
        </is>
      </c>
      <c r="D1585" s="9" t="inlineStr">
        <is>
          <t>Long</t>
        </is>
      </c>
      <c r="E1585" s="10" t="n">
        <v>45209.19444444445</v>
      </c>
      <c r="F1585" s="10" t="n">
        <v>45209.23958333334</v>
      </c>
      <c r="G1585" s="11" t="n">
        <v>-1.92</v>
      </c>
      <c r="H1585" s="11">
        <f>H1584+G1585</f>
        <v/>
      </c>
    </row>
    <row r="1586">
      <c r="A1586" s="9" t="n">
        <v>1582</v>
      </c>
      <c r="B1586" s="9" t="inlineStr">
        <is>
          <t>Vanguard_M5</t>
        </is>
      </c>
      <c r="C1586" s="9" t="inlineStr">
        <is>
          <t>Trendline breakout (fractal swing line) + VWAP/S-R distance gate</t>
        </is>
      </c>
      <c r="D1586" s="9" t="inlineStr">
        <is>
          <t>Long</t>
        </is>
      </c>
      <c r="E1586" s="10" t="n">
        <v>45205.72569444445</v>
      </c>
      <c r="F1586" s="10" t="n">
        <v>45209.26041666666</v>
      </c>
      <c r="G1586" s="11" t="n">
        <v>34.52</v>
      </c>
      <c r="H1586" s="11">
        <f>H1585+G1586</f>
        <v/>
      </c>
    </row>
    <row r="1587">
      <c r="A1587" s="9" t="n">
        <v>1583</v>
      </c>
      <c r="B1587" s="9" t="inlineStr">
        <is>
          <t>Vanguard_M15</t>
        </is>
      </c>
      <c r="C1587" s="9" t="inlineStr">
        <is>
          <t>Trendline breakout (fractal swing line) + VWAP/S-R distance gate - M15 chart</t>
        </is>
      </c>
      <c r="D1587" s="9" t="inlineStr">
        <is>
          <t>Long</t>
        </is>
      </c>
      <c r="E1587" s="10" t="n">
        <v>45205.72916666666</v>
      </c>
      <c r="F1587" s="10" t="n">
        <v>45209.28125</v>
      </c>
      <c r="G1587" s="11" t="n">
        <v>32.87</v>
      </c>
      <c r="H1587" s="11">
        <f>H1586+G1587</f>
        <v/>
      </c>
    </row>
    <row r="1588">
      <c r="A1588" s="9" t="n">
        <v>1584</v>
      </c>
      <c r="B1588" s="9" t="inlineStr">
        <is>
          <t>Meridian</t>
        </is>
      </c>
      <c r="C1588" s="9" t="inlineStr">
        <is>
          <t>21/50 MA cross, 250-period confirm filter, VWAP</t>
        </is>
      </c>
      <c r="D1588" s="9" t="inlineStr">
        <is>
          <t>Long</t>
        </is>
      </c>
      <c r="E1588" s="10" t="n">
        <v>45208.73958333334</v>
      </c>
      <c r="F1588" s="10" t="n">
        <v>45209.30555555555</v>
      </c>
      <c r="G1588" s="11" t="n">
        <v>10.1</v>
      </c>
      <c r="H1588" s="11">
        <f>H1587+G1588</f>
        <v/>
      </c>
    </row>
    <row r="1589">
      <c r="A1589" s="9" t="n">
        <v>1585</v>
      </c>
      <c r="B1589" s="9" t="inlineStr">
        <is>
          <t>Meridian</t>
        </is>
      </c>
      <c r="C1589" s="9" t="inlineStr">
        <is>
          <t>21/50 MA cross, 250-period confirm filter, VWAP</t>
        </is>
      </c>
      <c r="D1589" s="9" t="inlineStr">
        <is>
          <t>Short</t>
        </is>
      </c>
      <c r="E1589" s="10" t="n">
        <v>45209.73611111111</v>
      </c>
      <c r="F1589" s="10" t="n">
        <v>45209.76041666666</v>
      </c>
      <c r="G1589" s="11" t="n">
        <v>-3.09</v>
      </c>
      <c r="H1589" s="11">
        <f>H1588+G1589</f>
        <v/>
      </c>
    </row>
    <row r="1590">
      <c r="A1590" s="9" t="n">
        <v>1586</v>
      </c>
      <c r="B1590" s="9" t="inlineStr">
        <is>
          <t>Ratchet</t>
        </is>
      </c>
      <c r="C1590" s="9" t="inlineStr">
        <is>
          <t>Stochastic scalp with give-back trail exit</t>
        </is>
      </c>
      <c r="D1590" s="9" t="inlineStr">
        <is>
          <t>Long</t>
        </is>
      </c>
      <c r="E1590" s="10" t="n">
        <v>45209.95833333334</v>
      </c>
      <c r="F1590" s="10" t="n">
        <v>45209.97222222222</v>
      </c>
      <c r="G1590" s="11" t="n">
        <v>0.11</v>
      </c>
      <c r="H1590" s="11">
        <f>H1589+G1590</f>
        <v/>
      </c>
    </row>
    <row r="1591">
      <c r="A1591" s="9" t="n">
        <v>1587</v>
      </c>
      <c r="B1591" s="9" t="inlineStr">
        <is>
          <t>Ratchet</t>
        </is>
      </c>
      <c r="C1591" s="9" t="inlineStr">
        <is>
          <t>Stochastic scalp with give-back trail exit</t>
        </is>
      </c>
      <c r="D1591" s="9" t="inlineStr">
        <is>
          <t>Long</t>
        </is>
      </c>
      <c r="E1591" s="10" t="n">
        <v>45210.09375</v>
      </c>
      <c r="F1591" s="10" t="n">
        <v>45210.10069444445</v>
      </c>
      <c r="G1591" s="11" t="n">
        <v>-0.49</v>
      </c>
      <c r="H1591" s="11">
        <f>H1590+G1591</f>
        <v/>
      </c>
    </row>
    <row r="1592">
      <c r="A1592" s="9" t="n">
        <v>1588</v>
      </c>
      <c r="B1592" s="9" t="inlineStr">
        <is>
          <t>Ratchet</t>
        </is>
      </c>
      <c r="C1592" s="9" t="inlineStr">
        <is>
          <t>Stochastic scalp with give-back trail exit</t>
        </is>
      </c>
      <c r="D1592" s="9" t="inlineStr">
        <is>
          <t>Long</t>
        </is>
      </c>
      <c r="E1592" s="10" t="n">
        <v>45210.20486111111</v>
      </c>
      <c r="F1592" s="10" t="n">
        <v>45210.21180555555</v>
      </c>
      <c r="G1592" s="11" t="n">
        <v>-1.21</v>
      </c>
      <c r="H1592" s="11">
        <f>H1591+G1592</f>
        <v/>
      </c>
    </row>
    <row r="1593">
      <c r="A1593" s="9" t="n">
        <v>1589</v>
      </c>
      <c r="B1593" s="9" t="inlineStr">
        <is>
          <t>Vanguard_M5</t>
        </is>
      </c>
      <c r="C1593" s="9" t="inlineStr">
        <is>
          <t>Trendline breakout (fractal swing line) + VWAP/S-R distance gate</t>
        </is>
      </c>
      <c r="D1593" s="9" t="inlineStr">
        <is>
          <t>Short</t>
        </is>
      </c>
      <c r="E1593" s="10" t="n">
        <v>45209.26388888889</v>
      </c>
      <c r="F1593" s="10" t="n">
        <v>45210.23958333334</v>
      </c>
      <c r="G1593" s="11" t="n">
        <v>0.71</v>
      </c>
      <c r="H1593" s="11">
        <f>H1592+G1593</f>
        <v/>
      </c>
    </row>
    <row r="1594">
      <c r="A1594" s="9" t="n">
        <v>1590</v>
      </c>
      <c r="B1594" s="9" t="inlineStr">
        <is>
          <t>Ratchet</t>
        </is>
      </c>
      <c r="C1594" s="9" t="inlineStr">
        <is>
          <t>Stochastic scalp with give-back trail exit</t>
        </is>
      </c>
      <c r="D1594" s="9" t="inlineStr">
        <is>
          <t>Long</t>
        </is>
      </c>
      <c r="E1594" s="10" t="n">
        <v>45210.23958333334</v>
      </c>
      <c r="F1594" s="10" t="n">
        <v>45210.24652777778</v>
      </c>
      <c r="G1594" s="11" t="n">
        <v>0.14</v>
      </c>
      <c r="H1594" s="11">
        <f>H1593+G1594</f>
        <v/>
      </c>
    </row>
    <row r="1595">
      <c r="A1595" s="9" t="n">
        <v>1591</v>
      </c>
      <c r="B1595" s="9" t="inlineStr">
        <is>
          <t>Aurelius_M5</t>
        </is>
      </c>
      <c r="C1595" s="9" t="inlineStr">
        <is>
          <t>MA alignment (EMA21&gt;EMA50&gt;SMA250&gt;SMMA500 vs EMA2400 trend filter)</t>
        </is>
      </c>
      <c r="D1595" s="9" t="inlineStr">
        <is>
          <t>Long</t>
        </is>
      </c>
      <c r="E1595" s="10" t="n">
        <v>45210.18055555555</v>
      </c>
      <c r="F1595" s="10" t="n">
        <v>45210.28472222222</v>
      </c>
      <c r="G1595" s="11" t="n">
        <v>-1.48</v>
      </c>
      <c r="H1595" s="11">
        <f>H1594+G1595</f>
        <v/>
      </c>
    </row>
    <row r="1596">
      <c r="A1596" s="9" t="n">
        <v>1592</v>
      </c>
      <c r="B1596" s="9" t="inlineStr">
        <is>
          <t>Vanguard_M5</t>
        </is>
      </c>
      <c r="C1596" s="9" t="inlineStr">
        <is>
          <t>Trendline breakout (fractal swing line) + VWAP/S-R distance gate</t>
        </is>
      </c>
      <c r="D1596" s="9" t="inlineStr">
        <is>
          <t>Long</t>
        </is>
      </c>
      <c r="E1596" s="10" t="n">
        <v>45210.24305555555</v>
      </c>
      <c r="F1596" s="10" t="n">
        <v>45210.34722222222</v>
      </c>
      <c r="G1596" s="11" t="n">
        <v>-2.56</v>
      </c>
      <c r="H1596" s="11">
        <f>H1595+G1596</f>
        <v/>
      </c>
    </row>
    <row r="1597">
      <c r="A1597" s="9" t="n">
        <v>1593</v>
      </c>
      <c r="B1597" s="9" t="inlineStr">
        <is>
          <t>Vanguard_M15</t>
        </is>
      </c>
      <c r="C1597" s="9" t="inlineStr">
        <is>
          <t>Trendline breakout (fractal swing line) + VWAP/S-R distance gate - M15 chart</t>
        </is>
      </c>
      <c r="D1597" s="9" t="inlineStr">
        <is>
          <t>Short</t>
        </is>
      </c>
      <c r="E1597" s="10" t="n">
        <v>45209.29166666666</v>
      </c>
      <c r="F1597" s="10" t="n">
        <v>45210.39583333334</v>
      </c>
      <c r="G1597" s="11" t="n">
        <v>-0.87</v>
      </c>
      <c r="H1597" s="11">
        <f>H1596+G1597</f>
        <v/>
      </c>
    </row>
    <row r="1598">
      <c r="A1598" s="9" t="n">
        <v>1594</v>
      </c>
      <c r="B1598" s="9" t="inlineStr">
        <is>
          <t>Vanguard_M5</t>
        </is>
      </c>
      <c r="C1598" s="9" t="inlineStr">
        <is>
          <t>Trendline breakout (fractal swing line) + VWAP/S-R distance gate</t>
        </is>
      </c>
      <c r="D1598" s="9" t="inlineStr">
        <is>
          <t>Short</t>
        </is>
      </c>
      <c r="E1598" s="10" t="n">
        <v>45210.36458333334</v>
      </c>
      <c r="F1598" s="10" t="n">
        <v>45210.39930555555</v>
      </c>
      <c r="G1598" s="11" t="n">
        <v>-2.17</v>
      </c>
      <c r="H1598" s="11">
        <f>H1597+G1598</f>
        <v/>
      </c>
    </row>
    <row r="1599">
      <c r="A1599" s="9" t="n">
        <v>1595</v>
      </c>
      <c r="B1599" s="9" t="inlineStr">
        <is>
          <t>Ratchet</t>
        </is>
      </c>
      <c r="C1599" s="9" t="inlineStr">
        <is>
          <t>Stochastic scalp with give-back trail exit</t>
        </is>
      </c>
      <c r="D1599" s="9" t="inlineStr">
        <is>
          <t>Long</t>
        </is>
      </c>
      <c r="E1599" s="10" t="n">
        <v>45210.67013888889</v>
      </c>
      <c r="F1599" s="10" t="n">
        <v>45210.6875</v>
      </c>
      <c r="G1599" s="11" t="n">
        <v>-3.06</v>
      </c>
      <c r="H1599" s="11">
        <f>H1598+G1599</f>
        <v/>
      </c>
    </row>
    <row r="1600">
      <c r="A1600" s="9" t="n">
        <v>1596</v>
      </c>
      <c r="B1600" s="9" t="inlineStr">
        <is>
          <t>Meridian</t>
        </is>
      </c>
      <c r="C1600" s="9" t="inlineStr">
        <is>
          <t>21/50 MA cross, 250-period confirm filter, VWAP</t>
        </is>
      </c>
      <c r="D1600" s="9" t="inlineStr">
        <is>
          <t>Long</t>
        </is>
      </c>
      <c r="E1600" s="10" t="n">
        <v>45210.40625</v>
      </c>
      <c r="F1600" s="10" t="n">
        <v>45210.76041666666</v>
      </c>
      <c r="G1600" s="11" t="n">
        <v>7.19</v>
      </c>
      <c r="H1600" s="11">
        <f>H1599+G1600</f>
        <v/>
      </c>
    </row>
    <row r="1601">
      <c r="A1601" s="9" t="n">
        <v>1597</v>
      </c>
      <c r="B1601" s="9" t="inlineStr">
        <is>
          <t>Aurelius_M5</t>
        </is>
      </c>
      <c r="C1601" s="9" t="inlineStr">
        <is>
          <t>MA alignment (EMA21&gt;EMA50&gt;SMA250&gt;SMMA500 vs EMA2400 trend filter)</t>
        </is>
      </c>
      <c r="D1601" s="9" t="inlineStr">
        <is>
          <t>Long</t>
        </is>
      </c>
      <c r="E1601" s="10" t="n">
        <v>45210.42361111111</v>
      </c>
      <c r="F1601" s="10" t="n">
        <v>45210.76041666666</v>
      </c>
      <c r="G1601" s="11" t="n">
        <v>7.41</v>
      </c>
      <c r="H1601" s="11">
        <f>H1600+G1601</f>
        <v/>
      </c>
    </row>
    <row r="1602">
      <c r="A1602" s="9" t="n">
        <v>1598</v>
      </c>
      <c r="B1602" s="9" t="inlineStr">
        <is>
          <t>Ratchet</t>
        </is>
      </c>
      <c r="C1602" s="9" t="inlineStr">
        <is>
          <t>Stochastic scalp with give-back trail exit</t>
        </is>
      </c>
      <c r="D1602" s="9" t="inlineStr">
        <is>
          <t>Long</t>
        </is>
      </c>
      <c r="E1602" s="10" t="n">
        <v>45210.77430555555</v>
      </c>
      <c r="F1602" s="10" t="n">
        <v>45210.78472222222</v>
      </c>
      <c r="G1602" s="11" t="n">
        <v>-0</v>
      </c>
      <c r="H1602" s="11">
        <f>H1601+G1602</f>
        <v/>
      </c>
    </row>
    <row r="1603">
      <c r="A1603" s="9" t="n">
        <v>1599</v>
      </c>
      <c r="B1603" s="9" t="inlineStr">
        <is>
          <t>Ratchet</t>
        </is>
      </c>
      <c r="C1603" s="9" t="inlineStr">
        <is>
          <t>Stochastic scalp with give-back trail exit</t>
        </is>
      </c>
      <c r="D1603" s="9" t="inlineStr">
        <is>
          <t>Long</t>
        </is>
      </c>
      <c r="E1603" s="10" t="n">
        <v>45210.79166666666</v>
      </c>
      <c r="F1603" s="10" t="n">
        <v>45210.82638888889</v>
      </c>
      <c r="G1603" s="11" t="n">
        <v>1.18</v>
      </c>
      <c r="H1603" s="11">
        <f>H1602+G1603</f>
        <v/>
      </c>
    </row>
    <row r="1604">
      <c r="A1604" s="9" t="n">
        <v>1600</v>
      </c>
      <c r="B1604" s="9" t="inlineStr">
        <is>
          <t>Meridian</t>
        </is>
      </c>
      <c r="C1604" s="9" t="inlineStr">
        <is>
          <t>21/50 MA cross, 250-period confirm filter, VWAP</t>
        </is>
      </c>
      <c r="D1604" s="9" t="inlineStr">
        <is>
          <t>Long</t>
        </is>
      </c>
      <c r="E1604" s="10" t="n">
        <v>45210.77083333334</v>
      </c>
      <c r="F1604" s="10" t="n">
        <v>45210.88541666666</v>
      </c>
      <c r="G1604" s="11" t="n">
        <v>-1.13</v>
      </c>
      <c r="H1604" s="11">
        <f>H1603+G1604</f>
        <v/>
      </c>
    </row>
    <row r="1605">
      <c r="A1605" s="9" t="n">
        <v>1601</v>
      </c>
      <c r="B1605" s="9" t="inlineStr">
        <is>
          <t>Ratchet</t>
        </is>
      </c>
      <c r="C1605" s="9" t="inlineStr">
        <is>
          <t>Stochastic scalp with give-back trail exit</t>
        </is>
      </c>
      <c r="D1605" s="9" t="inlineStr">
        <is>
          <t>Long</t>
        </is>
      </c>
      <c r="E1605" s="10" t="n">
        <v>45210.9375</v>
      </c>
      <c r="F1605" s="10" t="n">
        <v>45210.98611111111</v>
      </c>
      <c r="G1605" s="11" t="n">
        <v>0</v>
      </c>
      <c r="H1605" s="11">
        <f>H1604+G1605</f>
        <v/>
      </c>
    </row>
    <row r="1606">
      <c r="A1606" s="9" t="n">
        <v>1602</v>
      </c>
      <c r="B1606" s="9" t="inlineStr">
        <is>
          <t>Ratchet</t>
        </is>
      </c>
      <c r="C1606" s="9" t="inlineStr">
        <is>
          <t>Stochastic scalp with give-back trail exit</t>
        </is>
      </c>
      <c r="D1606" s="9" t="inlineStr">
        <is>
          <t>Long</t>
        </is>
      </c>
      <c r="E1606" s="10" t="n">
        <v>45211.04513888889</v>
      </c>
      <c r="F1606" s="10" t="n">
        <v>45211.04861111111</v>
      </c>
      <c r="G1606" s="11" t="n">
        <v>0</v>
      </c>
      <c r="H1606" s="11">
        <f>H1605+G1606</f>
        <v/>
      </c>
    </row>
    <row r="1607">
      <c r="A1607" s="9" t="n">
        <v>1603</v>
      </c>
      <c r="B1607" s="9" t="inlineStr">
        <is>
          <t>Ratchet</t>
        </is>
      </c>
      <c r="C1607" s="9" t="inlineStr">
        <is>
          <t>Stochastic scalp with give-back trail exit</t>
        </is>
      </c>
      <c r="D1607" s="9" t="inlineStr">
        <is>
          <t>Long</t>
        </is>
      </c>
      <c r="E1607" s="10" t="n">
        <v>45211.13194444445</v>
      </c>
      <c r="F1607" s="10" t="n">
        <v>45211.13194444445</v>
      </c>
      <c r="G1607" s="11" t="n">
        <v>-0.67</v>
      </c>
      <c r="H1607" s="11">
        <f>H1606+G1607</f>
        <v/>
      </c>
    </row>
    <row r="1608">
      <c r="A1608" s="9" t="n">
        <v>1604</v>
      </c>
      <c r="B1608" s="9" t="inlineStr">
        <is>
          <t>Ratchet</t>
        </is>
      </c>
      <c r="C1608" s="9" t="inlineStr">
        <is>
          <t>Stochastic scalp with give-back trail exit</t>
        </is>
      </c>
      <c r="D1608" s="9" t="inlineStr">
        <is>
          <t>Long</t>
        </is>
      </c>
      <c r="E1608" s="10" t="n">
        <v>45211.14236111111</v>
      </c>
      <c r="F1608" s="10" t="n">
        <v>45211.15277777778</v>
      </c>
      <c r="G1608" s="11" t="n">
        <v>0.2</v>
      </c>
      <c r="H1608" s="11">
        <f>H1607+G1608</f>
        <v/>
      </c>
    </row>
    <row r="1609">
      <c r="A1609" s="9" t="n">
        <v>1605</v>
      </c>
      <c r="B1609" s="9" t="inlineStr">
        <is>
          <t>Ratchet</t>
        </is>
      </c>
      <c r="C1609" s="9" t="inlineStr">
        <is>
          <t>Stochastic scalp with give-back trail exit</t>
        </is>
      </c>
      <c r="D1609" s="9" t="inlineStr">
        <is>
          <t>Long</t>
        </is>
      </c>
      <c r="E1609" s="10" t="n">
        <v>45211.29166666666</v>
      </c>
      <c r="F1609" s="10" t="n">
        <v>45211.45138888889</v>
      </c>
      <c r="G1609" s="11" t="n">
        <v>1.3</v>
      </c>
      <c r="H1609" s="11">
        <f>H1608+G1609</f>
        <v/>
      </c>
    </row>
    <row r="1610">
      <c r="A1610" s="9" t="n">
        <v>1606</v>
      </c>
      <c r="B1610" s="9" t="inlineStr">
        <is>
          <t>Ratchet</t>
        </is>
      </c>
      <c r="C1610" s="9" t="inlineStr">
        <is>
          <t>Stochastic scalp with give-back trail exit</t>
        </is>
      </c>
      <c r="D1610" s="9" t="inlineStr">
        <is>
          <t>Long</t>
        </is>
      </c>
      <c r="E1610" s="10" t="n">
        <v>45211.47569444445</v>
      </c>
      <c r="F1610" s="10" t="n">
        <v>45211.5</v>
      </c>
      <c r="G1610" s="11" t="n">
        <v>-1.66</v>
      </c>
      <c r="H1610" s="11">
        <f>H1609+G1610</f>
        <v/>
      </c>
    </row>
    <row r="1611">
      <c r="A1611" s="9" t="n">
        <v>1607</v>
      </c>
      <c r="B1611" s="9" t="inlineStr">
        <is>
          <t>Ratchet</t>
        </is>
      </c>
      <c r="C1611" s="9" t="inlineStr">
        <is>
          <t>Stochastic scalp with give-back trail exit</t>
        </is>
      </c>
      <c r="D1611" s="9" t="inlineStr">
        <is>
          <t>Long</t>
        </is>
      </c>
      <c r="E1611" s="10" t="n">
        <v>45211.52777777778</v>
      </c>
      <c r="F1611" s="10" t="n">
        <v>45211.53472222222</v>
      </c>
      <c r="G1611" s="11" t="n">
        <v>0.21</v>
      </c>
      <c r="H1611" s="11">
        <f>H1610+G1611</f>
        <v/>
      </c>
    </row>
    <row r="1612">
      <c r="A1612" s="9" t="n">
        <v>1608</v>
      </c>
      <c r="B1612" s="9" t="inlineStr">
        <is>
          <t>Ratchet</t>
        </is>
      </c>
      <c r="C1612" s="9" t="inlineStr">
        <is>
          <t>Stochastic scalp with give-back trail exit</t>
        </is>
      </c>
      <c r="D1612" s="9" t="inlineStr">
        <is>
          <t>Long</t>
        </is>
      </c>
      <c r="E1612" s="10" t="n">
        <v>45211.57638888889</v>
      </c>
      <c r="F1612" s="10" t="n">
        <v>45211.57986111111</v>
      </c>
      <c r="G1612" s="11" t="n">
        <v>-1.11</v>
      </c>
      <c r="H1612" s="11">
        <f>H1611+G1612</f>
        <v/>
      </c>
    </row>
    <row r="1613">
      <c r="A1613" s="9" t="n">
        <v>1609</v>
      </c>
      <c r="B1613" s="9" t="inlineStr">
        <is>
          <t>Ratchet</t>
        </is>
      </c>
      <c r="C1613" s="9" t="inlineStr">
        <is>
          <t>Stochastic scalp with give-back trail exit</t>
        </is>
      </c>
      <c r="D1613" s="9" t="inlineStr">
        <is>
          <t>Long</t>
        </is>
      </c>
      <c r="E1613" s="10" t="n">
        <v>45211.60069444445</v>
      </c>
      <c r="F1613" s="10" t="n">
        <v>45211.61805555555</v>
      </c>
      <c r="G1613" s="11" t="n">
        <v>0.51</v>
      </c>
      <c r="H1613" s="11">
        <f>H1612+G1613</f>
        <v/>
      </c>
    </row>
    <row r="1614">
      <c r="A1614" s="9" t="n">
        <v>1610</v>
      </c>
      <c r="B1614" s="9" t="inlineStr">
        <is>
          <t>Ratchet</t>
        </is>
      </c>
      <c r="C1614" s="9" t="inlineStr">
        <is>
          <t>Stochastic scalp with give-back trail exit</t>
        </is>
      </c>
      <c r="D1614" s="9" t="inlineStr">
        <is>
          <t>Long</t>
        </is>
      </c>
      <c r="E1614" s="10" t="n">
        <v>45211.63194444445</v>
      </c>
      <c r="F1614" s="10" t="n">
        <v>45211.64583333334</v>
      </c>
      <c r="G1614" s="11" t="n">
        <v>0.2</v>
      </c>
      <c r="H1614" s="11">
        <f>H1613+G1614</f>
        <v/>
      </c>
    </row>
    <row r="1615">
      <c r="A1615" s="9" t="n">
        <v>1611</v>
      </c>
      <c r="B1615" s="9" t="inlineStr">
        <is>
          <t>Aurelius_M5</t>
        </is>
      </c>
      <c r="C1615" s="9" t="inlineStr">
        <is>
          <t>MA alignment (EMA21&gt;EMA50&gt;SMA250&gt;SMMA500 vs EMA2400 trend filter)</t>
        </is>
      </c>
      <c r="D1615" s="9" t="inlineStr">
        <is>
          <t>Long</t>
        </is>
      </c>
      <c r="E1615" s="10" t="n">
        <v>45211.49305555555</v>
      </c>
      <c r="F1615" s="10" t="n">
        <v>45211.64930555555</v>
      </c>
      <c r="G1615" s="11" t="n">
        <v>-2.17</v>
      </c>
      <c r="H1615" s="11">
        <f>H1614+G1615</f>
        <v/>
      </c>
    </row>
    <row r="1616">
      <c r="A1616" s="9" t="n">
        <v>1612</v>
      </c>
      <c r="B1616" s="9" t="inlineStr">
        <is>
          <t>Meridian</t>
        </is>
      </c>
      <c r="C1616" s="9" t="inlineStr">
        <is>
          <t>21/50 MA cross, 250-period confirm filter, VWAP</t>
        </is>
      </c>
      <c r="D1616" s="9" t="inlineStr">
        <is>
          <t>Long</t>
        </is>
      </c>
      <c r="E1616" s="10" t="n">
        <v>45210.92361111111</v>
      </c>
      <c r="F1616" s="10" t="n">
        <v>45211.66666666666</v>
      </c>
      <c r="G1616" s="11" t="n">
        <v>4.93</v>
      </c>
      <c r="H1616" s="11">
        <f>H1615+G1616</f>
        <v/>
      </c>
    </row>
    <row r="1617">
      <c r="A1617" s="9" t="n">
        <v>1613</v>
      </c>
      <c r="B1617" s="9" t="inlineStr">
        <is>
          <t>Aurelius_M15</t>
        </is>
      </c>
      <c r="C1617" s="9" t="inlineStr">
        <is>
          <t>MA alignment (EMA21&gt;EMA50&gt;SMA250&gt;SMMA500 vs EMA2400 trend filter) - M15 chart</t>
        </is>
      </c>
      <c r="D1617" s="9" t="inlineStr">
        <is>
          <t>Long</t>
        </is>
      </c>
      <c r="E1617" s="10" t="n">
        <v>45210.45833333334</v>
      </c>
      <c r="F1617" s="10" t="n">
        <v>45211.72916666666</v>
      </c>
      <c r="G1617" s="11" t="n">
        <v>5.78</v>
      </c>
      <c r="H1617" s="11">
        <f>H1616+G1617</f>
        <v/>
      </c>
    </row>
    <row r="1618">
      <c r="A1618" s="9" t="n">
        <v>1614</v>
      </c>
      <c r="B1618" s="9" t="inlineStr">
        <is>
          <t>Vanguard_M5</t>
        </is>
      </c>
      <c r="C1618" s="9" t="inlineStr">
        <is>
          <t>Trendline breakout (fractal swing line) + VWAP/S-R distance gate</t>
        </is>
      </c>
      <c r="D1618" s="9" t="inlineStr">
        <is>
          <t>Long</t>
        </is>
      </c>
      <c r="E1618" s="10" t="n">
        <v>45210.40277777778</v>
      </c>
      <c r="F1618" s="10" t="n">
        <v>45211.83333333334</v>
      </c>
      <c r="G1618" s="11" t="n">
        <v>8.880000000000001</v>
      </c>
      <c r="H1618" s="11">
        <f>H1617+G1618</f>
        <v/>
      </c>
    </row>
    <row r="1619">
      <c r="A1619" s="9" t="n">
        <v>1615</v>
      </c>
      <c r="B1619" s="9" t="inlineStr">
        <is>
          <t>Vanguard_M15</t>
        </is>
      </c>
      <c r="C1619" s="9" t="inlineStr">
        <is>
          <t>Trendline breakout (fractal swing line) + VWAP/S-R distance gate - M15 chart</t>
        </is>
      </c>
      <c r="D1619" s="9" t="inlineStr">
        <is>
          <t>Long</t>
        </is>
      </c>
      <c r="E1619" s="10" t="n">
        <v>45210.40625</v>
      </c>
      <c r="F1619" s="10" t="n">
        <v>45211.83333333334</v>
      </c>
      <c r="G1619" s="11" t="n">
        <v>5.7</v>
      </c>
      <c r="H1619" s="11">
        <f>H1618+G1619</f>
        <v/>
      </c>
    </row>
    <row r="1620">
      <c r="A1620" s="9" t="n">
        <v>1616</v>
      </c>
      <c r="B1620" s="9" t="inlineStr">
        <is>
          <t>Vanguard_M15</t>
        </is>
      </c>
      <c r="C1620" s="9" t="inlineStr">
        <is>
          <t>Trendline breakout (fractal swing line) + VWAP/S-R distance gate - M15 chart</t>
        </is>
      </c>
      <c r="D1620" s="9" t="inlineStr">
        <is>
          <t>Short</t>
        </is>
      </c>
      <c r="E1620" s="10" t="n">
        <v>45211.84375</v>
      </c>
      <c r="F1620" s="10" t="n">
        <v>45212.30208333334</v>
      </c>
      <c r="G1620" s="11" t="n">
        <v>-6.63</v>
      </c>
      <c r="H1620" s="11">
        <f>H1619+G1620</f>
        <v/>
      </c>
    </row>
    <row r="1621">
      <c r="A1621" s="9" t="n">
        <v>1617</v>
      </c>
      <c r="B1621" s="9" t="inlineStr">
        <is>
          <t>Vanguard_M5</t>
        </is>
      </c>
      <c r="C1621" s="9" t="inlineStr">
        <is>
          <t>Trendline breakout (fractal swing line) + VWAP/S-R distance gate</t>
        </is>
      </c>
      <c r="D1621" s="9" t="inlineStr">
        <is>
          <t>Short</t>
        </is>
      </c>
      <c r="E1621" s="10" t="n">
        <v>45211.83680555555</v>
      </c>
      <c r="F1621" s="10" t="n">
        <v>45212.30555555555</v>
      </c>
      <c r="G1621" s="11" t="n">
        <v>-4.54</v>
      </c>
      <c r="H1621" s="11">
        <f>H1620+G1621</f>
        <v/>
      </c>
    </row>
    <row r="1622">
      <c r="A1622" s="9" t="n">
        <v>1618</v>
      </c>
      <c r="B1622" s="9" t="inlineStr">
        <is>
          <t>Ratchet</t>
        </is>
      </c>
      <c r="C1622" s="9" t="inlineStr">
        <is>
          <t>Stochastic scalp with give-back trail exit</t>
        </is>
      </c>
      <c r="D1622" s="9" t="inlineStr">
        <is>
          <t>Long</t>
        </is>
      </c>
      <c r="E1622" s="10" t="n">
        <v>45212.51736111111</v>
      </c>
      <c r="F1622" s="10" t="n">
        <v>45212.79513888889</v>
      </c>
      <c r="G1622" s="11" t="n">
        <v>39.99</v>
      </c>
      <c r="H1622" s="11">
        <f>H1621+G1622</f>
        <v/>
      </c>
    </row>
    <row r="1623">
      <c r="A1623" s="9" t="n">
        <v>1619</v>
      </c>
      <c r="B1623" s="9" t="inlineStr">
        <is>
          <t>Ratchet</t>
        </is>
      </c>
      <c r="C1623" s="9" t="inlineStr">
        <is>
          <t>Stochastic scalp with give-back trail exit</t>
        </is>
      </c>
      <c r="D1623" s="9" t="inlineStr">
        <is>
          <t>Long</t>
        </is>
      </c>
      <c r="E1623" s="10" t="n">
        <v>45215.76041666666</v>
      </c>
      <c r="F1623" s="10" t="n">
        <v>45215.76388888889</v>
      </c>
      <c r="G1623" s="11" t="n">
        <v>0</v>
      </c>
      <c r="H1623" s="11">
        <f>H1622+G1623</f>
        <v/>
      </c>
    </row>
    <row r="1624">
      <c r="A1624" s="9" t="n">
        <v>1620</v>
      </c>
      <c r="B1624" s="9" t="inlineStr">
        <is>
          <t>Meridian</t>
        </is>
      </c>
      <c r="C1624" s="9" t="inlineStr">
        <is>
          <t>21/50 MA cross, 250-period confirm filter, VWAP</t>
        </is>
      </c>
      <c r="D1624" s="9" t="inlineStr">
        <is>
          <t>Long</t>
        </is>
      </c>
      <c r="E1624" s="10" t="n">
        <v>45216.06944444445</v>
      </c>
      <c r="F1624" s="10" t="n">
        <v>45216.07986111111</v>
      </c>
      <c r="G1624" s="11" t="n">
        <v>-1.31</v>
      </c>
      <c r="H1624" s="11">
        <f>H1623+G1624</f>
        <v/>
      </c>
    </row>
    <row r="1625">
      <c r="A1625" s="9" t="n">
        <v>1621</v>
      </c>
      <c r="B1625" s="9" t="inlineStr">
        <is>
          <t>Vanguard_M5</t>
        </is>
      </c>
      <c r="C1625" s="9" t="inlineStr">
        <is>
          <t>Trendline breakout (fractal swing line) + VWAP/S-R distance gate</t>
        </is>
      </c>
      <c r="D1625" s="9" t="inlineStr">
        <is>
          <t>Long</t>
        </is>
      </c>
      <c r="E1625" s="10" t="n">
        <v>45215.99305555555</v>
      </c>
      <c r="F1625" s="10" t="n">
        <v>45216.13888888889</v>
      </c>
      <c r="G1625" s="11" t="n">
        <v>-1.84</v>
      </c>
      <c r="H1625" s="11">
        <f>H1624+G1625</f>
        <v/>
      </c>
    </row>
    <row r="1626">
      <c r="A1626" s="9" t="n">
        <v>1622</v>
      </c>
      <c r="B1626" s="9" t="inlineStr">
        <is>
          <t>Vanguard_M15</t>
        </is>
      </c>
      <c r="C1626" s="9" t="inlineStr">
        <is>
          <t>Trendline breakout (fractal swing line) + VWAP/S-R distance gate - M15 chart</t>
        </is>
      </c>
      <c r="D1626" s="9" t="inlineStr">
        <is>
          <t>Long</t>
        </is>
      </c>
      <c r="E1626" s="10" t="n">
        <v>45216.04166666666</v>
      </c>
      <c r="F1626" s="10" t="n">
        <v>45216.14583333334</v>
      </c>
      <c r="G1626" s="11" t="n">
        <v>-4.01</v>
      </c>
      <c r="H1626" s="11">
        <f>H1625+G1626</f>
        <v/>
      </c>
    </row>
    <row r="1627">
      <c r="A1627" s="9" t="n">
        <v>1623</v>
      </c>
      <c r="B1627" s="9" t="inlineStr">
        <is>
          <t>Aurelius_M15</t>
        </is>
      </c>
      <c r="C1627" s="9" t="inlineStr">
        <is>
          <t>MA alignment (EMA21&gt;EMA50&gt;SMA250&gt;SMMA500 vs EMA2400 trend filter) - M15 chart</t>
        </is>
      </c>
      <c r="D1627" s="9" t="inlineStr">
        <is>
          <t>Long</t>
        </is>
      </c>
      <c r="E1627" s="10" t="n">
        <v>45215.70833333334</v>
      </c>
      <c r="F1627" s="10" t="n">
        <v>45216.19791666666</v>
      </c>
      <c r="G1627" s="11" t="n">
        <v>-3.63</v>
      </c>
      <c r="H1627" s="11">
        <f>H1626+G1627</f>
        <v/>
      </c>
    </row>
    <row r="1628">
      <c r="A1628" s="9" t="n">
        <v>1624</v>
      </c>
      <c r="B1628" s="9" t="inlineStr">
        <is>
          <t>Ratchet</t>
        </is>
      </c>
      <c r="C1628" s="9" t="inlineStr">
        <is>
          <t>Stochastic scalp with give-back trail exit</t>
        </is>
      </c>
      <c r="D1628" s="9" t="inlineStr">
        <is>
          <t>Long</t>
        </is>
      </c>
      <c r="E1628" s="10" t="n">
        <v>45216.50694444445</v>
      </c>
      <c r="F1628" s="10" t="n">
        <v>45216.58333333334</v>
      </c>
      <c r="G1628" s="11" t="n">
        <v>1.38</v>
      </c>
      <c r="H1628" s="11">
        <f>H1627+G1628</f>
        <v/>
      </c>
    </row>
    <row r="1629">
      <c r="A1629" s="9" t="n">
        <v>1625</v>
      </c>
      <c r="B1629" s="9" t="inlineStr">
        <is>
          <t>Ratchet</t>
        </is>
      </c>
      <c r="C1629" s="9" t="inlineStr">
        <is>
          <t>Stochastic scalp with give-back trail exit</t>
        </is>
      </c>
      <c r="D1629" s="9" t="inlineStr">
        <is>
          <t>Long</t>
        </is>
      </c>
      <c r="E1629" s="10" t="n">
        <v>45216.63194444445</v>
      </c>
      <c r="F1629" s="10" t="n">
        <v>45216.64583333334</v>
      </c>
      <c r="G1629" s="11" t="n">
        <v>0.7</v>
      </c>
      <c r="H1629" s="11">
        <f>H1628+G1629</f>
        <v/>
      </c>
    </row>
    <row r="1630">
      <c r="A1630" s="9" t="n">
        <v>1626</v>
      </c>
      <c r="B1630" s="9" t="inlineStr">
        <is>
          <t>Ratchet</t>
        </is>
      </c>
      <c r="C1630" s="9" t="inlineStr">
        <is>
          <t>Stochastic scalp with give-back trail exit</t>
        </is>
      </c>
      <c r="D1630" s="9" t="inlineStr">
        <is>
          <t>Long</t>
        </is>
      </c>
      <c r="E1630" s="10" t="n">
        <v>45216.71180555555</v>
      </c>
      <c r="F1630" s="10" t="n">
        <v>45216.71875</v>
      </c>
      <c r="G1630" s="11" t="n">
        <v>0.65</v>
      </c>
      <c r="H1630" s="11">
        <f>H1629+G1630</f>
        <v/>
      </c>
    </row>
    <row r="1631">
      <c r="A1631" s="9" t="n">
        <v>1627</v>
      </c>
      <c r="B1631" s="9" t="inlineStr">
        <is>
          <t>Aurelius_M5</t>
        </is>
      </c>
      <c r="C1631" s="9" t="inlineStr">
        <is>
          <t>MA alignment (EMA21&gt;EMA50&gt;SMA250&gt;SMMA500 vs EMA2400 trend filter)</t>
        </is>
      </c>
      <c r="D1631" s="9" t="inlineStr">
        <is>
          <t>Long</t>
        </is>
      </c>
      <c r="E1631" s="10" t="n">
        <v>45216.65625</v>
      </c>
      <c r="F1631" s="10" t="n">
        <v>45216.82986111111</v>
      </c>
      <c r="G1631" s="11" t="n">
        <v>0.57</v>
      </c>
      <c r="H1631" s="11">
        <f>H1630+G1631</f>
        <v/>
      </c>
    </row>
    <row r="1632">
      <c r="A1632" s="9" t="n">
        <v>1628</v>
      </c>
      <c r="B1632" s="9" t="inlineStr">
        <is>
          <t>Ratchet</t>
        </is>
      </c>
      <c r="C1632" s="9" t="inlineStr">
        <is>
          <t>Stochastic scalp with give-back trail exit</t>
        </is>
      </c>
      <c r="D1632" s="9" t="inlineStr">
        <is>
          <t>Long</t>
        </is>
      </c>
      <c r="E1632" s="10" t="n">
        <v>45217.06944444445</v>
      </c>
      <c r="F1632" s="10" t="n">
        <v>45217.08680555555</v>
      </c>
      <c r="G1632" s="11" t="n">
        <v>-0.77</v>
      </c>
      <c r="H1632" s="11">
        <f>H1631+G1632</f>
        <v/>
      </c>
    </row>
    <row r="1633">
      <c r="A1633" s="9" t="n">
        <v>1629</v>
      </c>
      <c r="B1633" s="9" t="inlineStr">
        <is>
          <t>Ratchet</t>
        </is>
      </c>
      <c r="C1633" s="9" t="inlineStr">
        <is>
          <t>Stochastic scalp with give-back trail exit</t>
        </is>
      </c>
      <c r="D1633" s="9" t="inlineStr">
        <is>
          <t>Long</t>
        </is>
      </c>
      <c r="E1633" s="10" t="n">
        <v>45217.11805555555</v>
      </c>
      <c r="F1633" s="10" t="n">
        <v>45217.11805555555</v>
      </c>
      <c r="G1633" s="11" t="n">
        <v>-0.77</v>
      </c>
      <c r="H1633" s="11">
        <f>H1632+G1633</f>
        <v/>
      </c>
    </row>
    <row r="1634">
      <c r="A1634" s="9" t="n">
        <v>1630</v>
      </c>
      <c r="B1634" s="9" t="inlineStr">
        <is>
          <t>Ratchet</t>
        </is>
      </c>
      <c r="C1634" s="9" t="inlineStr">
        <is>
          <t>Stochastic scalp with give-back trail exit</t>
        </is>
      </c>
      <c r="D1634" s="9" t="inlineStr">
        <is>
          <t>Long</t>
        </is>
      </c>
      <c r="E1634" s="10" t="n">
        <v>45217.31944444445</v>
      </c>
      <c r="F1634" s="10" t="n">
        <v>45217.32291666666</v>
      </c>
      <c r="G1634" s="11" t="n">
        <v>0</v>
      </c>
      <c r="H1634" s="11">
        <f>H1633+G1634</f>
        <v/>
      </c>
    </row>
    <row r="1635">
      <c r="A1635" s="9" t="n">
        <v>1631</v>
      </c>
      <c r="B1635" s="9" t="inlineStr">
        <is>
          <t>Ratchet</t>
        </is>
      </c>
      <c r="C1635" s="9" t="inlineStr">
        <is>
          <t>Stochastic scalp with give-back trail exit</t>
        </is>
      </c>
      <c r="D1635" s="9" t="inlineStr">
        <is>
          <t>Long</t>
        </is>
      </c>
      <c r="E1635" s="10" t="n">
        <v>45217.44791666666</v>
      </c>
      <c r="F1635" s="10" t="n">
        <v>45217.46180555555</v>
      </c>
      <c r="G1635" s="11" t="n">
        <v>0.44</v>
      </c>
      <c r="H1635" s="11">
        <f>H1634+G1635</f>
        <v/>
      </c>
    </row>
    <row r="1636">
      <c r="A1636" s="9" t="n">
        <v>1632</v>
      </c>
      <c r="B1636" s="9" t="inlineStr">
        <is>
          <t>Ratchet</t>
        </is>
      </c>
      <c r="C1636" s="9" t="inlineStr">
        <is>
          <t>Stochastic scalp with give-back trail exit</t>
        </is>
      </c>
      <c r="D1636" s="9" t="inlineStr">
        <is>
          <t>Long</t>
        </is>
      </c>
      <c r="E1636" s="10" t="n">
        <v>45217.48611111111</v>
      </c>
      <c r="F1636" s="10" t="n">
        <v>45217.73958333334</v>
      </c>
      <c r="G1636" s="11" t="n">
        <v>5.95</v>
      </c>
      <c r="H1636" s="11">
        <f>H1635+G1636</f>
        <v/>
      </c>
    </row>
    <row r="1637">
      <c r="A1637" s="9" t="n">
        <v>1633</v>
      </c>
      <c r="B1637" s="9" t="inlineStr">
        <is>
          <t>Aurelius_M5</t>
        </is>
      </c>
      <c r="C1637" s="9" t="inlineStr">
        <is>
          <t>MA alignment (EMA21&gt;EMA50&gt;SMA250&gt;SMMA500 vs EMA2400 trend filter)</t>
        </is>
      </c>
      <c r="D1637" s="9" t="inlineStr">
        <is>
          <t>Long</t>
        </is>
      </c>
      <c r="E1637" s="10" t="n">
        <v>45217.42013888889</v>
      </c>
      <c r="F1637" s="10" t="n">
        <v>45217.75694444445</v>
      </c>
      <c r="G1637" s="11" t="n">
        <v>5.77</v>
      </c>
      <c r="H1637" s="11">
        <f>H1636+G1637</f>
        <v/>
      </c>
    </row>
    <row r="1638">
      <c r="A1638" s="9" t="n">
        <v>1634</v>
      </c>
      <c r="B1638" s="9" t="inlineStr">
        <is>
          <t>Meridian</t>
        </is>
      </c>
      <c r="C1638" s="9" t="inlineStr">
        <is>
          <t>21/50 MA cross, 250-period confirm filter, VWAP</t>
        </is>
      </c>
      <c r="D1638" s="9" t="inlineStr">
        <is>
          <t>Long</t>
        </is>
      </c>
      <c r="E1638" s="10" t="n">
        <v>45217.05208333334</v>
      </c>
      <c r="F1638" s="10" t="n">
        <v>45217.76736111111</v>
      </c>
      <c r="G1638" s="11" t="n">
        <v>19.45</v>
      </c>
      <c r="H1638" s="11">
        <f>H1637+G1638</f>
        <v/>
      </c>
    </row>
    <row r="1639">
      <c r="A1639" s="9" t="n">
        <v>1635</v>
      </c>
      <c r="B1639" s="9" t="inlineStr">
        <is>
          <t>Ratchet</t>
        </is>
      </c>
      <c r="C1639" s="9" t="inlineStr">
        <is>
          <t>Stochastic scalp with give-back trail exit</t>
        </is>
      </c>
      <c r="D1639" s="9" t="inlineStr">
        <is>
          <t>Long</t>
        </is>
      </c>
      <c r="E1639" s="10" t="n">
        <v>45217.84722222222</v>
      </c>
      <c r="F1639" s="10" t="n">
        <v>45217.85763888889</v>
      </c>
      <c r="G1639" s="11" t="n">
        <v>0.54</v>
      </c>
      <c r="H1639" s="11">
        <f>H1638+G1639</f>
        <v/>
      </c>
    </row>
    <row r="1640">
      <c r="A1640" s="9" t="n">
        <v>1636</v>
      </c>
      <c r="B1640" s="9" t="inlineStr">
        <is>
          <t>Meridian</t>
        </is>
      </c>
      <c r="C1640" s="9" t="inlineStr">
        <is>
          <t>21/50 MA cross, 250-period confirm filter, VWAP</t>
        </is>
      </c>
      <c r="D1640" s="9" t="inlineStr">
        <is>
          <t>Long</t>
        </is>
      </c>
      <c r="E1640" s="10" t="n">
        <v>45217.83333333334</v>
      </c>
      <c r="F1640" s="10" t="n">
        <v>45217.97569444445</v>
      </c>
      <c r="G1640" s="11" t="n">
        <v>-0.61</v>
      </c>
      <c r="H1640" s="11">
        <f>H1639+G1640</f>
        <v/>
      </c>
    </row>
    <row r="1641">
      <c r="A1641" s="9" t="n">
        <v>1637</v>
      </c>
      <c r="B1641" s="9" t="inlineStr">
        <is>
          <t>Ratchet</t>
        </is>
      </c>
      <c r="C1641" s="9" t="inlineStr">
        <is>
          <t>Stochastic scalp with give-back trail exit</t>
        </is>
      </c>
      <c r="D1641" s="9" t="inlineStr">
        <is>
          <t>Long</t>
        </is>
      </c>
      <c r="E1641" s="10" t="n">
        <v>45218.11111111111</v>
      </c>
      <c r="F1641" s="10" t="n">
        <v>45218.11458333334</v>
      </c>
      <c r="G1641" s="11" t="n">
        <v>0.09</v>
      </c>
      <c r="H1641" s="11">
        <f>H1640+G1641</f>
        <v/>
      </c>
    </row>
    <row r="1642">
      <c r="A1642" s="9" t="n">
        <v>1638</v>
      </c>
      <c r="B1642" s="9" t="inlineStr">
        <is>
          <t>Meridian</t>
        </is>
      </c>
      <c r="C1642" s="9" t="inlineStr">
        <is>
          <t>21/50 MA cross, 250-period confirm filter, VWAP</t>
        </is>
      </c>
      <c r="D1642" s="9" t="inlineStr">
        <is>
          <t>Long</t>
        </is>
      </c>
      <c r="E1642" s="10" t="n">
        <v>45218.09722222222</v>
      </c>
      <c r="F1642" s="10" t="n">
        <v>45218.15277777778</v>
      </c>
      <c r="G1642" s="11" t="n">
        <v>-1.86</v>
      </c>
      <c r="H1642" s="11">
        <f>H1641+G1642</f>
        <v/>
      </c>
    </row>
    <row r="1643">
      <c r="A1643" s="9" t="n">
        <v>1639</v>
      </c>
      <c r="B1643" s="9" t="inlineStr">
        <is>
          <t>Aurelius_M15</t>
        </is>
      </c>
      <c r="C1643" s="9" t="inlineStr">
        <is>
          <t>MA alignment (EMA21&gt;EMA50&gt;SMA250&gt;SMMA500 vs EMA2400 trend filter) - M15 chart</t>
        </is>
      </c>
      <c r="D1643" s="9" t="inlineStr">
        <is>
          <t>Long</t>
        </is>
      </c>
      <c r="E1643" s="10" t="n">
        <v>45216.69791666666</v>
      </c>
      <c r="F1643" s="10" t="n">
        <v>45218.33333333334</v>
      </c>
      <c r="G1643" s="11" t="n">
        <v>23.77</v>
      </c>
      <c r="H1643" s="11">
        <f>H1642+G1643</f>
        <v/>
      </c>
    </row>
    <row r="1644">
      <c r="A1644" s="9" t="n">
        <v>1640</v>
      </c>
      <c r="B1644" s="9" t="inlineStr">
        <is>
          <t>Meridian</t>
        </is>
      </c>
      <c r="C1644" s="9" t="inlineStr">
        <is>
          <t>21/50 MA cross, 250-period confirm filter, VWAP</t>
        </is>
      </c>
      <c r="D1644" s="9" t="inlineStr">
        <is>
          <t>Long</t>
        </is>
      </c>
      <c r="E1644" s="10" t="n">
        <v>45218.43055555555</v>
      </c>
      <c r="F1644" s="10" t="n">
        <v>45218.51736111111</v>
      </c>
      <c r="G1644" s="11" t="n">
        <v>-2.98</v>
      </c>
      <c r="H1644" s="11">
        <f>H1643+G1644</f>
        <v/>
      </c>
    </row>
    <row r="1645">
      <c r="A1645" s="9" t="n">
        <v>1641</v>
      </c>
      <c r="B1645" s="9" t="inlineStr">
        <is>
          <t>Ratchet</t>
        </is>
      </c>
      <c r="C1645" s="9" t="inlineStr">
        <is>
          <t>Stochastic scalp with give-back trail exit</t>
        </is>
      </c>
      <c r="D1645" s="9" t="inlineStr">
        <is>
          <t>Long</t>
        </is>
      </c>
      <c r="E1645" s="10" t="n">
        <v>45218.55208333334</v>
      </c>
      <c r="F1645" s="10" t="n">
        <v>45218.58333333334</v>
      </c>
      <c r="G1645" s="11" t="n">
        <v>0.24</v>
      </c>
      <c r="H1645" s="11">
        <f>H1644+G1645</f>
        <v/>
      </c>
    </row>
    <row r="1646">
      <c r="A1646" s="9" t="n">
        <v>1642</v>
      </c>
      <c r="B1646" s="9" t="inlineStr">
        <is>
          <t>Ratchet</t>
        </is>
      </c>
      <c r="C1646" s="9" t="inlineStr">
        <is>
          <t>Stochastic scalp with give-back trail exit</t>
        </is>
      </c>
      <c r="D1646" s="9" t="inlineStr">
        <is>
          <t>Long</t>
        </is>
      </c>
      <c r="E1646" s="10" t="n">
        <v>45218.59027777778</v>
      </c>
      <c r="F1646" s="10" t="n">
        <v>45218.60069444445</v>
      </c>
      <c r="G1646" s="11" t="n">
        <v>-1.21</v>
      </c>
      <c r="H1646" s="11">
        <f>H1645+G1646</f>
        <v/>
      </c>
    </row>
    <row r="1647">
      <c r="A1647" s="9" t="n">
        <v>1643</v>
      </c>
      <c r="B1647" s="9" t="inlineStr">
        <is>
          <t>Aurelius_M5</t>
        </is>
      </c>
      <c r="C1647" s="9" t="inlineStr">
        <is>
          <t>MA alignment (EMA21&gt;EMA50&gt;SMA250&gt;SMMA500 vs EMA2400 trend filter)</t>
        </is>
      </c>
      <c r="D1647" s="9" t="inlineStr">
        <is>
          <t>Long</t>
        </is>
      </c>
      <c r="E1647" s="10" t="n">
        <v>45218.62847222222</v>
      </c>
      <c r="F1647" s="10" t="n">
        <v>45218.63194444445</v>
      </c>
      <c r="G1647" s="11" t="n">
        <v>-2.23</v>
      </c>
      <c r="H1647" s="11">
        <f>H1646+G1647</f>
        <v/>
      </c>
    </row>
    <row r="1648">
      <c r="A1648" s="9" t="n">
        <v>1644</v>
      </c>
      <c r="B1648" s="9" t="inlineStr">
        <is>
          <t>Vanguard_M5</t>
        </is>
      </c>
      <c r="C1648" s="9" t="inlineStr">
        <is>
          <t>Trendline breakout (fractal swing line) + VWAP/S-R distance gate</t>
        </is>
      </c>
      <c r="D1648" s="9" t="inlineStr">
        <is>
          <t>Long</t>
        </is>
      </c>
      <c r="E1648" s="10" t="n">
        <v>45216.29166666666</v>
      </c>
      <c r="F1648" s="10" t="n">
        <v>45218.67361111111</v>
      </c>
      <c r="G1648" s="11" t="n">
        <v>34.68</v>
      </c>
      <c r="H1648" s="11">
        <f>H1647+G1648</f>
        <v/>
      </c>
    </row>
    <row r="1649">
      <c r="A1649" s="9" t="n">
        <v>1645</v>
      </c>
      <c r="B1649" s="9" t="inlineStr">
        <is>
          <t>Aurelius_M5</t>
        </is>
      </c>
      <c r="C1649" s="9" t="inlineStr">
        <is>
          <t>MA alignment (EMA21&gt;EMA50&gt;SMA250&gt;SMMA500 vs EMA2400 trend filter)</t>
        </is>
      </c>
      <c r="D1649" s="9" t="inlineStr">
        <is>
          <t>Long</t>
        </is>
      </c>
      <c r="E1649" s="10" t="n">
        <v>45218.64930555555</v>
      </c>
      <c r="F1649" s="10" t="n">
        <v>45218.6875</v>
      </c>
      <c r="G1649" s="11" t="n">
        <v>-3.49</v>
      </c>
      <c r="H1649" s="11">
        <f>H1648+G1649</f>
        <v/>
      </c>
    </row>
    <row r="1650">
      <c r="A1650" s="9" t="n">
        <v>1646</v>
      </c>
      <c r="B1650" s="9" t="inlineStr">
        <is>
          <t>Vanguard_M15</t>
        </is>
      </c>
      <c r="C1650" s="9" t="inlineStr">
        <is>
          <t>Trendline breakout (fractal swing line) + VWAP/S-R distance gate - M15 chart</t>
        </is>
      </c>
      <c r="D1650" s="9" t="inlineStr">
        <is>
          <t>Long</t>
        </is>
      </c>
      <c r="E1650" s="10" t="n">
        <v>45216.29166666666</v>
      </c>
      <c r="F1650" s="10" t="n">
        <v>45218.70833333334</v>
      </c>
      <c r="G1650" s="11" t="n">
        <v>35.28</v>
      </c>
      <c r="H1650" s="11">
        <f>H1649+G1650</f>
        <v/>
      </c>
    </row>
    <row r="1651">
      <c r="A1651" s="9" t="n">
        <v>1647</v>
      </c>
      <c r="B1651" s="9" t="inlineStr">
        <is>
          <t>Aurelius_M5</t>
        </is>
      </c>
      <c r="C1651" s="9" t="inlineStr">
        <is>
          <t>MA alignment (EMA21&gt;EMA50&gt;SMA250&gt;SMMA500 vs EMA2400 trend filter)</t>
        </is>
      </c>
      <c r="D1651" s="9" t="inlineStr">
        <is>
          <t>Long</t>
        </is>
      </c>
      <c r="E1651" s="10" t="n">
        <v>45218.70486111111</v>
      </c>
      <c r="F1651" s="10" t="n">
        <v>45218.75</v>
      </c>
      <c r="G1651" s="11" t="n">
        <v>-3.15</v>
      </c>
      <c r="H1651" s="11">
        <f>H1650+G1651</f>
        <v/>
      </c>
    </row>
    <row r="1652">
      <c r="A1652" s="9" t="n">
        <v>1648</v>
      </c>
      <c r="B1652" s="9" t="inlineStr">
        <is>
          <t>Vanguard_M5</t>
        </is>
      </c>
      <c r="C1652" s="9" t="inlineStr">
        <is>
          <t>Trendline breakout (fractal swing line) + VWAP/S-R distance gate</t>
        </is>
      </c>
      <c r="D1652" s="9" t="inlineStr">
        <is>
          <t>Short</t>
        </is>
      </c>
      <c r="E1652" s="10" t="n">
        <v>45218.73611111111</v>
      </c>
      <c r="F1652" s="10" t="n">
        <v>45218.77083333334</v>
      </c>
      <c r="G1652" s="11" t="n">
        <v>-8.199999999999999</v>
      </c>
      <c r="H1652" s="11">
        <f>H1651+G1652</f>
        <v/>
      </c>
    </row>
    <row r="1653">
      <c r="A1653" s="9" t="n">
        <v>1649</v>
      </c>
      <c r="B1653" s="9" t="inlineStr">
        <is>
          <t>Ratchet</t>
        </is>
      </c>
      <c r="C1653" s="9" t="inlineStr">
        <is>
          <t>Stochastic scalp with give-back trail exit</t>
        </is>
      </c>
      <c r="D1653" s="9" t="inlineStr">
        <is>
          <t>Long</t>
        </is>
      </c>
      <c r="E1653" s="10" t="n">
        <v>45218.76736111111</v>
      </c>
      <c r="F1653" s="10" t="n">
        <v>45218.78472222222</v>
      </c>
      <c r="G1653" s="11" t="n">
        <v>1.08</v>
      </c>
      <c r="H1653" s="11">
        <f>H1652+G1653</f>
        <v/>
      </c>
    </row>
    <row r="1654">
      <c r="A1654" s="9" t="n">
        <v>1650</v>
      </c>
      <c r="B1654" s="9" t="inlineStr">
        <is>
          <t>Ratchet</t>
        </is>
      </c>
      <c r="C1654" s="9" t="inlineStr">
        <is>
          <t>Stochastic scalp with give-back trail exit</t>
        </is>
      </c>
      <c r="D1654" s="9" t="inlineStr">
        <is>
          <t>Long</t>
        </is>
      </c>
      <c r="E1654" s="10" t="n">
        <v>45218.79513888889</v>
      </c>
      <c r="F1654" s="10" t="n">
        <v>45218.80208333334</v>
      </c>
      <c r="G1654" s="11" t="n">
        <v>-0</v>
      </c>
      <c r="H1654" s="11">
        <f>H1653+G1654</f>
        <v/>
      </c>
    </row>
    <row r="1655">
      <c r="A1655" s="9" t="n">
        <v>1651</v>
      </c>
      <c r="B1655" s="9" t="inlineStr">
        <is>
          <t>Ratchet</t>
        </is>
      </c>
      <c r="C1655" s="9" t="inlineStr">
        <is>
          <t>Stochastic scalp with give-back trail exit</t>
        </is>
      </c>
      <c r="D1655" s="9" t="inlineStr">
        <is>
          <t>Long</t>
        </is>
      </c>
      <c r="E1655" s="10" t="n">
        <v>45218.80555555555</v>
      </c>
      <c r="F1655" s="10" t="n">
        <v>45218.80902777778</v>
      </c>
      <c r="G1655" s="11" t="n">
        <v>-4.26</v>
      </c>
      <c r="H1655" s="11">
        <f>H1654+G1655</f>
        <v/>
      </c>
    </row>
    <row r="1656">
      <c r="A1656" s="9" t="n">
        <v>1652</v>
      </c>
      <c r="B1656" s="9" t="inlineStr">
        <is>
          <t>Aurelius_M5</t>
        </is>
      </c>
      <c r="C1656" s="9" t="inlineStr">
        <is>
          <t>MA alignment (EMA21&gt;EMA50&gt;SMA250&gt;SMMA500 vs EMA2400 trend filter)</t>
        </is>
      </c>
      <c r="D1656" s="9" t="inlineStr">
        <is>
          <t>Long</t>
        </is>
      </c>
      <c r="E1656" s="10" t="n">
        <v>45218.79513888889</v>
      </c>
      <c r="F1656" s="10" t="n">
        <v>45218.81597222222</v>
      </c>
      <c r="G1656" s="11" t="n">
        <v>-5.7</v>
      </c>
      <c r="H1656" s="11">
        <f>H1655+G1656</f>
        <v/>
      </c>
    </row>
    <row r="1657">
      <c r="A1657" s="9" t="n">
        <v>1653</v>
      </c>
      <c r="B1657" s="9" t="inlineStr">
        <is>
          <t>Ratchet</t>
        </is>
      </c>
      <c r="C1657" s="9" t="inlineStr">
        <is>
          <t>Stochastic scalp with give-back trail exit</t>
        </is>
      </c>
      <c r="D1657" s="9" t="inlineStr">
        <is>
          <t>Long</t>
        </is>
      </c>
      <c r="E1657" s="10" t="n">
        <v>45219.11805555555</v>
      </c>
      <c r="F1657" s="10" t="n">
        <v>45219.16666666666</v>
      </c>
      <c r="G1657" s="11" t="n">
        <v>-4.15</v>
      </c>
      <c r="H1657" s="11">
        <f>H1656+G1657</f>
        <v/>
      </c>
    </row>
    <row r="1658">
      <c r="A1658" s="9" t="n">
        <v>1654</v>
      </c>
      <c r="B1658" s="9" t="inlineStr">
        <is>
          <t>Ratchet</t>
        </is>
      </c>
      <c r="C1658" s="9" t="inlineStr">
        <is>
          <t>Stochastic scalp with give-back trail exit</t>
        </is>
      </c>
      <c r="D1658" s="9" t="inlineStr">
        <is>
          <t>Long</t>
        </is>
      </c>
      <c r="E1658" s="10" t="n">
        <v>45219.36458333334</v>
      </c>
      <c r="F1658" s="10" t="n">
        <v>45219.375</v>
      </c>
      <c r="G1658" s="11" t="n">
        <v>-1.57</v>
      </c>
      <c r="H1658" s="11">
        <f>H1657+G1658</f>
        <v/>
      </c>
    </row>
    <row r="1659">
      <c r="A1659" s="9" t="n">
        <v>1655</v>
      </c>
      <c r="B1659" s="9" t="inlineStr">
        <is>
          <t>Meridian</t>
        </is>
      </c>
      <c r="C1659" s="9" t="inlineStr">
        <is>
          <t>21/50 MA cross, 250-period confirm filter, VWAP</t>
        </is>
      </c>
      <c r="D1659" s="9" t="inlineStr">
        <is>
          <t>Long</t>
        </is>
      </c>
      <c r="E1659" s="10" t="n">
        <v>45218.76041666666</v>
      </c>
      <c r="F1659" s="10" t="n">
        <v>45219.40625</v>
      </c>
      <c r="G1659" s="11" t="n">
        <v>21.48</v>
      </c>
      <c r="H1659" s="11">
        <f>H1658+G1659</f>
        <v/>
      </c>
    </row>
    <row r="1660">
      <c r="A1660" s="9" t="n">
        <v>1656</v>
      </c>
      <c r="B1660" s="9" t="inlineStr">
        <is>
          <t>Ratchet</t>
        </is>
      </c>
      <c r="C1660" s="9" t="inlineStr">
        <is>
          <t>Stochastic scalp with give-back trail exit</t>
        </is>
      </c>
      <c r="D1660" s="9" t="inlineStr">
        <is>
          <t>Long</t>
        </is>
      </c>
      <c r="E1660" s="10" t="n">
        <v>45219.41666666666</v>
      </c>
      <c r="F1660" s="10" t="n">
        <v>45219.45138888889</v>
      </c>
      <c r="G1660" s="11" t="n">
        <v>0.73</v>
      </c>
      <c r="H1660" s="11">
        <f>H1659+G1660</f>
        <v/>
      </c>
    </row>
    <row r="1661">
      <c r="A1661" s="9" t="n">
        <v>1657</v>
      </c>
      <c r="B1661" s="9" t="inlineStr">
        <is>
          <t>Aurelius_M5</t>
        </is>
      </c>
      <c r="C1661" s="9" t="inlineStr">
        <is>
          <t>MA alignment (EMA21&gt;EMA50&gt;SMA250&gt;SMMA500 vs EMA2400 trend filter)</t>
        </is>
      </c>
      <c r="D1661" s="9" t="inlineStr">
        <is>
          <t>Long</t>
        </is>
      </c>
      <c r="E1661" s="10" t="n">
        <v>45219.44444444445</v>
      </c>
      <c r="F1661" s="10" t="n">
        <v>45219.61458333334</v>
      </c>
      <c r="G1661" s="11" t="n">
        <v>-3.47</v>
      </c>
      <c r="H1661" s="11">
        <f>H1660+G1661</f>
        <v/>
      </c>
    </row>
    <row r="1662">
      <c r="A1662" s="9" t="n">
        <v>1658</v>
      </c>
      <c r="B1662" s="9" t="inlineStr">
        <is>
          <t>Meridian</t>
        </is>
      </c>
      <c r="C1662" s="9" t="inlineStr">
        <is>
          <t>21/50 MA cross, 250-period confirm filter, VWAP</t>
        </is>
      </c>
      <c r="D1662" s="9" t="inlineStr">
        <is>
          <t>Long</t>
        </is>
      </c>
      <c r="E1662" s="10" t="n">
        <v>45219.41319444445</v>
      </c>
      <c r="F1662" s="10" t="n">
        <v>45219.625</v>
      </c>
      <c r="G1662" s="11" t="n">
        <v>-2.16</v>
      </c>
      <c r="H1662" s="11">
        <f>H1661+G1662</f>
        <v/>
      </c>
    </row>
    <row r="1663">
      <c r="A1663" s="9" t="n">
        <v>1659</v>
      </c>
      <c r="B1663" s="9" t="inlineStr">
        <is>
          <t>Meridian</t>
        </is>
      </c>
      <c r="C1663" s="9" t="inlineStr">
        <is>
          <t>21/50 MA cross, 250-period confirm filter, VWAP</t>
        </is>
      </c>
      <c r="D1663" s="9" t="inlineStr">
        <is>
          <t>Long</t>
        </is>
      </c>
      <c r="E1663" s="10" t="n">
        <v>45219.71180555555</v>
      </c>
      <c r="F1663" s="10" t="n">
        <v>45219.82986111111</v>
      </c>
      <c r="G1663" s="11" t="n">
        <v>-5.41</v>
      </c>
      <c r="H1663" s="11">
        <f>H1662+G1663</f>
        <v/>
      </c>
    </row>
    <row r="1664">
      <c r="A1664" s="9" t="n">
        <v>1660</v>
      </c>
      <c r="B1664" s="9" t="inlineStr">
        <is>
          <t>Aurelius_M5</t>
        </is>
      </c>
      <c r="C1664" s="9" t="inlineStr">
        <is>
          <t>MA alignment (EMA21&gt;EMA50&gt;SMA250&gt;SMMA500 vs EMA2400 trend filter)</t>
        </is>
      </c>
      <c r="D1664" s="9" t="inlineStr">
        <is>
          <t>Long</t>
        </is>
      </c>
      <c r="E1664" s="10" t="n">
        <v>45219.72569444445</v>
      </c>
      <c r="F1664" s="10" t="n">
        <v>45219.84375</v>
      </c>
      <c r="G1664" s="11" t="n">
        <v>-6.75</v>
      </c>
      <c r="H1664" s="11">
        <f>H1663+G1664</f>
        <v/>
      </c>
    </row>
    <row r="1665">
      <c r="A1665" s="9" t="n">
        <v>1661</v>
      </c>
      <c r="B1665" s="9" t="inlineStr">
        <is>
          <t>Meridian</t>
        </is>
      </c>
      <c r="C1665" s="9" t="inlineStr">
        <is>
          <t>21/50 MA cross, 250-period confirm filter, VWAP</t>
        </is>
      </c>
      <c r="D1665" s="9" t="inlineStr">
        <is>
          <t>Short</t>
        </is>
      </c>
      <c r="E1665" s="10" t="n">
        <v>45219.84722222222</v>
      </c>
      <c r="F1665" s="10" t="n">
        <v>45219.85069444445</v>
      </c>
      <c r="G1665" s="11" t="n">
        <v>-7.38</v>
      </c>
      <c r="H1665" s="11">
        <f>H1664+G1665</f>
        <v/>
      </c>
    </row>
    <row r="1666">
      <c r="A1666" s="9" t="n">
        <v>1662</v>
      </c>
      <c r="B1666" s="9" t="inlineStr">
        <is>
          <t>Aurelius_M15</t>
        </is>
      </c>
      <c r="C1666" s="9" t="inlineStr">
        <is>
          <t>MA alignment (EMA21&gt;EMA50&gt;SMA250&gt;SMMA500 vs EMA2400 trend filter) - M15 chart</t>
        </is>
      </c>
      <c r="D1666" s="9" t="inlineStr">
        <is>
          <t>Long</t>
        </is>
      </c>
      <c r="E1666" s="10" t="n">
        <v>45218.63541666666</v>
      </c>
      <c r="F1666" s="10" t="n">
        <v>45219.92708333334</v>
      </c>
      <c r="G1666" s="11" t="n">
        <v>29.75</v>
      </c>
      <c r="H1666" s="11">
        <f>H1665+G1666</f>
        <v/>
      </c>
    </row>
    <row r="1667">
      <c r="A1667" s="9" t="n">
        <v>1663</v>
      </c>
      <c r="B1667" s="9" t="inlineStr">
        <is>
          <t>Ratchet</t>
        </is>
      </c>
      <c r="C1667" s="9" t="inlineStr">
        <is>
          <t>Stochastic scalp with give-back trail exit</t>
        </is>
      </c>
      <c r="D1667" s="9" t="inlineStr">
        <is>
          <t>Long</t>
        </is>
      </c>
      <c r="E1667" s="10" t="n">
        <v>45222.48611111111</v>
      </c>
      <c r="F1667" s="10" t="n">
        <v>45222.50347222222</v>
      </c>
      <c r="G1667" s="11" t="n">
        <v>0.21</v>
      </c>
      <c r="H1667" s="11">
        <f>H1666+G1667</f>
        <v/>
      </c>
    </row>
    <row r="1668">
      <c r="A1668" s="9" t="n">
        <v>1664</v>
      </c>
      <c r="B1668" s="9" t="inlineStr">
        <is>
          <t>Meridian</t>
        </is>
      </c>
      <c r="C1668" s="9" t="inlineStr">
        <is>
          <t>21/50 MA cross, 250-period confirm filter, VWAP</t>
        </is>
      </c>
      <c r="D1668" s="9" t="inlineStr">
        <is>
          <t>Long</t>
        </is>
      </c>
      <c r="E1668" s="10" t="n">
        <v>45222.59375</v>
      </c>
      <c r="F1668" s="10" t="n">
        <v>45222.60069444445</v>
      </c>
      <c r="G1668" s="11" t="n">
        <v>-2.75</v>
      </c>
      <c r="H1668" s="11">
        <f>H1667+G1668</f>
        <v/>
      </c>
    </row>
    <row r="1669">
      <c r="A1669" s="9" t="n">
        <v>1665</v>
      </c>
      <c r="B1669" s="9" t="inlineStr">
        <is>
          <t>Ratchet</t>
        </is>
      </c>
      <c r="C1669" s="9" t="inlineStr">
        <is>
          <t>Stochastic scalp with give-back trail exit</t>
        </is>
      </c>
      <c r="D1669" s="9" t="inlineStr">
        <is>
          <t>Long</t>
        </is>
      </c>
      <c r="E1669" s="10" t="n">
        <v>45222.59722222222</v>
      </c>
      <c r="F1669" s="10" t="n">
        <v>45222.60069444445</v>
      </c>
      <c r="G1669" s="11" t="n">
        <v>-1.79</v>
      </c>
      <c r="H1669" s="11">
        <f>H1668+G1669</f>
        <v/>
      </c>
    </row>
    <row r="1670">
      <c r="A1670" s="9" t="n">
        <v>1666</v>
      </c>
      <c r="B1670" s="9" t="inlineStr">
        <is>
          <t>Meridian</t>
        </is>
      </c>
      <c r="C1670" s="9" t="inlineStr">
        <is>
          <t>21/50 MA cross, 250-period confirm filter, VWAP</t>
        </is>
      </c>
      <c r="D1670" s="9" t="inlineStr">
        <is>
          <t>Long</t>
        </is>
      </c>
      <c r="E1670" s="10" t="n">
        <v>45222.61458333334</v>
      </c>
      <c r="F1670" s="10" t="n">
        <v>45222.63194444445</v>
      </c>
      <c r="G1670" s="11" t="n">
        <v>-3.09</v>
      </c>
      <c r="H1670" s="11">
        <f>H1669+G1670</f>
        <v/>
      </c>
    </row>
    <row r="1671">
      <c r="A1671" s="9" t="n">
        <v>1667</v>
      </c>
      <c r="B1671" s="9" t="inlineStr">
        <is>
          <t>Aurelius_M15</t>
        </is>
      </c>
      <c r="C1671" s="9" t="inlineStr">
        <is>
          <t>MA alignment (EMA21&gt;EMA50&gt;SMA250&gt;SMMA500 vs EMA2400 trend filter) - M15 chart</t>
        </is>
      </c>
      <c r="D1671" s="9" t="inlineStr">
        <is>
          <t>Long</t>
        </is>
      </c>
      <c r="E1671" s="10" t="n">
        <v>45222.64583333334</v>
      </c>
      <c r="F1671" s="10" t="n">
        <v>45222.6875</v>
      </c>
      <c r="G1671" s="11" t="n">
        <v>-6.35</v>
      </c>
      <c r="H1671" s="11">
        <f>H1670+G1671</f>
        <v/>
      </c>
    </row>
    <row r="1672">
      <c r="A1672" s="9" t="n">
        <v>1668</v>
      </c>
      <c r="B1672" s="9" t="inlineStr">
        <is>
          <t>Vanguard_M5</t>
        </is>
      </c>
      <c r="C1672" s="9" t="inlineStr">
        <is>
          <t>Trendline breakout (fractal swing line) + VWAP/S-R distance gate</t>
        </is>
      </c>
      <c r="D1672" s="9" t="inlineStr">
        <is>
          <t>Short</t>
        </is>
      </c>
      <c r="E1672" s="10" t="n">
        <v>45219.99652777778</v>
      </c>
      <c r="F1672" s="10" t="n">
        <v>45222.85069444445</v>
      </c>
      <c r="G1672" s="11" t="n">
        <v>4</v>
      </c>
      <c r="H1672" s="11">
        <f>H1671+G1672</f>
        <v/>
      </c>
    </row>
    <row r="1673">
      <c r="A1673" s="9" t="n">
        <v>1669</v>
      </c>
      <c r="B1673" s="9" t="inlineStr">
        <is>
          <t>Meridian</t>
        </is>
      </c>
      <c r="C1673" s="9" t="inlineStr">
        <is>
          <t>21/50 MA cross, 250-period confirm filter, VWAP</t>
        </is>
      </c>
      <c r="D1673" s="9" t="inlineStr">
        <is>
          <t>Short</t>
        </is>
      </c>
      <c r="E1673" s="10" t="n">
        <v>45222.69444444445</v>
      </c>
      <c r="F1673" s="10" t="n">
        <v>45222.90625</v>
      </c>
      <c r="G1673" s="11" t="n">
        <v>-2.41</v>
      </c>
      <c r="H1673" s="11">
        <f>H1672+G1673</f>
        <v/>
      </c>
    </row>
    <row r="1674">
      <c r="A1674" s="9" t="n">
        <v>1670</v>
      </c>
      <c r="B1674" s="9" t="inlineStr">
        <is>
          <t>Vanguard_M15</t>
        </is>
      </c>
      <c r="C1674" s="9" t="inlineStr">
        <is>
          <t>Trendline breakout (fractal swing line) + VWAP/S-R distance gate - M15 chart</t>
        </is>
      </c>
      <c r="D1674" s="9" t="inlineStr">
        <is>
          <t>Long</t>
        </is>
      </c>
      <c r="E1674" s="10" t="n">
        <v>45223.05208333334</v>
      </c>
      <c r="F1674" s="10" t="n">
        <v>45223.14583333334</v>
      </c>
      <c r="G1674" s="11" t="n">
        <v>0.25</v>
      </c>
      <c r="H1674" s="11">
        <f>H1673+G1674</f>
        <v/>
      </c>
    </row>
    <row r="1675">
      <c r="A1675" s="9" t="n">
        <v>1671</v>
      </c>
      <c r="B1675" s="9" t="inlineStr">
        <is>
          <t>Vanguard_M5</t>
        </is>
      </c>
      <c r="C1675" s="9" t="inlineStr">
        <is>
          <t>Trendline breakout (fractal swing line) + VWAP/S-R distance gate</t>
        </is>
      </c>
      <c r="D1675" s="9" t="inlineStr">
        <is>
          <t>Long</t>
        </is>
      </c>
      <c r="E1675" s="10" t="n">
        <v>45222.85416666666</v>
      </c>
      <c r="F1675" s="10" t="n">
        <v>45223.14930555555</v>
      </c>
      <c r="G1675" s="11" t="n">
        <v>-2.21</v>
      </c>
      <c r="H1675" s="11">
        <f>H1674+G1675</f>
        <v/>
      </c>
    </row>
    <row r="1676">
      <c r="A1676" s="9" t="n">
        <v>1672</v>
      </c>
      <c r="B1676" s="9" t="inlineStr">
        <is>
          <t>Meridian</t>
        </is>
      </c>
      <c r="C1676" s="9" t="inlineStr">
        <is>
          <t>21/50 MA cross, 250-period confirm filter, VWAP</t>
        </is>
      </c>
      <c r="D1676" s="9" t="inlineStr">
        <is>
          <t>Short</t>
        </is>
      </c>
      <c r="E1676" s="10" t="n">
        <v>45222.93055555555</v>
      </c>
      <c r="F1676" s="10" t="n">
        <v>45223.17013888889</v>
      </c>
      <c r="G1676" s="11" t="n">
        <v>-0.36</v>
      </c>
      <c r="H1676" s="11">
        <f>H1675+G1676</f>
        <v/>
      </c>
    </row>
    <row r="1677">
      <c r="A1677" s="9" t="n">
        <v>1673</v>
      </c>
      <c r="B1677" s="9" t="inlineStr">
        <is>
          <t>Meridian</t>
        </is>
      </c>
      <c r="C1677" s="9" t="inlineStr">
        <is>
          <t>21/50 MA cross, 250-period confirm filter, VWAP</t>
        </is>
      </c>
      <c r="D1677" s="9" t="inlineStr">
        <is>
          <t>Short</t>
        </is>
      </c>
      <c r="E1677" s="10" t="n">
        <v>45223.34027777778</v>
      </c>
      <c r="F1677" s="10" t="n">
        <v>45223.38888888889</v>
      </c>
      <c r="G1677" s="11" t="n">
        <v>-0.77</v>
      </c>
      <c r="H1677" s="11">
        <f>H1676+G1677</f>
        <v/>
      </c>
    </row>
    <row r="1678">
      <c r="A1678" s="9" t="n">
        <v>1674</v>
      </c>
      <c r="B1678" s="9" t="inlineStr">
        <is>
          <t>Aurelius_M5</t>
        </is>
      </c>
      <c r="C1678" s="9" t="inlineStr">
        <is>
          <t>MA alignment (EMA21&gt;EMA50&gt;SMA250&gt;SMMA500 vs EMA2400 trend filter)</t>
        </is>
      </c>
      <c r="D1678" s="9" t="inlineStr">
        <is>
          <t>Long</t>
        </is>
      </c>
      <c r="E1678" s="10" t="n">
        <v>45223.42708333334</v>
      </c>
      <c r="F1678" s="10" t="n">
        <v>45223.44097222222</v>
      </c>
      <c r="G1678" s="11" t="n">
        <v>-2.66</v>
      </c>
      <c r="H1678" s="11">
        <f>H1677+G1678</f>
        <v/>
      </c>
    </row>
    <row r="1679">
      <c r="A1679" s="9" t="n">
        <v>1675</v>
      </c>
      <c r="B1679" s="9" t="inlineStr">
        <is>
          <t>Aurelius_M15</t>
        </is>
      </c>
      <c r="C1679" s="9" t="inlineStr">
        <is>
          <t>MA alignment (EMA21&gt;EMA50&gt;SMA250&gt;SMMA500 vs EMA2400 trend filter) - M15 chart</t>
        </is>
      </c>
      <c r="D1679" s="9" t="inlineStr">
        <is>
          <t>Long</t>
        </is>
      </c>
      <c r="E1679" s="10" t="n">
        <v>45223.42708333334</v>
      </c>
      <c r="F1679" s="10" t="n">
        <v>45223.46875</v>
      </c>
      <c r="G1679" s="11" t="n">
        <v>-4.18</v>
      </c>
      <c r="H1679" s="11">
        <f>H1678+G1679</f>
        <v/>
      </c>
    </row>
    <row r="1680">
      <c r="A1680" s="9" t="n">
        <v>1676</v>
      </c>
      <c r="B1680" s="9" t="inlineStr">
        <is>
          <t>Meridian</t>
        </is>
      </c>
      <c r="C1680" s="9" t="inlineStr">
        <is>
          <t>21/50 MA cross, 250-period confirm filter, VWAP</t>
        </is>
      </c>
      <c r="D1680" s="9" t="inlineStr">
        <is>
          <t>Short</t>
        </is>
      </c>
      <c r="E1680" s="10" t="n">
        <v>45223.45833333334</v>
      </c>
      <c r="F1680" s="10" t="n">
        <v>45223.79166666666</v>
      </c>
      <c r="G1680" s="11" t="n">
        <v>5.44</v>
      </c>
      <c r="H1680" s="11">
        <f>H1679+G1680</f>
        <v/>
      </c>
    </row>
    <row r="1681">
      <c r="A1681" s="9" t="n">
        <v>1677</v>
      </c>
      <c r="B1681" s="9" t="inlineStr">
        <is>
          <t>Aurelius_M5</t>
        </is>
      </c>
      <c r="C1681" s="9" t="inlineStr">
        <is>
          <t>MA alignment (EMA21&gt;EMA50&gt;SMA250&gt;SMMA500 vs EMA2400 trend filter)</t>
        </is>
      </c>
      <c r="D1681" s="9" t="inlineStr">
        <is>
          <t>Long</t>
        </is>
      </c>
      <c r="E1681" s="10" t="n">
        <v>45224.14930555555</v>
      </c>
      <c r="F1681" s="10" t="n">
        <v>45224.14930555555</v>
      </c>
      <c r="G1681" s="11" t="n">
        <v>-1.45</v>
      </c>
      <c r="H1681" s="11">
        <f>H1680+G1681</f>
        <v/>
      </c>
    </row>
    <row r="1682">
      <c r="A1682" s="9" t="n">
        <v>1678</v>
      </c>
      <c r="B1682" s="9" t="inlineStr">
        <is>
          <t>Vanguard_M15</t>
        </is>
      </c>
      <c r="C1682" s="9" t="inlineStr">
        <is>
          <t>Trendline breakout (fractal swing line) + VWAP/S-R distance gate - M15 chart</t>
        </is>
      </c>
      <c r="D1682" s="9" t="inlineStr">
        <is>
          <t>Short</t>
        </is>
      </c>
      <c r="E1682" s="10" t="n">
        <v>45223.26041666666</v>
      </c>
      <c r="F1682" s="10" t="n">
        <v>45224.19791666666</v>
      </c>
      <c r="G1682" s="11" t="n">
        <v>-0.28</v>
      </c>
      <c r="H1682" s="11">
        <f>H1681+G1682</f>
        <v/>
      </c>
    </row>
    <row r="1683">
      <c r="A1683" s="9" t="n">
        <v>1679</v>
      </c>
      <c r="B1683" s="9" t="inlineStr">
        <is>
          <t>Vanguard_M5</t>
        </is>
      </c>
      <c r="C1683" s="9" t="inlineStr">
        <is>
          <t>Trendline breakout (fractal swing line) + VWAP/S-R distance gate</t>
        </is>
      </c>
      <c r="D1683" s="9" t="inlineStr">
        <is>
          <t>Short</t>
        </is>
      </c>
      <c r="E1683" s="10" t="n">
        <v>45223.26041666666</v>
      </c>
      <c r="F1683" s="10" t="n">
        <v>45224.20138888889</v>
      </c>
      <c r="G1683" s="11" t="n">
        <v>-0.27</v>
      </c>
      <c r="H1683" s="11">
        <f>H1682+G1683</f>
        <v/>
      </c>
    </row>
    <row r="1684">
      <c r="A1684" s="9" t="n">
        <v>1680</v>
      </c>
      <c r="B1684" s="9" t="inlineStr">
        <is>
          <t>Meridian</t>
        </is>
      </c>
      <c r="C1684" s="9" t="inlineStr">
        <is>
          <t>21/50 MA cross, 250-period confirm filter, VWAP</t>
        </is>
      </c>
      <c r="D1684" s="9" t="inlineStr">
        <is>
          <t>Long</t>
        </is>
      </c>
      <c r="E1684" s="10" t="n">
        <v>45224.12847222222</v>
      </c>
      <c r="F1684" s="10" t="n">
        <v>45224.24305555555</v>
      </c>
      <c r="G1684" s="11" t="n">
        <v>-1.18</v>
      </c>
      <c r="H1684" s="11">
        <f>H1683+G1684</f>
        <v/>
      </c>
    </row>
    <row r="1685">
      <c r="A1685" s="9" t="n">
        <v>1681</v>
      </c>
      <c r="B1685" s="9" t="inlineStr">
        <is>
          <t>Aurelius_M5</t>
        </is>
      </c>
      <c r="C1685" s="9" t="inlineStr">
        <is>
          <t>MA alignment (EMA21&gt;EMA50&gt;SMA250&gt;SMMA500 vs EMA2400 trend filter)</t>
        </is>
      </c>
      <c r="D1685" s="9" t="inlineStr">
        <is>
          <t>Long</t>
        </is>
      </c>
      <c r="E1685" s="10" t="n">
        <v>45224.16666666666</v>
      </c>
      <c r="F1685" s="10" t="n">
        <v>45224.24305555555</v>
      </c>
      <c r="G1685" s="11" t="n">
        <v>-2.3</v>
      </c>
      <c r="H1685" s="11">
        <f>H1684+G1685</f>
        <v/>
      </c>
    </row>
    <row r="1686">
      <c r="A1686" s="9" t="n">
        <v>1682</v>
      </c>
      <c r="B1686" s="9" t="inlineStr">
        <is>
          <t>Meridian</t>
        </is>
      </c>
      <c r="C1686" s="9" t="inlineStr">
        <is>
          <t>21/50 MA cross, 250-period confirm filter, VWAP</t>
        </is>
      </c>
      <c r="D1686" s="9" t="inlineStr">
        <is>
          <t>Long</t>
        </is>
      </c>
      <c r="E1686" s="10" t="n">
        <v>45224.31597222222</v>
      </c>
      <c r="F1686" s="10" t="n">
        <v>45224.32638888889</v>
      </c>
      <c r="G1686" s="11" t="n">
        <v>-2.14</v>
      </c>
      <c r="H1686" s="11">
        <f>H1685+G1686</f>
        <v/>
      </c>
    </row>
    <row r="1687">
      <c r="A1687" s="9" t="n">
        <v>1683</v>
      </c>
      <c r="B1687" s="9" t="inlineStr">
        <is>
          <t>Meridian</t>
        </is>
      </c>
      <c r="C1687" s="9" t="inlineStr">
        <is>
          <t>21/50 MA cross, 250-period confirm filter, VWAP</t>
        </is>
      </c>
      <c r="D1687" s="9" t="inlineStr">
        <is>
          <t>Long</t>
        </is>
      </c>
      <c r="E1687" s="10" t="n">
        <v>45224.38888888889</v>
      </c>
      <c r="F1687" s="10" t="n">
        <v>45224.39930555555</v>
      </c>
      <c r="G1687" s="11" t="n">
        <v>-2.25</v>
      </c>
      <c r="H1687" s="11">
        <f>H1686+G1687</f>
        <v/>
      </c>
    </row>
    <row r="1688">
      <c r="A1688" s="9" t="n">
        <v>1684</v>
      </c>
      <c r="B1688" s="9" t="inlineStr">
        <is>
          <t>Vanguard_M5</t>
        </is>
      </c>
      <c r="C1688" s="9" t="inlineStr">
        <is>
          <t>Trendline breakout (fractal swing line) + VWAP/S-R distance gate</t>
        </is>
      </c>
      <c r="D1688" s="9" t="inlineStr">
        <is>
          <t>Long</t>
        </is>
      </c>
      <c r="E1688" s="10" t="n">
        <v>45224.39236111111</v>
      </c>
      <c r="F1688" s="10" t="n">
        <v>45224.40972222222</v>
      </c>
      <c r="G1688" s="11" t="n">
        <v>-3.64</v>
      </c>
      <c r="H1688" s="11">
        <f>H1687+G1688</f>
        <v/>
      </c>
    </row>
    <row r="1689">
      <c r="A1689" s="9" t="n">
        <v>1685</v>
      </c>
      <c r="B1689" s="9" t="inlineStr">
        <is>
          <t>Meridian</t>
        </is>
      </c>
      <c r="C1689" s="9" t="inlineStr">
        <is>
          <t>21/50 MA cross, 250-period confirm filter, VWAP</t>
        </is>
      </c>
      <c r="D1689" s="9" t="inlineStr">
        <is>
          <t>Long</t>
        </is>
      </c>
      <c r="E1689" s="10" t="n">
        <v>45224.58333333334</v>
      </c>
      <c r="F1689" s="10" t="n">
        <v>45224.75</v>
      </c>
      <c r="G1689" s="11" t="n">
        <v>-2.49</v>
      </c>
      <c r="H1689" s="11">
        <f>H1688+G1689</f>
        <v/>
      </c>
    </row>
    <row r="1690">
      <c r="A1690" s="9" t="n">
        <v>1686</v>
      </c>
      <c r="B1690" s="9" t="inlineStr">
        <is>
          <t>Vanguard_M5</t>
        </is>
      </c>
      <c r="C1690" s="9" t="inlineStr">
        <is>
          <t>Trendline breakout (fractal swing line) + VWAP/S-R distance gate</t>
        </is>
      </c>
      <c r="D1690" s="9" t="inlineStr">
        <is>
          <t>Long</t>
        </is>
      </c>
      <c r="E1690" s="10" t="n">
        <v>45224.60763888889</v>
      </c>
      <c r="F1690" s="10" t="n">
        <v>45224.75</v>
      </c>
      <c r="G1690" s="11" t="n">
        <v>-3.99</v>
      </c>
      <c r="H1690" s="11">
        <f>H1689+G1690</f>
        <v/>
      </c>
    </row>
    <row r="1691">
      <c r="A1691" s="9" t="n">
        <v>1687</v>
      </c>
      <c r="B1691" s="9" t="inlineStr">
        <is>
          <t>Aurelius_M5</t>
        </is>
      </c>
      <c r="C1691" s="9" t="inlineStr">
        <is>
          <t>MA alignment (EMA21&gt;EMA50&gt;SMA250&gt;SMMA500 vs EMA2400 trend filter)</t>
        </is>
      </c>
      <c r="D1691" s="9" t="inlineStr">
        <is>
          <t>Long</t>
        </is>
      </c>
      <c r="E1691" s="10" t="n">
        <v>45224.61111111111</v>
      </c>
      <c r="F1691" s="10" t="n">
        <v>45224.75</v>
      </c>
      <c r="G1691" s="11" t="n">
        <v>-2.58</v>
      </c>
      <c r="H1691" s="11">
        <f>H1690+G1691</f>
        <v/>
      </c>
    </row>
    <row r="1692">
      <c r="A1692" s="9" t="n">
        <v>1688</v>
      </c>
      <c r="B1692" s="9" t="inlineStr">
        <is>
          <t>Vanguard_M15</t>
        </is>
      </c>
      <c r="C1692" s="9" t="inlineStr">
        <is>
          <t>Trendline breakout (fractal swing line) + VWAP/S-R distance gate - M15 chart</t>
        </is>
      </c>
      <c r="D1692" s="9" t="inlineStr">
        <is>
          <t>Long</t>
        </is>
      </c>
      <c r="E1692" s="10" t="n">
        <v>45224.61458333334</v>
      </c>
      <c r="F1692" s="10" t="n">
        <v>45224.75</v>
      </c>
      <c r="G1692" s="11" t="n">
        <v>-5.95</v>
      </c>
      <c r="H1692" s="11">
        <f>H1691+G1692</f>
        <v/>
      </c>
    </row>
    <row r="1693">
      <c r="A1693" s="9" t="n">
        <v>1689</v>
      </c>
      <c r="B1693" s="9" t="inlineStr">
        <is>
          <t>Aurelius_M15</t>
        </is>
      </c>
      <c r="C1693" s="9" t="inlineStr">
        <is>
          <t>MA alignment (EMA21&gt;EMA50&gt;SMA250&gt;SMMA500 vs EMA2400 trend filter) - M15 chart</t>
        </is>
      </c>
      <c r="D1693" s="9" t="inlineStr">
        <is>
          <t>Long</t>
        </is>
      </c>
      <c r="E1693" s="10" t="n">
        <v>45224.66666666666</v>
      </c>
      <c r="F1693" s="10" t="n">
        <v>45224.75</v>
      </c>
      <c r="G1693" s="11" t="n">
        <v>-5.57</v>
      </c>
      <c r="H1693" s="11">
        <f>H1692+G1693</f>
        <v/>
      </c>
    </row>
    <row r="1694">
      <c r="A1694" s="9" t="n">
        <v>1690</v>
      </c>
      <c r="B1694" s="9" t="inlineStr">
        <is>
          <t>Ratchet</t>
        </is>
      </c>
      <c r="C1694" s="9" t="inlineStr">
        <is>
          <t>Stochastic scalp with give-back trail exit</t>
        </is>
      </c>
      <c r="D1694" s="9" t="inlineStr">
        <is>
          <t>Long</t>
        </is>
      </c>
      <c r="E1694" s="10" t="n">
        <v>45224.85763888889</v>
      </c>
      <c r="F1694" s="10" t="n">
        <v>45224.86805555555</v>
      </c>
      <c r="G1694" s="11" t="n">
        <v>0</v>
      </c>
      <c r="H1694" s="11">
        <f>H1693+G1694</f>
        <v/>
      </c>
    </row>
    <row r="1695">
      <c r="A1695" s="9" t="n">
        <v>1691</v>
      </c>
      <c r="B1695" s="9" t="inlineStr">
        <is>
          <t>Aurelius_M5</t>
        </is>
      </c>
      <c r="C1695" s="9" t="inlineStr">
        <is>
          <t>MA alignment (EMA21&gt;EMA50&gt;SMA250&gt;SMMA500 vs EMA2400 trend filter)</t>
        </is>
      </c>
      <c r="D1695" s="9" t="inlineStr">
        <is>
          <t>Long</t>
        </is>
      </c>
      <c r="E1695" s="10" t="n">
        <v>45224.84722222222</v>
      </c>
      <c r="F1695" s="10" t="n">
        <v>45224.97569444445</v>
      </c>
      <c r="G1695" s="11" t="n">
        <v>-2.38</v>
      </c>
      <c r="H1695" s="11">
        <f>H1694+G1695</f>
        <v/>
      </c>
    </row>
    <row r="1696">
      <c r="A1696" s="9" t="n">
        <v>1692</v>
      </c>
      <c r="B1696" s="9" t="inlineStr">
        <is>
          <t>Meridian</t>
        </is>
      </c>
      <c r="C1696" s="9" t="inlineStr">
        <is>
          <t>21/50 MA cross, 250-period confirm filter, VWAP</t>
        </is>
      </c>
      <c r="D1696" s="9" t="inlineStr">
        <is>
          <t>Long</t>
        </is>
      </c>
      <c r="E1696" s="10" t="n">
        <v>45225.05902777778</v>
      </c>
      <c r="F1696" s="10" t="n">
        <v>45225.06944444445</v>
      </c>
      <c r="G1696" s="11" t="n">
        <v>-2.52</v>
      </c>
      <c r="H1696" s="11">
        <f>H1695+G1696</f>
        <v/>
      </c>
    </row>
    <row r="1697">
      <c r="A1697" s="9" t="n">
        <v>1693</v>
      </c>
      <c r="B1697" s="9" t="inlineStr">
        <is>
          <t>Ratchet</t>
        </is>
      </c>
      <c r="C1697" s="9" t="inlineStr">
        <is>
          <t>Stochastic scalp with give-back trail exit</t>
        </is>
      </c>
      <c r="D1697" s="9" t="inlineStr">
        <is>
          <t>Long</t>
        </is>
      </c>
      <c r="E1697" s="10" t="n">
        <v>45225.09375</v>
      </c>
      <c r="F1697" s="10" t="n">
        <v>45225.10069444445</v>
      </c>
      <c r="G1697" s="11" t="n">
        <v>0.16</v>
      </c>
      <c r="H1697" s="11">
        <f>H1696+G1697</f>
        <v/>
      </c>
    </row>
    <row r="1698">
      <c r="A1698" s="9" t="n">
        <v>1694</v>
      </c>
      <c r="B1698" s="9" t="inlineStr">
        <is>
          <t>Aurelius_M5</t>
        </is>
      </c>
      <c r="C1698" s="9" t="inlineStr">
        <is>
          <t>MA alignment (EMA21&gt;EMA50&gt;SMA250&gt;SMMA500 vs EMA2400 trend filter)</t>
        </is>
      </c>
      <c r="D1698" s="9" t="inlineStr">
        <is>
          <t>Long</t>
        </is>
      </c>
      <c r="E1698" s="10" t="n">
        <v>45225.46180555555</v>
      </c>
      <c r="F1698" s="10" t="n">
        <v>45225.56597222222</v>
      </c>
      <c r="G1698" s="11" t="n">
        <v>-3.09</v>
      </c>
      <c r="H1698" s="11">
        <f>H1697+G1698</f>
        <v/>
      </c>
    </row>
    <row r="1699">
      <c r="A1699" s="9" t="n">
        <v>1695</v>
      </c>
      <c r="B1699" s="9" t="inlineStr">
        <is>
          <t>Meridian</t>
        </is>
      </c>
      <c r="C1699" s="9" t="inlineStr">
        <is>
          <t>21/50 MA cross, 250-period confirm filter, VWAP</t>
        </is>
      </c>
      <c r="D1699" s="9" t="inlineStr">
        <is>
          <t>Long</t>
        </is>
      </c>
      <c r="E1699" s="10" t="n">
        <v>45225.43402777778</v>
      </c>
      <c r="F1699" s="10" t="n">
        <v>45225.58333333334</v>
      </c>
      <c r="G1699" s="11" t="n">
        <v>0.03</v>
      </c>
      <c r="H1699" s="11">
        <f>H1698+G1699</f>
        <v/>
      </c>
    </row>
    <row r="1700">
      <c r="A1700" s="9" t="n">
        <v>1696</v>
      </c>
      <c r="B1700" s="9" t="inlineStr">
        <is>
          <t>Aurelius_M15</t>
        </is>
      </c>
      <c r="C1700" s="9" t="inlineStr">
        <is>
          <t>MA alignment (EMA21&gt;EMA50&gt;SMA250&gt;SMMA500 vs EMA2400 trend filter) - M15 chart</t>
        </is>
      </c>
      <c r="D1700" s="9" t="inlineStr">
        <is>
          <t>Long</t>
        </is>
      </c>
      <c r="E1700" s="10" t="n">
        <v>45224.80208333334</v>
      </c>
      <c r="F1700" s="10" t="n">
        <v>45225.6875</v>
      </c>
      <c r="G1700" s="11" t="n">
        <v>-5.32</v>
      </c>
      <c r="H1700" s="11">
        <f>H1699+G1700</f>
        <v/>
      </c>
    </row>
    <row r="1701">
      <c r="A1701" s="9" t="n">
        <v>1697</v>
      </c>
      <c r="B1701" s="9" t="inlineStr">
        <is>
          <t>Vanguard_M5</t>
        </is>
      </c>
      <c r="C1701" s="9" t="inlineStr">
        <is>
          <t>Trendline breakout (fractal swing line) + VWAP/S-R distance gate</t>
        </is>
      </c>
      <c r="D1701" s="9" t="inlineStr">
        <is>
          <t>Long</t>
        </is>
      </c>
      <c r="E1701" s="10" t="n">
        <v>45224.76041666666</v>
      </c>
      <c r="F1701" s="10" t="n">
        <v>45225.71527777778</v>
      </c>
      <c r="G1701" s="11" t="n">
        <v>-0.02</v>
      </c>
      <c r="H1701" s="11">
        <f>H1700+G1701</f>
        <v/>
      </c>
    </row>
    <row r="1702">
      <c r="A1702" s="9" t="n">
        <v>1698</v>
      </c>
      <c r="B1702" s="9" t="inlineStr">
        <is>
          <t>Ratchet</t>
        </is>
      </c>
      <c r="C1702" s="9" t="inlineStr">
        <is>
          <t>Stochastic scalp with give-back trail exit</t>
        </is>
      </c>
      <c r="D1702" s="9" t="inlineStr">
        <is>
          <t>Long</t>
        </is>
      </c>
      <c r="E1702" s="10" t="n">
        <v>45226.09722222222</v>
      </c>
      <c r="F1702" s="10" t="n">
        <v>45226.10416666666</v>
      </c>
      <c r="G1702" s="11" t="n">
        <v>-0.93</v>
      </c>
      <c r="H1702" s="11">
        <f>H1701+G1702</f>
        <v/>
      </c>
    </row>
    <row r="1703">
      <c r="A1703" s="9" t="n">
        <v>1699</v>
      </c>
      <c r="B1703" s="9" t="inlineStr">
        <is>
          <t>Meridian</t>
        </is>
      </c>
      <c r="C1703" s="9" t="inlineStr">
        <is>
          <t>21/50 MA cross, 250-period confirm filter, VWAP</t>
        </is>
      </c>
      <c r="D1703" s="9" t="inlineStr">
        <is>
          <t>Long</t>
        </is>
      </c>
      <c r="E1703" s="10" t="n">
        <v>45225.8125</v>
      </c>
      <c r="F1703" s="10" t="n">
        <v>45226.13194444445</v>
      </c>
      <c r="G1703" s="11" t="n">
        <v>-2.36</v>
      </c>
      <c r="H1703" s="11">
        <f>H1702+G1703</f>
        <v/>
      </c>
    </row>
    <row r="1704">
      <c r="A1704" s="9" t="n">
        <v>1700</v>
      </c>
      <c r="B1704" s="9" t="inlineStr">
        <is>
          <t>Ratchet</t>
        </is>
      </c>
      <c r="C1704" s="9" t="inlineStr">
        <is>
          <t>Stochastic scalp with give-back trail exit</t>
        </is>
      </c>
      <c r="D1704" s="9" t="inlineStr">
        <is>
          <t>Long</t>
        </is>
      </c>
      <c r="E1704" s="10" t="n">
        <v>45226.26041666666</v>
      </c>
      <c r="F1704" s="10" t="n">
        <v>45226.33680555555</v>
      </c>
      <c r="G1704" s="11" t="n">
        <v>0.46</v>
      </c>
      <c r="H1704" s="11">
        <f>H1703+G1704</f>
        <v/>
      </c>
    </row>
    <row r="1705">
      <c r="A1705" s="9" t="n">
        <v>1701</v>
      </c>
      <c r="B1705" s="9" t="inlineStr">
        <is>
          <t>Ratchet</t>
        </is>
      </c>
      <c r="C1705" s="9" t="inlineStr">
        <is>
          <t>Stochastic scalp with give-back trail exit</t>
        </is>
      </c>
      <c r="D1705" s="9" t="inlineStr">
        <is>
          <t>Long</t>
        </is>
      </c>
      <c r="E1705" s="10" t="n">
        <v>45226.37847222222</v>
      </c>
      <c r="F1705" s="10" t="n">
        <v>45226.38194444445</v>
      </c>
      <c r="G1705" s="11" t="n">
        <v>0</v>
      </c>
      <c r="H1705" s="11">
        <f>H1704+G1705</f>
        <v/>
      </c>
    </row>
    <row r="1706">
      <c r="A1706" s="9" t="n">
        <v>1702</v>
      </c>
      <c r="B1706" s="9" t="inlineStr">
        <is>
          <t>Aurelius_M5</t>
        </is>
      </c>
      <c r="C1706" s="9" t="inlineStr">
        <is>
          <t>MA alignment (EMA21&gt;EMA50&gt;SMA250&gt;SMMA500 vs EMA2400 trend filter)</t>
        </is>
      </c>
      <c r="D1706" s="9" t="inlineStr">
        <is>
          <t>Long</t>
        </is>
      </c>
      <c r="E1706" s="10" t="n">
        <v>45226.375</v>
      </c>
      <c r="F1706" s="10" t="n">
        <v>45226.38888888889</v>
      </c>
      <c r="G1706" s="11" t="n">
        <v>-2.05</v>
      </c>
      <c r="H1706" s="11">
        <f>H1705+G1706</f>
        <v/>
      </c>
    </row>
    <row r="1707">
      <c r="A1707" s="9" t="n">
        <v>1703</v>
      </c>
      <c r="B1707" s="9" t="inlineStr">
        <is>
          <t>Meridian</t>
        </is>
      </c>
      <c r="C1707" s="9" t="inlineStr">
        <is>
          <t>21/50 MA cross, 250-period confirm filter, VWAP</t>
        </is>
      </c>
      <c r="D1707" s="9" t="inlineStr">
        <is>
          <t>Long</t>
        </is>
      </c>
      <c r="E1707" s="10" t="n">
        <v>45226.20138888889</v>
      </c>
      <c r="F1707" s="10" t="n">
        <v>45226.46180555555</v>
      </c>
      <c r="G1707" s="11" t="n">
        <v>0.87</v>
      </c>
      <c r="H1707" s="11">
        <f>H1706+G1707</f>
        <v/>
      </c>
    </row>
    <row r="1708">
      <c r="A1708" s="9" t="n">
        <v>1704</v>
      </c>
      <c r="B1708" s="9" t="inlineStr">
        <is>
          <t>Vanguard_M5</t>
        </is>
      </c>
      <c r="C1708" s="9" t="inlineStr">
        <is>
          <t>Trendline breakout (fractal swing line) + VWAP/S-R distance gate</t>
        </is>
      </c>
      <c r="D1708" s="9" t="inlineStr">
        <is>
          <t>Short</t>
        </is>
      </c>
      <c r="E1708" s="10" t="n">
        <v>45226.66319444445</v>
      </c>
      <c r="F1708" s="10" t="n">
        <v>45226.84375</v>
      </c>
      <c r="G1708" s="11" t="n">
        <v>-7.27</v>
      </c>
      <c r="H1708" s="11">
        <f>H1707+G1708</f>
        <v/>
      </c>
    </row>
    <row r="1709">
      <c r="A1709" s="9" t="n">
        <v>1705</v>
      </c>
      <c r="B1709" s="9" t="inlineStr">
        <is>
          <t>Vanguard_M15</t>
        </is>
      </c>
      <c r="C1709" s="9" t="inlineStr">
        <is>
          <t>Trendline breakout (fractal swing line) + VWAP/S-R distance gate - M15 chart</t>
        </is>
      </c>
      <c r="D1709" s="9" t="inlineStr">
        <is>
          <t>Short</t>
        </is>
      </c>
      <c r="E1709" s="10" t="n">
        <v>45226.66666666666</v>
      </c>
      <c r="F1709" s="10" t="n">
        <v>45226.84375</v>
      </c>
      <c r="G1709" s="11" t="n">
        <v>-7.71</v>
      </c>
      <c r="H1709" s="11">
        <f>H1708+G1709</f>
        <v/>
      </c>
    </row>
    <row r="1710">
      <c r="A1710" s="9" t="n">
        <v>1706</v>
      </c>
      <c r="B1710" s="9" t="inlineStr">
        <is>
          <t>Meridian</t>
        </is>
      </c>
      <c r="C1710" s="9" t="inlineStr">
        <is>
          <t>21/50 MA cross, 250-period confirm filter, VWAP</t>
        </is>
      </c>
      <c r="D1710" s="9" t="inlineStr">
        <is>
          <t>Long</t>
        </is>
      </c>
      <c r="E1710" s="10" t="n">
        <v>45226.84722222222</v>
      </c>
      <c r="F1710" s="10" t="n">
        <v>45226.91666666666</v>
      </c>
      <c r="G1710" s="11" t="n">
        <v>18.4</v>
      </c>
      <c r="H1710" s="11">
        <f>H1709+G1710</f>
        <v/>
      </c>
    </row>
    <row r="1711">
      <c r="A1711" s="9" t="n">
        <v>1707</v>
      </c>
      <c r="B1711" s="9" t="inlineStr">
        <is>
          <t>Ratchet</t>
        </is>
      </c>
      <c r="C1711" s="9" t="inlineStr">
        <is>
          <t>Stochastic scalp with give-back trail exit</t>
        </is>
      </c>
      <c r="D1711" s="9" t="inlineStr">
        <is>
          <t>Long</t>
        </is>
      </c>
      <c r="E1711" s="10" t="n">
        <v>45229.09375</v>
      </c>
      <c r="F1711" s="10" t="n">
        <v>45229.09722222222</v>
      </c>
      <c r="G1711" s="11" t="n">
        <v>-1.6</v>
      </c>
      <c r="H1711" s="11">
        <f>H1710+G1711</f>
        <v/>
      </c>
    </row>
    <row r="1712">
      <c r="A1712" s="9" t="n">
        <v>1708</v>
      </c>
      <c r="B1712" s="9" t="inlineStr">
        <is>
          <t>Ratchet</t>
        </is>
      </c>
      <c r="C1712" s="9" t="inlineStr">
        <is>
          <t>Stochastic scalp with give-back trail exit</t>
        </is>
      </c>
      <c r="D1712" s="9" t="inlineStr">
        <is>
          <t>Long</t>
        </is>
      </c>
      <c r="E1712" s="10" t="n">
        <v>45229.12847222222</v>
      </c>
      <c r="F1712" s="10" t="n">
        <v>45229.13888888889</v>
      </c>
      <c r="G1712" s="11" t="n">
        <v>-2.22</v>
      </c>
      <c r="H1712" s="11">
        <f>H1711+G1712</f>
        <v/>
      </c>
    </row>
    <row r="1713">
      <c r="A1713" s="9" t="n">
        <v>1709</v>
      </c>
      <c r="B1713" s="9" t="inlineStr">
        <is>
          <t>Aurelius_M5</t>
        </is>
      </c>
      <c r="C1713" s="9" t="inlineStr">
        <is>
          <t>MA alignment (EMA21&gt;EMA50&gt;SMA250&gt;SMMA500 vs EMA2400 trend filter)</t>
        </is>
      </c>
      <c r="D1713" s="9" t="inlineStr">
        <is>
          <t>Long</t>
        </is>
      </c>
      <c r="E1713" s="10" t="n">
        <v>45229.12847222222</v>
      </c>
      <c r="F1713" s="10" t="n">
        <v>45229.21875</v>
      </c>
      <c r="G1713" s="11" t="n">
        <v>-3.38</v>
      </c>
      <c r="H1713" s="11">
        <f>H1712+G1713</f>
        <v/>
      </c>
    </row>
    <row r="1714">
      <c r="A1714" s="9" t="n">
        <v>1710</v>
      </c>
      <c r="B1714" s="9" t="inlineStr">
        <is>
          <t>Ratchet</t>
        </is>
      </c>
      <c r="C1714" s="9" t="inlineStr">
        <is>
          <t>Stochastic scalp with give-back trail exit</t>
        </is>
      </c>
      <c r="D1714" s="9" t="inlineStr">
        <is>
          <t>Long</t>
        </is>
      </c>
      <c r="E1714" s="10" t="n">
        <v>45229.67708333334</v>
      </c>
      <c r="F1714" s="10" t="n">
        <v>45229.69097222222</v>
      </c>
      <c r="G1714" s="11" t="n">
        <v>-3.7</v>
      </c>
      <c r="H1714" s="11">
        <f>H1713+G1714</f>
        <v/>
      </c>
    </row>
    <row r="1715">
      <c r="A1715" s="9" t="n">
        <v>1711</v>
      </c>
      <c r="B1715" s="9" t="inlineStr">
        <is>
          <t>Vanguard_M15</t>
        </is>
      </c>
      <c r="C1715" s="9" t="inlineStr">
        <is>
          <t>Trendline breakout (fractal swing line) + VWAP/S-R distance gate - M15 chart</t>
        </is>
      </c>
      <c r="D1715" s="9" t="inlineStr">
        <is>
          <t>Long</t>
        </is>
      </c>
      <c r="E1715" s="10" t="n">
        <v>45226.85416666666</v>
      </c>
      <c r="F1715" s="10" t="n">
        <v>45229.79166666666</v>
      </c>
      <c r="G1715" s="11" t="n">
        <v>9.24</v>
      </c>
      <c r="H1715" s="11">
        <f>H1714+G1715</f>
        <v/>
      </c>
    </row>
    <row r="1716">
      <c r="A1716" s="9" t="n">
        <v>1712</v>
      </c>
      <c r="B1716" s="9" t="inlineStr">
        <is>
          <t>Vanguard_M5</t>
        </is>
      </c>
      <c r="C1716" s="9" t="inlineStr">
        <is>
          <t>Trendline breakout (fractal swing line) + VWAP/S-R distance gate</t>
        </is>
      </c>
      <c r="D1716" s="9" t="inlineStr">
        <is>
          <t>Long</t>
        </is>
      </c>
      <c r="E1716" s="10" t="n">
        <v>45226.85416666666</v>
      </c>
      <c r="F1716" s="10" t="n">
        <v>45229.79861111111</v>
      </c>
      <c r="G1716" s="11" t="n">
        <v>9.24</v>
      </c>
      <c r="H1716" s="11">
        <f>H1715+G1716</f>
        <v/>
      </c>
    </row>
    <row r="1717">
      <c r="A1717" s="9" t="n">
        <v>1713</v>
      </c>
      <c r="B1717" s="9" t="inlineStr">
        <is>
          <t>Meridian</t>
        </is>
      </c>
      <c r="C1717" s="9" t="inlineStr">
        <is>
          <t>21/50 MA cross, 250-period confirm filter, VWAP</t>
        </is>
      </c>
      <c r="D1717" s="9" t="inlineStr">
        <is>
          <t>Short</t>
        </is>
      </c>
      <c r="E1717" s="10" t="n">
        <v>45229.81597222222</v>
      </c>
      <c r="F1717" s="10" t="n">
        <v>45229.81944444445</v>
      </c>
      <c r="G1717" s="11" t="n">
        <v>-2.05</v>
      </c>
      <c r="H1717" s="11">
        <f>H1716+G1717</f>
        <v/>
      </c>
    </row>
    <row r="1718">
      <c r="A1718" s="9" t="n">
        <v>1714</v>
      </c>
      <c r="B1718" s="9" t="inlineStr">
        <is>
          <t>Meridian</t>
        </is>
      </c>
      <c r="C1718" s="9" t="inlineStr">
        <is>
          <t>21/50 MA cross, 250-period confirm filter, VWAP</t>
        </is>
      </c>
      <c r="D1718" s="9" t="inlineStr">
        <is>
          <t>Short</t>
        </is>
      </c>
      <c r="E1718" s="10" t="n">
        <v>45229.86805555555</v>
      </c>
      <c r="F1718" s="10" t="n">
        <v>45230.17013888889</v>
      </c>
      <c r="G1718" s="11" t="n">
        <v>1.06</v>
      </c>
      <c r="H1718" s="11">
        <f>H1717+G1718</f>
        <v/>
      </c>
    </row>
    <row r="1719">
      <c r="A1719" s="9" t="n">
        <v>1715</v>
      </c>
      <c r="B1719" s="9" t="inlineStr">
        <is>
          <t>Vanguard_M5</t>
        </is>
      </c>
      <c r="C1719" s="9" t="inlineStr">
        <is>
          <t>Trendline breakout (fractal swing line) + VWAP/S-R distance gate</t>
        </is>
      </c>
      <c r="D1719" s="9" t="inlineStr">
        <is>
          <t>Short</t>
        </is>
      </c>
      <c r="E1719" s="10" t="n">
        <v>45229.80208333334</v>
      </c>
      <c r="F1719" s="10" t="n">
        <v>45230.375</v>
      </c>
      <c r="G1719" s="11" t="n">
        <v>1.23</v>
      </c>
      <c r="H1719" s="11">
        <f>H1718+G1719</f>
        <v/>
      </c>
    </row>
    <row r="1720">
      <c r="A1720" s="9" t="n">
        <v>1716</v>
      </c>
      <c r="B1720" s="9" t="inlineStr">
        <is>
          <t>Vanguard_M15</t>
        </is>
      </c>
      <c r="C1720" s="9" t="inlineStr">
        <is>
          <t>Trendline breakout (fractal swing line) + VWAP/S-R distance gate - M15 chart</t>
        </is>
      </c>
      <c r="D1720" s="9" t="inlineStr">
        <is>
          <t>Short</t>
        </is>
      </c>
      <c r="E1720" s="10" t="n">
        <v>45229.80208333334</v>
      </c>
      <c r="F1720" s="10" t="n">
        <v>45230.38541666666</v>
      </c>
      <c r="G1720" s="11" t="n">
        <v>1.61</v>
      </c>
      <c r="H1720" s="11">
        <f>H1719+G1720</f>
        <v/>
      </c>
    </row>
    <row r="1721">
      <c r="A1721" s="9" t="n">
        <v>1717</v>
      </c>
      <c r="B1721" s="9" t="inlineStr">
        <is>
          <t>Ratchet</t>
        </is>
      </c>
      <c r="C1721" s="9" t="inlineStr">
        <is>
          <t>Stochastic scalp with give-back trail exit</t>
        </is>
      </c>
      <c r="D1721" s="9" t="inlineStr">
        <is>
          <t>Long</t>
        </is>
      </c>
      <c r="E1721" s="10" t="n">
        <v>45230.45486111111</v>
      </c>
      <c r="F1721" s="10" t="n">
        <v>45230.49305555555</v>
      </c>
      <c r="G1721" s="11" t="n">
        <v>0</v>
      </c>
      <c r="H1721" s="11">
        <f>H1720+G1721</f>
        <v/>
      </c>
    </row>
    <row r="1722">
      <c r="A1722" s="9" t="n">
        <v>1718</v>
      </c>
      <c r="B1722" s="9" t="inlineStr">
        <is>
          <t>Ratchet</t>
        </is>
      </c>
      <c r="C1722" s="9" t="inlineStr">
        <is>
          <t>Stochastic scalp with give-back trail exit</t>
        </is>
      </c>
      <c r="D1722" s="9" t="inlineStr">
        <is>
          <t>Long</t>
        </is>
      </c>
      <c r="E1722" s="10" t="n">
        <v>45230.51041666666</v>
      </c>
      <c r="F1722" s="10" t="n">
        <v>45230.51388888889</v>
      </c>
      <c r="G1722" s="11" t="n">
        <v>0.15</v>
      </c>
      <c r="H1722" s="11">
        <f>H1721+G1722</f>
        <v/>
      </c>
    </row>
    <row r="1723">
      <c r="A1723" s="9" t="n">
        <v>1719</v>
      </c>
      <c r="B1723" s="9" t="inlineStr">
        <is>
          <t>Ratchet</t>
        </is>
      </c>
      <c r="C1723" s="9" t="inlineStr">
        <is>
          <t>Stochastic scalp with give-back trail exit</t>
        </is>
      </c>
      <c r="D1723" s="9" t="inlineStr">
        <is>
          <t>Long</t>
        </is>
      </c>
      <c r="E1723" s="10" t="n">
        <v>45230.57986111111</v>
      </c>
      <c r="F1723" s="10" t="n">
        <v>45230.59027777778</v>
      </c>
      <c r="G1723" s="11" t="n">
        <v>0</v>
      </c>
      <c r="H1723" s="11">
        <f>H1722+G1723</f>
        <v/>
      </c>
    </row>
    <row r="1724">
      <c r="A1724" s="9" t="n">
        <v>1720</v>
      </c>
      <c r="B1724" s="9" t="inlineStr">
        <is>
          <t>Meridian</t>
        </is>
      </c>
      <c r="C1724" s="9" t="inlineStr">
        <is>
          <t>21/50 MA cross, 250-period confirm filter, VWAP</t>
        </is>
      </c>
      <c r="D1724" s="9" t="inlineStr">
        <is>
          <t>Long</t>
        </is>
      </c>
      <c r="E1724" s="10" t="n">
        <v>45230.37847222222</v>
      </c>
      <c r="F1724" s="10" t="n">
        <v>45230.64583333334</v>
      </c>
      <c r="G1724" s="11" t="n">
        <v>-0.09</v>
      </c>
      <c r="H1724" s="11">
        <f>H1723+G1724</f>
        <v/>
      </c>
    </row>
    <row r="1725">
      <c r="A1725" s="9" t="n">
        <v>1721</v>
      </c>
      <c r="B1725" s="9" t="inlineStr">
        <is>
          <t>Aurelius_M5</t>
        </is>
      </c>
      <c r="C1725" s="9" t="inlineStr">
        <is>
          <t>MA alignment (EMA21&gt;EMA50&gt;SMA250&gt;SMMA500 vs EMA2400 trend filter)</t>
        </is>
      </c>
      <c r="D1725" s="9" t="inlineStr">
        <is>
          <t>Long</t>
        </is>
      </c>
      <c r="E1725" s="10" t="n">
        <v>45230.68402777778</v>
      </c>
      <c r="F1725" s="10" t="n">
        <v>45230.70138888889</v>
      </c>
      <c r="G1725" s="11" t="n">
        <v>-5.45</v>
      </c>
      <c r="H1725" s="11">
        <f>H1724+G1725</f>
        <v/>
      </c>
    </row>
    <row r="1726">
      <c r="A1726" s="9" t="n">
        <v>1722</v>
      </c>
      <c r="B1726" s="9" t="inlineStr">
        <is>
          <t>Aurelius_M15</t>
        </is>
      </c>
      <c r="C1726" s="9" t="inlineStr">
        <is>
          <t>MA alignment (EMA21&gt;EMA50&gt;SMA250&gt;SMMA500 vs EMA2400 trend filter) - M15 chart</t>
        </is>
      </c>
      <c r="D1726" s="9" t="inlineStr">
        <is>
          <t>Long</t>
        </is>
      </c>
      <c r="E1726" s="10" t="n">
        <v>45230.61458333334</v>
      </c>
      <c r="F1726" s="10" t="n">
        <v>45230.70833333334</v>
      </c>
      <c r="G1726" s="11" t="n">
        <v>-4.48</v>
      </c>
      <c r="H1726" s="11">
        <f>H1725+G1726</f>
        <v/>
      </c>
    </row>
    <row r="1727">
      <c r="A1727" s="9" t="n">
        <v>1723</v>
      </c>
      <c r="B1727" s="9" t="inlineStr">
        <is>
          <t>Meridian</t>
        </is>
      </c>
      <c r="C1727" s="9" t="inlineStr">
        <is>
          <t>21/50 MA cross, 250-period confirm filter, VWAP</t>
        </is>
      </c>
      <c r="D1727" s="9" t="inlineStr">
        <is>
          <t>Long</t>
        </is>
      </c>
      <c r="E1727" s="10" t="n">
        <v>45230.66319444445</v>
      </c>
      <c r="F1727" s="10" t="n">
        <v>45230.70833333334</v>
      </c>
      <c r="G1727" s="11" t="n">
        <v>-4.33</v>
      </c>
      <c r="H1727" s="11">
        <f>H1726+G1727</f>
        <v/>
      </c>
    </row>
    <row r="1728">
      <c r="A1728" s="9" t="n">
        <v>1724</v>
      </c>
      <c r="B1728" s="9" t="inlineStr">
        <is>
          <t>Vanguard_M5</t>
        </is>
      </c>
      <c r="C1728" s="9" t="inlineStr">
        <is>
          <t>Trendline breakout (fractal swing line) + VWAP/S-R distance gate</t>
        </is>
      </c>
      <c r="D1728" s="9" t="inlineStr">
        <is>
          <t>Long</t>
        </is>
      </c>
      <c r="E1728" s="10" t="n">
        <v>45230.37847222222</v>
      </c>
      <c r="F1728" s="10" t="n">
        <v>45230.71527777778</v>
      </c>
      <c r="G1728" s="11" t="n">
        <v>-3.45</v>
      </c>
      <c r="H1728" s="11">
        <f>H1727+G1728</f>
        <v/>
      </c>
    </row>
    <row r="1729">
      <c r="A1729" s="9" t="n">
        <v>1725</v>
      </c>
      <c r="B1729" s="9" t="inlineStr">
        <is>
          <t>Vanguard_M15</t>
        </is>
      </c>
      <c r="C1729" s="9" t="inlineStr">
        <is>
          <t>Trendline breakout (fractal swing line) + VWAP/S-R distance gate - M15 chart</t>
        </is>
      </c>
      <c r="D1729" s="9" t="inlineStr">
        <is>
          <t>Long</t>
        </is>
      </c>
      <c r="E1729" s="10" t="n">
        <v>45230.39583333334</v>
      </c>
      <c r="F1729" s="10" t="n">
        <v>45230.75</v>
      </c>
      <c r="G1729" s="11" t="n">
        <v>-4.41</v>
      </c>
      <c r="H1729" s="11">
        <f>H1728+G1729</f>
        <v/>
      </c>
    </row>
    <row r="1730">
      <c r="A1730" s="9" t="n">
        <v>1726</v>
      </c>
      <c r="B1730" s="9" t="inlineStr">
        <is>
          <t>Meridian</t>
        </is>
      </c>
      <c r="C1730" s="9" t="inlineStr">
        <is>
          <t>21/50 MA cross, 250-period confirm filter, VWAP</t>
        </is>
      </c>
      <c r="D1730" s="9" t="inlineStr">
        <is>
          <t>Short</t>
        </is>
      </c>
      <c r="E1730" s="10" t="n">
        <v>45231.40625</v>
      </c>
      <c r="F1730" s="10" t="n">
        <v>45231.44791666666</v>
      </c>
      <c r="G1730" s="11" t="n">
        <v>-2.7</v>
      </c>
      <c r="H1730" s="11">
        <f>H1729+G1730</f>
        <v/>
      </c>
    </row>
    <row r="1731">
      <c r="A1731" s="9" t="n">
        <v>1727</v>
      </c>
      <c r="B1731" s="9" t="inlineStr">
        <is>
          <t>Aurelius_M5</t>
        </is>
      </c>
      <c r="C1731" s="9" t="inlineStr">
        <is>
          <t>MA alignment (EMA21&gt;EMA50&gt;SMA250&gt;SMMA500 vs EMA2400 trend filter)</t>
        </is>
      </c>
      <c r="D1731" s="9" t="inlineStr">
        <is>
          <t>Short</t>
        </is>
      </c>
      <c r="E1731" s="10" t="n">
        <v>45231.86458333334</v>
      </c>
      <c r="F1731" s="10" t="n">
        <v>45231.875</v>
      </c>
      <c r="G1731" s="11" t="n">
        <v>-6.15</v>
      </c>
      <c r="H1731" s="11">
        <f>H1730+G1731</f>
        <v/>
      </c>
    </row>
    <row r="1732">
      <c r="A1732" s="9" t="n">
        <v>1728</v>
      </c>
      <c r="B1732" s="9" t="inlineStr">
        <is>
          <t>Meridian</t>
        </is>
      </c>
      <c r="C1732" s="9" t="inlineStr">
        <is>
          <t>21/50 MA cross, 250-period confirm filter, VWAP</t>
        </is>
      </c>
      <c r="D1732" s="9" t="inlineStr">
        <is>
          <t>Short</t>
        </is>
      </c>
      <c r="E1732" s="10" t="n">
        <v>45231.73958333334</v>
      </c>
      <c r="F1732" s="10" t="n">
        <v>45232.03472222222</v>
      </c>
      <c r="G1732" s="11" t="n">
        <v>-5.17</v>
      </c>
      <c r="H1732" s="11">
        <f>H1731+G1732</f>
        <v/>
      </c>
    </row>
    <row r="1733">
      <c r="A1733" s="9" t="n">
        <v>1729</v>
      </c>
      <c r="B1733" s="9" t="inlineStr">
        <is>
          <t>Meridian</t>
        </is>
      </c>
      <c r="C1733" s="9" t="inlineStr">
        <is>
          <t>21/50 MA cross, 250-period confirm filter, VWAP</t>
        </is>
      </c>
      <c r="D1733" s="9" t="inlineStr">
        <is>
          <t>Long</t>
        </is>
      </c>
      <c r="E1733" s="10" t="n">
        <v>45232.43402777778</v>
      </c>
      <c r="F1733" s="10" t="n">
        <v>45232.64583333334</v>
      </c>
      <c r="G1733" s="11" t="n">
        <v>-2.04</v>
      </c>
      <c r="H1733" s="11">
        <f>H1732+G1733</f>
        <v/>
      </c>
    </row>
    <row r="1734">
      <c r="A1734" s="9" t="n">
        <v>1730</v>
      </c>
      <c r="B1734" s="9" t="inlineStr">
        <is>
          <t>Vanguard_M5</t>
        </is>
      </c>
      <c r="C1734" s="9" t="inlineStr">
        <is>
          <t>Trendline breakout (fractal swing line) + VWAP/S-R distance gate</t>
        </is>
      </c>
      <c r="D1734" s="9" t="inlineStr">
        <is>
          <t>Long</t>
        </is>
      </c>
      <c r="E1734" s="10" t="n">
        <v>45232.13194444445</v>
      </c>
      <c r="F1734" s="10" t="n">
        <v>45232.65625</v>
      </c>
      <c r="G1734" s="11" t="n">
        <v>-3.61</v>
      </c>
      <c r="H1734" s="11">
        <f>H1733+G1734</f>
        <v/>
      </c>
    </row>
    <row r="1735">
      <c r="A1735" s="9" t="n">
        <v>1731</v>
      </c>
      <c r="B1735" s="9" t="inlineStr">
        <is>
          <t>Vanguard_M15</t>
        </is>
      </c>
      <c r="C1735" s="9" t="inlineStr">
        <is>
          <t>Trendline breakout (fractal swing line) + VWAP/S-R distance gate - M15 chart</t>
        </is>
      </c>
      <c r="D1735" s="9" t="inlineStr">
        <is>
          <t>Long</t>
        </is>
      </c>
      <c r="E1735" s="10" t="n">
        <v>45232.13541666666</v>
      </c>
      <c r="F1735" s="10" t="n">
        <v>45232.72916666666</v>
      </c>
      <c r="G1735" s="11" t="n">
        <v>-6.51</v>
      </c>
      <c r="H1735" s="11">
        <f>H1734+G1735</f>
        <v/>
      </c>
    </row>
    <row r="1736">
      <c r="A1736" s="9" t="n">
        <v>1732</v>
      </c>
      <c r="B1736" s="9" t="inlineStr">
        <is>
          <t>Meridian</t>
        </is>
      </c>
      <c r="C1736" s="9" t="inlineStr">
        <is>
          <t>21/50 MA cross, 250-period confirm filter, VWAP</t>
        </is>
      </c>
      <c r="D1736" s="9" t="inlineStr">
        <is>
          <t>Long</t>
        </is>
      </c>
      <c r="E1736" s="10" t="n">
        <v>45232.82986111111</v>
      </c>
      <c r="F1736" s="10" t="n">
        <v>45233.06597222222</v>
      </c>
      <c r="G1736" s="11" t="n">
        <v>-1.09</v>
      </c>
      <c r="H1736" s="11">
        <f>H1735+G1736</f>
        <v/>
      </c>
    </row>
    <row r="1737">
      <c r="A1737" s="9" t="n">
        <v>1733</v>
      </c>
      <c r="B1737" s="9" t="inlineStr">
        <is>
          <t>Meridian</t>
        </is>
      </c>
      <c r="C1737" s="9" t="inlineStr">
        <is>
          <t>21/50 MA cross, 250-period confirm filter, VWAP</t>
        </is>
      </c>
      <c r="D1737" s="9" t="inlineStr">
        <is>
          <t>Long</t>
        </is>
      </c>
      <c r="E1737" s="10" t="n">
        <v>45233.09027777778</v>
      </c>
      <c r="F1737" s="10" t="n">
        <v>45233.13541666666</v>
      </c>
      <c r="G1737" s="11" t="n">
        <v>-1.37</v>
      </c>
      <c r="H1737" s="11">
        <f>H1736+G1737</f>
        <v/>
      </c>
    </row>
    <row r="1738">
      <c r="A1738" s="9" t="n">
        <v>1734</v>
      </c>
      <c r="B1738" s="9" t="inlineStr">
        <is>
          <t>Meridian</t>
        </is>
      </c>
      <c r="C1738" s="9" t="inlineStr">
        <is>
          <t>21/50 MA cross, 250-period confirm filter, VWAP</t>
        </is>
      </c>
      <c r="D1738" s="9" t="inlineStr">
        <is>
          <t>Short</t>
        </is>
      </c>
      <c r="E1738" s="10" t="n">
        <v>45233.14236111111</v>
      </c>
      <c r="F1738" s="10" t="n">
        <v>45233.18402777778</v>
      </c>
      <c r="G1738" s="11" t="n">
        <v>-1.47</v>
      </c>
      <c r="H1738" s="11">
        <f>H1737+G1738</f>
        <v/>
      </c>
    </row>
    <row r="1739">
      <c r="A1739" s="9" t="n">
        <v>1735</v>
      </c>
      <c r="B1739" s="9" t="inlineStr">
        <is>
          <t>Meridian</t>
        </is>
      </c>
      <c r="C1739" s="9" t="inlineStr">
        <is>
          <t>21/50 MA cross, 250-period confirm filter, VWAP</t>
        </is>
      </c>
      <c r="D1739" s="9" t="inlineStr">
        <is>
          <t>Long</t>
        </is>
      </c>
      <c r="E1739" s="10" t="n">
        <v>45233.19444444445</v>
      </c>
      <c r="F1739" s="10" t="n">
        <v>45233.24305555555</v>
      </c>
      <c r="G1739" s="11" t="n">
        <v>-1.62</v>
      </c>
      <c r="H1739" s="11">
        <f>H1738+G1739</f>
        <v/>
      </c>
    </row>
    <row r="1740">
      <c r="A1740" s="9" t="n">
        <v>1736</v>
      </c>
      <c r="B1740" s="9" t="inlineStr">
        <is>
          <t>Ratchet</t>
        </is>
      </c>
      <c r="C1740" s="9" t="inlineStr">
        <is>
          <t>Stochastic scalp with give-back trail exit</t>
        </is>
      </c>
      <c r="D1740" s="9" t="inlineStr">
        <is>
          <t>Long</t>
        </is>
      </c>
      <c r="E1740" s="10" t="n">
        <v>45233.39930555555</v>
      </c>
      <c r="F1740" s="10" t="n">
        <v>45233.40277777778</v>
      </c>
      <c r="G1740" s="11" t="n">
        <v>-0</v>
      </c>
      <c r="H1740" s="11">
        <f>H1739+G1740</f>
        <v/>
      </c>
    </row>
    <row r="1741">
      <c r="A1741" s="9" t="n">
        <v>1737</v>
      </c>
      <c r="B1741" s="9" t="inlineStr">
        <is>
          <t>Meridian</t>
        </is>
      </c>
      <c r="C1741" s="9" t="inlineStr">
        <is>
          <t>21/50 MA cross, 250-period confirm filter, VWAP</t>
        </is>
      </c>
      <c r="D1741" s="9" t="inlineStr">
        <is>
          <t>Long</t>
        </is>
      </c>
      <c r="E1741" s="10" t="n">
        <v>45233.60069444445</v>
      </c>
      <c r="F1741" s="10" t="n">
        <v>45233.60069444445</v>
      </c>
      <c r="G1741" s="11" t="n">
        <v>-2.31</v>
      </c>
      <c r="H1741" s="11">
        <f>H1740+G1741</f>
        <v/>
      </c>
    </row>
    <row r="1742">
      <c r="A1742" s="9" t="n">
        <v>1738</v>
      </c>
      <c r="B1742" s="9" t="inlineStr">
        <is>
          <t>Vanguard_M5</t>
        </is>
      </c>
      <c r="C1742" s="9" t="inlineStr">
        <is>
          <t>Trendline breakout (fractal swing line) + VWAP/S-R distance gate</t>
        </is>
      </c>
      <c r="D1742" s="9" t="inlineStr">
        <is>
          <t>Long</t>
        </is>
      </c>
      <c r="E1742" s="10" t="n">
        <v>45233.60069444445</v>
      </c>
      <c r="F1742" s="10" t="n">
        <v>45233.60069444445</v>
      </c>
      <c r="G1742" s="11" t="n">
        <v>-3.69</v>
      </c>
      <c r="H1742" s="11">
        <f>H1741+G1742</f>
        <v/>
      </c>
    </row>
    <row r="1743">
      <c r="A1743" s="9" t="n">
        <v>1739</v>
      </c>
      <c r="B1743" s="9" t="inlineStr">
        <is>
          <t>Vanguard_M15</t>
        </is>
      </c>
      <c r="C1743" s="9" t="inlineStr">
        <is>
          <t>Trendline breakout (fractal swing line) + VWAP/S-R distance gate - M15 chart</t>
        </is>
      </c>
      <c r="D1743" s="9" t="inlineStr">
        <is>
          <t>Long</t>
        </is>
      </c>
      <c r="E1743" s="10" t="n">
        <v>45233.61458333334</v>
      </c>
      <c r="F1743" s="10" t="n">
        <v>45233.63541666666</v>
      </c>
      <c r="G1743" s="11" t="n">
        <v>-7.83</v>
      </c>
      <c r="H1743" s="11">
        <f>H1742+G1743</f>
        <v/>
      </c>
    </row>
    <row r="1744">
      <c r="A1744" s="9" t="n">
        <v>1740</v>
      </c>
      <c r="B1744" s="9" t="inlineStr">
        <is>
          <t>Vanguard_M5</t>
        </is>
      </c>
      <c r="C1744" s="9" t="inlineStr">
        <is>
          <t>Trendline breakout (fractal swing line) + VWAP/S-R distance gate</t>
        </is>
      </c>
      <c r="D1744" s="9" t="inlineStr">
        <is>
          <t>Long</t>
        </is>
      </c>
      <c r="E1744" s="10" t="n">
        <v>45233.60763888889</v>
      </c>
      <c r="F1744" s="10" t="n">
        <v>45233.64236111111</v>
      </c>
      <c r="G1744" s="11" t="n">
        <v>-8.51</v>
      </c>
      <c r="H1744" s="11">
        <f>H1743+G1744</f>
        <v/>
      </c>
    </row>
    <row r="1745">
      <c r="A1745" s="9" t="n">
        <v>1741</v>
      </c>
      <c r="B1745" s="9" t="inlineStr">
        <is>
          <t>Aurelius_M5</t>
        </is>
      </c>
      <c r="C1745" s="9" t="inlineStr">
        <is>
          <t>MA alignment (EMA21&gt;EMA50&gt;SMA250&gt;SMMA500 vs EMA2400 trend filter)</t>
        </is>
      </c>
      <c r="D1745" s="9" t="inlineStr">
        <is>
          <t>Long</t>
        </is>
      </c>
      <c r="E1745" s="10" t="n">
        <v>45233.68402777778</v>
      </c>
      <c r="F1745" s="10" t="n">
        <v>45233.76388888889</v>
      </c>
      <c r="G1745" s="11" t="n">
        <v>-2.95</v>
      </c>
      <c r="H1745" s="11">
        <f>H1744+G1745</f>
        <v/>
      </c>
    </row>
    <row r="1746">
      <c r="A1746" s="9" t="n">
        <v>1742</v>
      </c>
      <c r="B1746" s="9" t="inlineStr">
        <is>
          <t>Aurelius_M15</t>
        </is>
      </c>
      <c r="C1746" s="9" t="inlineStr">
        <is>
          <t>MA alignment (EMA21&gt;EMA50&gt;SMA250&gt;SMMA500 vs EMA2400 trend filter) - M15 chart</t>
        </is>
      </c>
      <c r="D1746" s="9" t="inlineStr">
        <is>
          <t>Long</t>
        </is>
      </c>
      <c r="E1746" s="10" t="n">
        <v>45233.60416666666</v>
      </c>
      <c r="F1746" s="10" t="n">
        <v>45233.88541666666</v>
      </c>
      <c r="G1746" s="11" t="n">
        <v>5.51</v>
      </c>
      <c r="H1746" s="11">
        <f>H1745+G1746</f>
        <v/>
      </c>
    </row>
    <row r="1747">
      <c r="A1747" s="9" t="n">
        <v>1743</v>
      </c>
      <c r="B1747" s="9" t="inlineStr">
        <is>
          <t>Meridian</t>
        </is>
      </c>
      <c r="C1747" s="9" t="inlineStr">
        <is>
          <t>21/50 MA cross, 250-period confirm filter, VWAP</t>
        </is>
      </c>
      <c r="D1747" s="9" t="inlineStr">
        <is>
          <t>Long</t>
        </is>
      </c>
      <c r="E1747" s="10" t="n">
        <v>45233.85069444445</v>
      </c>
      <c r="F1747" s="10" t="n">
        <v>45233.91666666666</v>
      </c>
      <c r="G1747" s="11" t="n">
        <v>-1.34</v>
      </c>
      <c r="H1747" s="11">
        <f>H1746+G1747</f>
        <v/>
      </c>
    </row>
    <row r="1748">
      <c r="A1748" s="9" t="n">
        <v>1744</v>
      </c>
      <c r="B1748" s="9" t="inlineStr">
        <is>
          <t>Vanguard_M5</t>
        </is>
      </c>
      <c r="C1748" s="9" t="inlineStr">
        <is>
          <t>Trendline breakout (fractal swing line) + VWAP/S-R distance gate</t>
        </is>
      </c>
      <c r="D1748" s="9" t="inlineStr">
        <is>
          <t>Long</t>
        </is>
      </c>
      <c r="E1748" s="10" t="n">
        <v>45233.64930555555</v>
      </c>
      <c r="F1748" s="10" t="n">
        <v>45236.04166666666</v>
      </c>
      <c r="G1748" s="11" t="n">
        <v>-2.3</v>
      </c>
      <c r="H1748" s="11">
        <f>H1747+G1748</f>
        <v/>
      </c>
    </row>
    <row r="1749">
      <c r="A1749" s="9" t="n">
        <v>1745</v>
      </c>
      <c r="B1749" s="9" t="inlineStr">
        <is>
          <t>Vanguard_M15</t>
        </is>
      </c>
      <c r="C1749" s="9" t="inlineStr">
        <is>
          <t>Trendline breakout (fractal swing line) + VWAP/S-R distance gate - M15 chart</t>
        </is>
      </c>
      <c r="D1749" s="9" t="inlineStr">
        <is>
          <t>Long</t>
        </is>
      </c>
      <c r="E1749" s="10" t="n">
        <v>45233.65625</v>
      </c>
      <c r="F1749" s="10" t="n">
        <v>45236.04166666666</v>
      </c>
      <c r="G1749" s="11" t="n">
        <v>-9.789999999999999</v>
      </c>
      <c r="H1749" s="11">
        <f>H1748+G1749</f>
        <v/>
      </c>
    </row>
    <row r="1750">
      <c r="A1750" s="9" t="n">
        <v>1746</v>
      </c>
      <c r="B1750" s="9" t="inlineStr">
        <is>
          <t>Meridian</t>
        </is>
      </c>
      <c r="C1750" s="9" t="inlineStr">
        <is>
          <t>21/50 MA cross, 250-period confirm filter, VWAP</t>
        </is>
      </c>
      <c r="D1750" s="9" t="inlineStr">
        <is>
          <t>Long</t>
        </is>
      </c>
      <c r="E1750" s="10" t="n">
        <v>45236.15972222222</v>
      </c>
      <c r="F1750" s="10" t="n">
        <v>45236.19097222222</v>
      </c>
      <c r="G1750" s="11" t="n">
        <v>-2.49</v>
      </c>
      <c r="H1750" s="11">
        <f>H1749+G1750</f>
        <v/>
      </c>
    </row>
    <row r="1751">
      <c r="A1751" s="9" t="n">
        <v>1747</v>
      </c>
      <c r="B1751" s="9" t="inlineStr">
        <is>
          <t>Meridian</t>
        </is>
      </c>
      <c r="C1751" s="9" t="inlineStr">
        <is>
          <t>21/50 MA cross, 250-period confirm filter, VWAP</t>
        </is>
      </c>
      <c r="D1751" s="9" t="inlineStr">
        <is>
          <t>Short</t>
        </is>
      </c>
      <c r="E1751" s="10" t="n">
        <v>45236.61111111111</v>
      </c>
      <c r="F1751" s="10" t="n">
        <v>45236.64236111111</v>
      </c>
      <c r="G1751" s="11" t="n">
        <v>-2.28</v>
      </c>
      <c r="H1751" s="11">
        <f>H1750+G1751</f>
        <v/>
      </c>
    </row>
    <row r="1752">
      <c r="A1752" s="9" t="n">
        <v>1748</v>
      </c>
      <c r="B1752" s="9" t="inlineStr">
        <is>
          <t>Ratchet</t>
        </is>
      </c>
      <c r="C1752" s="9" t="inlineStr">
        <is>
          <t>Stochastic scalp with give-back trail exit</t>
        </is>
      </c>
      <c r="D1752" s="9" t="inlineStr">
        <is>
          <t>Short</t>
        </is>
      </c>
      <c r="E1752" s="10" t="n">
        <v>45237.125</v>
      </c>
      <c r="F1752" s="10" t="n">
        <v>45237.12847222222</v>
      </c>
      <c r="G1752" s="11" t="n">
        <v>-0</v>
      </c>
      <c r="H1752" s="11">
        <f>H1751+G1752</f>
        <v/>
      </c>
    </row>
    <row r="1753">
      <c r="A1753" s="9" t="n">
        <v>1749</v>
      </c>
      <c r="B1753" s="9" t="inlineStr">
        <is>
          <t>Ratchet</t>
        </is>
      </c>
      <c r="C1753" s="9" t="inlineStr">
        <is>
          <t>Stochastic scalp with give-back trail exit</t>
        </is>
      </c>
      <c r="D1753" s="9" t="inlineStr">
        <is>
          <t>Short</t>
        </is>
      </c>
      <c r="E1753" s="10" t="n">
        <v>45237.35763888889</v>
      </c>
      <c r="F1753" s="10" t="n">
        <v>45237.37152777778</v>
      </c>
      <c r="G1753" s="11" t="n">
        <v>0.15</v>
      </c>
      <c r="H1753" s="11">
        <f>H1752+G1753</f>
        <v/>
      </c>
    </row>
    <row r="1754">
      <c r="A1754" s="9" t="n">
        <v>1750</v>
      </c>
      <c r="B1754" s="9" t="inlineStr">
        <is>
          <t>Ratchet</t>
        </is>
      </c>
      <c r="C1754" s="9" t="inlineStr">
        <is>
          <t>Stochastic scalp with give-back trail exit</t>
        </is>
      </c>
      <c r="D1754" s="9" t="inlineStr">
        <is>
          <t>Short</t>
        </is>
      </c>
      <c r="E1754" s="10" t="n">
        <v>45237.42708333334</v>
      </c>
      <c r="F1754" s="10" t="n">
        <v>45237.43055555555</v>
      </c>
      <c r="G1754" s="11" t="n">
        <v>0.19</v>
      </c>
      <c r="H1754" s="11">
        <f>H1753+G1754</f>
        <v/>
      </c>
    </row>
    <row r="1755">
      <c r="A1755" s="9" t="n">
        <v>1751</v>
      </c>
      <c r="B1755" s="9" t="inlineStr">
        <is>
          <t>Ratchet</t>
        </is>
      </c>
      <c r="C1755" s="9" t="inlineStr">
        <is>
          <t>Stochastic scalp with give-back trail exit</t>
        </is>
      </c>
      <c r="D1755" s="9" t="inlineStr">
        <is>
          <t>Short</t>
        </is>
      </c>
      <c r="E1755" s="10" t="n">
        <v>45237.45138888889</v>
      </c>
      <c r="F1755" s="10" t="n">
        <v>45237.46875</v>
      </c>
      <c r="G1755" s="11" t="n">
        <v>0.98</v>
      </c>
      <c r="H1755" s="11">
        <f>H1754+G1755</f>
        <v/>
      </c>
    </row>
    <row r="1756">
      <c r="A1756" s="9" t="n">
        <v>1752</v>
      </c>
      <c r="B1756" s="9" t="inlineStr">
        <is>
          <t>Ratchet</t>
        </is>
      </c>
      <c r="C1756" s="9" t="inlineStr">
        <is>
          <t>Stochastic scalp with give-back trail exit</t>
        </is>
      </c>
      <c r="D1756" s="9" t="inlineStr">
        <is>
          <t>Short</t>
        </is>
      </c>
      <c r="E1756" s="10" t="n">
        <v>45237.51388888889</v>
      </c>
      <c r="F1756" s="10" t="n">
        <v>45237.52083333334</v>
      </c>
      <c r="G1756" s="11" t="n">
        <v>-1.94</v>
      </c>
      <c r="H1756" s="11">
        <f>H1755+G1756</f>
        <v/>
      </c>
    </row>
    <row r="1757">
      <c r="A1757" s="9" t="n">
        <v>1753</v>
      </c>
      <c r="B1757" s="9" t="inlineStr">
        <is>
          <t>Aurelius_M5</t>
        </is>
      </c>
      <c r="C1757" s="9" t="inlineStr">
        <is>
          <t>MA alignment (EMA21&gt;EMA50&gt;SMA250&gt;SMMA500 vs EMA2400 trend filter)</t>
        </is>
      </c>
      <c r="D1757" s="9" t="inlineStr">
        <is>
          <t>Short</t>
        </is>
      </c>
      <c r="E1757" s="10" t="n">
        <v>45237.36458333334</v>
      </c>
      <c r="F1757" s="10" t="n">
        <v>45237.67708333334</v>
      </c>
      <c r="G1757" s="11" t="n">
        <v>5.56</v>
      </c>
      <c r="H1757" s="11">
        <f>H1756+G1757</f>
        <v/>
      </c>
    </row>
    <row r="1758">
      <c r="A1758" s="9" t="n">
        <v>1754</v>
      </c>
      <c r="B1758" s="9" t="inlineStr">
        <is>
          <t>Ratchet</t>
        </is>
      </c>
      <c r="C1758" s="9" t="inlineStr">
        <is>
          <t>Stochastic scalp with give-back trail exit</t>
        </is>
      </c>
      <c r="D1758" s="9" t="inlineStr">
        <is>
          <t>Short</t>
        </is>
      </c>
      <c r="E1758" s="10" t="n">
        <v>45237.70833333334</v>
      </c>
      <c r="F1758" s="10" t="n">
        <v>45237.71180555555</v>
      </c>
      <c r="G1758" s="11" t="n">
        <v>-3.05</v>
      </c>
      <c r="H1758" s="11">
        <f>H1757+G1758</f>
        <v/>
      </c>
    </row>
    <row r="1759">
      <c r="A1759" s="9" t="n">
        <v>1755</v>
      </c>
      <c r="B1759" s="9" t="inlineStr">
        <is>
          <t>Meridian</t>
        </is>
      </c>
      <c r="C1759" s="9" t="inlineStr">
        <is>
          <t>21/50 MA cross, 250-period confirm filter, VWAP</t>
        </is>
      </c>
      <c r="D1759" s="9" t="inlineStr">
        <is>
          <t>Short</t>
        </is>
      </c>
      <c r="E1759" s="10" t="n">
        <v>45236.69444444445</v>
      </c>
      <c r="F1759" s="10" t="n">
        <v>45237.76388888889</v>
      </c>
      <c r="G1759" s="11" t="n">
        <v>20.66</v>
      </c>
      <c r="H1759" s="11">
        <f>H1758+G1759</f>
        <v/>
      </c>
    </row>
    <row r="1760">
      <c r="A1760" s="9" t="n">
        <v>1756</v>
      </c>
      <c r="B1760" s="9" t="inlineStr">
        <is>
          <t>Ratchet</t>
        </is>
      </c>
      <c r="C1760" s="9" t="inlineStr">
        <is>
          <t>Stochastic scalp with give-back trail exit</t>
        </is>
      </c>
      <c r="D1760" s="9" t="inlineStr">
        <is>
          <t>Short</t>
        </is>
      </c>
      <c r="E1760" s="10" t="n">
        <v>45237.81597222222</v>
      </c>
      <c r="F1760" s="10" t="n">
        <v>45237.82986111111</v>
      </c>
      <c r="G1760" s="11" t="n">
        <v>-2.02</v>
      </c>
      <c r="H1760" s="11">
        <f>H1759+G1760</f>
        <v/>
      </c>
    </row>
    <row r="1761">
      <c r="A1761" s="9" t="n">
        <v>1757</v>
      </c>
      <c r="B1761" s="9" t="inlineStr">
        <is>
          <t>Meridian</t>
        </is>
      </c>
      <c r="C1761" s="9" t="inlineStr">
        <is>
          <t>21/50 MA cross, 250-period confirm filter, VWAP</t>
        </is>
      </c>
      <c r="D1761" s="9" t="inlineStr">
        <is>
          <t>Short</t>
        </is>
      </c>
      <c r="E1761" s="10" t="n">
        <v>45237.81597222222</v>
      </c>
      <c r="F1761" s="10" t="n">
        <v>45237.84027777778</v>
      </c>
      <c r="G1761" s="11" t="n">
        <v>-3.21</v>
      </c>
      <c r="H1761" s="11">
        <f>H1760+G1761</f>
        <v/>
      </c>
    </row>
    <row r="1762">
      <c r="A1762" s="9" t="n">
        <v>1758</v>
      </c>
      <c r="B1762" s="9" t="inlineStr">
        <is>
          <t>Vanguard_M5</t>
        </is>
      </c>
      <c r="C1762" s="9" t="inlineStr">
        <is>
          <t>Trendline breakout (fractal swing line) + VWAP/S-R distance gate</t>
        </is>
      </c>
      <c r="D1762" s="9" t="inlineStr">
        <is>
          <t>Short</t>
        </is>
      </c>
      <c r="E1762" s="10" t="n">
        <v>45236.04513888889</v>
      </c>
      <c r="F1762" s="10" t="n">
        <v>45237.97222222222</v>
      </c>
      <c r="G1762" s="11" t="n">
        <v>22.45</v>
      </c>
      <c r="H1762" s="11">
        <f>H1761+G1762</f>
        <v/>
      </c>
    </row>
    <row r="1763">
      <c r="A1763" s="9" t="n">
        <v>1759</v>
      </c>
      <c r="B1763" s="9" t="inlineStr">
        <is>
          <t>Vanguard_M15</t>
        </is>
      </c>
      <c r="C1763" s="9" t="inlineStr">
        <is>
          <t>Trendline breakout (fractal swing line) + VWAP/S-R distance gate - M15 chart</t>
        </is>
      </c>
      <c r="D1763" s="9" t="inlineStr">
        <is>
          <t>Short</t>
        </is>
      </c>
      <c r="E1763" s="10" t="n">
        <v>45236.05208333334</v>
      </c>
      <c r="F1763" s="10" t="n">
        <v>45237.97916666666</v>
      </c>
      <c r="G1763" s="11" t="n">
        <v>20.12</v>
      </c>
      <c r="H1763" s="11">
        <f>H1762+G1763</f>
        <v/>
      </c>
    </row>
    <row r="1764">
      <c r="A1764" s="9" t="n">
        <v>1760</v>
      </c>
      <c r="B1764" s="9" t="inlineStr">
        <is>
          <t>Vanguard_M5</t>
        </is>
      </c>
      <c r="C1764" s="9" t="inlineStr">
        <is>
          <t>Trendline breakout (fractal swing line) + VWAP/S-R distance gate</t>
        </is>
      </c>
      <c r="D1764" s="9" t="inlineStr">
        <is>
          <t>Long</t>
        </is>
      </c>
      <c r="E1764" s="10" t="n">
        <v>45237.97569444445</v>
      </c>
      <c r="F1764" s="10" t="n">
        <v>45238.30208333334</v>
      </c>
      <c r="G1764" s="11" t="n">
        <v>-2.29</v>
      </c>
      <c r="H1764" s="11">
        <f>H1763+G1764</f>
        <v/>
      </c>
    </row>
    <row r="1765">
      <c r="A1765" s="9" t="n">
        <v>1761</v>
      </c>
      <c r="B1765" s="9" t="inlineStr">
        <is>
          <t>Ratchet</t>
        </is>
      </c>
      <c r="C1765" s="9" t="inlineStr">
        <is>
          <t>Stochastic scalp with give-back trail exit</t>
        </is>
      </c>
      <c r="D1765" s="9" t="inlineStr">
        <is>
          <t>Short</t>
        </is>
      </c>
      <c r="E1765" s="10" t="n">
        <v>45238.32986111111</v>
      </c>
      <c r="F1765" s="10" t="n">
        <v>45238.34027777778</v>
      </c>
      <c r="G1765" s="11" t="n">
        <v>-0.82</v>
      </c>
      <c r="H1765" s="11">
        <f>H1764+G1765</f>
        <v/>
      </c>
    </row>
    <row r="1766">
      <c r="A1766" s="9" t="n">
        <v>1762</v>
      </c>
      <c r="B1766" s="9" t="inlineStr">
        <is>
          <t>Ratchet</t>
        </is>
      </c>
      <c r="C1766" s="9" t="inlineStr">
        <is>
          <t>Stochastic scalp with give-back trail exit</t>
        </is>
      </c>
      <c r="D1766" s="9" t="inlineStr">
        <is>
          <t>Short</t>
        </is>
      </c>
      <c r="E1766" s="10" t="n">
        <v>45238.38888888889</v>
      </c>
      <c r="F1766" s="10" t="n">
        <v>45238.39583333334</v>
      </c>
      <c r="G1766" s="11" t="n">
        <v>-1.66</v>
      </c>
      <c r="H1766" s="11">
        <f>H1765+G1766</f>
        <v/>
      </c>
    </row>
    <row r="1767">
      <c r="A1767" s="9" t="n">
        <v>1763</v>
      </c>
      <c r="B1767" s="9" t="inlineStr">
        <is>
          <t>Vanguard_M15</t>
        </is>
      </c>
      <c r="C1767" s="9" t="inlineStr">
        <is>
          <t>Trendline breakout (fractal swing line) + VWAP/S-R distance gate - M15 chart</t>
        </is>
      </c>
      <c r="D1767" s="9" t="inlineStr">
        <is>
          <t>Long</t>
        </is>
      </c>
      <c r="E1767" s="10" t="n">
        <v>45237.98958333334</v>
      </c>
      <c r="F1767" s="10" t="n">
        <v>45238.5</v>
      </c>
      <c r="G1767" s="11" t="n">
        <v>-4.43</v>
      </c>
      <c r="H1767" s="11">
        <f>H1766+G1767</f>
        <v/>
      </c>
    </row>
    <row r="1768">
      <c r="A1768" s="9" t="n">
        <v>1764</v>
      </c>
      <c r="B1768" s="9" t="inlineStr">
        <is>
          <t>Ratchet</t>
        </is>
      </c>
      <c r="C1768" s="9" t="inlineStr">
        <is>
          <t>Stochastic scalp with give-back trail exit</t>
        </is>
      </c>
      <c r="D1768" s="9" t="inlineStr">
        <is>
          <t>Short</t>
        </is>
      </c>
      <c r="E1768" s="10" t="n">
        <v>45238.49305555555</v>
      </c>
      <c r="F1768" s="10" t="n">
        <v>45238.5625</v>
      </c>
      <c r="G1768" s="11" t="n">
        <v>1.87</v>
      </c>
      <c r="H1768" s="11">
        <f>H1767+G1768</f>
        <v/>
      </c>
    </row>
    <row r="1769">
      <c r="A1769" s="9" t="n">
        <v>1765</v>
      </c>
      <c r="B1769" s="9" t="inlineStr">
        <is>
          <t>Ratchet</t>
        </is>
      </c>
      <c r="C1769" s="9" t="inlineStr">
        <is>
          <t>Stochastic scalp with give-back trail exit</t>
        </is>
      </c>
      <c r="D1769" s="9" t="inlineStr">
        <is>
          <t>Short</t>
        </is>
      </c>
      <c r="E1769" s="10" t="n">
        <v>45238.59722222222</v>
      </c>
      <c r="F1769" s="10" t="n">
        <v>45238.60069444445</v>
      </c>
      <c r="G1769" s="11" t="n">
        <v>-1.28</v>
      </c>
      <c r="H1769" s="11">
        <f>H1768+G1769</f>
        <v/>
      </c>
    </row>
    <row r="1770">
      <c r="A1770" s="9" t="n">
        <v>1766</v>
      </c>
      <c r="B1770" s="9" t="inlineStr">
        <is>
          <t>Aurelius_M5</t>
        </is>
      </c>
      <c r="C1770" s="9" t="inlineStr">
        <is>
          <t>MA alignment (EMA21&gt;EMA50&gt;SMA250&gt;SMMA500 vs EMA2400 trend filter)</t>
        </is>
      </c>
      <c r="D1770" s="9" t="inlineStr">
        <is>
          <t>Short</t>
        </is>
      </c>
      <c r="E1770" s="10" t="n">
        <v>45238.64236111111</v>
      </c>
      <c r="F1770" s="10" t="n">
        <v>45238.66666666666</v>
      </c>
      <c r="G1770" s="11" t="n">
        <v>-2.91</v>
      </c>
      <c r="H1770" s="11">
        <f>H1769+G1770</f>
        <v/>
      </c>
    </row>
    <row r="1771">
      <c r="A1771" s="9" t="n">
        <v>1767</v>
      </c>
      <c r="B1771" s="9" t="inlineStr">
        <is>
          <t>Vanguard_M15</t>
        </is>
      </c>
      <c r="C1771" s="9" t="inlineStr">
        <is>
          <t>Trendline breakout (fractal swing line) + VWAP/S-R distance gate - M15 chart</t>
        </is>
      </c>
      <c r="D1771" s="9" t="inlineStr">
        <is>
          <t>Long</t>
        </is>
      </c>
      <c r="E1771" s="10" t="n">
        <v>45238.63541666666</v>
      </c>
      <c r="F1771" s="10" t="n">
        <v>45238.6875</v>
      </c>
      <c r="G1771" s="11" t="n">
        <v>-5.14</v>
      </c>
      <c r="H1771" s="11">
        <f>H1770+G1771</f>
        <v/>
      </c>
    </row>
    <row r="1772">
      <c r="A1772" s="9" t="n">
        <v>1768</v>
      </c>
      <c r="B1772" s="9" t="inlineStr">
        <is>
          <t>Ratchet</t>
        </is>
      </c>
      <c r="C1772" s="9" t="inlineStr">
        <is>
          <t>Stochastic scalp with give-back trail exit</t>
        </is>
      </c>
      <c r="D1772" s="9" t="inlineStr">
        <is>
          <t>Short</t>
        </is>
      </c>
      <c r="E1772" s="10" t="n">
        <v>45238.84027777778</v>
      </c>
      <c r="F1772" s="10" t="n">
        <v>45238.84722222222</v>
      </c>
      <c r="G1772" s="11" t="n">
        <v>0.35</v>
      </c>
      <c r="H1772" s="11">
        <f>H1771+G1772</f>
        <v/>
      </c>
    </row>
    <row r="1773">
      <c r="A1773" s="9" t="n">
        <v>1769</v>
      </c>
      <c r="B1773" s="9" t="inlineStr">
        <is>
          <t>Aurelius_M5</t>
        </is>
      </c>
      <c r="C1773" s="9" t="inlineStr">
        <is>
          <t>MA alignment (EMA21&gt;EMA50&gt;SMA250&gt;SMMA500 vs EMA2400 trend filter)</t>
        </is>
      </c>
      <c r="D1773" s="9" t="inlineStr">
        <is>
          <t>Short</t>
        </is>
      </c>
      <c r="E1773" s="10" t="n">
        <v>45238.70833333334</v>
      </c>
      <c r="F1773" s="10" t="n">
        <v>45239.04166666666</v>
      </c>
      <c r="G1773" s="11" t="n">
        <v>9.859999999999999</v>
      </c>
      <c r="H1773" s="11">
        <f>H1772+G1773</f>
        <v/>
      </c>
    </row>
    <row r="1774">
      <c r="A1774" s="9" t="n">
        <v>1770</v>
      </c>
      <c r="B1774" s="9" t="inlineStr">
        <is>
          <t>Meridian</t>
        </is>
      </c>
      <c r="C1774" s="9" t="inlineStr">
        <is>
          <t>21/50 MA cross, 250-period confirm filter, VWAP</t>
        </is>
      </c>
      <c r="D1774" s="9" t="inlineStr">
        <is>
          <t>Short</t>
        </is>
      </c>
      <c r="E1774" s="10" t="n">
        <v>45238.47222222222</v>
      </c>
      <c r="F1774" s="10" t="n">
        <v>45239.13888888889</v>
      </c>
      <c r="G1774" s="11" t="n">
        <v>13.53</v>
      </c>
      <c r="H1774" s="11">
        <f>H1773+G1774</f>
        <v/>
      </c>
    </row>
    <row r="1775">
      <c r="A1775" s="9" t="n">
        <v>1771</v>
      </c>
      <c r="B1775" s="9" t="inlineStr">
        <is>
          <t>Ratchet</t>
        </is>
      </c>
      <c r="C1775" s="9" t="inlineStr">
        <is>
          <t>Stochastic scalp with give-back trail exit</t>
        </is>
      </c>
      <c r="D1775" s="9" t="inlineStr">
        <is>
          <t>Short</t>
        </is>
      </c>
      <c r="E1775" s="10" t="n">
        <v>45239.22916666666</v>
      </c>
      <c r="F1775" s="10" t="n">
        <v>45239.23958333334</v>
      </c>
      <c r="G1775" s="11" t="n">
        <v>0.35</v>
      </c>
      <c r="H1775" s="11">
        <f>H1774+G1775</f>
        <v/>
      </c>
    </row>
    <row r="1776">
      <c r="A1776" s="9" t="n">
        <v>1772</v>
      </c>
      <c r="B1776" s="9" t="inlineStr">
        <is>
          <t>Ratchet</t>
        </is>
      </c>
      <c r="C1776" s="9" t="inlineStr">
        <is>
          <t>Stochastic scalp with give-back trail exit</t>
        </is>
      </c>
      <c r="D1776" s="9" t="inlineStr">
        <is>
          <t>Short</t>
        </is>
      </c>
      <c r="E1776" s="10" t="n">
        <v>45239.28125</v>
      </c>
      <c r="F1776" s="10" t="n">
        <v>45239.3125</v>
      </c>
      <c r="G1776" s="11" t="n">
        <v>-0</v>
      </c>
      <c r="H1776" s="11">
        <f>H1775+G1776</f>
        <v/>
      </c>
    </row>
    <row r="1777">
      <c r="A1777" s="9" t="n">
        <v>1773</v>
      </c>
      <c r="B1777" s="9" t="inlineStr">
        <is>
          <t>Ratchet</t>
        </is>
      </c>
      <c r="C1777" s="9" t="inlineStr">
        <is>
          <t>Stochastic scalp with give-back trail exit</t>
        </is>
      </c>
      <c r="D1777" s="9" t="inlineStr">
        <is>
          <t>Short</t>
        </is>
      </c>
      <c r="E1777" s="10" t="n">
        <v>45239.38194444445</v>
      </c>
      <c r="F1777" s="10" t="n">
        <v>45239.38888888889</v>
      </c>
      <c r="G1777" s="11" t="n">
        <v>-1.18</v>
      </c>
      <c r="H1777" s="11">
        <f>H1776+G1777</f>
        <v/>
      </c>
    </row>
    <row r="1778">
      <c r="A1778" s="9" t="n">
        <v>1774</v>
      </c>
      <c r="B1778" s="9" t="inlineStr">
        <is>
          <t>Ratchet</t>
        </is>
      </c>
      <c r="C1778" s="9" t="inlineStr">
        <is>
          <t>Stochastic scalp with give-back trail exit</t>
        </is>
      </c>
      <c r="D1778" s="9" t="inlineStr">
        <is>
          <t>Short</t>
        </is>
      </c>
      <c r="E1778" s="10" t="n">
        <v>45239.5</v>
      </c>
      <c r="F1778" s="10" t="n">
        <v>45239.51388888889</v>
      </c>
      <c r="G1778" s="11" t="n">
        <v>0.26</v>
      </c>
      <c r="H1778" s="11">
        <f>H1777+G1778</f>
        <v/>
      </c>
    </row>
    <row r="1779">
      <c r="A1779" s="9" t="n">
        <v>1775</v>
      </c>
      <c r="B1779" s="9" t="inlineStr">
        <is>
          <t>Ratchet</t>
        </is>
      </c>
      <c r="C1779" s="9" t="inlineStr">
        <is>
          <t>Stochastic scalp with give-back trail exit</t>
        </is>
      </c>
      <c r="D1779" s="9" t="inlineStr">
        <is>
          <t>Short</t>
        </is>
      </c>
      <c r="E1779" s="10" t="n">
        <v>45239.62152777778</v>
      </c>
      <c r="F1779" s="10" t="n">
        <v>45239.62847222222</v>
      </c>
      <c r="G1779" s="11" t="n">
        <v>-0</v>
      </c>
      <c r="H1779" s="11">
        <f>H1778+G1779</f>
        <v/>
      </c>
    </row>
    <row r="1780">
      <c r="A1780" s="9" t="n">
        <v>1776</v>
      </c>
      <c r="B1780" s="9" t="inlineStr">
        <is>
          <t>Aurelius_M5</t>
        </is>
      </c>
      <c r="C1780" s="9" t="inlineStr">
        <is>
          <t>MA alignment (EMA21&gt;EMA50&gt;SMA250&gt;SMMA500 vs EMA2400 trend filter)</t>
        </is>
      </c>
      <c r="D1780" s="9" t="inlineStr">
        <is>
          <t>Short</t>
        </is>
      </c>
      <c r="E1780" s="10" t="n">
        <v>45239.34722222222</v>
      </c>
      <c r="F1780" s="10" t="n">
        <v>45239.66319444445</v>
      </c>
      <c r="G1780" s="11" t="n">
        <v>-1.86</v>
      </c>
      <c r="H1780" s="11">
        <f>H1779+G1780</f>
        <v/>
      </c>
    </row>
    <row r="1781">
      <c r="A1781" s="9" t="n">
        <v>1777</v>
      </c>
      <c r="B1781" s="9" t="inlineStr">
        <is>
          <t>Meridian</t>
        </is>
      </c>
      <c r="C1781" s="9" t="inlineStr">
        <is>
          <t>21/50 MA cross, 250-period confirm filter, VWAP</t>
        </is>
      </c>
      <c r="D1781" s="9" t="inlineStr">
        <is>
          <t>Short</t>
        </is>
      </c>
      <c r="E1781" s="10" t="n">
        <v>45239.20486111111</v>
      </c>
      <c r="F1781" s="10" t="n">
        <v>45239.67013888889</v>
      </c>
      <c r="G1781" s="11" t="n">
        <v>-0.24</v>
      </c>
      <c r="H1781" s="11">
        <f>H1780+G1781</f>
        <v/>
      </c>
    </row>
    <row r="1782">
      <c r="A1782" s="9" t="n">
        <v>1778</v>
      </c>
      <c r="B1782" s="9" t="inlineStr">
        <is>
          <t>Aurelius_M15</t>
        </is>
      </c>
      <c r="C1782" s="9" t="inlineStr">
        <is>
          <t>MA alignment (EMA21&gt;EMA50&gt;SMA250&gt;SMMA500 vs EMA2400 trend filter) - M15 chart</t>
        </is>
      </c>
      <c r="D1782" s="9" t="inlineStr">
        <is>
          <t>Short</t>
        </is>
      </c>
      <c r="E1782" s="10" t="n">
        <v>45238.64583333334</v>
      </c>
      <c r="F1782" s="10" t="n">
        <v>45239.72916666666</v>
      </c>
      <c r="G1782" s="11" t="n">
        <v>4.95</v>
      </c>
      <c r="H1782" s="11">
        <f>H1781+G1782</f>
        <v/>
      </c>
    </row>
    <row r="1783">
      <c r="A1783" s="9" t="n">
        <v>1779</v>
      </c>
      <c r="B1783" s="9" t="inlineStr">
        <is>
          <t>Meridian</t>
        </is>
      </c>
      <c r="C1783" s="9" t="inlineStr">
        <is>
          <t>21/50 MA cross, 250-period confirm filter, VWAP</t>
        </is>
      </c>
      <c r="D1783" s="9" t="inlineStr">
        <is>
          <t>Long</t>
        </is>
      </c>
      <c r="E1783" s="10" t="n">
        <v>45240.10416666666</v>
      </c>
      <c r="F1783" s="10" t="n">
        <v>45240.17361111111</v>
      </c>
      <c r="G1783" s="11" t="n">
        <v>-1.7</v>
      </c>
      <c r="H1783" s="11">
        <f>H1782+G1783</f>
        <v/>
      </c>
    </row>
    <row r="1784">
      <c r="A1784" s="9" t="n">
        <v>1780</v>
      </c>
      <c r="B1784" s="9" t="inlineStr">
        <is>
          <t>Meridian</t>
        </is>
      </c>
      <c r="C1784" s="9" t="inlineStr">
        <is>
          <t>21/50 MA cross, 250-period confirm filter, VWAP</t>
        </is>
      </c>
      <c r="D1784" s="9" t="inlineStr">
        <is>
          <t>Long</t>
        </is>
      </c>
      <c r="E1784" s="10" t="n">
        <v>45240.23958333334</v>
      </c>
      <c r="F1784" s="10" t="n">
        <v>45240.25694444445</v>
      </c>
      <c r="G1784" s="11" t="n">
        <v>-1.84</v>
      </c>
      <c r="H1784" s="11">
        <f>H1783+G1784</f>
        <v/>
      </c>
    </row>
    <row r="1785">
      <c r="A1785" s="9" t="n">
        <v>1781</v>
      </c>
      <c r="B1785" s="9" t="inlineStr">
        <is>
          <t>Vanguard_M5</t>
        </is>
      </c>
      <c r="C1785" s="9" t="inlineStr">
        <is>
          <t>Trendline breakout (fractal swing line) + VWAP/S-R distance gate</t>
        </is>
      </c>
      <c r="D1785" s="9" t="inlineStr">
        <is>
          <t>Long</t>
        </is>
      </c>
      <c r="E1785" s="10" t="n">
        <v>45239.69097222222</v>
      </c>
      <c r="F1785" s="10" t="n">
        <v>45240.51388888889</v>
      </c>
      <c r="G1785" s="11" t="n">
        <v>-0.67</v>
      </c>
      <c r="H1785" s="11">
        <f>H1784+G1785</f>
        <v/>
      </c>
    </row>
    <row r="1786">
      <c r="A1786" s="9" t="n">
        <v>1782</v>
      </c>
      <c r="B1786" s="9" t="inlineStr">
        <is>
          <t>Vanguard_M15</t>
        </is>
      </c>
      <c r="C1786" s="9" t="inlineStr">
        <is>
          <t>Trendline breakout (fractal swing line) + VWAP/S-R distance gate - M15 chart</t>
        </is>
      </c>
      <c r="D1786" s="9" t="inlineStr">
        <is>
          <t>Long</t>
        </is>
      </c>
      <c r="E1786" s="10" t="n">
        <v>45239.69791666666</v>
      </c>
      <c r="F1786" s="10" t="n">
        <v>45240.52083333334</v>
      </c>
      <c r="G1786" s="11" t="n">
        <v>-3.78</v>
      </c>
      <c r="H1786" s="11">
        <f>H1785+G1786</f>
        <v/>
      </c>
    </row>
    <row r="1787">
      <c r="A1787" s="9" t="n">
        <v>1783</v>
      </c>
      <c r="B1787" s="9" t="inlineStr">
        <is>
          <t>Ratchet</t>
        </is>
      </c>
      <c r="C1787" s="9" t="inlineStr">
        <is>
          <t>Stochastic scalp with give-back trail exit</t>
        </is>
      </c>
      <c r="D1787" s="9" t="inlineStr">
        <is>
          <t>Short</t>
        </is>
      </c>
      <c r="E1787" s="10" t="n">
        <v>45240.59027777778</v>
      </c>
      <c r="F1787" s="10" t="n">
        <v>45240.61805555555</v>
      </c>
      <c r="G1787" s="11" t="n">
        <v>0.92</v>
      </c>
      <c r="H1787" s="11">
        <f>H1786+G1787</f>
        <v/>
      </c>
    </row>
    <row r="1788">
      <c r="A1788" s="9" t="n">
        <v>1784</v>
      </c>
      <c r="B1788" s="9" t="inlineStr">
        <is>
          <t>Ratchet</t>
        </is>
      </c>
      <c r="C1788" s="9" t="inlineStr">
        <is>
          <t>Stochastic scalp with give-back trail exit</t>
        </is>
      </c>
      <c r="D1788" s="9" t="inlineStr">
        <is>
          <t>Short</t>
        </is>
      </c>
      <c r="E1788" s="10" t="n">
        <v>45240.62847222222</v>
      </c>
      <c r="F1788" s="10" t="n">
        <v>45240.63541666666</v>
      </c>
      <c r="G1788" s="11" t="n">
        <v>0.5600000000000001</v>
      </c>
      <c r="H1788" s="11">
        <f>H1787+G1788</f>
        <v/>
      </c>
    </row>
    <row r="1789">
      <c r="A1789" s="9" t="n">
        <v>1785</v>
      </c>
      <c r="B1789" s="9" t="inlineStr">
        <is>
          <t>Aurelius_M5</t>
        </is>
      </c>
      <c r="C1789" s="9" t="inlineStr">
        <is>
          <t>MA alignment (EMA21&gt;EMA50&gt;SMA250&gt;SMMA500 vs EMA2400 trend filter)</t>
        </is>
      </c>
      <c r="D1789" s="9" t="inlineStr">
        <is>
          <t>Short</t>
        </is>
      </c>
      <c r="E1789" s="10" t="n">
        <v>45240.46180555555</v>
      </c>
      <c r="F1789" s="10" t="n">
        <v>45240.92013888889</v>
      </c>
      <c r="G1789" s="11" t="n">
        <v>19.41</v>
      </c>
      <c r="H1789" s="11">
        <f>H1788+G1789</f>
        <v/>
      </c>
    </row>
    <row r="1790">
      <c r="A1790" s="9" t="n">
        <v>1786</v>
      </c>
      <c r="B1790" s="9" t="inlineStr">
        <is>
          <t>Aurelius_M5</t>
        </is>
      </c>
      <c r="C1790" s="9" t="inlineStr">
        <is>
          <t>MA alignment (EMA21&gt;EMA50&gt;SMA250&gt;SMMA500 vs EMA2400 trend filter)</t>
        </is>
      </c>
      <c r="D1790" s="9" t="inlineStr">
        <is>
          <t>Short</t>
        </is>
      </c>
      <c r="E1790" s="10" t="n">
        <v>45243.22569444445</v>
      </c>
      <c r="F1790" s="10" t="n">
        <v>45243.30555555555</v>
      </c>
      <c r="G1790" s="11" t="n">
        <v>-2.46</v>
      </c>
      <c r="H1790" s="11">
        <f>H1789+G1790</f>
        <v/>
      </c>
    </row>
    <row r="1791">
      <c r="A1791" s="9" t="n">
        <v>1787</v>
      </c>
      <c r="B1791" s="9" t="inlineStr">
        <is>
          <t>Meridian</t>
        </is>
      </c>
      <c r="C1791" s="9" t="inlineStr">
        <is>
          <t>21/50 MA cross, 250-period confirm filter, VWAP</t>
        </is>
      </c>
      <c r="D1791" s="9" t="inlineStr">
        <is>
          <t>Short</t>
        </is>
      </c>
      <c r="E1791" s="10" t="n">
        <v>45243.21180555555</v>
      </c>
      <c r="F1791" s="10" t="n">
        <v>45243.31944444445</v>
      </c>
      <c r="G1791" s="11" t="n">
        <v>-2.22</v>
      </c>
      <c r="H1791" s="11">
        <f>H1790+G1791</f>
        <v/>
      </c>
    </row>
    <row r="1792">
      <c r="A1792" s="9" t="n">
        <v>1788</v>
      </c>
      <c r="B1792" s="9" t="inlineStr">
        <is>
          <t>Ratchet</t>
        </is>
      </c>
      <c r="C1792" s="9" t="inlineStr">
        <is>
          <t>Stochastic scalp with give-back trail exit</t>
        </is>
      </c>
      <c r="D1792" s="9" t="inlineStr">
        <is>
          <t>Short</t>
        </is>
      </c>
      <c r="E1792" s="10" t="n">
        <v>45243.46527777778</v>
      </c>
      <c r="F1792" s="10" t="n">
        <v>45243.47222222222</v>
      </c>
      <c r="G1792" s="11" t="n">
        <v>-0</v>
      </c>
      <c r="H1792" s="11">
        <f>H1791+G1792</f>
        <v/>
      </c>
    </row>
    <row r="1793">
      <c r="A1793" s="9" t="n">
        <v>1789</v>
      </c>
      <c r="B1793" s="9" t="inlineStr">
        <is>
          <t>Aurelius_M5</t>
        </is>
      </c>
      <c r="C1793" s="9" t="inlineStr">
        <is>
          <t>MA alignment (EMA21&gt;EMA50&gt;SMA250&gt;SMMA500 vs EMA2400 trend filter)</t>
        </is>
      </c>
      <c r="D1793" s="9" t="inlineStr">
        <is>
          <t>Short</t>
        </is>
      </c>
      <c r="E1793" s="10" t="n">
        <v>45243.46875</v>
      </c>
      <c r="F1793" s="10" t="n">
        <v>45243.47916666666</v>
      </c>
      <c r="G1793" s="11" t="n">
        <v>-2.26</v>
      </c>
      <c r="H1793" s="11">
        <f>H1792+G1793</f>
        <v/>
      </c>
    </row>
    <row r="1794">
      <c r="A1794" s="9" t="n">
        <v>1790</v>
      </c>
      <c r="B1794" s="9" t="inlineStr">
        <is>
          <t>Meridian</t>
        </is>
      </c>
      <c r="C1794" s="9" t="inlineStr">
        <is>
          <t>21/50 MA cross, 250-period confirm filter, VWAP</t>
        </is>
      </c>
      <c r="D1794" s="9" t="inlineStr">
        <is>
          <t>Short</t>
        </is>
      </c>
      <c r="E1794" s="10" t="n">
        <v>45243.44791666666</v>
      </c>
      <c r="F1794" s="10" t="n">
        <v>45243.48263888889</v>
      </c>
      <c r="G1794" s="11" t="n">
        <v>-2.47</v>
      </c>
      <c r="H1794" s="11">
        <f>H1793+G1794</f>
        <v/>
      </c>
    </row>
    <row r="1795">
      <c r="A1795" s="9" t="n">
        <v>1791</v>
      </c>
      <c r="B1795" s="9" t="inlineStr">
        <is>
          <t>Meridian</t>
        </is>
      </c>
      <c r="C1795" s="9" t="inlineStr">
        <is>
          <t>21/50 MA cross, 250-period confirm filter, VWAP</t>
        </is>
      </c>
      <c r="D1795" s="9" t="inlineStr">
        <is>
          <t>Short</t>
        </is>
      </c>
      <c r="E1795" s="10" t="n">
        <v>45243.51736111111</v>
      </c>
      <c r="F1795" s="10" t="n">
        <v>45243.54166666666</v>
      </c>
      <c r="G1795" s="11" t="n">
        <v>-2.09</v>
      </c>
      <c r="H1795" s="11">
        <f>H1794+G1795</f>
        <v/>
      </c>
    </row>
    <row r="1796">
      <c r="A1796" s="9" t="n">
        <v>1792</v>
      </c>
      <c r="B1796" s="9" t="inlineStr">
        <is>
          <t>Aurelius_M5</t>
        </is>
      </c>
      <c r="C1796" s="9" t="inlineStr">
        <is>
          <t>MA alignment (EMA21&gt;EMA50&gt;SMA250&gt;SMMA500 vs EMA2400 trend filter)</t>
        </is>
      </c>
      <c r="D1796" s="9" t="inlineStr">
        <is>
          <t>Short</t>
        </is>
      </c>
      <c r="E1796" s="10" t="n">
        <v>45243.62847222222</v>
      </c>
      <c r="F1796" s="10" t="n">
        <v>45243.63888888889</v>
      </c>
      <c r="G1796" s="11" t="n">
        <v>-2.16</v>
      </c>
      <c r="H1796" s="11">
        <f>H1795+G1796</f>
        <v/>
      </c>
    </row>
    <row r="1797">
      <c r="A1797" s="9" t="n">
        <v>1793</v>
      </c>
      <c r="B1797" s="9" t="inlineStr">
        <is>
          <t>Ratchet</t>
        </is>
      </c>
      <c r="C1797" s="9" t="inlineStr">
        <is>
          <t>Stochastic scalp with give-back trail exit</t>
        </is>
      </c>
      <c r="D1797" s="9" t="inlineStr">
        <is>
          <t>Short</t>
        </is>
      </c>
      <c r="E1797" s="10" t="n">
        <v>45243.67361111111</v>
      </c>
      <c r="F1797" s="10" t="n">
        <v>45243.68055555555</v>
      </c>
      <c r="G1797" s="11" t="n">
        <v>0.25</v>
      </c>
      <c r="H1797" s="11">
        <f>H1796+G1797</f>
        <v/>
      </c>
    </row>
    <row r="1798">
      <c r="A1798" s="9" t="n">
        <v>1794</v>
      </c>
      <c r="B1798" s="9" t="inlineStr">
        <is>
          <t>Meridian</t>
        </is>
      </c>
      <c r="C1798" s="9" t="inlineStr">
        <is>
          <t>21/50 MA cross, 250-period confirm filter, VWAP</t>
        </is>
      </c>
      <c r="D1798" s="9" t="inlineStr">
        <is>
          <t>Short</t>
        </is>
      </c>
      <c r="E1798" s="10" t="n">
        <v>45243.57291666666</v>
      </c>
      <c r="F1798" s="10" t="n">
        <v>45243.75</v>
      </c>
      <c r="G1798" s="11" t="n">
        <v>-1.87</v>
      </c>
      <c r="H1798" s="11">
        <f>H1797+G1798</f>
        <v/>
      </c>
    </row>
    <row r="1799">
      <c r="A1799" s="9" t="n">
        <v>1795</v>
      </c>
      <c r="B1799" s="9" t="inlineStr">
        <is>
          <t>Aurelius_M15</t>
        </is>
      </c>
      <c r="C1799" s="9" t="inlineStr">
        <is>
          <t>MA alignment (EMA21&gt;EMA50&gt;SMA250&gt;SMMA500 vs EMA2400 trend filter) - M15 chart</t>
        </is>
      </c>
      <c r="D1799" s="9" t="inlineStr">
        <is>
          <t>Short</t>
        </is>
      </c>
      <c r="E1799" s="10" t="n">
        <v>45243.64583333334</v>
      </c>
      <c r="F1799" s="10" t="n">
        <v>45243.75</v>
      </c>
      <c r="G1799" s="11" t="n">
        <v>-4.01</v>
      </c>
      <c r="H1799" s="11">
        <f>H1798+G1799</f>
        <v/>
      </c>
    </row>
    <row r="1800">
      <c r="A1800" s="9" t="n">
        <v>1796</v>
      </c>
      <c r="B1800" s="9" t="inlineStr">
        <is>
          <t>Aurelius_M5</t>
        </is>
      </c>
      <c r="C1800" s="9" t="inlineStr">
        <is>
          <t>MA alignment (EMA21&gt;EMA50&gt;SMA250&gt;SMMA500 vs EMA2400 trend filter)</t>
        </is>
      </c>
      <c r="D1800" s="9" t="inlineStr">
        <is>
          <t>Short</t>
        </is>
      </c>
      <c r="E1800" s="10" t="n">
        <v>45243.65625</v>
      </c>
      <c r="F1800" s="10" t="n">
        <v>45243.75</v>
      </c>
      <c r="G1800" s="11" t="n">
        <v>-3.02</v>
      </c>
      <c r="H1800" s="11">
        <f>H1799+G1800</f>
        <v/>
      </c>
    </row>
    <row r="1801">
      <c r="A1801" s="9" t="n">
        <v>1797</v>
      </c>
      <c r="B1801" s="9" t="inlineStr">
        <is>
          <t>Meridian</t>
        </is>
      </c>
      <c r="C1801" s="9" t="inlineStr">
        <is>
          <t>21/50 MA cross, 250-period confirm filter, VWAP</t>
        </is>
      </c>
      <c r="D1801" s="9" t="inlineStr">
        <is>
          <t>Long</t>
        </is>
      </c>
      <c r="E1801" s="10" t="n">
        <v>45243.75694444445</v>
      </c>
      <c r="F1801" s="10" t="n">
        <v>45244.18055555555</v>
      </c>
      <c r="G1801" s="11" t="n">
        <v>6</v>
      </c>
      <c r="H1801" s="11">
        <f>H1800+G1801</f>
        <v/>
      </c>
    </row>
    <row r="1802">
      <c r="A1802" s="9" t="n">
        <v>1798</v>
      </c>
      <c r="B1802" s="9" t="inlineStr">
        <is>
          <t>Meridian</t>
        </is>
      </c>
      <c r="C1802" s="9" t="inlineStr">
        <is>
          <t>21/50 MA cross, 250-period confirm filter, VWAP</t>
        </is>
      </c>
      <c r="D1802" s="9" t="inlineStr">
        <is>
          <t>Long</t>
        </is>
      </c>
      <c r="E1802" s="10" t="n">
        <v>45244.38888888889</v>
      </c>
      <c r="F1802" s="10" t="n">
        <v>45244.42361111111</v>
      </c>
      <c r="G1802" s="11" t="n">
        <v>-1.5</v>
      </c>
      <c r="H1802" s="11">
        <f>H1801+G1802</f>
        <v/>
      </c>
    </row>
    <row r="1803">
      <c r="A1803" s="9" t="n">
        <v>1799</v>
      </c>
      <c r="B1803" s="9" t="inlineStr">
        <is>
          <t>Ratchet</t>
        </is>
      </c>
      <c r="C1803" s="9" t="inlineStr">
        <is>
          <t>Stochastic scalp with give-back trail exit</t>
        </is>
      </c>
      <c r="D1803" s="9" t="inlineStr">
        <is>
          <t>Long</t>
        </is>
      </c>
      <c r="E1803" s="10" t="n">
        <v>45244.68055555555</v>
      </c>
      <c r="F1803" s="10" t="n">
        <v>45244.68402777778</v>
      </c>
      <c r="G1803" s="11" t="n">
        <v>0</v>
      </c>
      <c r="H1803" s="11">
        <f>H1802+G1803</f>
        <v/>
      </c>
    </row>
    <row r="1804">
      <c r="A1804" s="9" t="n">
        <v>1800</v>
      </c>
      <c r="B1804" s="9" t="inlineStr">
        <is>
          <t>Meridian</t>
        </is>
      </c>
      <c r="C1804" s="9" t="inlineStr">
        <is>
          <t>21/50 MA cross, 250-period confirm filter, VWAP</t>
        </is>
      </c>
      <c r="D1804" s="9" t="inlineStr">
        <is>
          <t>Long</t>
        </is>
      </c>
      <c r="E1804" s="10" t="n">
        <v>45244.64930555555</v>
      </c>
      <c r="F1804" s="10" t="n">
        <v>45245.07291666666</v>
      </c>
      <c r="G1804" s="11" t="n">
        <v>5.31</v>
      </c>
      <c r="H1804" s="11">
        <f>H1803+G1804</f>
        <v/>
      </c>
    </row>
    <row r="1805">
      <c r="A1805" s="9" t="n">
        <v>1801</v>
      </c>
      <c r="B1805" s="9" t="inlineStr">
        <is>
          <t>Ratchet</t>
        </is>
      </c>
      <c r="C1805" s="9" t="inlineStr">
        <is>
          <t>Stochastic scalp with give-back trail exit</t>
        </is>
      </c>
      <c r="D1805" s="9" t="inlineStr">
        <is>
          <t>Long</t>
        </is>
      </c>
      <c r="E1805" s="10" t="n">
        <v>45245.20833333334</v>
      </c>
      <c r="F1805" s="10" t="n">
        <v>45245.48611111111</v>
      </c>
      <c r="G1805" s="11" t="n">
        <v>7.43</v>
      </c>
      <c r="H1805" s="11">
        <f>H1804+G1805</f>
        <v/>
      </c>
    </row>
    <row r="1806">
      <c r="A1806" s="9" t="n">
        <v>1802</v>
      </c>
      <c r="B1806" s="9" t="inlineStr">
        <is>
          <t>Ratchet</t>
        </is>
      </c>
      <c r="C1806" s="9" t="inlineStr">
        <is>
          <t>Stochastic scalp with give-back trail exit</t>
        </is>
      </c>
      <c r="D1806" s="9" t="inlineStr">
        <is>
          <t>Long</t>
        </is>
      </c>
      <c r="E1806" s="10" t="n">
        <v>45245.51041666666</v>
      </c>
      <c r="F1806" s="10" t="n">
        <v>45245.52430555555</v>
      </c>
      <c r="G1806" s="11" t="n">
        <v>0.35</v>
      </c>
      <c r="H1806" s="11">
        <f>H1805+G1806</f>
        <v/>
      </c>
    </row>
    <row r="1807">
      <c r="A1807" s="9" t="n">
        <v>1803</v>
      </c>
      <c r="B1807" s="9" t="inlineStr">
        <is>
          <t>Vanguard_M5</t>
        </is>
      </c>
      <c r="C1807" s="9" t="inlineStr">
        <is>
          <t>Trendline breakout (fractal swing line) + VWAP/S-R distance gate</t>
        </is>
      </c>
      <c r="D1807" s="9" t="inlineStr">
        <is>
          <t>Long</t>
        </is>
      </c>
      <c r="E1807" s="10" t="n">
        <v>45244.20138888889</v>
      </c>
      <c r="F1807" s="10" t="n">
        <v>45245.59722222222</v>
      </c>
      <c r="G1807" s="11" t="n">
        <v>24.09</v>
      </c>
      <c r="H1807" s="11">
        <f>H1806+G1807</f>
        <v/>
      </c>
    </row>
    <row r="1808">
      <c r="A1808" s="9" t="n">
        <v>1804</v>
      </c>
      <c r="B1808" s="9" t="inlineStr">
        <is>
          <t>Vanguard_M15</t>
        </is>
      </c>
      <c r="C1808" s="9" t="inlineStr">
        <is>
          <t>Trendline breakout (fractal swing line) + VWAP/S-R distance gate - M15 chart</t>
        </is>
      </c>
      <c r="D1808" s="9" t="inlineStr">
        <is>
          <t>Long</t>
        </is>
      </c>
      <c r="E1808" s="10" t="n">
        <v>45244.38541666666</v>
      </c>
      <c r="F1808" s="10" t="n">
        <v>45245.60416666666</v>
      </c>
      <c r="G1808" s="11" t="n">
        <v>25.31</v>
      </c>
      <c r="H1808" s="11">
        <f>H1807+G1808</f>
        <v/>
      </c>
    </row>
    <row r="1809">
      <c r="A1809" s="9" t="n">
        <v>1805</v>
      </c>
      <c r="B1809" s="9" t="inlineStr">
        <is>
          <t>Meridian</t>
        </is>
      </c>
      <c r="C1809" s="9" t="inlineStr">
        <is>
          <t>21/50 MA cross, 250-period confirm filter, VWAP</t>
        </is>
      </c>
      <c r="D1809" s="9" t="inlineStr">
        <is>
          <t>Long</t>
        </is>
      </c>
      <c r="E1809" s="10" t="n">
        <v>45245.17013888889</v>
      </c>
      <c r="F1809" s="10" t="n">
        <v>45245.64930555555</v>
      </c>
      <c r="G1809" s="11" t="n">
        <v>4.7</v>
      </c>
      <c r="H1809" s="11">
        <f>H1808+G1809</f>
        <v/>
      </c>
    </row>
    <row r="1810">
      <c r="A1810" s="9" t="n">
        <v>1806</v>
      </c>
      <c r="B1810" s="9" t="inlineStr">
        <is>
          <t>Vanguard_M5</t>
        </is>
      </c>
      <c r="C1810" s="9" t="inlineStr">
        <is>
          <t>Trendline breakout (fractal swing line) + VWAP/S-R distance gate</t>
        </is>
      </c>
      <c r="D1810" s="9" t="inlineStr">
        <is>
          <t>Short</t>
        </is>
      </c>
      <c r="E1810" s="10" t="n">
        <v>45246.13194444445</v>
      </c>
      <c r="F1810" s="10" t="n">
        <v>45246.19791666666</v>
      </c>
      <c r="G1810" s="11" t="n">
        <v>-2.54</v>
      </c>
      <c r="H1810" s="11">
        <f>H1809+G1810</f>
        <v/>
      </c>
    </row>
    <row r="1811">
      <c r="A1811" s="9" t="n">
        <v>1807</v>
      </c>
      <c r="B1811" s="9" t="inlineStr">
        <is>
          <t>Vanguard_M15</t>
        </is>
      </c>
      <c r="C1811" s="9" t="inlineStr">
        <is>
          <t>Trendline breakout (fractal swing line) + VWAP/S-R distance gate - M15 chart</t>
        </is>
      </c>
      <c r="D1811" s="9" t="inlineStr">
        <is>
          <t>Short</t>
        </is>
      </c>
      <c r="E1811" s="10" t="n">
        <v>45246.13541666666</v>
      </c>
      <c r="F1811" s="10" t="n">
        <v>45246.27083333334</v>
      </c>
      <c r="G1811" s="11" t="n">
        <v>-4.13</v>
      </c>
      <c r="H1811" s="11">
        <f>H1810+G1811</f>
        <v/>
      </c>
    </row>
    <row r="1812">
      <c r="A1812" s="9" t="n">
        <v>1808</v>
      </c>
      <c r="B1812" s="9" t="inlineStr">
        <is>
          <t>Ratchet</t>
        </is>
      </c>
      <c r="C1812" s="9" t="inlineStr">
        <is>
          <t>Stochastic scalp with give-back trail exit</t>
        </is>
      </c>
      <c r="D1812" s="9" t="inlineStr">
        <is>
          <t>Long</t>
        </is>
      </c>
      <c r="E1812" s="10" t="n">
        <v>45246.66666666666</v>
      </c>
      <c r="F1812" s="10" t="n">
        <v>45246.67708333334</v>
      </c>
      <c r="G1812" s="11" t="n">
        <v>0.34</v>
      </c>
      <c r="H1812" s="11">
        <f>H1811+G1812</f>
        <v/>
      </c>
    </row>
    <row r="1813">
      <c r="A1813" s="9" t="n">
        <v>1809</v>
      </c>
      <c r="B1813" s="9" t="inlineStr">
        <is>
          <t>Ratchet</t>
        </is>
      </c>
      <c r="C1813" s="9" t="inlineStr">
        <is>
          <t>Stochastic scalp with give-back trail exit</t>
        </is>
      </c>
      <c r="D1813" s="9" t="inlineStr">
        <is>
          <t>Long</t>
        </is>
      </c>
      <c r="E1813" s="10" t="n">
        <v>45246.77777777778</v>
      </c>
      <c r="F1813" s="10" t="n">
        <v>45246.78125</v>
      </c>
      <c r="G1813" s="11" t="n">
        <v>-3.25</v>
      </c>
      <c r="H1813" s="11">
        <f>H1812+G1813</f>
        <v/>
      </c>
    </row>
    <row r="1814">
      <c r="A1814" s="9" t="n">
        <v>1810</v>
      </c>
      <c r="B1814" s="9" t="inlineStr">
        <is>
          <t>Aurelius_M5</t>
        </is>
      </c>
      <c r="C1814" s="9" t="inlineStr">
        <is>
          <t>MA alignment (EMA21&gt;EMA50&gt;SMA250&gt;SMMA500 vs EMA2400 trend filter)</t>
        </is>
      </c>
      <c r="D1814" s="9" t="inlineStr">
        <is>
          <t>Long</t>
        </is>
      </c>
      <c r="E1814" s="10" t="n">
        <v>45246.66319444445</v>
      </c>
      <c r="F1814" s="10" t="n">
        <v>45246.95138888889</v>
      </c>
      <c r="G1814" s="11" t="n">
        <v>9</v>
      </c>
      <c r="H1814" s="11">
        <f>H1813+G1814</f>
        <v/>
      </c>
    </row>
    <row r="1815">
      <c r="A1815" s="9" t="n">
        <v>1811</v>
      </c>
      <c r="B1815" s="9" t="inlineStr">
        <is>
          <t>Meridian</t>
        </is>
      </c>
      <c r="C1815" s="9" t="inlineStr">
        <is>
          <t>21/50 MA cross, 250-period confirm filter, VWAP</t>
        </is>
      </c>
      <c r="D1815" s="9" t="inlineStr">
        <is>
          <t>Long</t>
        </is>
      </c>
      <c r="E1815" s="10" t="n">
        <v>45246.64930555555</v>
      </c>
      <c r="F1815" s="10" t="n">
        <v>45246.96527777778</v>
      </c>
      <c r="G1815" s="11" t="n">
        <v>9.02</v>
      </c>
      <c r="H1815" s="11">
        <f>H1814+G1815</f>
        <v/>
      </c>
    </row>
    <row r="1816">
      <c r="A1816" s="9" t="n">
        <v>1812</v>
      </c>
      <c r="B1816" s="9" t="inlineStr">
        <is>
          <t>Aurelius_M5</t>
        </is>
      </c>
      <c r="C1816" s="9" t="inlineStr">
        <is>
          <t>MA alignment (EMA21&gt;EMA50&gt;SMA250&gt;SMMA500 vs EMA2400 trend filter)</t>
        </is>
      </c>
      <c r="D1816" s="9" t="inlineStr">
        <is>
          <t>Long</t>
        </is>
      </c>
      <c r="E1816" s="10" t="n">
        <v>45247.12847222222</v>
      </c>
      <c r="F1816" s="10" t="n">
        <v>45247.13541666666</v>
      </c>
      <c r="G1816" s="11" t="n">
        <v>-1.77</v>
      </c>
      <c r="H1816" s="11">
        <f>H1815+G1816</f>
        <v/>
      </c>
    </row>
    <row r="1817">
      <c r="A1817" s="9" t="n">
        <v>1813</v>
      </c>
      <c r="B1817" s="9" t="inlineStr">
        <is>
          <t>Meridian</t>
        </is>
      </c>
      <c r="C1817" s="9" t="inlineStr">
        <is>
          <t>21/50 MA cross, 250-period confirm filter, VWAP</t>
        </is>
      </c>
      <c r="D1817" s="9" t="inlineStr">
        <is>
          <t>Long</t>
        </is>
      </c>
      <c r="E1817" s="10" t="n">
        <v>45247.08680555555</v>
      </c>
      <c r="F1817" s="10" t="n">
        <v>45247.35069444445</v>
      </c>
      <c r="G1817" s="11" t="n">
        <v>1.1</v>
      </c>
      <c r="H1817" s="11">
        <f>H1816+G1817</f>
        <v/>
      </c>
    </row>
    <row r="1818">
      <c r="A1818" s="9" t="n">
        <v>1814</v>
      </c>
      <c r="B1818" s="9" t="inlineStr">
        <is>
          <t>Ratchet</t>
        </is>
      </c>
      <c r="C1818" s="9" t="inlineStr">
        <is>
          <t>Stochastic scalp with give-back trail exit</t>
        </is>
      </c>
      <c r="D1818" s="9" t="inlineStr">
        <is>
          <t>Long</t>
        </is>
      </c>
      <c r="E1818" s="10" t="n">
        <v>45247.46180555555</v>
      </c>
      <c r="F1818" s="10" t="n">
        <v>45247.46875</v>
      </c>
      <c r="G1818" s="11" t="n">
        <v>2.34</v>
      </c>
      <c r="H1818" s="11">
        <f>H1817+G1818</f>
        <v/>
      </c>
    </row>
    <row r="1819">
      <c r="A1819" s="9" t="n">
        <v>1815</v>
      </c>
      <c r="B1819" s="9" t="inlineStr">
        <is>
          <t>Meridian</t>
        </is>
      </c>
      <c r="C1819" s="9" t="inlineStr">
        <is>
          <t>21/50 MA cross, 250-period confirm filter, VWAP</t>
        </is>
      </c>
      <c r="D1819" s="9" t="inlineStr">
        <is>
          <t>Long</t>
        </is>
      </c>
      <c r="E1819" s="10" t="n">
        <v>45247.40972222222</v>
      </c>
      <c r="F1819" s="10" t="n">
        <v>45247.65625</v>
      </c>
      <c r="G1819" s="11" t="n">
        <v>-1.39</v>
      </c>
      <c r="H1819" s="11">
        <f>H1818+G1819</f>
        <v/>
      </c>
    </row>
    <row r="1820">
      <c r="A1820" s="9" t="n">
        <v>1816</v>
      </c>
      <c r="B1820" s="9" t="inlineStr">
        <is>
          <t>Aurelius_M15</t>
        </is>
      </c>
      <c r="C1820" s="9" t="inlineStr">
        <is>
          <t>MA alignment (EMA21&gt;EMA50&gt;SMA250&gt;SMMA500 vs EMA2400 trend filter) - M15 chart</t>
        </is>
      </c>
      <c r="D1820" s="9" t="inlineStr">
        <is>
          <t>Long</t>
        </is>
      </c>
      <c r="E1820" s="10" t="n">
        <v>45246.64583333334</v>
      </c>
      <c r="F1820" s="10" t="n">
        <v>45247.72916666666</v>
      </c>
      <c r="G1820" s="11" t="n">
        <v>16.78</v>
      </c>
      <c r="H1820" s="11">
        <f>H1819+G1820</f>
        <v/>
      </c>
    </row>
    <row r="1821">
      <c r="A1821" s="9" t="n">
        <v>1817</v>
      </c>
      <c r="B1821" s="9" t="inlineStr">
        <is>
          <t>Meridian</t>
        </is>
      </c>
      <c r="C1821" s="9" t="inlineStr">
        <is>
          <t>21/50 MA cross, 250-period confirm filter, VWAP</t>
        </is>
      </c>
      <c r="D1821" s="9" t="inlineStr">
        <is>
          <t>Short</t>
        </is>
      </c>
      <c r="E1821" s="10" t="n">
        <v>45250.34027777778</v>
      </c>
      <c r="F1821" s="10" t="n">
        <v>45250.35069444445</v>
      </c>
      <c r="G1821" s="11" t="n">
        <v>-2.5</v>
      </c>
      <c r="H1821" s="11">
        <f>H1820+G1821</f>
        <v/>
      </c>
    </row>
    <row r="1822">
      <c r="A1822" s="9" t="n">
        <v>1818</v>
      </c>
      <c r="B1822" s="9" t="inlineStr">
        <is>
          <t>Vanguard_M5</t>
        </is>
      </c>
      <c r="C1822" s="9" t="inlineStr">
        <is>
          <t>Trendline breakout (fractal swing line) + VWAP/S-R distance gate</t>
        </is>
      </c>
      <c r="D1822" s="9" t="inlineStr">
        <is>
          <t>Short</t>
        </is>
      </c>
      <c r="E1822" s="10" t="n">
        <v>45250.44097222222</v>
      </c>
      <c r="F1822" s="10" t="n">
        <v>45250.83333333334</v>
      </c>
      <c r="G1822" s="11" t="n">
        <v>-1.79</v>
      </c>
      <c r="H1822" s="11">
        <f>H1821+G1822</f>
        <v/>
      </c>
    </row>
    <row r="1823">
      <c r="A1823" s="9" t="n">
        <v>1819</v>
      </c>
      <c r="B1823" s="9" t="inlineStr">
        <is>
          <t>Vanguard_M15</t>
        </is>
      </c>
      <c r="C1823" s="9" t="inlineStr">
        <is>
          <t>Trendline breakout (fractal swing line) + VWAP/S-R distance gate - M15 chart</t>
        </is>
      </c>
      <c r="D1823" s="9" t="inlineStr">
        <is>
          <t>Short</t>
        </is>
      </c>
      <c r="E1823" s="10" t="n">
        <v>45250.52083333334</v>
      </c>
      <c r="F1823" s="10" t="n">
        <v>45250.83333333334</v>
      </c>
      <c r="G1823" s="11" t="n">
        <v>-1.37</v>
      </c>
      <c r="H1823" s="11">
        <f>H1822+G1823</f>
        <v/>
      </c>
    </row>
    <row r="1824">
      <c r="A1824" s="9" t="n">
        <v>1820</v>
      </c>
      <c r="B1824" s="9" t="inlineStr">
        <is>
          <t>Ratchet</t>
        </is>
      </c>
      <c r="C1824" s="9" t="inlineStr">
        <is>
          <t>Stochastic scalp with give-back trail exit</t>
        </is>
      </c>
      <c r="D1824" s="9" t="inlineStr">
        <is>
          <t>Long</t>
        </is>
      </c>
      <c r="E1824" s="10" t="n">
        <v>45251.22222222222</v>
      </c>
      <c r="F1824" s="10" t="n">
        <v>45251.22916666666</v>
      </c>
      <c r="G1824" s="11" t="n">
        <v>0.24</v>
      </c>
      <c r="H1824" s="11">
        <f>H1823+G1824</f>
        <v/>
      </c>
    </row>
    <row r="1825">
      <c r="A1825" s="9" t="n">
        <v>1821</v>
      </c>
      <c r="B1825" s="9" t="inlineStr">
        <is>
          <t>Ratchet</t>
        </is>
      </c>
      <c r="C1825" s="9" t="inlineStr">
        <is>
          <t>Stochastic scalp with give-back trail exit</t>
        </is>
      </c>
      <c r="D1825" s="9" t="inlineStr">
        <is>
          <t>Long</t>
        </is>
      </c>
      <c r="E1825" s="10" t="n">
        <v>45251.39583333334</v>
      </c>
      <c r="F1825" s="10" t="n">
        <v>45251.39930555555</v>
      </c>
      <c r="G1825" s="11" t="n">
        <v>0.18</v>
      </c>
      <c r="H1825" s="11">
        <f>H1824+G1825</f>
        <v/>
      </c>
    </row>
    <row r="1826">
      <c r="A1826" s="9" t="n">
        <v>1822</v>
      </c>
      <c r="B1826" s="9" t="inlineStr">
        <is>
          <t>Aurelius_M5</t>
        </is>
      </c>
      <c r="C1826" s="9" t="inlineStr">
        <is>
          <t>MA alignment (EMA21&gt;EMA50&gt;SMA250&gt;SMMA500 vs EMA2400 trend filter)</t>
        </is>
      </c>
      <c r="D1826" s="9" t="inlineStr">
        <is>
          <t>Long</t>
        </is>
      </c>
      <c r="E1826" s="10" t="n">
        <v>45251.36805555555</v>
      </c>
      <c r="F1826" s="10" t="n">
        <v>45251.44791666666</v>
      </c>
      <c r="G1826" s="11" t="n">
        <v>-2.38</v>
      </c>
      <c r="H1826" s="11">
        <f>H1825+G1826</f>
        <v/>
      </c>
    </row>
    <row r="1827">
      <c r="A1827" s="9" t="n">
        <v>1823</v>
      </c>
      <c r="B1827" s="9" t="inlineStr">
        <is>
          <t>Ratchet</t>
        </is>
      </c>
      <c r="C1827" s="9" t="inlineStr">
        <is>
          <t>Stochastic scalp with give-back trail exit</t>
        </is>
      </c>
      <c r="D1827" s="9" t="inlineStr">
        <is>
          <t>Long</t>
        </is>
      </c>
      <c r="E1827" s="10" t="n">
        <v>45251.75347222222</v>
      </c>
      <c r="F1827" s="10" t="n">
        <v>45251.76388888889</v>
      </c>
      <c r="G1827" s="11" t="n">
        <v>-2.89</v>
      </c>
      <c r="H1827" s="11">
        <f>H1826+G1827</f>
        <v/>
      </c>
    </row>
    <row r="1828">
      <c r="A1828" s="9" t="n">
        <v>1824</v>
      </c>
      <c r="B1828" s="9" t="inlineStr">
        <is>
          <t>Meridian</t>
        </is>
      </c>
      <c r="C1828" s="9" t="inlineStr">
        <is>
          <t>21/50 MA cross, 250-period confirm filter, VWAP</t>
        </is>
      </c>
      <c r="D1828" s="9" t="inlineStr">
        <is>
          <t>Long</t>
        </is>
      </c>
      <c r="E1828" s="10" t="n">
        <v>45251.63194444445</v>
      </c>
      <c r="F1828" s="10" t="n">
        <v>45251.86805555555</v>
      </c>
      <c r="G1828" s="11" t="n">
        <v>7.25</v>
      </c>
      <c r="H1828" s="11">
        <f>H1827+G1828</f>
        <v/>
      </c>
    </row>
    <row r="1829">
      <c r="A1829" s="9" t="n">
        <v>1825</v>
      </c>
      <c r="B1829" s="9" t="inlineStr">
        <is>
          <t>Aurelius_M5</t>
        </is>
      </c>
      <c r="C1829" s="9" t="inlineStr">
        <is>
          <t>MA alignment (EMA21&gt;EMA50&gt;SMA250&gt;SMMA500 vs EMA2400 trend filter)</t>
        </is>
      </c>
      <c r="D1829" s="9" t="inlineStr">
        <is>
          <t>Long</t>
        </is>
      </c>
      <c r="E1829" s="10" t="n">
        <v>45251.64236111111</v>
      </c>
      <c r="F1829" s="10" t="n">
        <v>45251.86805555555</v>
      </c>
      <c r="G1829" s="11" t="n">
        <v>2.4</v>
      </c>
      <c r="H1829" s="11">
        <f>H1828+G1829</f>
        <v/>
      </c>
    </row>
    <row r="1830">
      <c r="A1830" s="9" t="n">
        <v>1826</v>
      </c>
      <c r="B1830" s="9" t="inlineStr">
        <is>
          <t>Vanguard_M5</t>
        </is>
      </c>
      <c r="C1830" s="9" t="inlineStr">
        <is>
          <t>Trendline breakout (fractal swing line) + VWAP/S-R distance gate</t>
        </is>
      </c>
      <c r="D1830" s="9" t="inlineStr">
        <is>
          <t>Long</t>
        </is>
      </c>
      <c r="E1830" s="10" t="n">
        <v>45250.83680555555</v>
      </c>
      <c r="F1830" s="10" t="n">
        <v>45252.08333333334</v>
      </c>
      <c r="G1830" s="11" t="n">
        <v>20.24</v>
      </c>
      <c r="H1830" s="11">
        <f>H1829+G1830</f>
        <v/>
      </c>
    </row>
    <row r="1831">
      <c r="A1831" s="9" t="n">
        <v>1827</v>
      </c>
      <c r="B1831" s="9" t="inlineStr">
        <is>
          <t>Vanguard_M15</t>
        </is>
      </c>
      <c r="C1831" s="9" t="inlineStr">
        <is>
          <t>Trendline breakout (fractal swing line) + VWAP/S-R distance gate - M15 chart</t>
        </is>
      </c>
      <c r="D1831" s="9" t="inlineStr">
        <is>
          <t>Long</t>
        </is>
      </c>
      <c r="E1831" s="10" t="n">
        <v>45250.84375</v>
      </c>
      <c r="F1831" s="10" t="n">
        <v>45252.08333333334</v>
      </c>
      <c r="G1831" s="11" t="n">
        <v>20.37</v>
      </c>
      <c r="H1831" s="11">
        <f>H1830+G1831</f>
        <v/>
      </c>
    </row>
    <row r="1832">
      <c r="A1832" s="9" t="n">
        <v>1828</v>
      </c>
      <c r="B1832" s="9" t="inlineStr">
        <is>
          <t>Aurelius_M15</t>
        </is>
      </c>
      <c r="C1832" s="9" t="inlineStr">
        <is>
          <t>MA alignment (EMA21&gt;EMA50&gt;SMA250&gt;SMMA500 vs EMA2400 trend filter) - M15 chart</t>
        </is>
      </c>
      <c r="D1832" s="9" t="inlineStr">
        <is>
          <t>Long</t>
        </is>
      </c>
      <c r="E1832" s="10" t="n">
        <v>45251.66666666666</v>
      </c>
      <c r="F1832" s="10" t="n">
        <v>45252.16666666666</v>
      </c>
      <c r="G1832" s="11" t="n">
        <v>-1.61</v>
      </c>
      <c r="H1832" s="11">
        <f>H1831+G1832</f>
        <v/>
      </c>
    </row>
    <row r="1833">
      <c r="A1833" s="9" t="n">
        <v>1829</v>
      </c>
      <c r="B1833" s="9" t="inlineStr">
        <is>
          <t>Ratchet</t>
        </is>
      </c>
      <c r="C1833" s="9" t="inlineStr">
        <is>
          <t>Stochastic scalp with give-back trail exit</t>
        </is>
      </c>
      <c r="D1833" s="9" t="inlineStr">
        <is>
          <t>Long</t>
        </is>
      </c>
      <c r="E1833" s="10" t="n">
        <v>45252.29513888889</v>
      </c>
      <c r="F1833" s="10" t="n">
        <v>45252.3125</v>
      </c>
      <c r="G1833" s="11" t="n">
        <v>-1.21</v>
      </c>
      <c r="H1833" s="11">
        <f>H1832+G1833</f>
        <v/>
      </c>
    </row>
    <row r="1834">
      <c r="A1834" s="9" t="n">
        <v>1830</v>
      </c>
      <c r="B1834" s="9" t="inlineStr">
        <is>
          <t>Meridian</t>
        </is>
      </c>
      <c r="C1834" s="9" t="inlineStr">
        <is>
          <t>21/50 MA cross, 250-period confirm filter, VWAP</t>
        </is>
      </c>
      <c r="D1834" s="9" t="inlineStr">
        <is>
          <t>Long</t>
        </is>
      </c>
      <c r="E1834" s="10" t="n">
        <v>45252.28472222222</v>
      </c>
      <c r="F1834" s="10" t="n">
        <v>45252.31597222222</v>
      </c>
      <c r="G1834" s="11" t="n">
        <v>-1.69</v>
      </c>
      <c r="H1834" s="11">
        <f>H1833+G1834</f>
        <v/>
      </c>
    </row>
    <row r="1835">
      <c r="A1835" s="9" t="n">
        <v>1831</v>
      </c>
      <c r="B1835" s="9" t="inlineStr">
        <is>
          <t>Vanguard_M5</t>
        </is>
      </c>
      <c r="C1835" s="9" t="inlineStr">
        <is>
          <t>Trendline breakout (fractal swing line) + VWAP/S-R distance gate</t>
        </is>
      </c>
      <c r="D1835" s="9" t="inlineStr">
        <is>
          <t>Short</t>
        </is>
      </c>
      <c r="E1835" s="10" t="n">
        <v>45252.08680555555</v>
      </c>
      <c r="F1835" s="10" t="n">
        <v>45252.34722222222</v>
      </c>
      <c r="G1835" s="11" t="n">
        <v>-2.23</v>
      </c>
      <c r="H1835" s="11">
        <f>H1834+G1835</f>
        <v/>
      </c>
    </row>
    <row r="1836">
      <c r="A1836" s="9" t="n">
        <v>1832</v>
      </c>
      <c r="B1836" s="9" t="inlineStr">
        <is>
          <t>Vanguard_M15</t>
        </is>
      </c>
      <c r="C1836" s="9" t="inlineStr">
        <is>
          <t>Trendline breakout (fractal swing line) + VWAP/S-R distance gate - M15 chart</t>
        </is>
      </c>
      <c r="D1836" s="9" t="inlineStr">
        <is>
          <t>Short</t>
        </is>
      </c>
      <c r="E1836" s="10" t="n">
        <v>45252.09375</v>
      </c>
      <c r="F1836" s="10" t="n">
        <v>45252.375</v>
      </c>
      <c r="G1836" s="11" t="n">
        <v>-4.15</v>
      </c>
      <c r="H1836" s="11">
        <f>H1835+G1836</f>
        <v/>
      </c>
    </row>
    <row r="1837">
      <c r="A1837" s="9" t="n">
        <v>1833</v>
      </c>
      <c r="B1837" s="9" t="inlineStr">
        <is>
          <t>Ratchet</t>
        </is>
      </c>
      <c r="C1837" s="9" t="inlineStr">
        <is>
          <t>Stochastic scalp with give-back trail exit</t>
        </is>
      </c>
      <c r="D1837" s="9" t="inlineStr">
        <is>
          <t>Long</t>
        </is>
      </c>
      <c r="E1837" s="10" t="n">
        <v>45252.37152777778</v>
      </c>
      <c r="F1837" s="10" t="n">
        <v>45252.43402777778</v>
      </c>
      <c r="G1837" s="11" t="n">
        <v>1.43</v>
      </c>
      <c r="H1837" s="11">
        <f>H1836+G1837</f>
        <v/>
      </c>
    </row>
    <row r="1838">
      <c r="A1838" s="9" t="n">
        <v>1834</v>
      </c>
      <c r="B1838" s="9" t="inlineStr">
        <is>
          <t>Ratchet</t>
        </is>
      </c>
      <c r="C1838" s="9" t="inlineStr">
        <is>
          <t>Stochastic scalp with give-back trail exit</t>
        </is>
      </c>
      <c r="D1838" s="9" t="inlineStr">
        <is>
          <t>Long</t>
        </is>
      </c>
      <c r="E1838" s="10" t="n">
        <v>45252.57291666666</v>
      </c>
      <c r="F1838" s="10" t="n">
        <v>45252.57986111111</v>
      </c>
      <c r="G1838" s="11" t="n">
        <v>-1.67</v>
      </c>
      <c r="H1838" s="11">
        <f>H1837+G1838</f>
        <v/>
      </c>
    </row>
    <row r="1839">
      <c r="A1839" s="9" t="n">
        <v>1835</v>
      </c>
      <c r="B1839" s="9" t="inlineStr">
        <is>
          <t>Ratchet</t>
        </is>
      </c>
      <c r="C1839" s="9" t="inlineStr">
        <is>
          <t>Stochastic scalp with give-back trail exit</t>
        </is>
      </c>
      <c r="D1839" s="9" t="inlineStr">
        <is>
          <t>Long</t>
        </is>
      </c>
      <c r="E1839" s="10" t="n">
        <v>45252.61111111111</v>
      </c>
      <c r="F1839" s="10" t="n">
        <v>45252.62847222222</v>
      </c>
      <c r="G1839" s="11" t="n">
        <v>-0</v>
      </c>
      <c r="H1839" s="11">
        <f>H1838+G1839</f>
        <v/>
      </c>
    </row>
    <row r="1840">
      <c r="A1840" s="9" t="n">
        <v>1836</v>
      </c>
      <c r="B1840" s="9" t="inlineStr">
        <is>
          <t>Aurelius_M5</t>
        </is>
      </c>
      <c r="C1840" s="9" t="inlineStr">
        <is>
          <t>MA alignment (EMA21&gt;EMA50&gt;SMA250&gt;SMMA500 vs EMA2400 trend filter)</t>
        </is>
      </c>
      <c r="D1840" s="9" t="inlineStr">
        <is>
          <t>Long</t>
        </is>
      </c>
      <c r="E1840" s="10" t="n">
        <v>45252.32638888889</v>
      </c>
      <c r="F1840" s="10" t="n">
        <v>45252.65277777778</v>
      </c>
      <c r="G1840" s="11" t="n">
        <v>-0.62</v>
      </c>
      <c r="H1840" s="11">
        <f>H1839+G1840</f>
        <v/>
      </c>
    </row>
    <row r="1841">
      <c r="A1841" s="9" t="n">
        <v>1837</v>
      </c>
      <c r="B1841" s="9" t="inlineStr">
        <is>
          <t>Meridian</t>
        </is>
      </c>
      <c r="C1841" s="9" t="inlineStr">
        <is>
          <t>21/50 MA cross, 250-period confirm filter, VWAP</t>
        </is>
      </c>
      <c r="D1841" s="9" t="inlineStr">
        <is>
          <t>Short</t>
        </is>
      </c>
      <c r="E1841" s="10" t="n">
        <v>45252.65277777778</v>
      </c>
      <c r="F1841" s="10" t="n">
        <v>45252.67361111111</v>
      </c>
      <c r="G1841" s="11" t="n">
        <v>-3.33</v>
      </c>
      <c r="H1841" s="11">
        <f>H1840+G1841</f>
        <v/>
      </c>
    </row>
    <row r="1842">
      <c r="A1842" s="9" t="n">
        <v>1838</v>
      </c>
      <c r="B1842" s="9" t="inlineStr">
        <is>
          <t>Aurelius_M15</t>
        </is>
      </c>
      <c r="C1842" s="9" t="inlineStr">
        <is>
          <t>MA alignment (EMA21&gt;EMA50&gt;SMA250&gt;SMMA500 vs EMA2400 trend filter) - M15 chart</t>
        </is>
      </c>
      <c r="D1842" s="9" t="inlineStr">
        <is>
          <t>Long</t>
        </is>
      </c>
      <c r="E1842" s="10" t="n">
        <v>45252.44791666666</v>
      </c>
      <c r="F1842" s="10" t="n">
        <v>45252.70833333334</v>
      </c>
      <c r="G1842" s="11" t="n">
        <v>-4.69</v>
      </c>
      <c r="H1842" s="11">
        <f>H1841+G1842</f>
        <v/>
      </c>
    </row>
    <row r="1843">
      <c r="A1843" s="9" t="n">
        <v>1839</v>
      </c>
      <c r="B1843" s="9" t="inlineStr">
        <is>
          <t>Meridian</t>
        </is>
      </c>
      <c r="C1843" s="9" t="inlineStr">
        <is>
          <t>21/50 MA cross, 250-period confirm filter, VWAP</t>
        </is>
      </c>
      <c r="D1843" s="9" t="inlineStr">
        <is>
          <t>Short</t>
        </is>
      </c>
      <c r="E1843" s="10" t="n">
        <v>45253.45486111111</v>
      </c>
      <c r="F1843" s="10" t="n">
        <v>45253.86458333334</v>
      </c>
      <c r="G1843" s="11" t="n">
        <v>1.31</v>
      </c>
      <c r="H1843" s="11">
        <f>H1842+G1843</f>
        <v/>
      </c>
    </row>
    <row r="1844">
      <c r="A1844" s="9" t="n">
        <v>1840</v>
      </c>
      <c r="B1844" s="9" t="inlineStr">
        <is>
          <t>Meridian</t>
        </is>
      </c>
      <c r="C1844" s="9" t="inlineStr">
        <is>
          <t>21/50 MA cross, 250-period confirm filter, VWAP</t>
        </is>
      </c>
      <c r="D1844" s="9" t="inlineStr">
        <is>
          <t>Short</t>
        </is>
      </c>
      <c r="E1844" s="10" t="n">
        <v>45253.87847222222</v>
      </c>
      <c r="F1844" s="10" t="n">
        <v>45254.04166666666</v>
      </c>
      <c r="G1844" s="11" t="n">
        <v>-1.04</v>
      </c>
      <c r="H1844" s="11">
        <f>H1843+G1844</f>
        <v/>
      </c>
    </row>
    <row r="1845">
      <c r="A1845" s="9" t="n">
        <v>1841</v>
      </c>
      <c r="B1845" s="9" t="inlineStr">
        <is>
          <t>Vanguard_M5</t>
        </is>
      </c>
      <c r="C1845" s="9" t="inlineStr">
        <is>
          <t>Trendline breakout (fractal swing line) + VWAP/S-R distance gate</t>
        </is>
      </c>
      <c r="D1845" s="9" t="inlineStr">
        <is>
          <t>Long</t>
        </is>
      </c>
      <c r="E1845" s="10" t="n">
        <v>45254.07291666666</v>
      </c>
      <c r="F1845" s="10" t="n">
        <v>45254.14236111111</v>
      </c>
      <c r="G1845" s="11" t="n">
        <v>-1.82</v>
      </c>
      <c r="H1845" s="11">
        <f>H1844+G1845</f>
        <v/>
      </c>
    </row>
    <row r="1846">
      <c r="A1846" s="9" t="n">
        <v>1842</v>
      </c>
      <c r="B1846" s="9" t="inlineStr">
        <is>
          <t>Meridian</t>
        </is>
      </c>
      <c r="C1846" s="9" t="inlineStr">
        <is>
          <t>21/50 MA cross, 250-period confirm filter, VWAP</t>
        </is>
      </c>
      <c r="D1846" s="9" t="inlineStr">
        <is>
          <t>Short</t>
        </is>
      </c>
      <c r="E1846" s="10" t="n">
        <v>45254.17361111111</v>
      </c>
      <c r="F1846" s="10" t="n">
        <v>45254.28472222222</v>
      </c>
      <c r="G1846" s="11" t="n">
        <v>-2.05</v>
      </c>
      <c r="H1846" s="11">
        <f>H1845+G1846</f>
        <v/>
      </c>
    </row>
    <row r="1847">
      <c r="A1847" s="9" t="n">
        <v>1843</v>
      </c>
      <c r="B1847" s="9" t="inlineStr">
        <is>
          <t>Meridian</t>
        </is>
      </c>
      <c r="C1847" s="9" t="inlineStr">
        <is>
          <t>21/50 MA cross, 250-period confirm filter, VWAP</t>
        </is>
      </c>
      <c r="D1847" s="9" t="inlineStr">
        <is>
          <t>Long</t>
        </is>
      </c>
      <c r="E1847" s="10" t="n">
        <v>45254.29166666666</v>
      </c>
      <c r="F1847" s="10" t="n">
        <v>45254.43055555555</v>
      </c>
      <c r="G1847" s="11" t="n">
        <v>-1.13</v>
      </c>
      <c r="H1847" s="11">
        <f>H1846+G1847</f>
        <v/>
      </c>
    </row>
    <row r="1848">
      <c r="A1848" s="9" t="n">
        <v>1844</v>
      </c>
      <c r="B1848" s="9" t="inlineStr">
        <is>
          <t>Ratchet</t>
        </is>
      </c>
      <c r="C1848" s="9" t="inlineStr">
        <is>
          <t>Stochastic scalp with give-back trail exit</t>
        </is>
      </c>
      <c r="D1848" s="9" t="inlineStr">
        <is>
          <t>Long</t>
        </is>
      </c>
      <c r="E1848" s="10" t="n">
        <v>45254.70833333334</v>
      </c>
      <c r="F1848" s="10" t="n">
        <v>45254.71875</v>
      </c>
      <c r="G1848" s="11" t="n">
        <v>0.47</v>
      </c>
      <c r="H1848" s="11">
        <f>H1847+G1848</f>
        <v/>
      </c>
    </row>
    <row r="1849">
      <c r="A1849" s="9" t="n">
        <v>1845</v>
      </c>
      <c r="B1849" s="9" t="inlineStr">
        <is>
          <t>Ratchet</t>
        </is>
      </c>
      <c r="C1849" s="9" t="inlineStr">
        <is>
          <t>Stochastic scalp with give-back trail exit</t>
        </is>
      </c>
      <c r="D1849" s="9" t="inlineStr">
        <is>
          <t>Long</t>
        </is>
      </c>
      <c r="E1849" s="10" t="n">
        <v>45254.77083333334</v>
      </c>
      <c r="F1849" s="10" t="n">
        <v>45254.81944444445</v>
      </c>
      <c r="G1849" s="11" t="n">
        <v>0.47</v>
      </c>
      <c r="H1849" s="11">
        <f>H1848+G1849</f>
        <v/>
      </c>
    </row>
    <row r="1850">
      <c r="A1850" s="9" t="n">
        <v>1846</v>
      </c>
      <c r="B1850" s="9" t="inlineStr">
        <is>
          <t>Ratchet</t>
        </is>
      </c>
      <c r="C1850" s="9" t="inlineStr">
        <is>
          <t>Stochastic scalp with give-back trail exit</t>
        </is>
      </c>
      <c r="D1850" s="9" t="inlineStr">
        <is>
          <t>Long</t>
        </is>
      </c>
      <c r="E1850" s="10" t="n">
        <v>45257.19791666666</v>
      </c>
      <c r="F1850" s="10" t="n">
        <v>45257.21180555555</v>
      </c>
      <c r="G1850" s="11" t="n">
        <v>0.44</v>
      </c>
      <c r="H1850" s="11">
        <f>H1849+G1850</f>
        <v/>
      </c>
    </row>
    <row r="1851">
      <c r="A1851" s="9" t="n">
        <v>1847</v>
      </c>
      <c r="B1851" s="9" t="inlineStr">
        <is>
          <t>Ratchet</t>
        </is>
      </c>
      <c r="C1851" s="9" t="inlineStr">
        <is>
          <t>Stochastic scalp with give-back trail exit</t>
        </is>
      </c>
      <c r="D1851" s="9" t="inlineStr">
        <is>
          <t>Long</t>
        </is>
      </c>
      <c r="E1851" s="10" t="n">
        <v>45257.45486111111</v>
      </c>
      <c r="F1851" s="10" t="n">
        <v>45257.48958333334</v>
      </c>
      <c r="G1851" s="11" t="n">
        <v>0.5</v>
      </c>
      <c r="H1851" s="11">
        <f>H1850+G1851</f>
        <v/>
      </c>
    </row>
    <row r="1852">
      <c r="A1852" s="9" t="n">
        <v>1848</v>
      </c>
      <c r="B1852" s="9" t="inlineStr">
        <is>
          <t>Ratchet</t>
        </is>
      </c>
      <c r="C1852" s="9" t="inlineStr">
        <is>
          <t>Stochastic scalp with give-back trail exit</t>
        </is>
      </c>
      <c r="D1852" s="9" t="inlineStr">
        <is>
          <t>Long</t>
        </is>
      </c>
      <c r="E1852" s="10" t="n">
        <v>45257.53472222222</v>
      </c>
      <c r="F1852" s="10" t="n">
        <v>45257.55555555555</v>
      </c>
      <c r="G1852" s="11" t="n">
        <v>-2.05</v>
      </c>
      <c r="H1852" s="11">
        <f>H1851+G1852</f>
        <v/>
      </c>
    </row>
    <row r="1853">
      <c r="A1853" s="9" t="n">
        <v>1849</v>
      </c>
      <c r="B1853" s="9" t="inlineStr">
        <is>
          <t>Ratchet</t>
        </is>
      </c>
      <c r="C1853" s="9" t="inlineStr">
        <is>
          <t>Stochastic scalp with give-back trail exit</t>
        </is>
      </c>
      <c r="D1853" s="9" t="inlineStr">
        <is>
          <t>Long</t>
        </is>
      </c>
      <c r="E1853" s="10" t="n">
        <v>45257.59722222222</v>
      </c>
      <c r="F1853" s="10" t="n">
        <v>45257.60069444445</v>
      </c>
      <c r="G1853" s="11" t="n">
        <v>-1.4</v>
      </c>
      <c r="H1853" s="11">
        <f>H1852+G1853</f>
        <v/>
      </c>
    </row>
    <row r="1854">
      <c r="A1854" s="9" t="n">
        <v>1850</v>
      </c>
      <c r="B1854" s="9" t="inlineStr">
        <is>
          <t>Ratchet</t>
        </is>
      </c>
      <c r="C1854" s="9" t="inlineStr">
        <is>
          <t>Stochastic scalp with give-back trail exit</t>
        </is>
      </c>
      <c r="D1854" s="9" t="inlineStr">
        <is>
          <t>Long</t>
        </is>
      </c>
      <c r="E1854" s="10" t="n">
        <v>45257.62152777778</v>
      </c>
      <c r="F1854" s="10" t="n">
        <v>45257.63541666666</v>
      </c>
      <c r="G1854" s="11" t="n">
        <v>-1.61</v>
      </c>
      <c r="H1854" s="11">
        <f>H1853+G1854</f>
        <v/>
      </c>
    </row>
    <row r="1855">
      <c r="A1855" s="9" t="n">
        <v>1851</v>
      </c>
      <c r="B1855" s="9" t="inlineStr">
        <is>
          <t>Meridian</t>
        </is>
      </c>
      <c r="C1855" s="9" t="inlineStr">
        <is>
          <t>21/50 MA cross, 250-period confirm filter, VWAP</t>
        </is>
      </c>
      <c r="D1855" s="9" t="inlineStr">
        <is>
          <t>Long</t>
        </is>
      </c>
      <c r="E1855" s="10" t="n">
        <v>45254.44444444445</v>
      </c>
      <c r="F1855" s="10" t="n">
        <v>45257.66666666666</v>
      </c>
      <c r="G1855" s="11" t="n">
        <v>17.65</v>
      </c>
      <c r="H1855" s="11">
        <f>H1854+G1855</f>
        <v/>
      </c>
    </row>
    <row r="1856">
      <c r="A1856" s="9" t="n">
        <v>1852</v>
      </c>
      <c r="B1856" s="9" t="inlineStr">
        <is>
          <t>Aurelius_M5</t>
        </is>
      </c>
      <c r="C1856" s="9" t="inlineStr">
        <is>
          <t>MA alignment (EMA21&gt;EMA50&gt;SMA250&gt;SMMA500 vs EMA2400 trend filter)</t>
        </is>
      </c>
      <c r="D1856" s="9" t="inlineStr">
        <is>
          <t>Long</t>
        </is>
      </c>
      <c r="E1856" s="10" t="n">
        <v>45254.52430555555</v>
      </c>
      <c r="F1856" s="10" t="n">
        <v>45257.66666666666</v>
      </c>
      <c r="G1856" s="11" t="n">
        <v>16.12</v>
      </c>
      <c r="H1856" s="11">
        <f>H1855+G1856</f>
        <v/>
      </c>
    </row>
    <row r="1857">
      <c r="A1857" s="9" t="n">
        <v>1853</v>
      </c>
      <c r="B1857" s="9" t="inlineStr">
        <is>
          <t>Ratchet</t>
        </is>
      </c>
      <c r="C1857" s="9" t="inlineStr">
        <is>
          <t>Stochastic scalp with give-back trail exit</t>
        </is>
      </c>
      <c r="D1857" s="9" t="inlineStr">
        <is>
          <t>Long</t>
        </is>
      </c>
      <c r="E1857" s="10" t="n">
        <v>45257.92013888889</v>
      </c>
      <c r="F1857" s="10" t="n">
        <v>45257.92361111111</v>
      </c>
      <c r="G1857" s="11" t="n">
        <v>0.14</v>
      </c>
      <c r="H1857" s="11">
        <f>H1856+G1857</f>
        <v/>
      </c>
    </row>
    <row r="1858">
      <c r="A1858" s="9" t="n">
        <v>1854</v>
      </c>
      <c r="B1858" s="9" t="inlineStr">
        <is>
          <t>Aurelius_M5</t>
        </is>
      </c>
      <c r="C1858" s="9" t="inlineStr">
        <is>
          <t>MA alignment (EMA21&gt;EMA50&gt;SMA250&gt;SMMA500 vs EMA2400 trend filter)</t>
        </is>
      </c>
      <c r="D1858" s="9" t="inlineStr">
        <is>
          <t>Long</t>
        </is>
      </c>
      <c r="E1858" s="10" t="n">
        <v>45258.19444444445</v>
      </c>
      <c r="F1858" s="10" t="n">
        <v>45258.25694444445</v>
      </c>
      <c r="G1858" s="11" t="n">
        <v>-1.77</v>
      </c>
      <c r="H1858" s="11">
        <f>H1857+G1858</f>
        <v/>
      </c>
    </row>
    <row r="1859">
      <c r="A1859" s="9" t="n">
        <v>1855</v>
      </c>
      <c r="B1859" s="9" t="inlineStr">
        <is>
          <t>Meridian</t>
        </is>
      </c>
      <c r="C1859" s="9" t="inlineStr">
        <is>
          <t>21/50 MA cross, 250-period confirm filter, VWAP</t>
        </is>
      </c>
      <c r="D1859" s="9" t="inlineStr">
        <is>
          <t>Long</t>
        </is>
      </c>
      <c r="E1859" s="10" t="n">
        <v>45257.86111111111</v>
      </c>
      <c r="F1859" s="10" t="n">
        <v>45258.26041666666</v>
      </c>
      <c r="G1859" s="11" t="n">
        <v>1.65</v>
      </c>
      <c r="H1859" s="11">
        <f>H1858+G1859</f>
        <v/>
      </c>
    </row>
    <row r="1860">
      <c r="A1860" s="9" t="n">
        <v>1856</v>
      </c>
      <c r="B1860" s="9" t="inlineStr">
        <is>
          <t>Meridian</t>
        </is>
      </c>
      <c r="C1860" s="9" t="inlineStr">
        <is>
          <t>21/50 MA cross, 250-period confirm filter, VWAP</t>
        </is>
      </c>
      <c r="D1860" s="9" t="inlineStr">
        <is>
          <t>Long</t>
        </is>
      </c>
      <c r="E1860" s="10" t="n">
        <v>45258.28125</v>
      </c>
      <c r="F1860" s="10" t="n">
        <v>45258.3125</v>
      </c>
      <c r="G1860" s="11" t="n">
        <v>-2</v>
      </c>
      <c r="H1860" s="11">
        <f>H1859+G1860</f>
        <v/>
      </c>
    </row>
    <row r="1861">
      <c r="A1861" s="9" t="n">
        <v>1857</v>
      </c>
      <c r="B1861" s="9" t="inlineStr">
        <is>
          <t>Ratchet</t>
        </is>
      </c>
      <c r="C1861" s="9" t="inlineStr">
        <is>
          <t>Stochastic scalp with give-back trail exit</t>
        </is>
      </c>
      <c r="D1861" s="9" t="inlineStr">
        <is>
          <t>Long</t>
        </is>
      </c>
      <c r="E1861" s="10" t="n">
        <v>45258.34375</v>
      </c>
      <c r="F1861" s="10" t="n">
        <v>45258.34722222222</v>
      </c>
      <c r="G1861" s="11" t="n">
        <v>0</v>
      </c>
      <c r="H1861" s="11">
        <f>H1860+G1861</f>
        <v/>
      </c>
    </row>
    <row r="1862">
      <c r="A1862" s="9" t="n">
        <v>1858</v>
      </c>
      <c r="B1862" s="9" t="inlineStr">
        <is>
          <t>Meridian</t>
        </is>
      </c>
      <c r="C1862" s="9" t="inlineStr">
        <is>
          <t>21/50 MA cross, 250-period confirm filter, VWAP</t>
        </is>
      </c>
      <c r="D1862" s="9" t="inlineStr">
        <is>
          <t>Long</t>
        </is>
      </c>
      <c r="E1862" s="10" t="n">
        <v>45258.34375</v>
      </c>
      <c r="F1862" s="10" t="n">
        <v>45258.40277777778</v>
      </c>
      <c r="G1862" s="11" t="n">
        <v>-1.81</v>
      </c>
      <c r="H1862" s="11">
        <f>H1861+G1862</f>
        <v/>
      </c>
    </row>
    <row r="1863">
      <c r="A1863" s="9" t="n">
        <v>1859</v>
      </c>
      <c r="B1863" s="9" t="inlineStr">
        <is>
          <t>Meridian</t>
        </is>
      </c>
      <c r="C1863" s="9" t="inlineStr">
        <is>
          <t>21/50 MA cross, 250-period confirm filter, VWAP</t>
        </is>
      </c>
      <c r="D1863" s="9" t="inlineStr">
        <is>
          <t>Long</t>
        </is>
      </c>
      <c r="E1863" s="10" t="n">
        <v>45258.48263888889</v>
      </c>
      <c r="F1863" s="10" t="n">
        <v>45258.52777777778</v>
      </c>
      <c r="G1863" s="11" t="n">
        <v>-1.83</v>
      </c>
      <c r="H1863" s="11">
        <f>H1862+G1863</f>
        <v/>
      </c>
    </row>
    <row r="1864">
      <c r="A1864" s="9" t="n">
        <v>1860</v>
      </c>
      <c r="B1864" s="9" t="inlineStr">
        <is>
          <t>Vanguard_M15</t>
        </is>
      </c>
      <c r="C1864" s="9" t="inlineStr">
        <is>
          <t>Trendline breakout (fractal swing line) + VWAP/S-R distance gate - M15 chart</t>
        </is>
      </c>
      <c r="D1864" s="9" t="inlineStr">
        <is>
          <t>Long</t>
        </is>
      </c>
      <c r="E1864" s="10" t="n">
        <v>45254.07291666666</v>
      </c>
      <c r="F1864" s="10" t="n">
        <v>45258.625</v>
      </c>
      <c r="G1864" s="11" t="n">
        <v>17.9</v>
      </c>
      <c r="H1864" s="11">
        <f>H1863+G1864</f>
        <v/>
      </c>
    </row>
    <row r="1865">
      <c r="A1865" s="9" t="n">
        <v>1861</v>
      </c>
      <c r="B1865" s="9" t="inlineStr">
        <is>
          <t>Meridian</t>
        </is>
      </c>
      <c r="C1865" s="9" t="inlineStr">
        <is>
          <t>21/50 MA cross, 250-period confirm filter, VWAP</t>
        </is>
      </c>
      <c r="D1865" s="9" t="inlineStr">
        <is>
          <t>Long</t>
        </is>
      </c>
      <c r="E1865" s="10" t="n">
        <v>45258.56597222222</v>
      </c>
      <c r="F1865" s="10" t="n">
        <v>45258.625</v>
      </c>
      <c r="G1865" s="11" t="n">
        <v>-1.83</v>
      </c>
      <c r="H1865" s="11">
        <f>H1864+G1865</f>
        <v/>
      </c>
    </row>
    <row r="1866">
      <c r="A1866" s="9" t="n">
        <v>1862</v>
      </c>
      <c r="B1866" s="9" t="inlineStr">
        <is>
          <t>Vanguard_M5</t>
        </is>
      </c>
      <c r="C1866" s="9" t="inlineStr">
        <is>
          <t>Trendline breakout (fractal swing line) + VWAP/S-R distance gate</t>
        </is>
      </c>
      <c r="D1866" s="9" t="inlineStr">
        <is>
          <t>Long</t>
        </is>
      </c>
      <c r="E1866" s="10" t="n">
        <v>45254.24305555555</v>
      </c>
      <c r="F1866" s="10" t="n">
        <v>45258.63194444445</v>
      </c>
      <c r="G1866" s="11" t="n">
        <v>18.81</v>
      </c>
      <c r="H1866" s="11">
        <f>H1865+G1866</f>
        <v/>
      </c>
    </row>
    <row r="1867">
      <c r="A1867" s="9" t="n">
        <v>1863</v>
      </c>
      <c r="B1867" s="9" t="inlineStr">
        <is>
          <t>Vanguard_M15</t>
        </is>
      </c>
      <c r="C1867" s="9" t="inlineStr">
        <is>
          <t>Trendline breakout (fractal swing line) + VWAP/S-R distance gate - M15 chart</t>
        </is>
      </c>
      <c r="D1867" s="9" t="inlineStr">
        <is>
          <t>Short</t>
        </is>
      </c>
      <c r="E1867" s="10" t="n">
        <v>45258.63541666666</v>
      </c>
      <c r="F1867" s="10" t="n">
        <v>45258.63541666666</v>
      </c>
      <c r="G1867" s="11" t="n">
        <v>-4.02</v>
      </c>
      <c r="H1867" s="11">
        <f>H1866+G1867</f>
        <v/>
      </c>
    </row>
    <row r="1868">
      <c r="A1868" s="9" t="n">
        <v>1864</v>
      </c>
      <c r="B1868" s="9" t="inlineStr">
        <is>
          <t>Vanguard_M5</t>
        </is>
      </c>
      <c r="C1868" s="9" t="inlineStr">
        <is>
          <t>Trendline breakout (fractal swing line) + VWAP/S-R distance gate</t>
        </is>
      </c>
      <c r="D1868" s="9" t="inlineStr">
        <is>
          <t>Short</t>
        </is>
      </c>
      <c r="E1868" s="10" t="n">
        <v>45258.63541666666</v>
      </c>
      <c r="F1868" s="10" t="n">
        <v>45258.64236111111</v>
      </c>
      <c r="G1868" s="11" t="n">
        <v>-3.44</v>
      </c>
      <c r="H1868" s="11">
        <f>H1867+G1868</f>
        <v/>
      </c>
    </row>
    <row r="1869">
      <c r="A1869" s="9" t="n">
        <v>1865</v>
      </c>
      <c r="B1869" s="9" t="inlineStr">
        <is>
          <t>Ratchet</t>
        </is>
      </c>
      <c r="C1869" s="9" t="inlineStr">
        <is>
          <t>Stochastic scalp with give-back trail exit</t>
        </is>
      </c>
      <c r="D1869" s="9" t="inlineStr">
        <is>
          <t>Long</t>
        </is>
      </c>
      <c r="E1869" s="10" t="n">
        <v>45258.90625</v>
      </c>
      <c r="F1869" s="10" t="n">
        <v>45258.91666666666</v>
      </c>
      <c r="G1869" s="11" t="n">
        <v>0.31</v>
      </c>
      <c r="H1869" s="11">
        <f>H1868+G1869</f>
        <v/>
      </c>
    </row>
    <row r="1870">
      <c r="A1870" s="9" t="n">
        <v>1866</v>
      </c>
      <c r="B1870" s="9" t="inlineStr">
        <is>
          <t>Ratchet</t>
        </is>
      </c>
      <c r="C1870" s="9" t="inlineStr">
        <is>
          <t>Stochastic scalp with give-back trail exit</t>
        </is>
      </c>
      <c r="D1870" s="9" t="inlineStr">
        <is>
          <t>Long</t>
        </is>
      </c>
      <c r="E1870" s="10" t="n">
        <v>45258.95138888889</v>
      </c>
      <c r="F1870" s="10" t="n">
        <v>45258.96527777778</v>
      </c>
      <c r="G1870" s="11" t="n">
        <v>0.16</v>
      </c>
      <c r="H1870" s="11">
        <f>H1869+G1870</f>
        <v/>
      </c>
    </row>
    <row r="1871">
      <c r="A1871" s="9" t="n">
        <v>1867</v>
      </c>
      <c r="B1871" s="9" t="inlineStr">
        <is>
          <t>Aurelius_M5</t>
        </is>
      </c>
      <c r="C1871" s="9" t="inlineStr">
        <is>
          <t>MA alignment (EMA21&gt;EMA50&gt;SMA250&gt;SMMA500 vs EMA2400 trend filter)</t>
        </is>
      </c>
      <c r="D1871" s="9" t="inlineStr">
        <is>
          <t>Long</t>
        </is>
      </c>
      <c r="E1871" s="10" t="n">
        <v>45258.66666666666</v>
      </c>
      <c r="F1871" s="10" t="n">
        <v>45259.04166666666</v>
      </c>
      <c r="G1871" s="11" t="n">
        <v>19.57</v>
      </c>
      <c r="H1871" s="11">
        <f>H1870+G1871</f>
        <v/>
      </c>
    </row>
    <row r="1872">
      <c r="A1872" s="9" t="n">
        <v>1868</v>
      </c>
      <c r="B1872" s="9" t="inlineStr">
        <is>
          <t>Ratchet</t>
        </is>
      </c>
      <c r="C1872" s="9" t="inlineStr">
        <is>
          <t>Stochastic scalp with give-back trail exit</t>
        </is>
      </c>
      <c r="D1872" s="9" t="inlineStr">
        <is>
          <t>Long</t>
        </is>
      </c>
      <c r="E1872" s="10" t="n">
        <v>45259.05902777778</v>
      </c>
      <c r="F1872" s="10" t="n">
        <v>45259.06597222222</v>
      </c>
      <c r="G1872" s="11" t="n">
        <v>0.45</v>
      </c>
      <c r="H1872" s="11">
        <f>H1871+G1872</f>
        <v/>
      </c>
    </row>
    <row r="1873">
      <c r="A1873" s="9" t="n">
        <v>1869</v>
      </c>
      <c r="B1873" s="9" t="inlineStr">
        <is>
          <t>Ratchet</t>
        </is>
      </c>
      <c r="C1873" s="9" t="inlineStr">
        <is>
          <t>Stochastic scalp with give-back trail exit</t>
        </is>
      </c>
      <c r="D1873" s="9" t="inlineStr">
        <is>
          <t>Long</t>
        </is>
      </c>
      <c r="E1873" s="10" t="n">
        <v>45259.10416666666</v>
      </c>
      <c r="F1873" s="10" t="n">
        <v>45259.18055555555</v>
      </c>
      <c r="G1873" s="11" t="n">
        <v>1.5</v>
      </c>
      <c r="H1873" s="11">
        <f>H1872+G1873</f>
        <v/>
      </c>
    </row>
    <row r="1874">
      <c r="A1874" s="9" t="n">
        <v>1870</v>
      </c>
      <c r="B1874" s="9" t="inlineStr">
        <is>
          <t>Meridian</t>
        </is>
      </c>
      <c r="C1874" s="9" t="inlineStr">
        <is>
          <t>21/50 MA cross, 250-period confirm filter, VWAP</t>
        </is>
      </c>
      <c r="D1874" s="9" t="inlineStr">
        <is>
          <t>Long</t>
        </is>
      </c>
      <c r="E1874" s="10" t="n">
        <v>45258.65277777778</v>
      </c>
      <c r="F1874" s="10" t="n">
        <v>45259.25347222222</v>
      </c>
      <c r="G1874" s="11" t="n">
        <v>26.97</v>
      </c>
      <c r="H1874" s="11">
        <f>H1873+G1874</f>
        <v/>
      </c>
    </row>
    <row r="1875">
      <c r="A1875" s="9" t="n">
        <v>1871</v>
      </c>
      <c r="B1875" s="9" t="inlineStr">
        <is>
          <t>Meridian</t>
        </is>
      </c>
      <c r="C1875" s="9" t="inlineStr">
        <is>
          <t>21/50 MA cross, 250-period confirm filter, VWAP</t>
        </is>
      </c>
      <c r="D1875" s="9" t="inlineStr">
        <is>
          <t>Long</t>
        </is>
      </c>
      <c r="E1875" s="10" t="n">
        <v>45259.29861111111</v>
      </c>
      <c r="F1875" s="10" t="n">
        <v>45259.30555555555</v>
      </c>
      <c r="G1875" s="11" t="n">
        <v>-2.31</v>
      </c>
      <c r="H1875" s="11">
        <f>H1874+G1875</f>
        <v/>
      </c>
    </row>
    <row r="1876">
      <c r="A1876" s="9" t="n">
        <v>1872</v>
      </c>
      <c r="B1876" s="9" t="inlineStr">
        <is>
          <t>Aurelius_M15</t>
        </is>
      </c>
      <c r="C1876" s="9" t="inlineStr">
        <is>
          <t>MA alignment (EMA21&gt;EMA50&gt;SMA250&gt;SMMA500 vs EMA2400 trend filter) - M15 chart</t>
        </is>
      </c>
      <c r="D1876" s="9" t="inlineStr">
        <is>
          <t>Long</t>
        </is>
      </c>
      <c r="E1876" s="10" t="n">
        <v>45254.59375</v>
      </c>
      <c r="F1876" s="10" t="n">
        <v>45259.39583333334</v>
      </c>
      <c r="G1876" s="11" t="n">
        <v>46.27</v>
      </c>
      <c r="H1876" s="11">
        <f>H1875+G1876</f>
        <v/>
      </c>
    </row>
    <row r="1877">
      <c r="A1877" s="9" t="n">
        <v>1873</v>
      </c>
      <c r="B1877" s="9" t="inlineStr">
        <is>
          <t>Meridian</t>
        </is>
      </c>
      <c r="C1877" s="9" t="inlineStr">
        <is>
          <t>21/50 MA cross, 250-period confirm filter, VWAP</t>
        </is>
      </c>
      <c r="D1877" s="9" t="inlineStr">
        <is>
          <t>Short</t>
        </is>
      </c>
      <c r="E1877" s="10" t="n">
        <v>45259.65972222222</v>
      </c>
      <c r="F1877" s="10" t="n">
        <v>45259.69097222222</v>
      </c>
      <c r="G1877" s="11" t="n">
        <v>-3.67</v>
      </c>
      <c r="H1877" s="11">
        <f>H1876+G1877</f>
        <v/>
      </c>
    </row>
    <row r="1878">
      <c r="A1878" s="9" t="n">
        <v>1874</v>
      </c>
      <c r="B1878" s="9" t="inlineStr">
        <is>
          <t>Ratchet</t>
        </is>
      </c>
      <c r="C1878" s="9" t="inlineStr">
        <is>
          <t>Stochastic scalp with give-back trail exit</t>
        </is>
      </c>
      <c r="D1878" s="9" t="inlineStr">
        <is>
          <t>Long</t>
        </is>
      </c>
      <c r="E1878" s="10" t="n">
        <v>45259.75</v>
      </c>
      <c r="F1878" s="10" t="n">
        <v>45259.80208333334</v>
      </c>
      <c r="G1878" s="11" t="n">
        <v>-0</v>
      </c>
      <c r="H1878" s="11">
        <f>H1877+G1878</f>
        <v/>
      </c>
    </row>
    <row r="1879">
      <c r="A1879" s="9" t="n">
        <v>1875</v>
      </c>
      <c r="B1879" s="9" t="inlineStr">
        <is>
          <t>Ratchet</t>
        </is>
      </c>
      <c r="C1879" s="9" t="inlineStr">
        <is>
          <t>Stochastic scalp with give-back trail exit</t>
        </is>
      </c>
      <c r="D1879" s="9" t="inlineStr">
        <is>
          <t>Long</t>
        </is>
      </c>
      <c r="E1879" s="10" t="n">
        <v>45259.81944444445</v>
      </c>
      <c r="F1879" s="10" t="n">
        <v>45259.89583333334</v>
      </c>
      <c r="G1879" s="11" t="n">
        <v>1.22</v>
      </c>
      <c r="H1879" s="11">
        <f>H1878+G1879</f>
        <v/>
      </c>
    </row>
    <row r="1880">
      <c r="A1880" s="9" t="n">
        <v>1876</v>
      </c>
      <c r="B1880" s="9" t="inlineStr">
        <is>
          <t>Meridian</t>
        </is>
      </c>
      <c r="C1880" s="9" t="inlineStr">
        <is>
          <t>21/50 MA cross, 250-period confirm filter, VWAP</t>
        </is>
      </c>
      <c r="D1880" s="9" t="inlineStr">
        <is>
          <t>Long</t>
        </is>
      </c>
      <c r="E1880" s="10" t="n">
        <v>45260.10069444445</v>
      </c>
      <c r="F1880" s="10" t="n">
        <v>45260.14930555555</v>
      </c>
      <c r="G1880" s="11" t="n">
        <v>-1.43</v>
      </c>
      <c r="H1880" s="11">
        <f>H1879+G1880</f>
        <v/>
      </c>
    </row>
    <row r="1881">
      <c r="A1881" s="9" t="n">
        <v>1877</v>
      </c>
      <c r="B1881" s="9" t="inlineStr">
        <is>
          <t>Aurelius_M5</t>
        </is>
      </c>
      <c r="C1881" s="9" t="inlineStr">
        <is>
          <t>MA alignment (EMA21&gt;EMA50&gt;SMA250&gt;SMMA500 vs EMA2400 trend filter)</t>
        </is>
      </c>
      <c r="D1881" s="9" t="inlineStr">
        <is>
          <t>Long</t>
        </is>
      </c>
      <c r="E1881" s="10" t="n">
        <v>45260.14930555555</v>
      </c>
      <c r="F1881" s="10" t="n">
        <v>45260.15972222222</v>
      </c>
      <c r="G1881" s="11" t="n">
        <v>-1.74</v>
      </c>
      <c r="H1881" s="11">
        <f>H1880+G1881</f>
        <v/>
      </c>
    </row>
    <row r="1882">
      <c r="A1882" s="9" t="n">
        <v>1878</v>
      </c>
      <c r="B1882" s="9" t="inlineStr">
        <is>
          <t>Ratchet</t>
        </is>
      </c>
      <c r="C1882" s="9" t="inlineStr">
        <is>
          <t>Stochastic scalp with give-back trail exit</t>
        </is>
      </c>
      <c r="D1882" s="9" t="inlineStr">
        <is>
          <t>Long</t>
        </is>
      </c>
      <c r="E1882" s="10" t="n">
        <v>45260.26041666666</v>
      </c>
      <c r="F1882" s="10" t="n">
        <v>45260.26736111111</v>
      </c>
      <c r="G1882" s="11" t="n">
        <v>-1.3</v>
      </c>
      <c r="H1882" s="11">
        <f>H1881+G1882</f>
        <v/>
      </c>
    </row>
    <row r="1883">
      <c r="A1883" s="9" t="n">
        <v>1879</v>
      </c>
      <c r="B1883" s="9" t="inlineStr">
        <is>
          <t>Meridian</t>
        </is>
      </c>
      <c r="C1883" s="9" t="inlineStr">
        <is>
          <t>21/50 MA cross, 250-period confirm filter, VWAP</t>
        </is>
      </c>
      <c r="D1883" s="9" t="inlineStr">
        <is>
          <t>Long</t>
        </is>
      </c>
      <c r="E1883" s="10" t="n">
        <v>45260.21180555555</v>
      </c>
      <c r="F1883" s="10" t="n">
        <v>45260.27430555555</v>
      </c>
      <c r="G1883" s="11" t="n">
        <v>-2.25</v>
      </c>
      <c r="H1883" s="11">
        <f>H1882+G1883</f>
        <v/>
      </c>
    </row>
    <row r="1884">
      <c r="A1884" s="9" t="n">
        <v>1880</v>
      </c>
      <c r="B1884" s="9" t="inlineStr">
        <is>
          <t>Aurelius_M5</t>
        </is>
      </c>
      <c r="C1884" s="9" t="inlineStr">
        <is>
          <t>MA alignment (EMA21&gt;EMA50&gt;SMA250&gt;SMMA500 vs EMA2400 trend filter)</t>
        </is>
      </c>
      <c r="D1884" s="9" t="inlineStr">
        <is>
          <t>Long</t>
        </is>
      </c>
      <c r="E1884" s="10" t="n">
        <v>45260.25694444445</v>
      </c>
      <c r="F1884" s="10" t="n">
        <v>45260.27777777778</v>
      </c>
      <c r="G1884" s="11" t="n">
        <v>-2.1</v>
      </c>
      <c r="H1884" s="11">
        <f>H1883+G1884</f>
        <v/>
      </c>
    </row>
    <row r="1885">
      <c r="A1885" s="9" t="n">
        <v>1881</v>
      </c>
      <c r="B1885" s="9" t="inlineStr">
        <is>
          <t>Meridian</t>
        </is>
      </c>
      <c r="C1885" s="9" t="inlineStr">
        <is>
          <t>21/50 MA cross, 250-period confirm filter, VWAP</t>
        </is>
      </c>
      <c r="D1885" s="9" t="inlineStr">
        <is>
          <t>Short</t>
        </is>
      </c>
      <c r="E1885" s="10" t="n">
        <v>45260.40625</v>
      </c>
      <c r="F1885" s="10" t="n">
        <v>45260.41666666666</v>
      </c>
      <c r="G1885" s="11" t="n">
        <v>-2.44</v>
      </c>
      <c r="H1885" s="11">
        <f>H1884+G1885</f>
        <v/>
      </c>
    </row>
    <row r="1886">
      <c r="A1886" s="9" t="n">
        <v>1882</v>
      </c>
      <c r="B1886" s="9" t="inlineStr">
        <is>
          <t>Meridian</t>
        </is>
      </c>
      <c r="C1886" s="9" t="inlineStr">
        <is>
          <t>21/50 MA cross, 250-period confirm filter, VWAP</t>
        </is>
      </c>
      <c r="D1886" s="9" t="inlineStr">
        <is>
          <t>Short</t>
        </is>
      </c>
      <c r="E1886" s="10" t="n">
        <v>45260.44097222222</v>
      </c>
      <c r="F1886" s="10" t="n">
        <v>45260.78819444445</v>
      </c>
      <c r="G1886" s="11" t="n">
        <v>3.71</v>
      </c>
      <c r="H1886" s="11">
        <f>H1885+G1886</f>
        <v/>
      </c>
    </row>
    <row r="1887">
      <c r="A1887" s="9" t="n">
        <v>1883</v>
      </c>
      <c r="B1887" s="9" t="inlineStr">
        <is>
          <t>Meridian</t>
        </is>
      </c>
      <c r="C1887" s="9" t="inlineStr">
        <is>
          <t>21/50 MA cross, 250-period confirm filter, VWAP</t>
        </is>
      </c>
      <c r="D1887" s="9" t="inlineStr">
        <is>
          <t>Short</t>
        </is>
      </c>
      <c r="E1887" s="10" t="n">
        <v>45260.85763888889</v>
      </c>
      <c r="F1887" s="10" t="n">
        <v>45261.05208333334</v>
      </c>
      <c r="G1887" s="11" t="n">
        <v>-1.91</v>
      </c>
      <c r="H1887" s="11">
        <f>H1886+G1887</f>
        <v/>
      </c>
    </row>
    <row r="1888">
      <c r="A1888" s="9" t="n">
        <v>1884</v>
      </c>
      <c r="B1888" s="9" t="inlineStr">
        <is>
          <t>Meridian</t>
        </is>
      </c>
      <c r="C1888" s="9" t="inlineStr">
        <is>
          <t>21/50 MA cross, 250-period confirm filter, VWAP</t>
        </is>
      </c>
      <c r="D1888" s="9" t="inlineStr">
        <is>
          <t>Long</t>
        </is>
      </c>
      <c r="E1888" s="10" t="n">
        <v>45261.32638888889</v>
      </c>
      <c r="F1888" s="10" t="n">
        <v>45261.35763888889</v>
      </c>
      <c r="G1888" s="11" t="n">
        <v>-1.51</v>
      </c>
      <c r="H1888" s="11">
        <f>H1887+G1888</f>
        <v/>
      </c>
    </row>
    <row r="1889">
      <c r="A1889" s="9" t="n">
        <v>1885</v>
      </c>
      <c r="B1889" s="9" t="inlineStr">
        <is>
          <t>Aurelius_M5</t>
        </is>
      </c>
      <c r="C1889" s="9" t="inlineStr">
        <is>
          <t>MA alignment (EMA21&gt;EMA50&gt;SMA250&gt;SMMA500 vs EMA2400 trend filter)</t>
        </is>
      </c>
      <c r="D1889" s="9" t="inlineStr">
        <is>
          <t>Long</t>
        </is>
      </c>
      <c r="E1889" s="10" t="n">
        <v>45261.35069444445</v>
      </c>
      <c r="F1889" s="10" t="n">
        <v>45261.35763888889</v>
      </c>
      <c r="G1889" s="11" t="n">
        <v>-1.57</v>
      </c>
      <c r="H1889" s="11">
        <f>H1888+G1889</f>
        <v/>
      </c>
    </row>
    <row r="1890">
      <c r="A1890" s="9" t="n">
        <v>1886</v>
      </c>
      <c r="B1890" s="9" t="inlineStr">
        <is>
          <t>Aurelius_M5</t>
        </is>
      </c>
      <c r="C1890" s="9" t="inlineStr">
        <is>
          <t>MA alignment (EMA21&gt;EMA50&gt;SMA250&gt;SMMA500 vs EMA2400 trend filter)</t>
        </is>
      </c>
      <c r="D1890" s="9" t="inlineStr">
        <is>
          <t>Long</t>
        </is>
      </c>
      <c r="E1890" s="10" t="n">
        <v>45261.37847222222</v>
      </c>
      <c r="F1890" s="10" t="n">
        <v>45261.40972222222</v>
      </c>
      <c r="G1890" s="11" t="n">
        <v>-1.91</v>
      </c>
      <c r="H1890" s="11">
        <f>H1889+G1890</f>
        <v/>
      </c>
    </row>
    <row r="1891">
      <c r="A1891" s="9" t="n">
        <v>1887</v>
      </c>
      <c r="B1891" s="9" t="inlineStr">
        <is>
          <t>Ratchet</t>
        </is>
      </c>
      <c r="C1891" s="9" t="inlineStr">
        <is>
          <t>Stochastic scalp with give-back trail exit</t>
        </is>
      </c>
      <c r="D1891" s="9" t="inlineStr">
        <is>
          <t>Long</t>
        </is>
      </c>
      <c r="E1891" s="10" t="n">
        <v>45261.50347222222</v>
      </c>
      <c r="F1891" s="10" t="n">
        <v>45261.51736111111</v>
      </c>
      <c r="G1891" s="11" t="n">
        <v>-2.52</v>
      </c>
      <c r="H1891" s="11">
        <f>H1890+G1891</f>
        <v/>
      </c>
    </row>
    <row r="1892">
      <c r="A1892" s="9" t="n">
        <v>1888</v>
      </c>
      <c r="B1892" s="9" t="inlineStr">
        <is>
          <t>Aurelius_M5</t>
        </is>
      </c>
      <c r="C1892" s="9" t="inlineStr">
        <is>
          <t>MA alignment (EMA21&gt;EMA50&gt;SMA250&gt;SMMA500 vs EMA2400 trend filter)</t>
        </is>
      </c>
      <c r="D1892" s="9" t="inlineStr">
        <is>
          <t>Long</t>
        </is>
      </c>
      <c r="E1892" s="10" t="n">
        <v>45261.45833333334</v>
      </c>
      <c r="F1892" s="10" t="n">
        <v>45261.54513888889</v>
      </c>
      <c r="G1892" s="11" t="n">
        <v>-2.92</v>
      </c>
      <c r="H1892" s="11">
        <f>H1891+G1892</f>
        <v/>
      </c>
    </row>
    <row r="1893">
      <c r="A1893" s="9" t="n">
        <v>1889</v>
      </c>
      <c r="B1893" s="9" t="inlineStr">
        <is>
          <t>Vanguard_M5</t>
        </is>
      </c>
      <c r="C1893" s="9" t="inlineStr">
        <is>
          <t>Trendline breakout (fractal swing line) + VWAP/S-R distance gate</t>
        </is>
      </c>
      <c r="D1893" s="9" t="inlineStr">
        <is>
          <t>Long</t>
        </is>
      </c>
      <c r="E1893" s="10" t="n">
        <v>45261.45833333334</v>
      </c>
      <c r="F1893" s="10" t="n">
        <v>45261.55902777778</v>
      </c>
      <c r="G1893" s="11" t="n">
        <v>-4.67</v>
      </c>
      <c r="H1893" s="11">
        <f>H1892+G1893</f>
        <v/>
      </c>
    </row>
    <row r="1894">
      <c r="A1894" s="9" t="n">
        <v>1890</v>
      </c>
      <c r="B1894" s="9" t="inlineStr">
        <is>
          <t>Vanguard_M15</t>
        </is>
      </c>
      <c r="C1894" s="9" t="inlineStr">
        <is>
          <t>Trendline breakout (fractal swing line) + VWAP/S-R distance gate - M15 chart</t>
        </is>
      </c>
      <c r="D1894" s="9" t="inlineStr">
        <is>
          <t>Long</t>
        </is>
      </c>
      <c r="E1894" s="10" t="n">
        <v>45261.45833333334</v>
      </c>
      <c r="F1894" s="10" t="n">
        <v>45261.5625</v>
      </c>
      <c r="G1894" s="11" t="n">
        <v>-5.01</v>
      </c>
      <c r="H1894" s="11">
        <f>H1893+G1894</f>
        <v/>
      </c>
    </row>
    <row r="1895">
      <c r="A1895" s="9" t="n">
        <v>1891</v>
      </c>
      <c r="B1895" s="9" t="inlineStr">
        <is>
          <t>Meridian</t>
        </is>
      </c>
      <c r="C1895" s="9" t="inlineStr">
        <is>
          <t>21/50 MA cross, 250-period confirm filter, VWAP</t>
        </is>
      </c>
      <c r="D1895" s="9" t="inlineStr">
        <is>
          <t>Long</t>
        </is>
      </c>
      <c r="E1895" s="10" t="n">
        <v>45261.44097222222</v>
      </c>
      <c r="F1895" s="10" t="n">
        <v>45261.56597222222</v>
      </c>
      <c r="G1895" s="11" t="n">
        <v>-1.59</v>
      </c>
      <c r="H1895" s="11">
        <f>H1894+G1895</f>
        <v/>
      </c>
    </row>
    <row r="1896">
      <c r="A1896" s="9" t="n">
        <v>1892</v>
      </c>
      <c r="B1896" s="9" t="inlineStr">
        <is>
          <t>Aurelius_M15</t>
        </is>
      </c>
      <c r="C1896" s="9" t="inlineStr">
        <is>
          <t>MA alignment (EMA21&gt;EMA50&gt;SMA250&gt;SMMA500 vs EMA2400 trend filter) - M15 chart</t>
        </is>
      </c>
      <c r="D1896" s="9" t="inlineStr">
        <is>
          <t>Long</t>
        </is>
      </c>
      <c r="E1896" s="10" t="n">
        <v>45261.42708333334</v>
      </c>
      <c r="F1896" s="10" t="n">
        <v>45261.57291666666</v>
      </c>
      <c r="G1896" s="11" t="n">
        <v>-3.41</v>
      </c>
      <c r="H1896" s="11">
        <f>H1895+G1896</f>
        <v/>
      </c>
    </row>
    <row r="1897">
      <c r="A1897" s="9" t="n">
        <v>1893</v>
      </c>
      <c r="B1897" s="9" t="inlineStr">
        <is>
          <t>Meridian</t>
        </is>
      </c>
      <c r="C1897" s="9" t="inlineStr">
        <is>
          <t>21/50 MA cross, 250-period confirm filter, VWAP</t>
        </is>
      </c>
      <c r="D1897" s="9" t="inlineStr">
        <is>
          <t>Long</t>
        </is>
      </c>
      <c r="E1897" s="10" t="n">
        <v>45261.71180555555</v>
      </c>
      <c r="F1897" s="10" t="n">
        <v>45261.91666666666</v>
      </c>
      <c r="G1897" s="11" t="n">
        <v>18.95</v>
      </c>
      <c r="H1897" s="11">
        <f>H1896+G1897</f>
        <v/>
      </c>
    </row>
    <row r="1898">
      <c r="A1898" s="9" t="n">
        <v>1894</v>
      </c>
      <c r="B1898" s="9" t="inlineStr">
        <is>
          <t>Ratchet</t>
        </is>
      </c>
      <c r="C1898" s="9" t="inlineStr">
        <is>
          <t>Stochastic scalp with give-back trail exit</t>
        </is>
      </c>
      <c r="D1898" s="9" t="inlineStr">
        <is>
          <t>Long</t>
        </is>
      </c>
      <c r="E1898" s="10" t="n">
        <v>45261.75347222222</v>
      </c>
      <c r="F1898" s="10" t="n">
        <v>45261.91666666666</v>
      </c>
      <c r="G1898" s="11" t="n">
        <v>14.7</v>
      </c>
      <c r="H1898" s="11">
        <f>H1897+G1898</f>
        <v/>
      </c>
    </row>
    <row r="1899">
      <c r="A1899" s="9" t="n">
        <v>1895</v>
      </c>
      <c r="B1899" s="9" t="inlineStr">
        <is>
          <t>Aurelius_M15</t>
        </is>
      </c>
      <c r="C1899" s="9" t="inlineStr">
        <is>
          <t>MA alignment (EMA21&gt;EMA50&gt;SMA250&gt;SMMA500 vs EMA2400 trend filter) - M15 chart</t>
        </is>
      </c>
      <c r="D1899" s="9" t="inlineStr">
        <is>
          <t>Long</t>
        </is>
      </c>
      <c r="E1899" s="10" t="n">
        <v>45261.78125</v>
      </c>
      <c r="F1899" s="10" t="n">
        <v>45261.92708333334</v>
      </c>
      <c r="G1899" s="11" t="n">
        <v>11.12</v>
      </c>
      <c r="H1899" s="11">
        <f>H1898+G1899</f>
        <v/>
      </c>
    </row>
    <row r="1900">
      <c r="A1900" s="9" t="n">
        <v>1896</v>
      </c>
      <c r="B1900" s="9" t="inlineStr">
        <is>
          <t>Vanguard_M5</t>
        </is>
      </c>
      <c r="C1900" s="9" t="inlineStr">
        <is>
          <t>Trendline breakout (fractal swing line) + VWAP/S-R distance gate</t>
        </is>
      </c>
      <c r="D1900" s="9" t="inlineStr">
        <is>
          <t>Long</t>
        </is>
      </c>
      <c r="E1900" s="10" t="n">
        <v>45261.71180555555</v>
      </c>
      <c r="F1900" s="10" t="n">
        <v>45264.67708333334</v>
      </c>
      <c r="G1900" s="11" t="n">
        <v>-0.87</v>
      </c>
      <c r="H1900" s="11">
        <f>H1899+G1900</f>
        <v/>
      </c>
    </row>
    <row r="1901">
      <c r="A1901" s="9" t="n">
        <v>1897</v>
      </c>
      <c r="B1901" s="9" t="inlineStr">
        <is>
          <t>Vanguard_M15</t>
        </is>
      </c>
      <c r="C1901" s="9" t="inlineStr">
        <is>
          <t>Trendline breakout (fractal swing line) + VWAP/S-R distance gate - M15 chart</t>
        </is>
      </c>
      <c r="D1901" s="9" t="inlineStr">
        <is>
          <t>Long</t>
        </is>
      </c>
      <c r="E1901" s="10" t="n">
        <v>45261.71875</v>
      </c>
      <c r="F1901" s="10" t="n">
        <v>45264.67708333334</v>
      </c>
      <c r="G1901" s="11" t="n">
        <v>-0.42</v>
      </c>
      <c r="H1901" s="11">
        <f>H1900+G1901</f>
        <v/>
      </c>
    </row>
    <row r="1902">
      <c r="A1902" s="9" t="n">
        <v>1898</v>
      </c>
      <c r="B1902" s="9" t="inlineStr">
        <is>
          <t>Meridian</t>
        </is>
      </c>
      <c r="C1902" s="9" t="inlineStr">
        <is>
          <t>21/50 MA cross, 250-period confirm filter, VWAP</t>
        </is>
      </c>
      <c r="D1902" s="9" t="inlineStr">
        <is>
          <t>Short</t>
        </is>
      </c>
      <c r="E1902" s="10" t="n">
        <v>45265.30208333334</v>
      </c>
      <c r="F1902" s="10" t="n">
        <v>45265.41666666666</v>
      </c>
      <c r="G1902" s="11" t="n">
        <v>-3.4</v>
      </c>
      <c r="H1902" s="11">
        <f>H1901+G1902</f>
        <v/>
      </c>
    </row>
    <row r="1903">
      <c r="A1903" s="9" t="n">
        <v>1899</v>
      </c>
      <c r="B1903" s="9" t="inlineStr">
        <is>
          <t>Ratchet</t>
        </is>
      </c>
      <c r="C1903" s="9" t="inlineStr">
        <is>
          <t>Stochastic scalp with give-back trail exit</t>
        </is>
      </c>
      <c r="D1903" s="9" t="inlineStr">
        <is>
          <t>Short</t>
        </is>
      </c>
      <c r="E1903" s="10" t="n">
        <v>45265.50694444445</v>
      </c>
      <c r="F1903" s="10" t="n">
        <v>45265.54166666666</v>
      </c>
      <c r="G1903" s="11" t="n">
        <v>1.32</v>
      </c>
      <c r="H1903" s="11">
        <f>H1902+G1903</f>
        <v/>
      </c>
    </row>
    <row r="1904">
      <c r="A1904" s="9" t="n">
        <v>1900</v>
      </c>
      <c r="B1904" s="9" t="inlineStr">
        <is>
          <t>Ratchet</t>
        </is>
      </c>
      <c r="C1904" s="9" t="inlineStr">
        <is>
          <t>Stochastic scalp with give-back trail exit</t>
        </is>
      </c>
      <c r="D1904" s="9" t="inlineStr">
        <is>
          <t>Short</t>
        </is>
      </c>
      <c r="E1904" s="10" t="n">
        <v>45265.58680555555</v>
      </c>
      <c r="F1904" s="10" t="n">
        <v>45265.59722222222</v>
      </c>
      <c r="G1904" s="11" t="n">
        <v>0.65</v>
      </c>
      <c r="H1904" s="11">
        <f>H1903+G1904</f>
        <v/>
      </c>
    </row>
    <row r="1905">
      <c r="A1905" s="9" t="n">
        <v>1901</v>
      </c>
      <c r="B1905" s="9" t="inlineStr">
        <is>
          <t>Meridian</t>
        </is>
      </c>
      <c r="C1905" s="9" t="inlineStr">
        <is>
          <t>21/50 MA cross, 250-period confirm filter, VWAP</t>
        </is>
      </c>
      <c r="D1905" s="9" t="inlineStr">
        <is>
          <t>Short</t>
        </is>
      </c>
      <c r="E1905" s="10" t="n">
        <v>45265.46875</v>
      </c>
      <c r="F1905" s="10" t="n">
        <v>45265.67013888889</v>
      </c>
      <c r="G1905" s="11" t="n">
        <v>0.14</v>
      </c>
      <c r="H1905" s="11">
        <f>H1904+G1905</f>
        <v/>
      </c>
    </row>
    <row r="1906">
      <c r="A1906" s="9" t="n">
        <v>1902</v>
      </c>
      <c r="B1906" s="9" t="inlineStr">
        <is>
          <t>Ratchet</t>
        </is>
      </c>
      <c r="C1906" s="9" t="inlineStr">
        <is>
          <t>Stochastic scalp with give-back trail exit</t>
        </is>
      </c>
      <c r="D1906" s="9" t="inlineStr">
        <is>
          <t>Short</t>
        </is>
      </c>
      <c r="E1906" s="10" t="n">
        <v>45265.77083333334</v>
      </c>
      <c r="F1906" s="10" t="n">
        <v>45265.78125</v>
      </c>
      <c r="G1906" s="11" t="n">
        <v>0.68</v>
      </c>
      <c r="H1906" s="11">
        <f>H1905+G1906</f>
        <v/>
      </c>
    </row>
    <row r="1907">
      <c r="A1907" s="9" t="n">
        <v>1903</v>
      </c>
      <c r="B1907" s="9" t="inlineStr">
        <is>
          <t>Meridian</t>
        </is>
      </c>
      <c r="C1907" s="9" t="inlineStr">
        <is>
          <t>21/50 MA cross, 250-period confirm filter, VWAP</t>
        </is>
      </c>
      <c r="D1907" s="9" t="inlineStr">
        <is>
          <t>Short</t>
        </is>
      </c>
      <c r="E1907" s="10" t="n">
        <v>45265.67708333334</v>
      </c>
      <c r="F1907" s="10" t="n">
        <v>45265.92708333334</v>
      </c>
      <c r="G1907" s="11" t="n">
        <v>6</v>
      </c>
      <c r="H1907" s="11">
        <f>H1906+G1907</f>
        <v/>
      </c>
    </row>
    <row r="1908">
      <c r="A1908" s="9" t="n">
        <v>1904</v>
      </c>
      <c r="B1908" s="9" t="inlineStr">
        <is>
          <t>Meridian</t>
        </is>
      </c>
      <c r="C1908" s="9" t="inlineStr">
        <is>
          <t>21/50 MA cross, 250-period confirm filter, VWAP</t>
        </is>
      </c>
      <c r="D1908" s="9" t="inlineStr">
        <is>
          <t>Short</t>
        </is>
      </c>
      <c r="E1908" s="10" t="n">
        <v>45266.06944444445</v>
      </c>
      <c r="F1908" s="10" t="n">
        <v>45266.07638888889</v>
      </c>
      <c r="G1908" s="11" t="n">
        <v>-1.69</v>
      </c>
      <c r="H1908" s="11">
        <f>H1907+G1908</f>
        <v/>
      </c>
    </row>
    <row r="1909">
      <c r="A1909" s="9" t="n">
        <v>1905</v>
      </c>
      <c r="B1909" s="9" t="inlineStr">
        <is>
          <t>Ratchet</t>
        </is>
      </c>
      <c r="C1909" s="9" t="inlineStr">
        <is>
          <t>Stochastic scalp with give-back trail exit</t>
        </is>
      </c>
      <c r="D1909" s="9" t="inlineStr">
        <is>
          <t>Short</t>
        </is>
      </c>
      <c r="E1909" s="10" t="n">
        <v>45266.56944444445</v>
      </c>
      <c r="F1909" s="10" t="n">
        <v>45266.57291666666</v>
      </c>
      <c r="G1909" s="11" t="n">
        <v>-1.69</v>
      </c>
      <c r="H1909" s="11">
        <f>H1908+G1909</f>
        <v/>
      </c>
    </row>
    <row r="1910">
      <c r="A1910" s="9" t="n">
        <v>1906</v>
      </c>
      <c r="B1910" s="9" t="inlineStr">
        <is>
          <t>Meridian</t>
        </is>
      </c>
      <c r="C1910" s="9" t="inlineStr">
        <is>
          <t>21/50 MA cross, 250-period confirm filter, VWAP</t>
        </is>
      </c>
      <c r="D1910" s="9" t="inlineStr">
        <is>
          <t>Long</t>
        </is>
      </c>
      <c r="E1910" s="10" t="n">
        <v>45266.62847222222</v>
      </c>
      <c r="F1910" s="10" t="n">
        <v>45266.70833333334</v>
      </c>
      <c r="G1910" s="11" t="n">
        <v>-3.31</v>
      </c>
      <c r="H1910" s="11">
        <f>H1909+G1910</f>
        <v/>
      </c>
    </row>
    <row r="1911">
      <c r="A1911" s="9" t="n">
        <v>1907</v>
      </c>
      <c r="B1911" s="9" t="inlineStr">
        <is>
          <t>Ratchet</t>
        </is>
      </c>
      <c r="C1911" s="9" t="inlineStr">
        <is>
          <t>Stochastic scalp with give-back trail exit</t>
        </is>
      </c>
      <c r="D1911" s="9" t="inlineStr">
        <is>
          <t>Long</t>
        </is>
      </c>
      <c r="E1911" s="10" t="n">
        <v>45266.86111111111</v>
      </c>
      <c r="F1911" s="10" t="n">
        <v>45266.875</v>
      </c>
      <c r="G1911" s="11" t="n">
        <v>0.21</v>
      </c>
      <c r="H1911" s="11">
        <f>H1910+G1911</f>
        <v/>
      </c>
    </row>
    <row r="1912">
      <c r="A1912" s="9" t="n">
        <v>1908</v>
      </c>
      <c r="B1912" s="9" t="inlineStr">
        <is>
          <t>Meridian</t>
        </is>
      </c>
      <c r="C1912" s="9" t="inlineStr">
        <is>
          <t>21/50 MA cross, 250-period confirm filter, VWAP</t>
        </is>
      </c>
      <c r="D1912" s="9" t="inlineStr">
        <is>
          <t>Long</t>
        </is>
      </c>
      <c r="E1912" s="10" t="n">
        <v>45267.11805555555</v>
      </c>
      <c r="F1912" s="10" t="n">
        <v>45267.12847222222</v>
      </c>
      <c r="G1912" s="11" t="n">
        <v>-1.86</v>
      </c>
      <c r="H1912" s="11">
        <f>H1911+G1912</f>
        <v/>
      </c>
    </row>
    <row r="1913">
      <c r="A1913" s="9" t="n">
        <v>1909</v>
      </c>
      <c r="B1913" s="9" t="inlineStr">
        <is>
          <t>Ratchet</t>
        </is>
      </c>
      <c r="C1913" s="9" t="inlineStr">
        <is>
          <t>Stochastic scalp with give-back trail exit</t>
        </is>
      </c>
      <c r="D1913" s="9" t="inlineStr">
        <is>
          <t>Long</t>
        </is>
      </c>
      <c r="E1913" s="10" t="n">
        <v>45267.15625</v>
      </c>
      <c r="F1913" s="10" t="n">
        <v>45267.15972222222</v>
      </c>
      <c r="G1913" s="11" t="n">
        <v>-1.91</v>
      </c>
      <c r="H1913" s="11">
        <f>H1912+G1913</f>
        <v/>
      </c>
    </row>
    <row r="1914">
      <c r="A1914" s="9" t="n">
        <v>1910</v>
      </c>
      <c r="B1914" s="9" t="inlineStr">
        <is>
          <t>Ratchet</t>
        </is>
      </c>
      <c r="C1914" s="9" t="inlineStr">
        <is>
          <t>Stochastic scalp with give-back trail exit</t>
        </is>
      </c>
      <c r="D1914" s="9" t="inlineStr">
        <is>
          <t>Long</t>
        </is>
      </c>
      <c r="E1914" s="10" t="n">
        <v>45267.21180555555</v>
      </c>
      <c r="F1914" s="10" t="n">
        <v>45267.23263888889</v>
      </c>
      <c r="G1914" s="11" t="n">
        <v>-0</v>
      </c>
      <c r="H1914" s="11">
        <f>H1913+G1914</f>
        <v/>
      </c>
    </row>
    <row r="1915">
      <c r="A1915" s="9" t="n">
        <v>1911</v>
      </c>
      <c r="B1915" s="9" t="inlineStr">
        <is>
          <t>Meridian</t>
        </is>
      </c>
      <c r="C1915" s="9" t="inlineStr">
        <is>
          <t>21/50 MA cross, 250-period confirm filter, VWAP</t>
        </is>
      </c>
      <c r="D1915" s="9" t="inlineStr">
        <is>
          <t>Short</t>
        </is>
      </c>
      <c r="E1915" s="10" t="n">
        <v>45267.25694444445</v>
      </c>
      <c r="F1915" s="10" t="n">
        <v>45267.35069444445</v>
      </c>
      <c r="G1915" s="11" t="n">
        <v>-2.39</v>
      </c>
      <c r="H1915" s="11">
        <f>H1914+G1915</f>
        <v/>
      </c>
    </row>
    <row r="1916">
      <c r="A1916" s="9" t="n">
        <v>1912</v>
      </c>
      <c r="B1916" s="9" t="inlineStr">
        <is>
          <t>Ratchet</t>
        </is>
      </c>
      <c r="C1916" s="9" t="inlineStr">
        <is>
          <t>Stochastic scalp with give-back trail exit</t>
        </is>
      </c>
      <c r="D1916" s="9" t="inlineStr">
        <is>
          <t>Long</t>
        </is>
      </c>
      <c r="E1916" s="10" t="n">
        <v>45267.39236111111</v>
      </c>
      <c r="F1916" s="10" t="n">
        <v>45267.40277777778</v>
      </c>
      <c r="G1916" s="11" t="n">
        <v>0.32</v>
      </c>
      <c r="H1916" s="11">
        <f>H1915+G1916</f>
        <v/>
      </c>
    </row>
    <row r="1917">
      <c r="A1917" s="9" t="n">
        <v>1913</v>
      </c>
      <c r="B1917" s="9" t="inlineStr">
        <is>
          <t>Ratchet</t>
        </is>
      </c>
      <c r="C1917" s="9" t="inlineStr">
        <is>
          <t>Stochastic scalp with give-back trail exit</t>
        </is>
      </c>
      <c r="D1917" s="9" t="inlineStr">
        <is>
          <t>Long</t>
        </is>
      </c>
      <c r="E1917" s="10" t="n">
        <v>45267.54861111111</v>
      </c>
      <c r="F1917" s="10" t="n">
        <v>45267.55555555555</v>
      </c>
      <c r="G1917" s="11" t="n">
        <v>-1.66</v>
      </c>
      <c r="H1917" s="11">
        <f>H1916+G1917</f>
        <v/>
      </c>
    </row>
    <row r="1918">
      <c r="A1918" s="9" t="n">
        <v>1914</v>
      </c>
      <c r="B1918" s="9" t="inlineStr">
        <is>
          <t>Meridian</t>
        </is>
      </c>
      <c r="C1918" s="9" t="inlineStr">
        <is>
          <t>21/50 MA cross, 250-period confirm filter, VWAP</t>
        </is>
      </c>
      <c r="D1918" s="9" t="inlineStr">
        <is>
          <t>Long</t>
        </is>
      </c>
      <c r="E1918" s="10" t="n">
        <v>45267.37152777778</v>
      </c>
      <c r="F1918" s="10" t="n">
        <v>45267.69791666666</v>
      </c>
      <c r="G1918" s="11" t="n">
        <v>-2.5</v>
      </c>
      <c r="H1918" s="11">
        <f>H1917+G1918</f>
        <v/>
      </c>
    </row>
    <row r="1919">
      <c r="A1919" s="9" t="n">
        <v>1915</v>
      </c>
      <c r="B1919" s="9" t="inlineStr">
        <is>
          <t>Meridian</t>
        </is>
      </c>
      <c r="C1919" s="9" t="inlineStr">
        <is>
          <t>21/50 MA cross, 250-period confirm filter, VWAP</t>
        </is>
      </c>
      <c r="D1919" s="9" t="inlineStr">
        <is>
          <t>Long</t>
        </is>
      </c>
      <c r="E1919" s="10" t="n">
        <v>45267.86805555555</v>
      </c>
      <c r="F1919" s="10" t="n">
        <v>45267.97916666666</v>
      </c>
      <c r="G1919" s="11" t="n">
        <v>-2.7</v>
      </c>
      <c r="H1919" s="11">
        <f>H1918+G1919</f>
        <v/>
      </c>
    </row>
    <row r="1920">
      <c r="A1920" s="9" t="n">
        <v>1916</v>
      </c>
      <c r="B1920" s="9" t="inlineStr">
        <is>
          <t>Meridian</t>
        </is>
      </c>
      <c r="C1920" s="9" t="inlineStr">
        <is>
          <t>21/50 MA cross, 250-period confirm filter, VWAP</t>
        </is>
      </c>
      <c r="D1920" s="9" t="inlineStr">
        <is>
          <t>Long</t>
        </is>
      </c>
      <c r="E1920" s="10" t="n">
        <v>45268.12152777778</v>
      </c>
      <c r="F1920" s="10" t="n">
        <v>45268.13888888889</v>
      </c>
      <c r="G1920" s="11" t="n">
        <v>-2.48</v>
      </c>
      <c r="H1920" s="11">
        <f>H1919+G1920</f>
        <v/>
      </c>
    </row>
    <row r="1921">
      <c r="A1921" s="9" t="n">
        <v>1917</v>
      </c>
      <c r="B1921" s="9" t="inlineStr">
        <is>
          <t>Ratchet</t>
        </is>
      </c>
      <c r="C1921" s="9" t="inlineStr">
        <is>
          <t>Stochastic scalp with give-back trail exit</t>
        </is>
      </c>
      <c r="D1921" s="9" t="inlineStr">
        <is>
          <t>Long</t>
        </is>
      </c>
      <c r="E1921" s="10" t="n">
        <v>45268.21527777778</v>
      </c>
      <c r="F1921" s="10" t="n">
        <v>45268.22222222222</v>
      </c>
      <c r="G1921" s="11" t="n">
        <v>0</v>
      </c>
      <c r="H1921" s="11">
        <f>H1920+G1921</f>
        <v/>
      </c>
    </row>
    <row r="1922">
      <c r="A1922" s="9" t="n">
        <v>1918</v>
      </c>
      <c r="B1922" s="9" t="inlineStr">
        <is>
          <t>Aurelius_M5</t>
        </is>
      </c>
      <c r="C1922" s="9" t="inlineStr">
        <is>
          <t>MA alignment (EMA21&gt;EMA50&gt;SMA250&gt;SMMA500 vs EMA2400 trend filter)</t>
        </is>
      </c>
      <c r="D1922" s="9" t="inlineStr">
        <is>
          <t>Short</t>
        </is>
      </c>
      <c r="E1922" s="10" t="n">
        <v>45268.45486111111</v>
      </c>
      <c r="F1922" s="10" t="n">
        <v>45268.48263888889</v>
      </c>
      <c r="G1922" s="11" t="n">
        <v>-1.63</v>
      </c>
      <c r="H1922" s="11">
        <f>H1921+G1922</f>
        <v/>
      </c>
    </row>
    <row r="1923">
      <c r="A1923" s="9" t="n">
        <v>1919</v>
      </c>
      <c r="B1923" s="9" t="inlineStr">
        <is>
          <t>Meridian</t>
        </is>
      </c>
      <c r="C1923" s="9" t="inlineStr">
        <is>
          <t>21/50 MA cross, 250-period confirm filter, VWAP</t>
        </is>
      </c>
      <c r="D1923" s="9" t="inlineStr">
        <is>
          <t>Short</t>
        </is>
      </c>
      <c r="E1923" s="10" t="n">
        <v>45268.33333333334</v>
      </c>
      <c r="F1923" s="10" t="n">
        <v>45268.50347222222</v>
      </c>
      <c r="G1923" s="11" t="n">
        <v>-2.06</v>
      </c>
      <c r="H1923" s="11">
        <f>H1922+G1923</f>
        <v/>
      </c>
    </row>
    <row r="1924">
      <c r="A1924" s="9" t="n">
        <v>1920</v>
      </c>
      <c r="B1924" s="9" t="inlineStr">
        <is>
          <t>Vanguard_M5</t>
        </is>
      </c>
      <c r="C1924" s="9" t="inlineStr">
        <is>
          <t>Trendline breakout (fractal swing line) + VWAP/S-R distance gate</t>
        </is>
      </c>
      <c r="D1924" s="9" t="inlineStr">
        <is>
          <t>Short</t>
        </is>
      </c>
      <c r="E1924" s="10" t="n">
        <v>45268.64930555555</v>
      </c>
      <c r="F1924" s="10" t="n">
        <v>45268.65277777778</v>
      </c>
      <c r="G1924" s="11" t="n">
        <v>-7.65</v>
      </c>
      <c r="H1924" s="11">
        <f>H1923+G1924</f>
        <v/>
      </c>
    </row>
    <row r="1925">
      <c r="A1925" s="9" t="n">
        <v>1921</v>
      </c>
      <c r="B1925" s="9" t="inlineStr">
        <is>
          <t>Ratchet</t>
        </is>
      </c>
      <c r="C1925" s="9" t="inlineStr">
        <is>
          <t>Stochastic scalp with give-back trail exit</t>
        </is>
      </c>
      <c r="D1925" s="9" t="inlineStr">
        <is>
          <t>Short</t>
        </is>
      </c>
      <c r="E1925" s="10" t="n">
        <v>45268.71180555555</v>
      </c>
      <c r="F1925" s="10" t="n">
        <v>45268.72569444445</v>
      </c>
      <c r="G1925" s="11" t="n">
        <v>-6.68</v>
      </c>
      <c r="H1925" s="11">
        <f>H1924+G1925</f>
        <v/>
      </c>
    </row>
    <row r="1926">
      <c r="A1926" s="9" t="n">
        <v>1922</v>
      </c>
      <c r="B1926" s="9" t="inlineStr">
        <is>
          <t>Meridian</t>
        </is>
      </c>
      <c r="C1926" s="9" t="inlineStr">
        <is>
          <t>21/50 MA cross, 250-period confirm filter, VWAP</t>
        </is>
      </c>
      <c r="D1926" s="9" t="inlineStr">
        <is>
          <t>Short</t>
        </is>
      </c>
      <c r="E1926" s="10" t="n">
        <v>45268.60416666666</v>
      </c>
      <c r="F1926" s="10" t="n">
        <v>45268.91666666666</v>
      </c>
      <c r="G1926" s="11" t="n">
        <v>28.35</v>
      </c>
      <c r="H1926" s="11">
        <f>H1925+G1926</f>
        <v/>
      </c>
    </row>
    <row r="1927">
      <c r="A1927" s="9" t="n">
        <v>1923</v>
      </c>
      <c r="B1927" s="9" t="inlineStr">
        <is>
          <t>Ratchet</t>
        </is>
      </c>
      <c r="C1927" s="9" t="inlineStr">
        <is>
          <t>Stochastic scalp with give-back trail exit</t>
        </is>
      </c>
      <c r="D1927" s="9" t="inlineStr">
        <is>
          <t>Short</t>
        </is>
      </c>
      <c r="E1927" s="10" t="n">
        <v>45268.74652777778</v>
      </c>
      <c r="F1927" s="10" t="n">
        <v>45268.91666666666</v>
      </c>
      <c r="G1927" s="11" t="n">
        <v>7.43</v>
      </c>
      <c r="H1927" s="11">
        <f>H1926+G1927</f>
        <v/>
      </c>
    </row>
    <row r="1928">
      <c r="A1928" s="9" t="n">
        <v>1924</v>
      </c>
      <c r="B1928" s="9" t="inlineStr">
        <is>
          <t>Aurelius_M5</t>
        </is>
      </c>
      <c r="C1928" s="9" t="inlineStr">
        <is>
          <t>MA alignment (EMA21&gt;EMA50&gt;SMA250&gt;SMMA500 vs EMA2400 trend filter)</t>
        </is>
      </c>
      <c r="D1928" s="9" t="inlineStr">
        <is>
          <t>Short</t>
        </is>
      </c>
      <c r="E1928" s="10" t="n">
        <v>45268.64236111111</v>
      </c>
      <c r="F1928" s="10" t="n">
        <v>45268.92013888889</v>
      </c>
      <c r="G1928" s="11" t="n">
        <v>26.85</v>
      </c>
      <c r="H1928" s="11">
        <f>H1927+G1928</f>
        <v/>
      </c>
    </row>
    <row r="1929">
      <c r="A1929" s="9" t="n">
        <v>1925</v>
      </c>
      <c r="B1929" s="9" t="inlineStr">
        <is>
          <t>Aurelius_M15</t>
        </is>
      </c>
      <c r="C1929" s="9" t="inlineStr">
        <is>
          <t>MA alignment (EMA21&gt;EMA50&gt;SMA250&gt;SMMA500 vs EMA2400 trend filter) - M15 chart</t>
        </is>
      </c>
      <c r="D1929" s="9" t="inlineStr">
        <is>
          <t>Short</t>
        </is>
      </c>
      <c r="E1929" s="10" t="n">
        <v>45268.66666666666</v>
      </c>
      <c r="F1929" s="10" t="n">
        <v>45268.92708333334</v>
      </c>
      <c r="G1929" s="11" t="n">
        <v>16.67</v>
      </c>
      <c r="H1929" s="11">
        <f>H1928+G1929</f>
        <v/>
      </c>
    </row>
    <row r="1930">
      <c r="A1930" s="9" t="n">
        <v>1926</v>
      </c>
      <c r="B1930" s="9" t="inlineStr">
        <is>
          <t>Ratchet</t>
        </is>
      </c>
      <c r="C1930" s="9" t="inlineStr">
        <is>
          <t>Stochastic scalp with give-back trail exit</t>
        </is>
      </c>
      <c r="D1930" s="9" t="inlineStr">
        <is>
          <t>Short</t>
        </is>
      </c>
      <c r="E1930" s="10" t="n">
        <v>45271.18055555555</v>
      </c>
      <c r="F1930" s="10" t="n">
        <v>45271.21180555555</v>
      </c>
      <c r="G1930" s="11" t="n">
        <v>1.18</v>
      </c>
      <c r="H1930" s="11">
        <f>H1929+G1930</f>
        <v/>
      </c>
    </row>
    <row r="1931">
      <c r="A1931" s="9" t="n">
        <v>1927</v>
      </c>
      <c r="B1931" s="9" t="inlineStr">
        <is>
          <t>Ratchet</t>
        </is>
      </c>
      <c r="C1931" s="9" t="inlineStr">
        <is>
          <t>Stochastic scalp with give-back trail exit</t>
        </is>
      </c>
      <c r="D1931" s="9" t="inlineStr">
        <is>
          <t>Short</t>
        </is>
      </c>
      <c r="E1931" s="10" t="n">
        <v>45271.52430555555</v>
      </c>
      <c r="F1931" s="10" t="n">
        <v>45271.54166666666</v>
      </c>
      <c r="G1931" s="11" t="n">
        <v>-1.91</v>
      </c>
      <c r="H1931" s="11">
        <f>H1930+G1931</f>
        <v/>
      </c>
    </row>
    <row r="1932">
      <c r="A1932" s="9" t="n">
        <v>1928</v>
      </c>
      <c r="B1932" s="9" t="inlineStr">
        <is>
          <t>Meridian</t>
        </is>
      </c>
      <c r="C1932" s="9" t="inlineStr">
        <is>
          <t>21/50 MA cross, 250-period confirm filter, VWAP</t>
        </is>
      </c>
      <c r="D1932" s="9" t="inlineStr">
        <is>
          <t>Short</t>
        </is>
      </c>
      <c r="E1932" s="10" t="n">
        <v>45271.15625</v>
      </c>
      <c r="F1932" s="10" t="n">
        <v>45271.625</v>
      </c>
      <c r="G1932" s="11" t="n">
        <v>7.25</v>
      </c>
      <c r="H1932" s="11">
        <f>H1931+G1932</f>
        <v/>
      </c>
    </row>
    <row r="1933">
      <c r="A1933" s="9" t="n">
        <v>1929</v>
      </c>
      <c r="B1933" s="9" t="inlineStr">
        <is>
          <t>Aurelius_M5</t>
        </is>
      </c>
      <c r="C1933" s="9" t="inlineStr">
        <is>
          <t>MA alignment (EMA21&gt;EMA50&gt;SMA250&gt;SMMA500 vs EMA2400 trend filter)</t>
        </is>
      </c>
      <c r="D1933" s="9" t="inlineStr">
        <is>
          <t>Short</t>
        </is>
      </c>
      <c r="E1933" s="10" t="n">
        <v>45271.17013888889</v>
      </c>
      <c r="F1933" s="10" t="n">
        <v>45271.625</v>
      </c>
      <c r="G1933" s="11" t="n">
        <v>7.06</v>
      </c>
      <c r="H1933" s="11">
        <f>H1932+G1933</f>
        <v/>
      </c>
    </row>
    <row r="1934">
      <c r="A1934" s="9" t="n">
        <v>1930</v>
      </c>
      <c r="B1934" s="9" t="inlineStr">
        <is>
          <t>Ratchet</t>
        </is>
      </c>
      <c r="C1934" s="9" t="inlineStr">
        <is>
          <t>Stochastic scalp with give-back trail exit</t>
        </is>
      </c>
      <c r="D1934" s="9" t="inlineStr">
        <is>
          <t>Short</t>
        </is>
      </c>
      <c r="E1934" s="10" t="n">
        <v>45271.65277777778</v>
      </c>
      <c r="F1934" s="10" t="n">
        <v>45271.66319444445</v>
      </c>
      <c r="G1934" s="11" t="n">
        <v>0.6899999999999999</v>
      </c>
      <c r="H1934" s="11">
        <f>H1933+G1934</f>
        <v/>
      </c>
    </row>
    <row r="1935">
      <c r="A1935" s="9" t="n">
        <v>1931</v>
      </c>
      <c r="B1935" s="9" t="inlineStr">
        <is>
          <t>Ratchet</t>
        </is>
      </c>
      <c r="C1935" s="9" t="inlineStr">
        <is>
          <t>Stochastic scalp with give-back trail exit</t>
        </is>
      </c>
      <c r="D1935" s="9" t="inlineStr">
        <is>
          <t>Short</t>
        </is>
      </c>
      <c r="E1935" s="10" t="n">
        <v>45271.67708333334</v>
      </c>
      <c r="F1935" s="10" t="n">
        <v>45271.68402777778</v>
      </c>
      <c r="G1935" s="11" t="n">
        <v>0.42</v>
      </c>
      <c r="H1935" s="11">
        <f>H1934+G1935</f>
        <v/>
      </c>
    </row>
    <row r="1936">
      <c r="A1936" s="9" t="n">
        <v>1932</v>
      </c>
      <c r="B1936" s="9" t="inlineStr">
        <is>
          <t>Aurelius_M5</t>
        </is>
      </c>
      <c r="C1936" s="9" t="inlineStr">
        <is>
          <t>MA alignment (EMA21&gt;EMA50&gt;SMA250&gt;SMMA500 vs EMA2400 trend filter)</t>
        </is>
      </c>
      <c r="D1936" s="9" t="inlineStr">
        <is>
          <t>Short</t>
        </is>
      </c>
      <c r="E1936" s="10" t="n">
        <v>45271.67361111111</v>
      </c>
      <c r="F1936" s="10" t="n">
        <v>45272.04166666666</v>
      </c>
      <c r="G1936" s="11" t="n">
        <v>10.32</v>
      </c>
      <c r="H1936" s="11">
        <f>H1935+G1936</f>
        <v/>
      </c>
    </row>
    <row r="1937">
      <c r="A1937" s="9" t="n">
        <v>1933</v>
      </c>
      <c r="B1937" s="9" t="inlineStr">
        <is>
          <t>Meridian</t>
        </is>
      </c>
      <c r="C1937" s="9" t="inlineStr">
        <is>
          <t>21/50 MA cross, 250-period confirm filter, VWAP</t>
        </is>
      </c>
      <c r="D1937" s="9" t="inlineStr">
        <is>
          <t>Short</t>
        </is>
      </c>
      <c r="E1937" s="10" t="n">
        <v>45271.62847222222</v>
      </c>
      <c r="F1937" s="10" t="n">
        <v>45272.05208333334</v>
      </c>
      <c r="G1937" s="11" t="n">
        <v>10.97</v>
      </c>
      <c r="H1937" s="11">
        <f>H1936+G1937</f>
        <v/>
      </c>
    </row>
    <row r="1938">
      <c r="A1938" s="9" t="n">
        <v>1934</v>
      </c>
      <c r="B1938" s="9" t="inlineStr">
        <is>
          <t>Ratchet</t>
        </is>
      </c>
      <c r="C1938" s="9" t="inlineStr">
        <is>
          <t>Stochastic scalp with give-back trail exit</t>
        </is>
      </c>
      <c r="D1938" s="9" t="inlineStr">
        <is>
          <t>Short</t>
        </is>
      </c>
      <c r="E1938" s="10" t="n">
        <v>45272.20486111111</v>
      </c>
      <c r="F1938" s="10" t="n">
        <v>45272.21527777778</v>
      </c>
      <c r="G1938" s="11" t="n">
        <v>-1.47</v>
      </c>
      <c r="H1938" s="11">
        <f>H1937+G1938</f>
        <v/>
      </c>
    </row>
    <row r="1939">
      <c r="A1939" s="9" t="n">
        <v>1935</v>
      </c>
      <c r="B1939" s="9" t="inlineStr">
        <is>
          <t>Meridian</t>
        </is>
      </c>
      <c r="C1939" s="9" t="inlineStr">
        <is>
          <t>21/50 MA cross, 250-period confirm filter, VWAP</t>
        </is>
      </c>
      <c r="D1939" s="9" t="inlineStr">
        <is>
          <t>Short</t>
        </is>
      </c>
      <c r="E1939" s="10" t="n">
        <v>45272.20486111111</v>
      </c>
      <c r="F1939" s="10" t="n">
        <v>45272.22569444445</v>
      </c>
      <c r="G1939" s="11" t="n">
        <v>-2.18</v>
      </c>
      <c r="H1939" s="11">
        <f>H1938+G1939</f>
        <v/>
      </c>
    </row>
    <row r="1940">
      <c r="A1940" s="9" t="n">
        <v>1936</v>
      </c>
      <c r="B1940" s="9" t="inlineStr">
        <is>
          <t>Vanguard_M15</t>
        </is>
      </c>
      <c r="C1940" s="9" t="inlineStr">
        <is>
          <t>Trendline breakout (fractal swing line) + VWAP/S-R distance gate - M15 chart</t>
        </is>
      </c>
      <c r="D1940" s="9" t="inlineStr">
        <is>
          <t>Short</t>
        </is>
      </c>
      <c r="E1940" s="10" t="n">
        <v>45268.65625</v>
      </c>
      <c r="F1940" s="10" t="n">
        <v>45272.44791666666</v>
      </c>
      <c r="G1940" s="11" t="n">
        <v>39.36</v>
      </c>
      <c r="H1940" s="11">
        <f>H1939+G1940</f>
        <v/>
      </c>
    </row>
    <row r="1941">
      <c r="A1941" s="9" t="n">
        <v>1937</v>
      </c>
      <c r="B1941" s="9" t="inlineStr">
        <is>
          <t>Vanguard_M5</t>
        </is>
      </c>
      <c r="C1941" s="9" t="inlineStr">
        <is>
          <t>Trendline breakout (fractal swing line) + VWAP/S-R distance gate</t>
        </is>
      </c>
      <c r="D1941" s="9" t="inlineStr">
        <is>
          <t>Short</t>
        </is>
      </c>
      <c r="E1941" s="10" t="n">
        <v>45268.66319444445</v>
      </c>
      <c r="F1941" s="10" t="n">
        <v>45272.45486111111</v>
      </c>
      <c r="G1941" s="11" t="n">
        <v>37.25</v>
      </c>
      <c r="H1941" s="11">
        <f>H1940+G1941</f>
        <v/>
      </c>
    </row>
    <row r="1942">
      <c r="A1942" s="9" t="n">
        <v>1938</v>
      </c>
      <c r="B1942" s="9" t="inlineStr">
        <is>
          <t>Meridian</t>
        </is>
      </c>
      <c r="C1942" s="9" t="inlineStr">
        <is>
          <t>21/50 MA cross, 250-period confirm filter, VWAP</t>
        </is>
      </c>
      <c r="D1942" s="9" t="inlineStr">
        <is>
          <t>Short</t>
        </is>
      </c>
      <c r="E1942" s="10" t="n">
        <v>45272.44791666666</v>
      </c>
      <c r="F1942" s="10" t="n">
        <v>45272.52083333334</v>
      </c>
      <c r="G1942" s="11" t="n">
        <v>-2.77</v>
      </c>
      <c r="H1942" s="11">
        <f>H1941+G1942</f>
        <v/>
      </c>
    </row>
    <row r="1943">
      <c r="A1943" s="9" t="n">
        <v>1939</v>
      </c>
      <c r="B1943" s="9" t="inlineStr">
        <is>
          <t>Meridian</t>
        </is>
      </c>
      <c r="C1943" s="9" t="inlineStr">
        <is>
          <t>21/50 MA cross, 250-period confirm filter, VWAP</t>
        </is>
      </c>
      <c r="D1943" s="9" t="inlineStr">
        <is>
          <t>Long</t>
        </is>
      </c>
      <c r="E1943" s="10" t="n">
        <v>45272.52777777778</v>
      </c>
      <c r="F1943" s="10" t="n">
        <v>45272.65277777778</v>
      </c>
      <c r="G1943" s="11" t="n">
        <v>-2.42</v>
      </c>
      <c r="H1943" s="11">
        <f>H1942+G1943</f>
        <v/>
      </c>
    </row>
    <row r="1944">
      <c r="A1944" s="9" t="n">
        <v>1940</v>
      </c>
      <c r="B1944" s="9" t="inlineStr">
        <is>
          <t>Ratchet</t>
        </is>
      </c>
      <c r="C1944" s="9" t="inlineStr">
        <is>
          <t>Stochastic scalp with give-back trail exit</t>
        </is>
      </c>
      <c r="D1944" s="9" t="inlineStr">
        <is>
          <t>Short</t>
        </is>
      </c>
      <c r="E1944" s="10" t="n">
        <v>45272.85069444445</v>
      </c>
      <c r="F1944" s="10" t="n">
        <v>45272.88888888889</v>
      </c>
      <c r="G1944" s="11" t="n">
        <v>-2.35</v>
      </c>
      <c r="H1944" s="11">
        <f>H1943+G1944</f>
        <v/>
      </c>
    </row>
    <row r="1945">
      <c r="A1945" s="9" t="n">
        <v>1941</v>
      </c>
      <c r="B1945" s="9" t="inlineStr">
        <is>
          <t>Ratchet</t>
        </is>
      </c>
      <c r="C1945" s="9" t="inlineStr">
        <is>
          <t>Stochastic scalp with give-back trail exit</t>
        </is>
      </c>
      <c r="D1945" s="9" t="inlineStr">
        <is>
          <t>Short</t>
        </is>
      </c>
      <c r="E1945" s="10" t="n">
        <v>45273.19444444445</v>
      </c>
      <c r="F1945" s="10" t="n">
        <v>45273.19791666666</v>
      </c>
      <c r="G1945" s="11" t="n">
        <v>-1.33</v>
      </c>
      <c r="H1945" s="11">
        <f>H1944+G1945</f>
        <v/>
      </c>
    </row>
    <row r="1946">
      <c r="A1946" s="9" t="n">
        <v>1942</v>
      </c>
      <c r="B1946" s="9" t="inlineStr">
        <is>
          <t>Ratchet</t>
        </is>
      </c>
      <c r="C1946" s="9" t="inlineStr">
        <is>
          <t>Stochastic scalp with give-back trail exit</t>
        </is>
      </c>
      <c r="D1946" s="9" t="inlineStr">
        <is>
          <t>Short</t>
        </is>
      </c>
      <c r="E1946" s="10" t="n">
        <v>45273.28819444445</v>
      </c>
      <c r="F1946" s="10" t="n">
        <v>45273.3125</v>
      </c>
      <c r="G1946" s="11" t="n">
        <v>-1</v>
      </c>
      <c r="H1946" s="11">
        <f>H1945+G1946</f>
        <v/>
      </c>
    </row>
    <row r="1947">
      <c r="A1947" s="9" t="n">
        <v>1943</v>
      </c>
      <c r="B1947" s="9" t="inlineStr">
        <is>
          <t>Ratchet</t>
        </is>
      </c>
      <c r="C1947" s="9" t="inlineStr">
        <is>
          <t>Stochastic scalp with give-back trail exit</t>
        </is>
      </c>
      <c r="D1947" s="9" t="inlineStr">
        <is>
          <t>Short</t>
        </is>
      </c>
      <c r="E1947" s="10" t="n">
        <v>45273.34027777778</v>
      </c>
      <c r="F1947" s="10" t="n">
        <v>45273.38541666666</v>
      </c>
      <c r="G1947" s="11" t="n">
        <v>1.27</v>
      </c>
      <c r="H1947" s="11">
        <f>H1946+G1947</f>
        <v/>
      </c>
    </row>
    <row r="1948">
      <c r="A1948" s="9" t="n">
        <v>1944</v>
      </c>
      <c r="B1948" s="9" t="inlineStr">
        <is>
          <t>Vanguard_M5</t>
        </is>
      </c>
      <c r="C1948" s="9" t="inlineStr">
        <is>
          <t>Trendline breakout (fractal swing line) + VWAP/S-R distance gate</t>
        </is>
      </c>
      <c r="D1948" s="9" t="inlineStr">
        <is>
          <t>Short</t>
        </is>
      </c>
      <c r="E1948" s="10" t="n">
        <v>45273.34375</v>
      </c>
      <c r="F1948" s="10" t="n">
        <v>45273.39583333334</v>
      </c>
      <c r="G1948" s="11" t="n">
        <v>-2.52</v>
      </c>
      <c r="H1948" s="11">
        <f>H1947+G1948</f>
        <v/>
      </c>
    </row>
    <row r="1949">
      <c r="A1949" s="9" t="n">
        <v>1945</v>
      </c>
      <c r="B1949" s="9" t="inlineStr">
        <is>
          <t>Aurelius_M5</t>
        </is>
      </c>
      <c r="C1949" s="9" t="inlineStr">
        <is>
          <t>MA alignment (EMA21&gt;EMA50&gt;SMA250&gt;SMMA500 vs EMA2400 trend filter)</t>
        </is>
      </c>
      <c r="D1949" s="9" t="inlineStr">
        <is>
          <t>Short</t>
        </is>
      </c>
      <c r="E1949" s="10" t="n">
        <v>45273.31597222222</v>
      </c>
      <c r="F1949" s="10" t="n">
        <v>45273.40277777778</v>
      </c>
      <c r="G1949" s="11" t="n">
        <v>-1.43</v>
      </c>
      <c r="H1949" s="11">
        <f>H1948+G1949</f>
        <v/>
      </c>
    </row>
    <row r="1950">
      <c r="A1950" s="9" t="n">
        <v>1946</v>
      </c>
      <c r="B1950" s="9" t="inlineStr">
        <is>
          <t>Meridian</t>
        </is>
      </c>
      <c r="C1950" s="9" t="inlineStr">
        <is>
          <t>21/50 MA cross, 250-period confirm filter, VWAP</t>
        </is>
      </c>
      <c r="D1950" s="9" t="inlineStr">
        <is>
          <t>Short</t>
        </is>
      </c>
      <c r="E1950" s="10" t="n">
        <v>45273.17013888889</v>
      </c>
      <c r="F1950" s="10" t="n">
        <v>45273.42361111111</v>
      </c>
      <c r="G1950" s="11" t="n">
        <v>-0.49</v>
      </c>
      <c r="H1950" s="11">
        <f>H1949+G1950</f>
        <v/>
      </c>
    </row>
    <row r="1951">
      <c r="A1951" s="9" t="n">
        <v>1947</v>
      </c>
      <c r="B1951" s="9" t="inlineStr">
        <is>
          <t>Vanguard_M15</t>
        </is>
      </c>
      <c r="C1951" s="9" t="inlineStr">
        <is>
          <t>Trendline breakout (fractal swing line) + VWAP/S-R distance gate - M15 chart</t>
        </is>
      </c>
      <c r="D1951" s="9" t="inlineStr">
        <is>
          <t>Short</t>
        </is>
      </c>
      <c r="E1951" s="10" t="n">
        <v>45273.34375</v>
      </c>
      <c r="F1951" s="10" t="n">
        <v>45273.42708333334</v>
      </c>
      <c r="G1951" s="11" t="n">
        <v>-3.52</v>
      </c>
      <c r="H1951" s="11">
        <f>H1950+G1951</f>
        <v/>
      </c>
    </row>
    <row r="1952">
      <c r="A1952" s="9" t="n">
        <v>1948</v>
      </c>
      <c r="B1952" s="9" t="inlineStr">
        <is>
          <t>Meridian</t>
        </is>
      </c>
      <c r="C1952" s="9" t="inlineStr">
        <is>
          <t>21/50 MA cross, 250-period confirm filter, VWAP</t>
        </is>
      </c>
      <c r="D1952" s="9" t="inlineStr">
        <is>
          <t>Short</t>
        </is>
      </c>
      <c r="E1952" s="10" t="n">
        <v>45273.72222222222</v>
      </c>
      <c r="F1952" s="10" t="n">
        <v>45273.79861111111</v>
      </c>
      <c r="G1952" s="11" t="n">
        <v>-3.63</v>
      </c>
      <c r="H1952" s="11">
        <f>H1951+G1952</f>
        <v/>
      </c>
    </row>
    <row r="1953">
      <c r="A1953" s="9" t="n">
        <v>1949</v>
      </c>
      <c r="B1953" s="9" t="inlineStr">
        <is>
          <t>Meridian</t>
        </is>
      </c>
      <c r="C1953" s="9" t="inlineStr">
        <is>
          <t>21/50 MA cross, 250-period confirm filter, VWAP</t>
        </is>
      </c>
      <c r="D1953" s="9" t="inlineStr">
        <is>
          <t>Short</t>
        </is>
      </c>
      <c r="E1953" s="10" t="n">
        <v>45273.86111111111</v>
      </c>
      <c r="F1953" s="10" t="n">
        <v>45273.875</v>
      </c>
      <c r="G1953" s="11" t="n">
        <v>-2.56</v>
      </c>
      <c r="H1953" s="11">
        <f>H1952+G1953</f>
        <v/>
      </c>
    </row>
    <row r="1954">
      <c r="A1954" s="9" t="n">
        <v>1950</v>
      </c>
      <c r="B1954" s="9" t="inlineStr">
        <is>
          <t>Ratchet</t>
        </is>
      </c>
      <c r="C1954" s="9" t="inlineStr">
        <is>
          <t>Stochastic scalp with give-back trail exit</t>
        </is>
      </c>
      <c r="D1954" s="9" t="inlineStr">
        <is>
          <t>Long</t>
        </is>
      </c>
      <c r="E1954" s="10" t="n">
        <v>45273.92361111111</v>
      </c>
      <c r="F1954" s="10" t="n">
        <v>45273.93402777778</v>
      </c>
      <c r="G1954" s="11" t="n">
        <v>0.88</v>
      </c>
      <c r="H1954" s="11">
        <f>H1953+G1954</f>
        <v/>
      </c>
    </row>
    <row r="1955">
      <c r="A1955" s="9" t="n">
        <v>1951</v>
      </c>
      <c r="B1955" s="9" t="inlineStr">
        <is>
          <t>Ratchet</t>
        </is>
      </c>
      <c r="C1955" s="9" t="inlineStr">
        <is>
          <t>Stochastic scalp with give-back trail exit</t>
        </is>
      </c>
      <c r="D1955" s="9" t="inlineStr">
        <is>
          <t>Long</t>
        </is>
      </c>
      <c r="E1955" s="10" t="n">
        <v>45274.42361111111</v>
      </c>
      <c r="F1955" s="10" t="n">
        <v>45274.44097222222</v>
      </c>
      <c r="G1955" s="11" t="n">
        <v>4.23</v>
      </c>
      <c r="H1955" s="11">
        <f>H1954+G1955</f>
        <v/>
      </c>
    </row>
    <row r="1956">
      <c r="A1956" s="9" t="n">
        <v>1952</v>
      </c>
      <c r="B1956" s="9" t="inlineStr">
        <is>
          <t>Ratchet</t>
        </is>
      </c>
      <c r="C1956" s="9" t="inlineStr">
        <is>
          <t>Stochastic scalp with give-back trail exit</t>
        </is>
      </c>
      <c r="D1956" s="9" t="inlineStr">
        <is>
          <t>Long</t>
        </is>
      </c>
      <c r="E1956" s="10" t="n">
        <v>45274.45138888889</v>
      </c>
      <c r="F1956" s="10" t="n">
        <v>45274.47222222222</v>
      </c>
      <c r="G1956" s="11" t="n">
        <v>0.4</v>
      </c>
      <c r="H1956" s="11">
        <f>H1955+G1956</f>
        <v/>
      </c>
    </row>
    <row r="1957">
      <c r="A1957" s="9" t="n">
        <v>1953</v>
      </c>
      <c r="B1957" s="9" t="inlineStr">
        <is>
          <t>Aurelius_M5</t>
        </is>
      </c>
      <c r="C1957" s="9" t="inlineStr">
        <is>
          <t>MA alignment (EMA21&gt;EMA50&gt;SMA250&gt;SMMA500 vs EMA2400 trend filter)</t>
        </is>
      </c>
      <c r="D1957" s="9" t="inlineStr">
        <is>
          <t>Long</t>
        </is>
      </c>
      <c r="E1957" s="10" t="n">
        <v>45274.41319444445</v>
      </c>
      <c r="F1957" s="10" t="n">
        <v>45274.54513888889</v>
      </c>
      <c r="G1957" s="11" t="n">
        <v>0.64</v>
      </c>
      <c r="H1957" s="11">
        <f>H1956+G1957</f>
        <v/>
      </c>
    </row>
    <row r="1958">
      <c r="A1958" s="9" t="n">
        <v>1954</v>
      </c>
      <c r="B1958" s="9" t="inlineStr">
        <is>
          <t>Meridian</t>
        </is>
      </c>
      <c r="C1958" s="9" t="inlineStr">
        <is>
          <t>21/50 MA cross, 250-period confirm filter, VWAP</t>
        </is>
      </c>
      <c r="D1958" s="9" t="inlineStr">
        <is>
          <t>Long</t>
        </is>
      </c>
      <c r="E1958" s="10" t="n">
        <v>45274.60069444445</v>
      </c>
      <c r="F1958" s="10" t="n">
        <v>45274.63541666666</v>
      </c>
      <c r="G1958" s="11" t="n">
        <v>-3.3</v>
      </c>
      <c r="H1958" s="11">
        <f>H1957+G1958</f>
        <v/>
      </c>
    </row>
    <row r="1959">
      <c r="A1959" s="9" t="n">
        <v>1955</v>
      </c>
      <c r="B1959" s="9" t="inlineStr">
        <is>
          <t>Aurelius_M5</t>
        </is>
      </c>
      <c r="C1959" s="9" t="inlineStr">
        <is>
          <t>MA alignment (EMA21&gt;EMA50&gt;SMA250&gt;SMMA500 vs EMA2400 trend filter)</t>
        </is>
      </c>
      <c r="D1959" s="9" t="inlineStr">
        <is>
          <t>Long</t>
        </is>
      </c>
      <c r="E1959" s="10" t="n">
        <v>45274.62847222222</v>
      </c>
      <c r="F1959" s="10" t="n">
        <v>45274.63888888889</v>
      </c>
      <c r="G1959" s="11" t="n">
        <v>-3.86</v>
      </c>
      <c r="H1959" s="11">
        <f>H1958+G1959</f>
        <v/>
      </c>
    </row>
    <row r="1960">
      <c r="A1960" s="9" t="n">
        <v>1956</v>
      </c>
      <c r="B1960" s="9" t="inlineStr">
        <is>
          <t>Ratchet</t>
        </is>
      </c>
      <c r="C1960" s="9" t="inlineStr">
        <is>
          <t>Stochastic scalp with give-back trail exit</t>
        </is>
      </c>
      <c r="D1960" s="9" t="inlineStr">
        <is>
          <t>Long</t>
        </is>
      </c>
      <c r="E1960" s="10" t="n">
        <v>45274.67361111111</v>
      </c>
      <c r="F1960" s="10" t="n">
        <v>45274.72916666666</v>
      </c>
      <c r="G1960" s="11" t="n">
        <v>2.64</v>
      </c>
      <c r="H1960" s="11">
        <f>H1959+G1960</f>
        <v/>
      </c>
    </row>
    <row r="1961">
      <c r="A1961" s="9" t="n">
        <v>1957</v>
      </c>
      <c r="B1961" s="9" t="inlineStr">
        <is>
          <t>Aurelius_M5</t>
        </is>
      </c>
      <c r="C1961" s="9" t="inlineStr">
        <is>
          <t>MA alignment (EMA21&gt;EMA50&gt;SMA250&gt;SMMA500 vs EMA2400 trend filter)</t>
        </is>
      </c>
      <c r="D1961" s="9" t="inlineStr">
        <is>
          <t>Long</t>
        </is>
      </c>
      <c r="E1961" s="10" t="n">
        <v>45274.69791666666</v>
      </c>
      <c r="F1961" s="10" t="n">
        <v>45274.72916666666</v>
      </c>
      <c r="G1961" s="11" t="n">
        <v>-6.52</v>
      </c>
      <c r="H1961" s="11">
        <f>H1960+G1961</f>
        <v/>
      </c>
    </row>
    <row r="1962">
      <c r="A1962" s="9" t="n">
        <v>1958</v>
      </c>
      <c r="B1962" s="9" t="inlineStr">
        <is>
          <t>Meridian</t>
        </is>
      </c>
      <c r="C1962" s="9" t="inlineStr">
        <is>
          <t>21/50 MA cross, 250-period confirm filter, VWAP</t>
        </is>
      </c>
      <c r="D1962" s="9" t="inlineStr">
        <is>
          <t>Long</t>
        </is>
      </c>
      <c r="E1962" s="10" t="n">
        <v>45274.67013888889</v>
      </c>
      <c r="F1962" s="10" t="n">
        <v>45274.81944444445</v>
      </c>
      <c r="G1962" s="11" t="n">
        <v>-1.01</v>
      </c>
      <c r="H1962" s="11">
        <f>H1961+G1962</f>
        <v/>
      </c>
    </row>
    <row r="1963">
      <c r="A1963" s="9" t="n">
        <v>1959</v>
      </c>
      <c r="B1963" s="9" t="inlineStr">
        <is>
          <t>Meridian</t>
        </is>
      </c>
      <c r="C1963" s="9" t="inlineStr">
        <is>
          <t>21/50 MA cross, 250-period confirm filter, VWAP</t>
        </is>
      </c>
      <c r="D1963" s="9" t="inlineStr">
        <is>
          <t>Long</t>
        </is>
      </c>
      <c r="E1963" s="10" t="n">
        <v>45274.97222222222</v>
      </c>
      <c r="F1963" s="10" t="n">
        <v>45275.09375</v>
      </c>
      <c r="G1963" s="11" t="n">
        <v>-2.59</v>
      </c>
      <c r="H1963" s="11">
        <f>H1962+G1963</f>
        <v/>
      </c>
    </row>
    <row r="1964">
      <c r="A1964" s="9" t="n">
        <v>1960</v>
      </c>
      <c r="B1964" s="9" t="inlineStr">
        <is>
          <t>Meridian</t>
        </is>
      </c>
      <c r="C1964" s="9" t="inlineStr">
        <is>
          <t>21/50 MA cross, 250-period confirm filter, VWAP</t>
        </is>
      </c>
      <c r="D1964" s="9" t="inlineStr">
        <is>
          <t>Short</t>
        </is>
      </c>
      <c r="E1964" s="10" t="n">
        <v>45275.10069444445</v>
      </c>
      <c r="F1964" s="10" t="n">
        <v>45275.17708333334</v>
      </c>
      <c r="G1964" s="11" t="n">
        <v>-2.65</v>
      </c>
      <c r="H1964" s="11">
        <f>H1963+G1964</f>
        <v/>
      </c>
    </row>
    <row r="1965">
      <c r="A1965" s="9" t="n">
        <v>1961</v>
      </c>
      <c r="B1965" s="9" t="inlineStr">
        <is>
          <t>Meridian</t>
        </is>
      </c>
      <c r="C1965" s="9" t="inlineStr">
        <is>
          <t>21/50 MA cross, 250-period confirm filter, VWAP</t>
        </is>
      </c>
      <c r="D1965" s="9" t="inlineStr">
        <is>
          <t>Long</t>
        </is>
      </c>
      <c r="E1965" s="10" t="n">
        <v>45275.19791666666</v>
      </c>
      <c r="F1965" s="10" t="n">
        <v>45275.22916666666</v>
      </c>
      <c r="G1965" s="11" t="n">
        <v>-2.76</v>
      </c>
      <c r="H1965" s="11">
        <f>H1964+G1965</f>
        <v/>
      </c>
    </row>
    <row r="1966">
      <c r="A1966" s="9" t="n">
        <v>1962</v>
      </c>
      <c r="B1966" s="9" t="inlineStr">
        <is>
          <t>Ratchet</t>
        </is>
      </c>
      <c r="C1966" s="9" t="inlineStr">
        <is>
          <t>Stochastic scalp with give-back trail exit</t>
        </is>
      </c>
      <c r="D1966" s="9" t="inlineStr">
        <is>
          <t>Long</t>
        </is>
      </c>
      <c r="E1966" s="10" t="n">
        <v>45275.25347222222</v>
      </c>
      <c r="F1966" s="10" t="n">
        <v>45275.26736111111</v>
      </c>
      <c r="G1966" s="11" t="n">
        <v>0.19</v>
      </c>
      <c r="H1966" s="11">
        <f>H1965+G1966</f>
        <v/>
      </c>
    </row>
    <row r="1967">
      <c r="A1967" s="9" t="n">
        <v>1963</v>
      </c>
      <c r="B1967" s="9" t="inlineStr">
        <is>
          <t>Ratchet</t>
        </is>
      </c>
      <c r="C1967" s="9" t="inlineStr">
        <is>
          <t>Stochastic scalp with give-back trail exit</t>
        </is>
      </c>
      <c r="D1967" s="9" t="inlineStr">
        <is>
          <t>Long</t>
        </is>
      </c>
      <c r="E1967" s="10" t="n">
        <v>45275.28472222222</v>
      </c>
      <c r="F1967" s="10" t="n">
        <v>45275.29861111111</v>
      </c>
      <c r="G1967" s="11" t="n">
        <v>-1.53</v>
      </c>
      <c r="H1967" s="11">
        <f>H1966+G1967</f>
        <v/>
      </c>
    </row>
    <row r="1968">
      <c r="A1968" s="9" t="n">
        <v>1964</v>
      </c>
      <c r="B1968" s="9" t="inlineStr">
        <is>
          <t>Ratchet</t>
        </is>
      </c>
      <c r="C1968" s="9" t="inlineStr">
        <is>
          <t>Stochastic scalp with give-back trail exit</t>
        </is>
      </c>
      <c r="D1968" s="9" t="inlineStr">
        <is>
          <t>Long</t>
        </is>
      </c>
      <c r="E1968" s="10" t="n">
        <v>45275.30902777778</v>
      </c>
      <c r="F1968" s="10" t="n">
        <v>45275.31944444445</v>
      </c>
      <c r="G1968" s="11" t="n">
        <v>-1.39</v>
      </c>
      <c r="H1968" s="11">
        <f>H1967+G1968</f>
        <v/>
      </c>
    </row>
    <row r="1969">
      <c r="A1969" s="9" t="n">
        <v>1965</v>
      </c>
      <c r="B1969" s="9" t="inlineStr">
        <is>
          <t>Ratchet</t>
        </is>
      </c>
      <c r="C1969" s="9" t="inlineStr">
        <is>
          <t>Stochastic scalp with give-back trail exit</t>
        </is>
      </c>
      <c r="D1969" s="9" t="inlineStr">
        <is>
          <t>Long</t>
        </is>
      </c>
      <c r="E1969" s="10" t="n">
        <v>45275.52083333334</v>
      </c>
      <c r="F1969" s="10" t="n">
        <v>45275.54861111111</v>
      </c>
      <c r="G1969" s="11" t="n">
        <v>-2.2</v>
      </c>
      <c r="H1969" s="11">
        <f>H1968+G1969</f>
        <v/>
      </c>
    </row>
    <row r="1970">
      <c r="A1970" s="9" t="n">
        <v>1966</v>
      </c>
      <c r="B1970" s="9" t="inlineStr">
        <is>
          <t>Aurelius_M5</t>
        </is>
      </c>
      <c r="C1970" s="9" t="inlineStr">
        <is>
          <t>MA alignment (EMA21&gt;EMA50&gt;SMA250&gt;SMMA500 vs EMA2400 trend filter)</t>
        </is>
      </c>
      <c r="D1970" s="9" t="inlineStr">
        <is>
          <t>Long</t>
        </is>
      </c>
      <c r="E1970" s="10" t="n">
        <v>45275.40625</v>
      </c>
      <c r="F1970" s="10" t="n">
        <v>45275.64583333334</v>
      </c>
      <c r="G1970" s="11" t="n">
        <v>2.33</v>
      </c>
      <c r="H1970" s="11">
        <f>H1969+G1970</f>
        <v/>
      </c>
    </row>
    <row r="1971">
      <c r="A1971" s="9" t="n">
        <v>1967</v>
      </c>
      <c r="B1971" s="9" t="inlineStr">
        <is>
          <t>Meridian</t>
        </is>
      </c>
      <c r="C1971" s="9" t="inlineStr">
        <is>
          <t>21/50 MA cross, 250-period confirm filter, VWAP</t>
        </is>
      </c>
      <c r="D1971" s="9" t="inlineStr">
        <is>
          <t>Short</t>
        </is>
      </c>
      <c r="E1971" s="10" t="n">
        <v>45275.64930555555</v>
      </c>
      <c r="F1971" s="10" t="n">
        <v>45275.91666666666</v>
      </c>
      <c r="G1971" s="11" t="n">
        <v>16.66</v>
      </c>
      <c r="H1971" s="11">
        <f>H1970+G1971</f>
        <v/>
      </c>
    </row>
    <row r="1972">
      <c r="A1972" s="9" t="n">
        <v>1968</v>
      </c>
      <c r="B1972" s="9" t="inlineStr">
        <is>
          <t>Meridian</t>
        </is>
      </c>
      <c r="C1972" s="9" t="inlineStr">
        <is>
          <t>21/50 MA cross, 250-period confirm filter, VWAP</t>
        </is>
      </c>
      <c r="D1972" s="9" t="inlineStr">
        <is>
          <t>Short</t>
        </is>
      </c>
      <c r="E1972" s="10" t="n">
        <v>45278.16666666666</v>
      </c>
      <c r="F1972" s="10" t="n">
        <v>45278.17013888889</v>
      </c>
      <c r="G1972" s="11" t="n">
        <v>-2.04</v>
      </c>
      <c r="H1972" s="11">
        <f>H1971+G1972</f>
        <v/>
      </c>
    </row>
    <row r="1973">
      <c r="A1973" s="9" t="n">
        <v>1969</v>
      </c>
      <c r="B1973" s="9" t="inlineStr">
        <is>
          <t>Meridian</t>
        </is>
      </c>
      <c r="C1973" s="9" t="inlineStr">
        <is>
          <t>21/50 MA cross, 250-period confirm filter, VWAP</t>
        </is>
      </c>
      <c r="D1973" s="9" t="inlineStr">
        <is>
          <t>Short</t>
        </is>
      </c>
      <c r="E1973" s="10" t="n">
        <v>45278.52083333334</v>
      </c>
      <c r="F1973" s="10" t="n">
        <v>45278.62152777778</v>
      </c>
      <c r="G1973" s="11" t="n">
        <v>-1.87</v>
      </c>
      <c r="H1973" s="11">
        <f>H1972+G1973</f>
        <v/>
      </c>
    </row>
    <row r="1974">
      <c r="A1974" s="9" t="n">
        <v>1970</v>
      </c>
      <c r="B1974" s="9" t="inlineStr">
        <is>
          <t>Aurelius_M5</t>
        </is>
      </c>
      <c r="C1974" s="9" t="inlineStr">
        <is>
          <t>MA alignment (EMA21&gt;EMA50&gt;SMA250&gt;SMMA500 vs EMA2400 trend filter)</t>
        </is>
      </c>
      <c r="D1974" s="9" t="inlineStr">
        <is>
          <t>Long</t>
        </is>
      </c>
      <c r="E1974" s="10" t="n">
        <v>45278.65277777778</v>
      </c>
      <c r="F1974" s="10" t="n">
        <v>45278.68055555555</v>
      </c>
      <c r="G1974" s="11" t="n">
        <v>-2.79</v>
      </c>
      <c r="H1974" s="11">
        <f>H1973+G1974</f>
        <v/>
      </c>
    </row>
    <row r="1975">
      <c r="A1975" s="9" t="n">
        <v>1971</v>
      </c>
      <c r="B1975" s="9" t="inlineStr">
        <is>
          <t>Meridian</t>
        </is>
      </c>
      <c r="C1975" s="9" t="inlineStr">
        <is>
          <t>21/50 MA cross, 250-period confirm filter, VWAP</t>
        </is>
      </c>
      <c r="D1975" s="9" t="inlineStr">
        <is>
          <t>Short</t>
        </is>
      </c>
      <c r="E1975" s="10" t="n">
        <v>45278.71527777778</v>
      </c>
      <c r="F1975" s="10" t="n">
        <v>45278.78819444445</v>
      </c>
      <c r="G1975" s="11" t="n">
        <v>-1.85</v>
      </c>
      <c r="H1975" s="11">
        <f>H1974+G1975</f>
        <v/>
      </c>
    </row>
    <row r="1976">
      <c r="A1976" s="9" t="n">
        <v>1972</v>
      </c>
      <c r="B1976" s="9" t="inlineStr">
        <is>
          <t>Aurelius_M5</t>
        </is>
      </c>
      <c r="C1976" s="9" t="inlineStr">
        <is>
          <t>MA alignment (EMA21&gt;EMA50&gt;SMA250&gt;SMMA500 vs EMA2400 trend filter)</t>
        </is>
      </c>
      <c r="D1976" s="9" t="inlineStr">
        <is>
          <t>Long</t>
        </is>
      </c>
      <c r="E1976" s="10" t="n">
        <v>45278.83333333334</v>
      </c>
      <c r="F1976" s="10" t="n">
        <v>45278.83680555555</v>
      </c>
      <c r="G1976" s="11" t="n">
        <v>-4.35</v>
      </c>
      <c r="H1976" s="11">
        <f>H1975+G1976</f>
        <v/>
      </c>
    </row>
    <row r="1977">
      <c r="A1977" s="9" t="n">
        <v>1973</v>
      </c>
      <c r="B1977" s="9" t="inlineStr">
        <is>
          <t>Meridian</t>
        </is>
      </c>
      <c r="C1977" s="9" t="inlineStr">
        <is>
          <t>21/50 MA cross, 250-period confirm filter, VWAP</t>
        </is>
      </c>
      <c r="D1977" s="9" t="inlineStr">
        <is>
          <t>Long</t>
        </is>
      </c>
      <c r="E1977" s="10" t="n">
        <v>45278.82638888889</v>
      </c>
      <c r="F1977" s="10" t="n">
        <v>45278.85763888889</v>
      </c>
      <c r="G1977" s="11" t="n">
        <v>-3.7</v>
      </c>
      <c r="H1977" s="11">
        <f>H1976+G1977</f>
        <v/>
      </c>
    </row>
    <row r="1978">
      <c r="A1978" s="9" t="n">
        <v>1974</v>
      </c>
      <c r="B1978" s="9" t="inlineStr">
        <is>
          <t>Aurelius_M5</t>
        </is>
      </c>
      <c r="C1978" s="9" t="inlineStr">
        <is>
          <t>MA alignment (EMA21&gt;EMA50&gt;SMA250&gt;SMMA500 vs EMA2400 trend filter)</t>
        </is>
      </c>
      <c r="D1978" s="9" t="inlineStr">
        <is>
          <t>Long</t>
        </is>
      </c>
      <c r="E1978" s="10" t="n">
        <v>45279.15277777778</v>
      </c>
      <c r="F1978" s="10" t="n">
        <v>45279.17013888889</v>
      </c>
      <c r="G1978" s="11" t="n">
        <v>-1.85</v>
      </c>
      <c r="H1978" s="11">
        <f>H1977+G1978</f>
        <v/>
      </c>
    </row>
    <row r="1979">
      <c r="A1979" s="9" t="n">
        <v>1975</v>
      </c>
      <c r="B1979" s="9" t="inlineStr">
        <is>
          <t>Vanguard_M15</t>
        </is>
      </c>
      <c r="C1979" s="9" t="inlineStr">
        <is>
          <t>Trendline breakout (fractal swing line) + VWAP/S-R distance gate - M15 chart</t>
        </is>
      </c>
      <c r="D1979" s="9" t="inlineStr">
        <is>
          <t>Long</t>
        </is>
      </c>
      <c r="E1979" s="10" t="n">
        <v>45278.82291666666</v>
      </c>
      <c r="F1979" s="10" t="n">
        <v>45279.25</v>
      </c>
      <c r="G1979" s="11" t="n">
        <v>-1.83</v>
      </c>
      <c r="H1979" s="11">
        <f>H1978+G1979</f>
        <v/>
      </c>
    </row>
    <row r="1980">
      <c r="A1980" s="9" t="n">
        <v>1976</v>
      </c>
      <c r="B1980" s="9" t="inlineStr">
        <is>
          <t>Vanguard_M5</t>
        </is>
      </c>
      <c r="C1980" s="9" t="inlineStr">
        <is>
          <t>Trendline breakout (fractal swing line) + VWAP/S-R distance gate</t>
        </is>
      </c>
      <c r="D1980" s="9" t="inlineStr">
        <is>
          <t>Short</t>
        </is>
      </c>
      <c r="E1980" s="10" t="n">
        <v>45279.26041666666</v>
      </c>
      <c r="F1980" s="10" t="n">
        <v>45279.35763888889</v>
      </c>
      <c r="G1980" s="11" t="n">
        <v>-3.47</v>
      </c>
      <c r="H1980" s="11">
        <f>H1979+G1980</f>
        <v/>
      </c>
    </row>
    <row r="1981">
      <c r="A1981" s="9" t="n">
        <v>1977</v>
      </c>
      <c r="B1981" s="9" t="inlineStr">
        <is>
          <t>Meridian</t>
        </is>
      </c>
      <c r="C1981" s="9" t="inlineStr">
        <is>
          <t>21/50 MA cross, 250-period confirm filter, VWAP</t>
        </is>
      </c>
      <c r="D1981" s="9" t="inlineStr">
        <is>
          <t>Short</t>
        </is>
      </c>
      <c r="E1981" s="10" t="n">
        <v>45279.37847222222</v>
      </c>
      <c r="F1981" s="10" t="n">
        <v>45279.38888888889</v>
      </c>
      <c r="G1981" s="11" t="n">
        <v>-1.72</v>
      </c>
      <c r="H1981" s="11">
        <f>H1980+G1981</f>
        <v/>
      </c>
    </row>
    <row r="1982">
      <c r="A1982" s="9" t="n">
        <v>1978</v>
      </c>
      <c r="B1982" s="9" t="inlineStr">
        <is>
          <t>Vanguard_M15</t>
        </is>
      </c>
      <c r="C1982" s="9" t="inlineStr">
        <is>
          <t>Trendline breakout (fractal swing line) + VWAP/S-R distance gate - M15 chart</t>
        </is>
      </c>
      <c r="D1982" s="9" t="inlineStr">
        <is>
          <t>Short</t>
        </is>
      </c>
      <c r="E1982" s="10" t="n">
        <v>45279.26041666666</v>
      </c>
      <c r="F1982" s="10" t="n">
        <v>45279.42708333334</v>
      </c>
      <c r="G1982" s="11" t="n">
        <v>-4.53</v>
      </c>
      <c r="H1982" s="11">
        <f>H1981+G1982</f>
        <v/>
      </c>
    </row>
    <row r="1983">
      <c r="A1983" s="9" t="n">
        <v>1979</v>
      </c>
      <c r="B1983" s="9" t="inlineStr">
        <is>
          <t>Aurelius_M5</t>
        </is>
      </c>
      <c r="C1983" s="9" t="inlineStr">
        <is>
          <t>MA alignment (EMA21&gt;EMA50&gt;SMA250&gt;SMMA500 vs EMA2400 trend filter)</t>
        </is>
      </c>
      <c r="D1983" s="9" t="inlineStr">
        <is>
          <t>Long</t>
        </is>
      </c>
      <c r="E1983" s="10" t="n">
        <v>45279.4375</v>
      </c>
      <c r="F1983" s="10" t="n">
        <v>45279.53125</v>
      </c>
      <c r="G1983" s="11" t="n">
        <v>-2.58</v>
      </c>
      <c r="H1983" s="11">
        <f>H1982+G1983</f>
        <v/>
      </c>
    </row>
    <row r="1984">
      <c r="A1984" s="9" t="n">
        <v>1980</v>
      </c>
      <c r="B1984" s="9" t="inlineStr">
        <is>
          <t>Ratchet</t>
        </is>
      </c>
      <c r="C1984" s="9" t="inlineStr">
        <is>
          <t>Stochastic scalp with give-back trail exit</t>
        </is>
      </c>
      <c r="D1984" s="9" t="inlineStr">
        <is>
          <t>Long</t>
        </is>
      </c>
      <c r="E1984" s="10" t="n">
        <v>45279.67013888889</v>
      </c>
      <c r="F1984" s="10" t="n">
        <v>45279.68402777778</v>
      </c>
      <c r="G1984" s="11" t="n">
        <v>0.26</v>
      </c>
      <c r="H1984" s="11">
        <f>H1983+G1984</f>
        <v/>
      </c>
    </row>
    <row r="1985">
      <c r="A1985" s="9" t="n">
        <v>1981</v>
      </c>
      <c r="B1985" s="9" t="inlineStr">
        <is>
          <t>Ratchet</t>
        </is>
      </c>
      <c r="C1985" s="9" t="inlineStr">
        <is>
          <t>Stochastic scalp with give-back trail exit</t>
        </is>
      </c>
      <c r="D1985" s="9" t="inlineStr">
        <is>
          <t>Long</t>
        </is>
      </c>
      <c r="E1985" s="10" t="n">
        <v>45279.74652777778</v>
      </c>
      <c r="F1985" s="10" t="n">
        <v>45279.79861111111</v>
      </c>
      <c r="G1985" s="11" t="n">
        <v>1.65</v>
      </c>
      <c r="H1985" s="11">
        <f>H1984+G1985</f>
        <v/>
      </c>
    </row>
    <row r="1986">
      <c r="A1986" s="9" t="n">
        <v>1982</v>
      </c>
      <c r="B1986" s="9" t="inlineStr">
        <is>
          <t>Aurelius_M5</t>
        </is>
      </c>
      <c r="C1986" s="9" t="inlineStr">
        <is>
          <t>MA alignment (EMA21&gt;EMA50&gt;SMA250&gt;SMMA500 vs EMA2400 trend filter)</t>
        </is>
      </c>
      <c r="D1986" s="9" t="inlineStr">
        <is>
          <t>Long</t>
        </is>
      </c>
      <c r="E1986" s="10" t="n">
        <v>45279.60763888889</v>
      </c>
      <c r="F1986" s="10" t="n">
        <v>45279.84375</v>
      </c>
      <c r="G1986" s="11" t="n">
        <v>9.84</v>
      </c>
      <c r="H1986" s="11">
        <f>H1985+G1986</f>
        <v/>
      </c>
    </row>
    <row r="1987">
      <c r="A1987" s="9" t="n">
        <v>1983</v>
      </c>
      <c r="B1987" s="9" t="inlineStr">
        <is>
          <t>Aurelius_M15</t>
        </is>
      </c>
      <c r="C1987" s="9" t="inlineStr">
        <is>
          <t>MA alignment (EMA21&gt;EMA50&gt;SMA250&gt;SMMA500 vs EMA2400 trend filter) - M15 chart</t>
        </is>
      </c>
      <c r="D1987" s="9" t="inlineStr">
        <is>
          <t>Long</t>
        </is>
      </c>
      <c r="E1987" s="10" t="n">
        <v>45279.61458333334</v>
      </c>
      <c r="F1987" s="10" t="n">
        <v>45280.1875</v>
      </c>
      <c r="G1987" s="11" t="n">
        <v>9.74</v>
      </c>
      <c r="H1987" s="11">
        <f>H1986+G1987</f>
        <v/>
      </c>
    </row>
    <row r="1988">
      <c r="A1988" s="9" t="n">
        <v>1984</v>
      </c>
      <c r="B1988" s="9" t="inlineStr">
        <is>
          <t>Meridian</t>
        </is>
      </c>
      <c r="C1988" s="9" t="inlineStr">
        <is>
          <t>21/50 MA cross, 250-period confirm filter, VWAP</t>
        </is>
      </c>
      <c r="D1988" s="9" t="inlineStr">
        <is>
          <t>Long</t>
        </is>
      </c>
      <c r="E1988" s="10" t="n">
        <v>45280.23263888889</v>
      </c>
      <c r="F1988" s="10" t="n">
        <v>45280.49652777778</v>
      </c>
      <c r="G1988" s="11" t="n">
        <v>0.09</v>
      </c>
      <c r="H1988" s="11">
        <f>H1987+G1988</f>
        <v/>
      </c>
    </row>
    <row r="1989">
      <c r="A1989" s="9" t="n">
        <v>1985</v>
      </c>
      <c r="B1989" s="9" t="inlineStr">
        <is>
          <t>Aurelius_M5</t>
        </is>
      </c>
      <c r="C1989" s="9" t="inlineStr">
        <is>
          <t>MA alignment (EMA21&gt;EMA50&gt;SMA250&gt;SMMA500 vs EMA2400 trend filter)</t>
        </is>
      </c>
      <c r="D1989" s="9" t="inlineStr">
        <is>
          <t>Long</t>
        </is>
      </c>
      <c r="E1989" s="10" t="n">
        <v>45280.31597222222</v>
      </c>
      <c r="F1989" s="10" t="n">
        <v>45280.49652777778</v>
      </c>
      <c r="G1989" s="11" t="n">
        <v>0.26</v>
      </c>
      <c r="H1989" s="11">
        <f>H1988+G1989</f>
        <v/>
      </c>
    </row>
    <row r="1990">
      <c r="A1990" s="9" t="n">
        <v>1986</v>
      </c>
      <c r="B1990" s="9" t="inlineStr">
        <is>
          <t>Meridian</t>
        </is>
      </c>
      <c r="C1990" s="9" t="inlineStr">
        <is>
          <t>21/50 MA cross, 250-period confirm filter, VWAP</t>
        </is>
      </c>
      <c r="D1990" s="9" t="inlineStr">
        <is>
          <t>Short</t>
        </is>
      </c>
      <c r="E1990" s="10" t="n">
        <v>45280.71180555555</v>
      </c>
      <c r="F1990" s="10" t="n">
        <v>45280.86111111111</v>
      </c>
      <c r="G1990" s="11" t="n">
        <v>-1.07</v>
      </c>
      <c r="H1990" s="11">
        <f>H1989+G1990</f>
        <v/>
      </c>
    </row>
    <row r="1991">
      <c r="A1991" s="9" t="n">
        <v>1987</v>
      </c>
      <c r="B1991" s="9" t="inlineStr">
        <is>
          <t>Vanguard_M5</t>
        </is>
      </c>
      <c r="C1991" s="9" t="inlineStr">
        <is>
          <t>Trendline breakout (fractal swing line) + VWAP/S-R distance gate</t>
        </is>
      </c>
      <c r="D1991" s="9" t="inlineStr">
        <is>
          <t>Short</t>
        </is>
      </c>
      <c r="E1991" s="10" t="n">
        <v>45280.98263888889</v>
      </c>
      <c r="F1991" s="10" t="n">
        <v>45281.04513888889</v>
      </c>
      <c r="G1991" s="11" t="n">
        <v>-5.08</v>
      </c>
      <c r="H1991" s="11">
        <f>H1990+G1991</f>
        <v/>
      </c>
    </row>
    <row r="1992">
      <c r="A1992" s="9" t="n">
        <v>1988</v>
      </c>
      <c r="B1992" s="9" t="inlineStr">
        <is>
          <t>Meridian</t>
        </is>
      </c>
      <c r="C1992" s="9" t="inlineStr">
        <is>
          <t>21/50 MA cross, 250-period confirm filter, VWAP</t>
        </is>
      </c>
      <c r="D1992" s="9" t="inlineStr">
        <is>
          <t>Short</t>
        </is>
      </c>
      <c r="E1992" s="10" t="n">
        <v>45280.91666666666</v>
      </c>
      <c r="F1992" s="10" t="n">
        <v>45281.11111111111</v>
      </c>
      <c r="G1992" s="11" t="n">
        <v>-1.59</v>
      </c>
      <c r="H1992" s="11">
        <f>H1991+G1992</f>
        <v/>
      </c>
    </row>
    <row r="1993">
      <c r="A1993" s="9" t="n">
        <v>1989</v>
      </c>
      <c r="B1993" s="9" t="inlineStr">
        <is>
          <t>Vanguard_M15</t>
        </is>
      </c>
      <c r="C1993" s="9" t="inlineStr">
        <is>
          <t>Trendline breakout (fractal swing line) + VWAP/S-R distance gate - M15 chart</t>
        </is>
      </c>
      <c r="D1993" s="9" t="inlineStr">
        <is>
          <t>Short</t>
        </is>
      </c>
      <c r="E1993" s="10" t="n">
        <v>45280.98958333334</v>
      </c>
      <c r="F1993" s="10" t="n">
        <v>45281.14583333334</v>
      </c>
      <c r="G1993" s="11" t="n">
        <v>-6.56</v>
      </c>
      <c r="H1993" s="11">
        <f>H1992+G1993</f>
        <v/>
      </c>
    </row>
    <row r="1994">
      <c r="A1994" s="9" t="n">
        <v>1990</v>
      </c>
      <c r="B1994" s="9" t="inlineStr">
        <is>
          <t>Ratchet</t>
        </is>
      </c>
      <c r="C1994" s="9" t="inlineStr">
        <is>
          <t>Stochastic scalp with give-back trail exit</t>
        </is>
      </c>
      <c r="D1994" s="9" t="inlineStr">
        <is>
          <t>Long</t>
        </is>
      </c>
      <c r="E1994" s="10" t="n">
        <v>45281.20833333334</v>
      </c>
      <c r="F1994" s="10" t="n">
        <v>45281.22569444445</v>
      </c>
      <c r="G1994" s="11" t="n">
        <v>-1.48</v>
      </c>
      <c r="H1994" s="11">
        <f>H1993+G1994</f>
        <v/>
      </c>
    </row>
    <row r="1995">
      <c r="A1995" s="9" t="n">
        <v>1991</v>
      </c>
      <c r="B1995" s="9" t="inlineStr">
        <is>
          <t>Ratchet</t>
        </is>
      </c>
      <c r="C1995" s="9" t="inlineStr">
        <is>
          <t>Stochastic scalp with give-back trail exit</t>
        </is>
      </c>
      <c r="D1995" s="9" t="inlineStr">
        <is>
          <t>Long</t>
        </is>
      </c>
      <c r="E1995" s="10" t="n">
        <v>45281.30555555555</v>
      </c>
      <c r="F1995" s="10" t="n">
        <v>45281.30902777778</v>
      </c>
      <c r="G1995" s="11" t="n">
        <v>0.13</v>
      </c>
      <c r="H1995" s="11">
        <f>H1994+G1995</f>
        <v/>
      </c>
    </row>
    <row r="1996">
      <c r="A1996" s="9" t="n">
        <v>1992</v>
      </c>
      <c r="B1996" s="9" t="inlineStr">
        <is>
          <t>Ratchet</t>
        </is>
      </c>
      <c r="C1996" s="9" t="inlineStr">
        <is>
          <t>Stochastic scalp with give-back trail exit</t>
        </is>
      </c>
      <c r="D1996" s="9" t="inlineStr">
        <is>
          <t>Long</t>
        </is>
      </c>
      <c r="E1996" s="10" t="n">
        <v>45281.375</v>
      </c>
      <c r="F1996" s="10" t="n">
        <v>45281.37847222222</v>
      </c>
      <c r="G1996" s="11" t="n">
        <v>-1.33</v>
      </c>
      <c r="H1996" s="11">
        <f>H1995+G1996</f>
        <v/>
      </c>
    </row>
    <row r="1997">
      <c r="A1997" s="9" t="n">
        <v>1993</v>
      </c>
      <c r="B1997" s="9" t="inlineStr">
        <is>
          <t>Meridian</t>
        </is>
      </c>
      <c r="C1997" s="9" t="inlineStr">
        <is>
          <t>21/50 MA cross, 250-period confirm filter, VWAP</t>
        </is>
      </c>
      <c r="D1997" s="9" t="inlineStr">
        <is>
          <t>Long</t>
        </is>
      </c>
      <c r="E1997" s="10" t="n">
        <v>45281.36111111111</v>
      </c>
      <c r="F1997" s="10" t="n">
        <v>45281.38541666666</v>
      </c>
      <c r="G1997" s="11" t="n">
        <v>-1.77</v>
      </c>
      <c r="H1997" s="11">
        <f>H1996+G1997</f>
        <v/>
      </c>
    </row>
    <row r="1998">
      <c r="A1998" s="9" t="n">
        <v>1994</v>
      </c>
      <c r="B1998" s="9" t="inlineStr">
        <is>
          <t>Ratchet</t>
        </is>
      </c>
      <c r="C1998" s="9" t="inlineStr">
        <is>
          <t>Stochastic scalp with give-back trail exit</t>
        </is>
      </c>
      <c r="D1998" s="9" t="inlineStr">
        <is>
          <t>Long</t>
        </is>
      </c>
      <c r="E1998" s="10" t="n">
        <v>45281.45833333334</v>
      </c>
      <c r="F1998" s="10" t="n">
        <v>45281.46875</v>
      </c>
      <c r="G1998" s="11" t="n">
        <v>0</v>
      </c>
      <c r="H1998" s="11">
        <f>H1997+G1998</f>
        <v/>
      </c>
    </row>
    <row r="1999">
      <c r="A1999" s="9" t="n">
        <v>1995</v>
      </c>
      <c r="B1999" s="9" t="inlineStr">
        <is>
          <t>Meridian</t>
        </is>
      </c>
      <c r="C1999" s="9" t="inlineStr">
        <is>
          <t>21/50 MA cross, 250-period confirm filter, VWAP</t>
        </is>
      </c>
      <c r="D1999" s="9" t="inlineStr">
        <is>
          <t>Long</t>
        </is>
      </c>
      <c r="E1999" s="10" t="n">
        <v>45281.44791666666</v>
      </c>
      <c r="F1999" s="10" t="n">
        <v>45281.50347222222</v>
      </c>
      <c r="G1999" s="11" t="n">
        <v>-1.56</v>
      </c>
      <c r="H1999" s="11">
        <f>H1998+G1999</f>
        <v/>
      </c>
    </row>
    <row r="2000">
      <c r="A2000" s="9" t="n">
        <v>1996</v>
      </c>
      <c r="B2000" s="9" t="inlineStr">
        <is>
          <t>Meridian</t>
        </is>
      </c>
      <c r="C2000" s="9" t="inlineStr">
        <is>
          <t>21/50 MA cross, 250-period confirm filter, VWAP</t>
        </is>
      </c>
      <c r="D2000" s="9" t="inlineStr">
        <is>
          <t>Long</t>
        </is>
      </c>
      <c r="E2000" s="10" t="n">
        <v>45281.61111111111</v>
      </c>
      <c r="F2000" s="10" t="n">
        <v>45281.62847222222</v>
      </c>
      <c r="G2000" s="11" t="n">
        <v>-2.32</v>
      </c>
      <c r="H2000" s="11">
        <f>H1999+G2000</f>
        <v/>
      </c>
    </row>
    <row r="2001">
      <c r="A2001" s="9" t="n">
        <v>1997</v>
      </c>
      <c r="B2001" s="9" t="inlineStr">
        <is>
          <t>Aurelius_M5</t>
        </is>
      </c>
      <c r="C2001" s="9" t="inlineStr">
        <is>
          <t>MA alignment (EMA21&gt;EMA50&gt;SMA250&gt;SMMA500 vs EMA2400 trend filter)</t>
        </is>
      </c>
      <c r="D2001" s="9" t="inlineStr">
        <is>
          <t>Long</t>
        </is>
      </c>
      <c r="E2001" s="10" t="n">
        <v>45281.625</v>
      </c>
      <c r="F2001" s="10" t="n">
        <v>45281.64236111111</v>
      </c>
      <c r="G2001" s="11" t="n">
        <v>-2.51</v>
      </c>
      <c r="H2001" s="11">
        <f>H2000+G2001</f>
        <v/>
      </c>
    </row>
    <row r="2002">
      <c r="A2002" s="9" t="n">
        <v>1998</v>
      </c>
      <c r="B2002" s="9" t="inlineStr">
        <is>
          <t>Vanguard_M5</t>
        </is>
      </c>
      <c r="C2002" s="9" t="inlineStr">
        <is>
          <t>Trendline breakout (fractal swing line) + VWAP/S-R distance gate</t>
        </is>
      </c>
      <c r="D2002" s="9" t="inlineStr">
        <is>
          <t>Long</t>
        </is>
      </c>
      <c r="E2002" s="10" t="n">
        <v>45281.60763888889</v>
      </c>
      <c r="F2002" s="10" t="n">
        <v>45281.64583333334</v>
      </c>
      <c r="G2002" s="11" t="n">
        <v>-3.3</v>
      </c>
      <c r="H2002" s="11">
        <f>H2001+G2002</f>
        <v/>
      </c>
    </row>
    <row r="2003">
      <c r="A2003" s="9" t="n">
        <v>1999</v>
      </c>
      <c r="B2003" s="9" t="inlineStr">
        <is>
          <t>Vanguard_M15</t>
        </is>
      </c>
      <c r="C2003" s="9" t="inlineStr">
        <is>
          <t>Trendline breakout (fractal swing line) + VWAP/S-R distance gate - M15 chart</t>
        </is>
      </c>
      <c r="D2003" s="9" t="inlineStr">
        <is>
          <t>Long</t>
        </is>
      </c>
      <c r="E2003" s="10" t="n">
        <v>45281.61458333334</v>
      </c>
      <c r="F2003" s="10" t="n">
        <v>45281.64583333334</v>
      </c>
      <c r="G2003" s="11" t="n">
        <v>-4.6</v>
      </c>
      <c r="H2003" s="11">
        <f>H2002+G2003</f>
        <v/>
      </c>
    </row>
    <row r="2004">
      <c r="A2004" s="9" t="n">
        <v>2000</v>
      </c>
      <c r="B2004" s="9" t="inlineStr">
        <is>
          <t>Aurelius_M5</t>
        </is>
      </c>
      <c r="C2004" s="9" t="inlineStr">
        <is>
          <t>MA alignment (EMA21&gt;EMA50&gt;SMA250&gt;SMMA500 vs EMA2400 trend filter)</t>
        </is>
      </c>
      <c r="D2004" s="9" t="inlineStr">
        <is>
          <t>Long</t>
        </is>
      </c>
      <c r="E2004" s="10" t="n">
        <v>45281.65972222222</v>
      </c>
      <c r="F2004" s="10" t="n">
        <v>45281.71527777778</v>
      </c>
      <c r="G2004" s="11" t="n">
        <v>-4.85</v>
      </c>
      <c r="H2004" s="11">
        <f>H2003+G2004</f>
        <v/>
      </c>
    </row>
    <row r="2005">
      <c r="A2005" s="9" t="n">
        <v>2001</v>
      </c>
      <c r="B2005" s="9" t="inlineStr">
        <is>
          <t>Aurelius_M5</t>
        </is>
      </c>
      <c r="C2005" s="9" t="inlineStr">
        <is>
          <t>MA alignment (EMA21&gt;EMA50&gt;SMA250&gt;SMMA500 vs EMA2400 trend filter)</t>
        </is>
      </c>
      <c r="D2005" s="9" t="inlineStr">
        <is>
          <t>Long</t>
        </is>
      </c>
      <c r="E2005" s="10" t="n">
        <v>45281.73263888889</v>
      </c>
      <c r="F2005" s="10" t="n">
        <v>45281.85416666666</v>
      </c>
      <c r="G2005" s="11" t="n">
        <v>-1.62</v>
      </c>
      <c r="H2005" s="11">
        <f>H2004+G2005</f>
        <v/>
      </c>
    </row>
    <row r="2006">
      <c r="A2006" s="9" t="n">
        <v>2002</v>
      </c>
      <c r="B2006" s="9" t="inlineStr">
        <is>
          <t>Ratchet</t>
        </is>
      </c>
      <c r="C2006" s="9" t="inlineStr">
        <is>
          <t>Stochastic scalp with give-back trail exit</t>
        </is>
      </c>
      <c r="D2006" s="9" t="inlineStr">
        <is>
          <t>Long</t>
        </is>
      </c>
      <c r="E2006" s="10" t="n">
        <v>45281.91666666666</v>
      </c>
      <c r="F2006" s="10" t="n">
        <v>45281.92013888889</v>
      </c>
      <c r="G2006" s="11" t="n">
        <v>0.24</v>
      </c>
      <c r="H2006" s="11">
        <f>H2005+G2006</f>
        <v/>
      </c>
    </row>
    <row r="2007">
      <c r="A2007" s="9" t="n">
        <v>2003</v>
      </c>
      <c r="B2007" s="9" t="inlineStr">
        <is>
          <t>Ratchet</t>
        </is>
      </c>
      <c r="C2007" s="9" t="inlineStr">
        <is>
          <t>Stochastic scalp with give-back trail exit</t>
        </is>
      </c>
      <c r="D2007" s="9" t="inlineStr">
        <is>
          <t>Long</t>
        </is>
      </c>
      <c r="E2007" s="10" t="n">
        <v>45281.95833333334</v>
      </c>
      <c r="F2007" s="10" t="n">
        <v>45281.96527777778</v>
      </c>
      <c r="G2007" s="11" t="n">
        <v>0.24</v>
      </c>
      <c r="H2007" s="11">
        <f>H2006+G2007</f>
        <v/>
      </c>
    </row>
    <row r="2008">
      <c r="A2008" s="9" t="n">
        <v>2004</v>
      </c>
      <c r="B2008" s="9" t="inlineStr">
        <is>
          <t>Ratchet</t>
        </is>
      </c>
      <c r="C2008" s="9" t="inlineStr">
        <is>
          <t>Stochastic scalp with give-back trail exit</t>
        </is>
      </c>
      <c r="D2008" s="9" t="inlineStr">
        <is>
          <t>Long</t>
        </is>
      </c>
      <c r="E2008" s="10" t="n">
        <v>45282.22222222222</v>
      </c>
      <c r="F2008" s="10" t="n">
        <v>45282.23263888889</v>
      </c>
      <c r="G2008" s="11" t="n">
        <v>-1.87</v>
      </c>
      <c r="H2008" s="11">
        <f>H2007+G2008</f>
        <v/>
      </c>
    </row>
    <row r="2009">
      <c r="A2009" s="9" t="n">
        <v>2005</v>
      </c>
      <c r="B2009" s="9" t="inlineStr">
        <is>
          <t>Aurelius_M5</t>
        </is>
      </c>
      <c r="C2009" s="9" t="inlineStr">
        <is>
          <t>MA alignment (EMA21&gt;EMA50&gt;SMA250&gt;SMMA500 vs EMA2400 trend filter)</t>
        </is>
      </c>
      <c r="D2009" s="9" t="inlineStr">
        <is>
          <t>Long</t>
        </is>
      </c>
      <c r="E2009" s="10" t="n">
        <v>45282.15625</v>
      </c>
      <c r="F2009" s="10" t="n">
        <v>45282.31944444445</v>
      </c>
      <c r="G2009" s="11" t="n">
        <v>-0.58</v>
      </c>
      <c r="H2009" s="11">
        <f>H2008+G2009</f>
        <v/>
      </c>
    </row>
    <row r="2010">
      <c r="A2010" s="9" t="n">
        <v>2006</v>
      </c>
      <c r="B2010" s="9" t="inlineStr">
        <is>
          <t>Meridian</t>
        </is>
      </c>
      <c r="C2010" s="9" t="inlineStr">
        <is>
          <t>21/50 MA cross, 250-period confirm filter, VWAP</t>
        </is>
      </c>
      <c r="D2010" s="9" t="inlineStr">
        <is>
          <t>Long</t>
        </is>
      </c>
      <c r="E2010" s="10" t="n">
        <v>45281.89583333334</v>
      </c>
      <c r="F2010" s="10" t="n">
        <v>45282.32638888889</v>
      </c>
      <c r="G2010" s="11" t="n">
        <v>5.11</v>
      </c>
      <c r="H2010" s="11">
        <f>H2009+G2010</f>
        <v/>
      </c>
    </row>
    <row r="2011">
      <c r="A2011" s="9" t="n">
        <v>2007</v>
      </c>
      <c r="B2011" s="9" t="inlineStr">
        <is>
          <t>Ratchet</t>
        </is>
      </c>
      <c r="C2011" s="9" t="inlineStr">
        <is>
          <t>Stochastic scalp with give-back trail exit</t>
        </is>
      </c>
      <c r="D2011" s="9" t="inlineStr">
        <is>
          <t>Long</t>
        </is>
      </c>
      <c r="E2011" s="10" t="n">
        <v>45282.70486111111</v>
      </c>
      <c r="F2011" s="10" t="n">
        <v>45282.71875</v>
      </c>
      <c r="G2011" s="11" t="n">
        <v>0</v>
      </c>
      <c r="H2011" s="11">
        <f>H2010+G2011</f>
        <v/>
      </c>
    </row>
    <row r="2012">
      <c r="A2012" s="9" t="n">
        <v>2008</v>
      </c>
      <c r="B2012" s="9" t="inlineStr">
        <is>
          <t>Meridian</t>
        </is>
      </c>
      <c r="C2012" s="9" t="inlineStr">
        <is>
          <t>21/50 MA cross, 250-period confirm filter, VWAP</t>
        </is>
      </c>
      <c r="D2012" s="9" t="inlineStr">
        <is>
          <t>Long</t>
        </is>
      </c>
      <c r="E2012" s="10" t="n">
        <v>45282.40277777778</v>
      </c>
      <c r="F2012" s="10" t="n">
        <v>45282.76736111111</v>
      </c>
      <c r="G2012" s="11" t="n">
        <v>8.44</v>
      </c>
      <c r="H2012" s="11">
        <f>H2011+G2012</f>
        <v/>
      </c>
    </row>
    <row r="2013">
      <c r="A2013" s="9" t="n">
        <v>2009</v>
      </c>
      <c r="B2013" s="9" t="inlineStr">
        <is>
          <t>Aurelius_M15</t>
        </is>
      </c>
      <c r="C2013" s="9" t="inlineStr">
        <is>
          <t>MA alignment (EMA21&gt;EMA50&gt;SMA250&gt;SMMA500 vs EMA2400 trend filter) - M15 chart</t>
        </is>
      </c>
      <c r="D2013" s="9" t="inlineStr">
        <is>
          <t>Long</t>
        </is>
      </c>
      <c r="E2013" s="10" t="n">
        <v>45281.67708333334</v>
      </c>
      <c r="F2013" s="10" t="n">
        <v>45282.92708333334</v>
      </c>
      <c r="G2013" s="11" t="n">
        <v>14.24</v>
      </c>
      <c r="H2013" s="11">
        <f>H2012+G2013</f>
        <v/>
      </c>
    </row>
    <row r="2014">
      <c r="A2014" s="9" t="n">
        <v>2010</v>
      </c>
      <c r="B2014" s="9" t="inlineStr">
        <is>
          <t>Ratchet</t>
        </is>
      </c>
      <c r="C2014" s="9" t="inlineStr">
        <is>
          <t>Stochastic scalp with give-back trail exit</t>
        </is>
      </c>
      <c r="D2014" s="9" t="inlineStr">
        <is>
          <t>Long</t>
        </is>
      </c>
      <c r="E2014" s="10" t="n">
        <v>45286.17361111111</v>
      </c>
      <c r="F2014" s="10" t="n">
        <v>45286.19097222222</v>
      </c>
      <c r="G2014" s="11" t="n">
        <v>0.36</v>
      </c>
      <c r="H2014" s="11">
        <f>H2013+G2014</f>
        <v/>
      </c>
    </row>
    <row r="2015">
      <c r="A2015" s="9" t="n">
        <v>2011</v>
      </c>
      <c r="B2015" s="9" t="inlineStr">
        <is>
          <t>Ratchet</t>
        </is>
      </c>
      <c r="C2015" s="9" t="inlineStr">
        <is>
          <t>Stochastic scalp with give-back trail exit</t>
        </is>
      </c>
      <c r="D2015" s="9" t="inlineStr">
        <is>
          <t>Long</t>
        </is>
      </c>
      <c r="E2015" s="10" t="n">
        <v>45286.25347222222</v>
      </c>
      <c r="F2015" s="10" t="n">
        <v>45286.27777777778</v>
      </c>
      <c r="G2015" s="11" t="n">
        <v>0</v>
      </c>
      <c r="H2015" s="11">
        <f>H2014+G2015</f>
        <v/>
      </c>
    </row>
    <row r="2016">
      <c r="A2016" s="9" t="n">
        <v>2012</v>
      </c>
      <c r="B2016" s="9" t="inlineStr">
        <is>
          <t>Aurelius_M5</t>
        </is>
      </c>
      <c r="C2016" s="9" t="inlineStr">
        <is>
          <t>MA alignment (EMA21&gt;EMA50&gt;SMA250&gt;SMMA500 vs EMA2400 trend filter)</t>
        </is>
      </c>
      <c r="D2016" s="9" t="inlineStr">
        <is>
          <t>Long</t>
        </is>
      </c>
      <c r="E2016" s="10" t="n">
        <v>45286.35763888889</v>
      </c>
      <c r="F2016" s="10" t="n">
        <v>45286.44097222222</v>
      </c>
      <c r="G2016" s="11" t="n">
        <v>-1.71</v>
      </c>
      <c r="H2016" s="11">
        <f>H2015+G2016</f>
        <v/>
      </c>
    </row>
    <row r="2017">
      <c r="A2017" s="9" t="n">
        <v>2013</v>
      </c>
      <c r="B2017" s="9" t="inlineStr">
        <is>
          <t>Meridian</t>
        </is>
      </c>
      <c r="C2017" s="9" t="inlineStr">
        <is>
          <t>21/50 MA cross, 250-period confirm filter, VWAP</t>
        </is>
      </c>
      <c r="D2017" s="9" t="inlineStr">
        <is>
          <t>Long</t>
        </is>
      </c>
      <c r="E2017" s="10" t="n">
        <v>45286.13194444445</v>
      </c>
      <c r="F2017" s="10" t="n">
        <v>45286.45486111111</v>
      </c>
      <c r="G2017" s="11" t="n">
        <v>4.87</v>
      </c>
      <c r="H2017" s="11">
        <f>H2016+G2017</f>
        <v/>
      </c>
    </row>
    <row r="2018">
      <c r="A2018" s="9" t="n">
        <v>2014</v>
      </c>
      <c r="B2018" s="9" t="inlineStr">
        <is>
          <t>Ratchet</t>
        </is>
      </c>
      <c r="C2018" s="9" t="inlineStr">
        <is>
          <t>Stochastic scalp with give-back trail exit</t>
        </is>
      </c>
      <c r="D2018" s="9" t="inlineStr">
        <is>
          <t>Long</t>
        </is>
      </c>
      <c r="E2018" s="10" t="n">
        <v>45286.55555555555</v>
      </c>
      <c r="F2018" s="10" t="n">
        <v>45286.5625</v>
      </c>
      <c r="G2018" s="11" t="n">
        <v>0</v>
      </c>
      <c r="H2018" s="11">
        <f>H2017+G2018</f>
        <v/>
      </c>
    </row>
    <row r="2019">
      <c r="A2019" s="9" t="n">
        <v>2015</v>
      </c>
      <c r="B2019" s="9" t="inlineStr">
        <is>
          <t>Meridian</t>
        </is>
      </c>
      <c r="C2019" s="9" t="inlineStr">
        <is>
          <t>21/50 MA cross, 250-period confirm filter, VWAP</t>
        </is>
      </c>
      <c r="D2019" s="9" t="inlineStr">
        <is>
          <t>Long</t>
        </is>
      </c>
      <c r="E2019" s="10" t="n">
        <v>45286.55208333334</v>
      </c>
      <c r="F2019" s="10" t="n">
        <v>45286.61111111111</v>
      </c>
      <c r="G2019" s="11" t="n">
        <v>-1.43</v>
      </c>
      <c r="H2019" s="11">
        <f>H2018+G2019</f>
        <v/>
      </c>
    </row>
    <row r="2020">
      <c r="A2020" s="9" t="n">
        <v>2016</v>
      </c>
      <c r="B2020" s="9" t="inlineStr">
        <is>
          <t>Ratchet</t>
        </is>
      </c>
      <c r="C2020" s="9" t="inlineStr">
        <is>
          <t>Stochastic scalp with give-back trail exit</t>
        </is>
      </c>
      <c r="D2020" s="9" t="inlineStr">
        <is>
          <t>Long</t>
        </is>
      </c>
      <c r="E2020" s="10" t="n">
        <v>45287.17013888889</v>
      </c>
      <c r="F2020" s="10" t="n">
        <v>45287.17361111111</v>
      </c>
      <c r="G2020" s="11" t="n">
        <v>-1.57</v>
      </c>
      <c r="H2020" s="11">
        <f>H2019+G2020</f>
        <v/>
      </c>
    </row>
    <row r="2021">
      <c r="A2021" s="9" t="n">
        <v>2017</v>
      </c>
      <c r="B2021" s="9" t="inlineStr">
        <is>
          <t>Aurelius_M5</t>
        </is>
      </c>
      <c r="C2021" s="9" t="inlineStr">
        <is>
          <t>MA alignment (EMA21&gt;EMA50&gt;SMA250&gt;SMMA500 vs EMA2400 trend filter)</t>
        </is>
      </c>
      <c r="D2021" s="9" t="inlineStr">
        <is>
          <t>Long</t>
        </is>
      </c>
      <c r="E2021" s="10" t="n">
        <v>45287.12152777778</v>
      </c>
      <c r="F2021" s="10" t="n">
        <v>45287.21180555555</v>
      </c>
      <c r="G2021" s="11" t="n">
        <v>-0.91</v>
      </c>
      <c r="H2021" s="11">
        <f>H2020+G2021</f>
        <v/>
      </c>
    </row>
    <row r="2022">
      <c r="A2022" s="9" t="n">
        <v>2018</v>
      </c>
      <c r="B2022" s="9" t="inlineStr">
        <is>
          <t>Meridian</t>
        </is>
      </c>
      <c r="C2022" s="9" t="inlineStr">
        <is>
          <t>21/50 MA cross, 250-period confirm filter, VWAP</t>
        </is>
      </c>
      <c r="D2022" s="9" t="inlineStr">
        <is>
          <t>Long</t>
        </is>
      </c>
      <c r="E2022" s="10" t="n">
        <v>45287.30902777778</v>
      </c>
      <c r="F2022" s="10" t="n">
        <v>45287.3125</v>
      </c>
      <c r="G2022" s="11" t="n">
        <v>-1.33</v>
      </c>
      <c r="H2022" s="11">
        <f>H2021+G2022</f>
        <v/>
      </c>
    </row>
    <row r="2023">
      <c r="A2023" s="9" t="n">
        <v>2019</v>
      </c>
      <c r="B2023" s="9" t="inlineStr">
        <is>
          <t>Meridian</t>
        </is>
      </c>
      <c r="C2023" s="9" t="inlineStr">
        <is>
          <t>21/50 MA cross, 250-period confirm filter, VWAP</t>
        </is>
      </c>
      <c r="D2023" s="9" t="inlineStr">
        <is>
          <t>Long</t>
        </is>
      </c>
      <c r="E2023" s="10" t="n">
        <v>45287.35416666666</v>
      </c>
      <c r="F2023" s="10" t="n">
        <v>45287.36458333334</v>
      </c>
      <c r="G2023" s="11" t="n">
        <v>-1.66</v>
      </c>
      <c r="H2023" s="11">
        <f>H2022+G2023</f>
        <v/>
      </c>
    </row>
    <row r="2024">
      <c r="A2024" s="9" t="n">
        <v>2020</v>
      </c>
      <c r="B2024" s="9" t="inlineStr">
        <is>
          <t>Ratchet</t>
        </is>
      </c>
      <c r="C2024" s="9" t="inlineStr">
        <is>
          <t>Stochastic scalp with give-back trail exit</t>
        </is>
      </c>
      <c r="D2024" s="9" t="inlineStr">
        <is>
          <t>Long</t>
        </is>
      </c>
      <c r="E2024" s="10" t="n">
        <v>45287.35416666666</v>
      </c>
      <c r="F2024" s="10" t="n">
        <v>45287.36458333334</v>
      </c>
      <c r="G2024" s="11" t="n">
        <v>-1.23</v>
      </c>
      <c r="H2024" s="11">
        <f>H2023+G2024</f>
        <v/>
      </c>
    </row>
    <row r="2025">
      <c r="A2025" s="9" t="n">
        <v>2021</v>
      </c>
      <c r="B2025" s="9" t="inlineStr">
        <is>
          <t>Ratchet</t>
        </is>
      </c>
      <c r="C2025" s="9" t="inlineStr">
        <is>
          <t>Stochastic scalp with give-back trail exit</t>
        </is>
      </c>
      <c r="D2025" s="9" t="inlineStr">
        <is>
          <t>Long</t>
        </is>
      </c>
      <c r="E2025" s="10" t="n">
        <v>45287.36805555555</v>
      </c>
      <c r="F2025" s="10" t="n">
        <v>45287.38194444445</v>
      </c>
      <c r="G2025" s="11" t="n">
        <v>-1.38</v>
      </c>
      <c r="H2025" s="11">
        <f>H2024+G2025</f>
        <v/>
      </c>
    </row>
    <row r="2026">
      <c r="A2026" s="9" t="n">
        <v>2022</v>
      </c>
      <c r="B2026" s="9" t="inlineStr">
        <is>
          <t>Aurelius_M5</t>
        </is>
      </c>
      <c r="C2026" s="9" t="inlineStr">
        <is>
          <t>MA alignment (EMA21&gt;EMA50&gt;SMA250&gt;SMMA500 vs EMA2400 trend filter)</t>
        </is>
      </c>
      <c r="D2026" s="9" t="inlineStr">
        <is>
          <t>Long</t>
        </is>
      </c>
      <c r="E2026" s="10" t="n">
        <v>45287.43402777778</v>
      </c>
      <c r="F2026" s="10" t="n">
        <v>45287.51736111111</v>
      </c>
      <c r="G2026" s="11" t="n">
        <v>-2.35</v>
      </c>
      <c r="H2026" s="11">
        <f>H2025+G2026</f>
        <v/>
      </c>
    </row>
    <row r="2027">
      <c r="A2027" s="9" t="n">
        <v>2023</v>
      </c>
      <c r="B2027" s="9" t="inlineStr">
        <is>
          <t>Vanguard_M5</t>
        </is>
      </c>
      <c r="C2027" s="9" t="inlineStr">
        <is>
          <t>Trendline breakout (fractal swing line) + VWAP/S-R distance gate</t>
        </is>
      </c>
      <c r="D2027" s="9" t="inlineStr">
        <is>
          <t>Long</t>
        </is>
      </c>
      <c r="E2027" s="10" t="n">
        <v>45281.64930555555</v>
      </c>
      <c r="F2027" s="10" t="n">
        <v>45287.52083333334</v>
      </c>
      <c r="G2027" s="11" t="n">
        <v>22.82</v>
      </c>
      <c r="H2027" s="11">
        <f>H2026+G2027</f>
        <v/>
      </c>
    </row>
    <row r="2028">
      <c r="A2028" s="9" t="n">
        <v>2024</v>
      </c>
      <c r="B2028" s="9" t="inlineStr">
        <is>
          <t>Aurelius_M15</t>
        </is>
      </c>
      <c r="C2028" s="9" t="inlineStr">
        <is>
          <t>MA alignment (EMA21&gt;EMA50&gt;SMA250&gt;SMMA500 vs EMA2400 trend filter) - M15 chart</t>
        </is>
      </c>
      <c r="D2028" s="9" t="inlineStr">
        <is>
          <t>Long</t>
        </is>
      </c>
      <c r="E2028" s="10" t="n">
        <v>45287.42708333334</v>
      </c>
      <c r="F2028" s="10" t="n">
        <v>45287.52083333334</v>
      </c>
      <c r="G2028" s="11" t="n">
        <v>-3.3</v>
      </c>
      <c r="H2028" s="11">
        <f>H2027+G2028</f>
        <v/>
      </c>
    </row>
    <row r="2029">
      <c r="A2029" s="9" t="n">
        <v>2025</v>
      </c>
      <c r="B2029" s="9" t="inlineStr">
        <is>
          <t>Meridian</t>
        </is>
      </c>
      <c r="C2029" s="9" t="inlineStr">
        <is>
          <t>21/50 MA cross, 250-period confirm filter, VWAP</t>
        </is>
      </c>
      <c r="D2029" s="9" t="inlineStr">
        <is>
          <t>Short</t>
        </is>
      </c>
      <c r="E2029" s="10" t="n">
        <v>45287.52777777778</v>
      </c>
      <c r="F2029" s="10" t="n">
        <v>45287.54861111111</v>
      </c>
      <c r="G2029" s="11" t="n">
        <v>-2.36</v>
      </c>
      <c r="H2029" s="11">
        <f>H2028+G2029</f>
        <v/>
      </c>
    </row>
    <row r="2030">
      <c r="A2030" s="9" t="n">
        <v>2026</v>
      </c>
      <c r="B2030" s="9" t="inlineStr">
        <is>
          <t>Vanguard_M5</t>
        </is>
      </c>
      <c r="C2030" s="9" t="inlineStr">
        <is>
          <t>Trendline breakout (fractal swing line) + VWAP/S-R distance gate</t>
        </is>
      </c>
      <c r="D2030" s="9" t="inlineStr">
        <is>
          <t>Short</t>
        </is>
      </c>
      <c r="E2030" s="10" t="n">
        <v>45287.52430555555</v>
      </c>
      <c r="F2030" s="10" t="n">
        <v>45287.55208333334</v>
      </c>
      <c r="G2030" s="11" t="n">
        <v>-3.8</v>
      </c>
      <c r="H2030" s="11">
        <f>H2029+G2030</f>
        <v/>
      </c>
    </row>
    <row r="2031">
      <c r="A2031" s="9" t="n">
        <v>2027</v>
      </c>
      <c r="B2031" s="9" t="inlineStr">
        <is>
          <t>Ratchet</t>
        </is>
      </c>
      <c r="C2031" s="9" t="inlineStr">
        <is>
          <t>Stochastic scalp with give-back trail exit</t>
        </is>
      </c>
      <c r="D2031" s="9" t="inlineStr">
        <is>
          <t>Long</t>
        </is>
      </c>
      <c r="E2031" s="10" t="n">
        <v>45287.58680555555</v>
      </c>
      <c r="F2031" s="10" t="n">
        <v>45287.61458333334</v>
      </c>
      <c r="G2031" s="11" t="n">
        <v>0.41</v>
      </c>
      <c r="H2031" s="11">
        <f>H2030+G2031</f>
        <v/>
      </c>
    </row>
    <row r="2032">
      <c r="A2032" s="9" t="n">
        <v>2028</v>
      </c>
      <c r="B2032" s="9" t="inlineStr">
        <is>
          <t>Meridian</t>
        </is>
      </c>
      <c r="C2032" s="9" t="inlineStr">
        <is>
          <t>21/50 MA cross, 250-period confirm filter, VWAP</t>
        </is>
      </c>
      <c r="D2032" s="9" t="inlineStr">
        <is>
          <t>Long</t>
        </is>
      </c>
      <c r="E2032" s="10" t="n">
        <v>45287.57638888889</v>
      </c>
      <c r="F2032" s="10" t="n">
        <v>45287.61805555555</v>
      </c>
      <c r="G2032" s="11" t="n">
        <v>-2.18</v>
      </c>
      <c r="H2032" s="11">
        <f>H2031+G2032</f>
        <v/>
      </c>
    </row>
    <row r="2033">
      <c r="A2033" s="9" t="n">
        <v>2029</v>
      </c>
      <c r="B2033" s="9" t="inlineStr">
        <is>
          <t>Ratchet</t>
        </is>
      </c>
      <c r="C2033" s="9" t="inlineStr">
        <is>
          <t>Stochastic scalp with give-back trail exit</t>
        </is>
      </c>
      <c r="D2033" s="9" t="inlineStr">
        <is>
          <t>Long</t>
        </is>
      </c>
      <c r="E2033" s="10" t="n">
        <v>45287.67361111111</v>
      </c>
      <c r="F2033" s="10" t="n">
        <v>45287.69097222222</v>
      </c>
      <c r="G2033" s="11" t="n">
        <v>0.46</v>
      </c>
      <c r="H2033" s="11">
        <f>H2032+G2033</f>
        <v/>
      </c>
    </row>
    <row r="2034">
      <c r="A2034" s="9" t="n">
        <v>2030</v>
      </c>
      <c r="B2034" s="9" t="inlineStr">
        <is>
          <t>Aurelius_M5</t>
        </is>
      </c>
      <c r="C2034" s="9" t="inlineStr">
        <is>
          <t>MA alignment (EMA21&gt;EMA50&gt;SMA250&gt;SMMA500 vs EMA2400 trend filter)</t>
        </is>
      </c>
      <c r="D2034" s="9" t="inlineStr">
        <is>
          <t>Long</t>
        </is>
      </c>
      <c r="E2034" s="10" t="n">
        <v>45287.625</v>
      </c>
      <c r="F2034" s="10" t="n">
        <v>45287.88194444445</v>
      </c>
      <c r="G2034" s="11" t="n">
        <v>8.94</v>
      </c>
      <c r="H2034" s="11">
        <f>H2033+G2034</f>
        <v/>
      </c>
    </row>
    <row r="2035">
      <c r="A2035" s="9" t="n">
        <v>2031</v>
      </c>
      <c r="B2035" s="9" t="inlineStr">
        <is>
          <t>Ratchet</t>
        </is>
      </c>
      <c r="C2035" s="9" t="inlineStr">
        <is>
          <t>Stochastic scalp with give-back trail exit</t>
        </is>
      </c>
      <c r="D2035" s="9" t="inlineStr">
        <is>
          <t>Long</t>
        </is>
      </c>
      <c r="E2035" s="10" t="n">
        <v>45287.70486111111</v>
      </c>
      <c r="F2035" s="10" t="n">
        <v>45287.98263888889</v>
      </c>
      <c r="G2035" s="11" t="n">
        <v>6.73</v>
      </c>
      <c r="H2035" s="11">
        <f>H2034+G2035</f>
        <v/>
      </c>
    </row>
    <row r="2036">
      <c r="A2036" s="9" t="n">
        <v>2032</v>
      </c>
      <c r="B2036" s="9" t="inlineStr">
        <is>
          <t>Aurelius_M5</t>
        </is>
      </c>
      <c r="C2036" s="9" t="inlineStr">
        <is>
          <t>MA alignment (EMA21&gt;EMA50&gt;SMA250&gt;SMMA500 vs EMA2400 trend filter)</t>
        </is>
      </c>
      <c r="D2036" s="9" t="inlineStr">
        <is>
          <t>Long</t>
        </is>
      </c>
      <c r="E2036" s="10" t="n">
        <v>45288.33680555555</v>
      </c>
      <c r="F2036" s="10" t="n">
        <v>45288.35416666666</v>
      </c>
      <c r="G2036" s="11" t="n">
        <v>-2.22</v>
      </c>
      <c r="H2036" s="11">
        <f>H2035+G2036</f>
        <v/>
      </c>
    </row>
    <row r="2037">
      <c r="A2037" s="9" t="n">
        <v>2033</v>
      </c>
      <c r="B2037" s="9" t="inlineStr">
        <is>
          <t>Ratchet</t>
        </is>
      </c>
      <c r="C2037" s="9" t="inlineStr">
        <is>
          <t>Stochastic scalp with give-back trail exit</t>
        </is>
      </c>
      <c r="D2037" s="9" t="inlineStr">
        <is>
          <t>Long</t>
        </is>
      </c>
      <c r="E2037" s="10" t="n">
        <v>45288.13194444445</v>
      </c>
      <c r="F2037" s="10" t="n">
        <v>45288.40972222222</v>
      </c>
      <c r="G2037" s="11" t="n">
        <v>3.37</v>
      </c>
      <c r="H2037" s="11">
        <f>H2036+G2037</f>
        <v/>
      </c>
    </row>
    <row r="2038">
      <c r="A2038" s="9" t="n">
        <v>2034</v>
      </c>
      <c r="B2038" s="9" t="inlineStr">
        <is>
          <t>Meridian</t>
        </is>
      </c>
      <c r="C2038" s="9" t="inlineStr">
        <is>
          <t>21/50 MA cross, 250-period confirm filter, VWAP</t>
        </is>
      </c>
      <c r="D2038" s="9" t="inlineStr">
        <is>
          <t>Long</t>
        </is>
      </c>
      <c r="E2038" s="10" t="n">
        <v>45288.05208333334</v>
      </c>
      <c r="F2038" s="10" t="n">
        <v>45288.42361111111</v>
      </c>
      <c r="G2038" s="11" t="n">
        <v>5.13</v>
      </c>
      <c r="H2038" s="11">
        <f>H2037+G2038</f>
        <v/>
      </c>
    </row>
    <row r="2039">
      <c r="A2039" s="9" t="n">
        <v>2035</v>
      </c>
      <c r="B2039" s="9" t="inlineStr">
        <is>
          <t>Aurelius_M15</t>
        </is>
      </c>
      <c r="C2039" s="9" t="inlineStr">
        <is>
          <t>MA alignment (EMA21&gt;EMA50&gt;SMA250&gt;SMMA500 vs EMA2400 trend filter) - M15 chart</t>
        </is>
      </c>
      <c r="D2039" s="9" t="inlineStr">
        <is>
          <t>Long</t>
        </is>
      </c>
      <c r="E2039" s="10" t="n">
        <v>45287.625</v>
      </c>
      <c r="F2039" s="10" t="n">
        <v>45288.5</v>
      </c>
      <c r="G2039" s="11" t="n">
        <v>9.16</v>
      </c>
      <c r="H2039" s="11">
        <f>H2038+G2039</f>
        <v/>
      </c>
    </row>
    <row r="2040">
      <c r="A2040" s="9" t="n">
        <v>2036</v>
      </c>
      <c r="B2040" s="9" t="inlineStr">
        <is>
          <t>Vanguard_M15</t>
        </is>
      </c>
      <c r="C2040" s="9" t="inlineStr">
        <is>
          <t>Trendline breakout (fractal swing line) + VWAP/S-R distance gate - M15 chart</t>
        </is>
      </c>
      <c r="D2040" s="9" t="inlineStr">
        <is>
          <t>Long</t>
        </is>
      </c>
      <c r="E2040" s="10" t="n">
        <v>45281.65625</v>
      </c>
      <c r="F2040" s="10" t="n">
        <v>45288.85416666666</v>
      </c>
      <c r="G2040" s="11" t="n">
        <v>29.13</v>
      </c>
      <c r="H2040" s="11">
        <f>H2039+G2040</f>
        <v/>
      </c>
    </row>
    <row r="2041">
      <c r="A2041" s="9" t="n">
        <v>2037</v>
      </c>
      <c r="B2041" s="9" t="inlineStr">
        <is>
          <t>Meridian</t>
        </is>
      </c>
      <c r="C2041" s="9" t="inlineStr">
        <is>
          <t>21/50 MA cross, 250-period confirm filter, VWAP</t>
        </is>
      </c>
      <c r="D2041" s="9" t="inlineStr">
        <is>
          <t>Short</t>
        </is>
      </c>
      <c r="E2041" s="10" t="n">
        <v>45288.76388888889</v>
      </c>
      <c r="F2041" s="10" t="n">
        <v>45289.15625</v>
      </c>
      <c r="G2041" s="11" t="n">
        <v>4.15</v>
      </c>
      <c r="H2041" s="11">
        <f>H2040+G2041</f>
        <v/>
      </c>
    </row>
    <row r="2042">
      <c r="A2042" s="9" t="n">
        <v>2038</v>
      </c>
      <c r="B2042" s="9" t="inlineStr">
        <is>
          <t>Meridian</t>
        </is>
      </c>
      <c r="C2042" s="9" t="inlineStr">
        <is>
          <t>21/50 MA cross, 250-period confirm filter, VWAP</t>
        </is>
      </c>
      <c r="D2042" s="9" t="inlineStr">
        <is>
          <t>Short</t>
        </is>
      </c>
      <c r="E2042" s="10" t="n">
        <v>45289.46180555555</v>
      </c>
      <c r="F2042" s="10" t="n">
        <v>45289.76736111111</v>
      </c>
      <c r="G2042" s="11" t="n">
        <v>2.34</v>
      </c>
      <c r="H2042" s="11">
        <f>H2041+G2042</f>
        <v/>
      </c>
    </row>
    <row r="2043">
      <c r="A2043" s="9" t="n">
        <v>2039</v>
      </c>
      <c r="B2043" s="9" t="inlineStr">
        <is>
          <t>Meridian</t>
        </is>
      </c>
      <c r="C2043" s="9" t="inlineStr">
        <is>
          <t>21/50 MA cross, 250-period confirm filter, VWAP</t>
        </is>
      </c>
      <c r="D2043" s="9" t="inlineStr">
        <is>
          <t>Short</t>
        </is>
      </c>
      <c r="E2043" s="10" t="n">
        <v>45289.77777777778</v>
      </c>
      <c r="F2043" s="10" t="n">
        <v>45289.78472222222</v>
      </c>
      <c r="G2043" s="11" t="n">
        <v>-2.05</v>
      </c>
      <c r="H2043" s="11">
        <f>H2042+G2043</f>
        <v/>
      </c>
    </row>
    <row r="2044">
      <c r="A2044" s="9" t="n">
        <v>2040</v>
      </c>
      <c r="B2044" s="9" t="inlineStr">
        <is>
          <t>Meridian</t>
        </is>
      </c>
      <c r="C2044" s="9" t="inlineStr">
        <is>
          <t>21/50 MA cross, 250-period confirm filter, VWAP</t>
        </is>
      </c>
      <c r="D2044" s="9" t="inlineStr">
        <is>
          <t>Short</t>
        </is>
      </c>
      <c r="E2044" s="10" t="n">
        <v>45289.85416666666</v>
      </c>
      <c r="F2044" s="10" t="n">
        <v>45289.89583333334</v>
      </c>
      <c r="G2044" s="11" t="n">
        <v>-4.39</v>
      </c>
      <c r="H2044" s="11">
        <f>H2043+G2044</f>
        <v/>
      </c>
    </row>
    <row r="2045">
      <c r="A2045" s="9" t="n">
        <v>2041</v>
      </c>
      <c r="B2045" s="9" t="inlineStr">
        <is>
          <t>Vanguard_M5</t>
        </is>
      </c>
      <c r="C2045" s="9" t="inlineStr">
        <is>
          <t>Trendline breakout (fractal swing line) + VWAP/S-R distance gate</t>
        </is>
      </c>
      <c r="D2045" s="9" t="inlineStr">
        <is>
          <t>Short</t>
        </is>
      </c>
      <c r="E2045" s="10" t="n">
        <v>45288.86111111111</v>
      </c>
      <c r="F2045" s="10" t="n">
        <v>45293.125</v>
      </c>
      <c r="G2045" s="11" t="n">
        <v>5.75</v>
      </c>
      <c r="H2045" s="11">
        <f>H2044+G2045</f>
        <v/>
      </c>
    </row>
    <row r="2046">
      <c r="A2046" s="9" t="n">
        <v>2042</v>
      </c>
      <c r="B2046" s="9" t="inlineStr">
        <is>
          <t>Vanguard_M15</t>
        </is>
      </c>
      <c r="C2046" s="9" t="inlineStr">
        <is>
          <t>Trendline breakout (fractal swing line) + VWAP/S-R distance gate - M15 chart</t>
        </is>
      </c>
      <c r="D2046" s="9" t="inlineStr">
        <is>
          <t>Short</t>
        </is>
      </c>
      <c r="E2046" s="10" t="n">
        <v>45288.86458333334</v>
      </c>
      <c r="F2046" s="10" t="n">
        <v>45293.125</v>
      </c>
      <c r="G2046" s="11" t="n">
        <v>3.13</v>
      </c>
      <c r="H2046" s="11">
        <f>H2045+G2046</f>
        <v/>
      </c>
    </row>
    <row r="2047">
      <c r="A2047" s="9" t="n">
        <v>2043</v>
      </c>
      <c r="B2047" s="9" t="inlineStr">
        <is>
          <t>Meridian</t>
        </is>
      </c>
      <c r="C2047" s="9" t="inlineStr">
        <is>
          <t>21/50 MA cross, 250-period confirm filter, VWAP</t>
        </is>
      </c>
      <c r="D2047" s="9" t="inlineStr">
        <is>
          <t>Long</t>
        </is>
      </c>
      <c r="E2047" s="10" t="n">
        <v>45293.12847222222</v>
      </c>
      <c r="F2047" s="10" t="n">
        <v>45293.17013888889</v>
      </c>
      <c r="G2047" s="11" t="n">
        <v>-2.67</v>
      </c>
      <c r="H2047" s="11">
        <f>H2046+G2047</f>
        <v/>
      </c>
    </row>
    <row r="2048">
      <c r="A2048" s="9" t="n">
        <v>2044</v>
      </c>
      <c r="B2048" s="9" t="inlineStr">
        <is>
          <t>Ratchet</t>
        </is>
      </c>
      <c r="C2048" s="9" t="inlineStr">
        <is>
          <t>Stochastic scalp with give-back trail exit</t>
        </is>
      </c>
      <c r="D2048" s="9" t="inlineStr">
        <is>
          <t>Long</t>
        </is>
      </c>
      <c r="E2048" s="10" t="n">
        <v>45293.50694444445</v>
      </c>
      <c r="F2048" s="10" t="n">
        <v>45293.50694444445</v>
      </c>
      <c r="G2048" s="11" t="n">
        <v>-2.3</v>
      </c>
      <c r="H2048" s="11">
        <f>H2047+G2048</f>
        <v/>
      </c>
    </row>
    <row r="2049">
      <c r="A2049" s="9" t="n">
        <v>2045</v>
      </c>
      <c r="B2049" s="9" t="inlineStr">
        <is>
          <t>Aurelius_M5</t>
        </is>
      </c>
      <c r="C2049" s="9" t="inlineStr">
        <is>
          <t>MA alignment (EMA21&gt;EMA50&gt;SMA250&gt;SMMA500 vs EMA2400 trend filter)</t>
        </is>
      </c>
      <c r="D2049" s="9" t="inlineStr">
        <is>
          <t>Long</t>
        </is>
      </c>
      <c r="E2049" s="10" t="n">
        <v>45293.55902777778</v>
      </c>
      <c r="F2049" s="10" t="n">
        <v>45293.5625</v>
      </c>
      <c r="G2049" s="11" t="n">
        <v>-3.32</v>
      </c>
      <c r="H2049" s="11">
        <f>H2048+G2049</f>
        <v/>
      </c>
    </row>
    <row r="2050">
      <c r="A2050" s="9" t="n">
        <v>2046</v>
      </c>
      <c r="B2050" s="9" t="inlineStr">
        <is>
          <t>Vanguard_M15</t>
        </is>
      </c>
      <c r="C2050" s="9" t="inlineStr">
        <is>
          <t>Trendline breakout (fractal swing line) + VWAP/S-R distance gate - M15 chart</t>
        </is>
      </c>
      <c r="D2050" s="9" t="inlineStr">
        <is>
          <t>Long</t>
        </is>
      </c>
      <c r="E2050" s="10" t="n">
        <v>45293.13541666666</v>
      </c>
      <c r="F2050" s="10" t="n">
        <v>45293.6875</v>
      </c>
      <c r="G2050" s="11" t="n">
        <v>-6.07</v>
      </c>
      <c r="H2050" s="11">
        <f>H2049+G2050</f>
        <v/>
      </c>
    </row>
    <row r="2051">
      <c r="A2051" s="9" t="n">
        <v>2047</v>
      </c>
      <c r="B2051" s="9" t="inlineStr">
        <is>
          <t>Vanguard_M5</t>
        </is>
      </c>
      <c r="C2051" s="9" t="inlineStr">
        <is>
          <t>Trendline breakout (fractal swing line) + VWAP/S-R distance gate</t>
        </is>
      </c>
      <c r="D2051" s="9" t="inlineStr">
        <is>
          <t>Long</t>
        </is>
      </c>
      <c r="E2051" s="10" t="n">
        <v>45293.12847222222</v>
      </c>
      <c r="F2051" s="10" t="n">
        <v>45293.69444444445</v>
      </c>
      <c r="G2051" s="11" t="n">
        <v>-4.28</v>
      </c>
      <c r="H2051" s="11">
        <f>H2050+G2051</f>
        <v/>
      </c>
    </row>
    <row r="2052">
      <c r="A2052" s="9" t="n">
        <v>2048</v>
      </c>
      <c r="B2052" s="9" t="inlineStr">
        <is>
          <t>Meridian</t>
        </is>
      </c>
      <c r="C2052" s="9" t="inlineStr">
        <is>
          <t>21/50 MA cross, 250-period confirm filter, VWAP</t>
        </is>
      </c>
      <c r="D2052" s="9" t="inlineStr">
        <is>
          <t>Short</t>
        </is>
      </c>
      <c r="E2052" s="10" t="n">
        <v>45294.38888888889</v>
      </c>
      <c r="F2052" s="10" t="n">
        <v>45294.40625</v>
      </c>
      <c r="G2052" s="11" t="n">
        <v>-2.31</v>
      </c>
      <c r="H2052" s="11">
        <f>H2051+G2052</f>
        <v/>
      </c>
    </row>
    <row r="2053">
      <c r="A2053" s="9" t="n">
        <v>2049</v>
      </c>
      <c r="B2053" s="9" t="inlineStr">
        <is>
          <t>Ratchet</t>
        </is>
      </c>
      <c r="C2053" s="9" t="inlineStr">
        <is>
          <t>Stochastic scalp with give-back trail exit</t>
        </is>
      </c>
      <c r="D2053" s="9" t="inlineStr">
        <is>
          <t>Short</t>
        </is>
      </c>
      <c r="E2053" s="10" t="n">
        <v>45294.61805555555</v>
      </c>
      <c r="F2053" s="10" t="n">
        <v>45294.64930555555</v>
      </c>
      <c r="G2053" s="11" t="n">
        <v>0.82</v>
      </c>
      <c r="H2053" s="11">
        <f>H2052+G2053</f>
        <v/>
      </c>
    </row>
    <row r="2054">
      <c r="A2054" s="9" t="n">
        <v>2050</v>
      </c>
      <c r="B2054" s="9" t="inlineStr">
        <is>
          <t>Ratchet</t>
        </is>
      </c>
      <c r="C2054" s="9" t="inlineStr">
        <is>
          <t>Stochastic scalp with give-back trail exit</t>
        </is>
      </c>
      <c r="D2054" s="9" t="inlineStr">
        <is>
          <t>Short</t>
        </is>
      </c>
      <c r="E2054" s="10" t="n">
        <v>45294.70833333334</v>
      </c>
      <c r="F2054" s="10" t="n">
        <v>45294.70833333334</v>
      </c>
      <c r="G2054" s="11" t="n">
        <v>-4</v>
      </c>
      <c r="H2054" s="11">
        <f>H2053+G2054</f>
        <v/>
      </c>
    </row>
    <row r="2055">
      <c r="A2055" s="9" t="n">
        <v>2051</v>
      </c>
      <c r="B2055" s="9" t="inlineStr">
        <is>
          <t>Ratchet</t>
        </is>
      </c>
      <c r="C2055" s="9" t="inlineStr">
        <is>
          <t>Stochastic scalp with give-back trail exit</t>
        </is>
      </c>
      <c r="D2055" s="9" t="inlineStr">
        <is>
          <t>Short</t>
        </is>
      </c>
      <c r="E2055" s="10" t="n">
        <v>45294.76736111111</v>
      </c>
      <c r="F2055" s="10" t="n">
        <v>45294.80208333334</v>
      </c>
      <c r="G2055" s="11" t="n">
        <v>0.73</v>
      </c>
      <c r="H2055" s="11">
        <f>H2054+G2055</f>
        <v/>
      </c>
    </row>
    <row r="2056">
      <c r="A2056" s="9" t="n">
        <v>2052</v>
      </c>
      <c r="B2056" s="9" t="inlineStr">
        <is>
          <t>Vanguard_M5</t>
        </is>
      </c>
      <c r="C2056" s="9" t="inlineStr">
        <is>
          <t>Trendline breakout (fractal swing line) + VWAP/S-R distance gate</t>
        </is>
      </c>
      <c r="D2056" s="9" t="inlineStr">
        <is>
          <t>Long</t>
        </is>
      </c>
      <c r="E2056" s="10" t="n">
        <v>45295.40277777778</v>
      </c>
      <c r="F2056" s="10" t="n">
        <v>45295.58333333334</v>
      </c>
      <c r="G2056" s="11" t="n">
        <v>-4.55</v>
      </c>
      <c r="H2056" s="11">
        <f>H2055+G2056</f>
        <v/>
      </c>
    </row>
    <row r="2057">
      <c r="A2057" s="9" t="n">
        <v>2053</v>
      </c>
      <c r="B2057" s="9" t="inlineStr">
        <is>
          <t>Vanguard_M15</t>
        </is>
      </c>
      <c r="C2057" s="9" t="inlineStr">
        <is>
          <t>Trendline breakout (fractal swing line) + VWAP/S-R distance gate - M15 chart</t>
        </is>
      </c>
      <c r="D2057" s="9" t="inlineStr">
        <is>
          <t>Long</t>
        </is>
      </c>
      <c r="E2057" s="10" t="n">
        <v>45295.40625</v>
      </c>
      <c r="F2057" s="10" t="n">
        <v>45295.58333333334</v>
      </c>
      <c r="G2057" s="11" t="n">
        <v>-5.64</v>
      </c>
      <c r="H2057" s="11">
        <f>H2056+G2057</f>
        <v/>
      </c>
    </row>
    <row r="2058">
      <c r="A2058" s="9" t="n">
        <v>2054</v>
      </c>
      <c r="B2058" s="9" t="inlineStr">
        <is>
          <t>Vanguard_M5</t>
        </is>
      </c>
      <c r="C2058" s="9" t="inlineStr">
        <is>
          <t>Trendline breakout (fractal swing line) + VWAP/S-R distance gate</t>
        </is>
      </c>
      <c r="D2058" s="9" t="inlineStr">
        <is>
          <t>Long</t>
        </is>
      </c>
      <c r="E2058" s="10" t="n">
        <v>45295.60763888889</v>
      </c>
      <c r="F2058" s="10" t="n">
        <v>45295.64583333334</v>
      </c>
      <c r="G2058" s="11" t="n">
        <v>-4.41</v>
      </c>
      <c r="H2058" s="11">
        <f>H2057+G2058</f>
        <v/>
      </c>
    </row>
    <row r="2059">
      <c r="A2059" s="9" t="n">
        <v>2055</v>
      </c>
      <c r="B2059" s="9" t="inlineStr">
        <is>
          <t>Vanguard_M15</t>
        </is>
      </c>
      <c r="C2059" s="9" t="inlineStr">
        <is>
          <t>Trendline breakout (fractal swing line) + VWAP/S-R distance gate - M15 chart</t>
        </is>
      </c>
      <c r="D2059" s="9" t="inlineStr">
        <is>
          <t>Long</t>
        </is>
      </c>
      <c r="E2059" s="10" t="n">
        <v>45295.61458333334</v>
      </c>
      <c r="F2059" s="10" t="n">
        <v>45295.64583333334</v>
      </c>
      <c r="G2059" s="11" t="n">
        <v>-5.9</v>
      </c>
      <c r="H2059" s="11">
        <f>H2058+G2059</f>
        <v/>
      </c>
    </row>
    <row r="2060">
      <c r="A2060" s="9" t="n">
        <v>2056</v>
      </c>
      <c r="B2060" s="9" t="inlineStr">
        <is>
          <t>Aurelius_M15</t>
        </is>
      </c>
      <c r="C2060" s="9" t="inlineStr">
        <is>
          <t>MA alignment (EMA21&gt;EMA50&gt;SMA250&gt;SMMA500 vs EMA2400 trend filter) - M15 chart</t>
        </is>
      </c>
      <c r="D2060" s="9" t="inlineStr">
        <is>
          <t>Short</t>
        </is>
      </c>
      <c r="E2060" s="10" t="n">
        <v>45295.70833333334</v>
      </c>
      <c r="F2060" s="10" t="n">
        <v>45295.71875</v>
      </c>
      <c r="G2060" s="11" t="n">
        <v>-6.31</v>
      </c>
      <c r="H2060" s="11">
        <f>H2059+G2060</f>
        <v/>
      </c>
    </row>
    <row r="2061">
      <c r="A2061" s="9" t="n">
        <v>2057</v>
      </c>
      <c r="B2061" s="9" t="inlineStr">
        <is>
          <t>Meridian</t>
        </is>
      </c>
      <c r="C2061" s="9" t="inlineStr">
        <is>
          <t>21/50 MA cross, 250-period confirm filter, VWAP</t>
        </is>
      </c>
      <c r="D2061" s="9" t="inlineStr">
        <is>
          <t>Long</t>
        </is>
      </c>
      <c r="E2061" s="10" t="n">
        <v>45295.76041666666</v>
      </c>
      <c r="F2061" s="10" t="n">
        <v>45295.8125</v>
      </c>
      <c r="G2061" s="11" t="n">
        <v>-3.5</v>
      </c>
      <c r="H2061" s="11">
        <f>H2060+G2061</f>
        <v/>
      </c>
    </row>
    <row r="2062">
      <c r="A2062" s="9" t="n">
        <v>2058</v>
      </c>
      <c r="B2062" s="9" t="inlineStr">
        <is>
          <t>Meridian</t>
        </is>
      </c>
      <c r="C2062" s="9" t="inlineStr">
        <is>
          <t>21/50 MA cross, 250-period confirm filter, VWAP</t>
        </is>
      </c>
      <c r="D2062" s="9" t="inlineStr">
        <is>
          <t>Long</t>
        </is>
      </c>
      <c r="E2062" s="10" t="n">
        <v>45295.92013888889</v>
      </c>
      <c r="F2062" s="10" t="n">
        <v>45295.98958333334</v>
      </c>
      <c r="G2062" s="11" t="n">
        <v>-1.41</v>
      </c>
      <c r="H2062" s="11">
        <f>H2061+G2062</f>
        <v/>
      </c>
    </row>
    <row r="2063">
      <c r="A2063" s="9" t="n">
        <v>2059</v>
      </c>
      <c r="B2063" s="9" t="inlineStr">
        <is>
          <t>Ratchet</t>
        </is>
      </c>
      <c r="C2063" s="9" t="inlineStr">
        <is>
          <t>Stochastic scalp with give-back trail exit</t>
        </is>
      </c>
      <c r="D2063" s="9" t="inlineStr">
        <is>
          <t>Short</t>
        </is>
      </c>
      <c r="E2063" s="10" t="n">
        <v>45296.0625</v>
      </c>
      <c r="F2063" s="10" t="n">
        <v>45296.06597222222</v>
      </c>
      <c r="G2063" s="11" t="n">
        <v>-0.9399999999999999</v>
      </c>
      <c r="H2063" s="11">
        <f>H2062+G2063</f>
        <v/>
      </c>
    </row>
    <row r="2064">
      <c r="A2064" s="9" t="n">
        <v>2060</v>
      </c>
      <c r="B2064" s="9" t="inlineStr">
        <is>
          <t>Meridian</t>
        </is>
      </c>
      <c r="C2064" s="9" t="inlineStr">
        <is>
          <t>21/50 MA cross, 250-period confirm filter, VWAP</t>
        </is>
      </c>
      <c r="D2064" s="9" t="inlineStr">
        <is>
          <t>Short</t>
        </is>
      </c>
      <c r="E2064" s="10" t="n">
        <v>45296.05902777778</v>
      </c>
      <c r="F2064" s="10" t="n">
        <v>45296.07986111111</v>
      </c>
      <c r="G2064" s="11" t="n">
        <v>-1.56</v>
      </c>
      <c r="H2064" s="11">
        <f>H2063+G2064</f>
        <v/>
      </c>
    </row>
    <row r="2065">
      <c r="A2065" s="9" t="n">
        <v>2061</v>
      </c>
      <c r="B2065" s="9" t="inlineStr">
        <is>
          <t>Ratchet</t>
        </is>
      </c>
      <c r="C2065" s="9" t="inlineStr">
        <is>
          <t>Stochastic scalp with give-back trail exit</t>
        </is>
      </c>
      <c r="D2065" s="9" t="inlineStr">
        <is>
          <t>Short</t>
        </is>
      </c>
      <c r="E2065" s="10" t="n">
        <v>45296.37152777778</v>
      </c>
      <c r="F2065" s="10" t="n">
        <v>45296.37847222222</v>
      </c>
      <c r="G2065" s="11" t="n">
        <v>-1.68</v>
      </c>
      <c r="H2065" s="11">
        <f>H2064+G2065</f>
        <v/>
      </c>
    </row>
    <row r="2066">
      <c r="A2066" s="9" t="n">
        <v>2062</v>
      </c>
      <c r="B2066" s="9" t="inlineStr">
        <is>
          <t>Meridian</t>
        </is>
      </c>
      <c r="C2066" s="9" t="inlineStr">
        <is>
          <t>21/50 MA cross, 250-period confirm filter, VWAP</t>
        </is>
      </c>
      <c r="D2066" s="9" t="inlineStr">
        <is>
          <t>Short</t>
        </is>
      </c>
      <c r="E2066" s="10" t="n">
        <v>45296.29166666666</v>
      </c>
      <c r="F2066" s="10" t="n">
        <v>45296.38541666666</v>
      </c>
      <c r="G2066" s="11" t="n">
        <v>-1.58</v>
      </c>
      <c r="H2066" s="11">
        <f>H2065+G2066</f>
        <v/>
      </c>
    </row>
    <row r="2067">
      <c r="A2067" s="9" t="n">
        <v>2063</v>
      </c>
      <c r="B2067" s="9" t="inlineStr">
        <is>
          <t>Vanguard_M15</t>
        </is>
      </c>
      <c r="C2067" s="9" t="inlineStr">
        <is>
          <t>Trendline breakout (fractal swing line) + VWAP/S-R distance gate - M15 chart</t>
        </is>
      </c>
      <c r="D2067" s="9" t="inlineStr">
        <is>
          <t>Long</t>
        </is>
      </c>
      <c r="E2067" s="10" t="n">
        <v>45295.71875</v>
      </c>
      <c r="F2067" s="10" t="n">
        <v>45296.47916666666</v>
      </c>
      <c r="G2067" s="11" t="n">
        <v>-4.08</v>
      </c>
      <c r="H2067" s="11">
        <f>H2066+G2067</f>
        <v/>
      </c>
    </row>
    <row r="2068">
      <c r="A2068" s="9" t="n">
        <v>2064</v>
      </c>
      <c r="B2068" s="9" t="inlineStr">
        <is>
          <t>Vanguard_M5</t>
        </is>
      </c>
      <c r="C2068" s="9" t="inlineStr">
        <is>
          <t>Trendline breakout (fractal swing line) + VWAP/S-R distance gate</t>
        </is>
      </c>
      <c r="D2068" s="9" t="inlineStr">
        <is>
          <t>Long</t>
        </is>
      </c>
      <c r="E2068" s="10" t="n">
        <v>45295.71875</v>
      </c>
      <c r="F2068" s="10" t="n">
        <v>45296.48611111111</v>
      </c>
      <c r="G2068" s="11" t="n">
        <v>-4.08</v>
      </c>
      <c r="H2068" s="11">
        <f>H2067+G2068</f>
        <v/>
      </c>
    </row>
    <row r="2069">
      <c r="A2069" s="9" t="n">
        <v>2065</v>
      </c>
      <c r="B2069" s="9" t="inlineStr">
        <is>
          <t>Ratchet</t>
        </is>
      </c>
      <c r="C2069" s="9" t="inlineStr">
        <is>
          <t>Stochastic scalp with give-back trail exit</t>
        </is>
      </c>
      <c r="D2069" s="9" t="inlineStr">
        <is>
          <t>Short</t>
        </is>
      </c>
      <c r="E2069" s="10" t="n">
        <v>45296.43402777778</v>
      </c>
      <c r="F2069" s="10" t="n">
        <v>45296.61458333334</v>
      </c>
      <c r="G2069" s="11" t="n">
        <v>1.4</v>
      </c>
      <c r="H2069" s="11">
        <f>H2068+G2069</f>
        <v/>
      </c>
    </row>
    <row r="2070">
      <c r="A2070" s="9" t="n">
        <v>2066</v>
      </c>
      <c r="B2070" s="9" t="inlineStr">
        <is>
          <t>Vanguard_M15</t>
        </is>
      </c>
      <c r="C2070" s="9" t="inlineStr">
        <is>
          <t>Trendline breakout (fractal swing line) + VWAP/S-R distance gate - M15 chart</t>
        </is>
      </c>
      <c r="D2070" s="9" t="inlineStr">
        <is>
          <t>Short</t>
        </is>
      </c>
      <c r="E2070" s="10" t="n">
        <v>45296.48958333334</v>
      </c>
      <c r="F2070" s="10" t="n">
        <v>45296.66666666666</v>
      </c>
      <c r="G2070" s="11" t="n">
        <v>-4.87</v>
      </c>
      <c r="H2070" s="11">
        <f>H2069+G2070</f>
        <v/>
      </c>
    </row>
    <row r="2071">
      <c r="A2071" s="9" t="n">
        <v>2067</v>
      </c>
      <c r="B2071" s="9" t="inlineStr">
        <is>
          <t>Aurelius_M5</t>
        </is>
      </c>
      <c r="C2071" s="9" t="inlineStr">
        <is>
          <t>MA alignment (EMA21&gt;EMA50&gt;SMA250&gt;SMMA500 vs EMA2400 trend filter)</t>
        </is>
      </c>
      <c r="D2071" s="9" t="inlineStr">
        <is>
          <t>Short</t>
        </is>
      </c>
      <c r="E2071" s="10" t="n">
        <v>45296.40625</v>
      </c>
      <c r="F2071" s="10" t="n">
        <v>45296.67013888889</v>
      </c>
      <c r="G2071" s="11" t="n">
        <v>-2.69</v>
      </c>
      <c r="H2071" s="11">
        <f>H2070+G2071</f>
        <v/>
      </c>
    </row>
    <row r="2072">
      <c r="A2072" s="9" t="n">
        <v>2068</v>
      </c>
      <c r="B2072" s="9" t="inlineStr">
        <is>
          <t>Vanguard_M5</t>
        </is>
      </c>
      <c r="C2072" s="9" t="inlineStr">
        <is>
          <t>Trendline breakout (fractal swing line) + VWAP/S-R distance gate</t>
        </is>
      </c>
      <c r="D2072" s="9" t="inlineStr">
        <is>
          <t>Short</t>
        </is>
      </c>
      <c r="E2072" s="10" t="n">
        <v>45296.48958333334</v>
      </c>
      <c r="F2072" s="10" t="n">
        <v>45296.67013888889</v>
      </c>
      <c r="G2072" s="11" t="n">
        <v>-3.99</v>
      </c>
      <c r="H2072" s="11">
        <f>H2071+G2072</f>
        <v/>
      </c>
    </row>
    <row r="2073">
      <c r="A2073" s="9" t="n">
        <v>2069</v>
      </c>
      <c r="B2073" s="9" t="inlineStr">
        <is>
          <t>Aurelius_M15</t>
        </is>
      </c>
      <c r="C2073" s="9" t="inlineStr">
        <is>
          <t>MA alignment (EMA21&gt;EMA50&gt;SMA250&gt;SMMA500 vs EMA2400 trend filter) - M15 chart</t>
        </is>
      </c>
      <c r="D2073" s="9" t="inlineStr">
        <is>
          <t>Short</t>
        </is>
      </c>
      <c r="E2073" s="10" t="n">
        <v>45296.42708333334</v>
      </c>
      <c r="F2073" s="10" t="n">
        <v>45296.67708333334</v>
      </c>
      <c r="G2073" s="11" t="n">
        <v>-4.16</v>
      </c>
      <c r="H2073" s="11">
        <f>H2072+G2073</f>
        <v/>
      </c>
    </row>
    <row r="2074">
      <c r="A2074" s="9" t="n">
        <v>2070</v>
      </c>
      <c r="B2074" s="9" t="inlineStr">
        <is>
          <t>Ratchet</t>
        </is>
      </c>
      <c r="C2074" s="9" t="inlineStr">
        <is>
          <t>Stochastic scalp with give-back trail exit</t>
        </is>
      </c>
      <c r="D2074" s="9" t="inlineStr">
        <is>
          <t>Long</t>
        </is>
      </c>
      <c r="E2074" s="10" t="n">
        <v>45296.74652777778</v>
      </c>
      <c r="F2074" s="10" t="n">
        <v>45296.76388888889</v>
      </c>
      <c r="G2074" s="11" t="n">
        <v>-6.79</v>
      </c>
      <c r="H2074" s="11">
        <f>H2073+G2074</f>
        <v/>
      </c>
    </row>
    <row r="2075">
      <c r="A2075" s="9" t="n">
        <v>2071</v>
      </c>
      <c r="B2075" s="9" t="inlineStr">
        <is>
          <t>Vanguard_M15</t>
        </is>
      </c>
      <c r="C2075" s="9" t="inlineStr">
        <is>
          <t>Trendline breakout (fractal swing line) + VWAP/S-R distance gate - M15 chart</t>
        </is>
      </c>
      <c r="D2075" s="9" t="inlineStr">
        <is>
          <t>Long</t>
        </is>
      </c>
      <c r="E2075" s="10" t="n">
        <v>45296.6875</v>
      </c>
      <c r="F2075" s="10" t="n">
        <v>45296.79166666666</v>
      </c>
      <c r="G2075" s="11" t="n">
        <v>-3.47</v>
      </c>
      <c r="H2075" s="11">
        <f>H2074+G2075</f>
        <v/>
      </c>
    </row>
    <row r="2076">
      <c r="A2076" s="9" t="n">
        <v>2072</v>
      </c>
      <c r="B2076" s="9" t="inlineStr">
        <is>
          <t>Vanguard_M5</t>
        </is>
      </c>
      <c r="C2076" s="9" t="inlineStr">
        <is>
          <t>Trendline breakout (fractal swing line) + VWAP/S-R distance gate</t>
        </is>
      </c>
      <c r="D2076" s="9" t="inlineStr">
        <is>
          <t>Long</t>
        </is>
      </c>
      <c r="E2076" s="10" t="n">
        <v>45296.6875</v>
      </c>
      <c r="F2076" s="10" t="n">
        <v>45296.79513888889</v>
      </c>
      <c r="G2076" s="11" t="n">
        <v>-4.74</v>
      </c>
      <c r="H2076" s="11">
        <f>H2075+G2076</f>
        <v/>
      </c>
    </row>
    <row r="2077">
      <c r="A2077" s="9" t="n">
        <v>2073</v>
      </c>
      <c r="B2077" s="9" t="inlineStr">
        <is>
          <t>Meridian</t>
        </is>
      </c>
      <c r="C2077" s="9" t="inlineStr">
        <is>
          <t>21/50 MA cross, 250-period confirm filter, VWAP</t>
        </is>
      </c>
      <c r="D2077" s="9" t="inlineStr">
        <is>
          <t>Long</t>
        </is>
      </c>
      <c r="E2077" s="10" t="n">
        <v>45296.6875</v>
      </c>
      <c r="F2077" s="10" t="n">
        <v>45296.8125</v>
      </c>
      <c r="G2077" s="11" t="n">
        <v>-5.47</v>
      </c>
      <c r="H2077" s="11">
        <f>H2076+G2077</f>
        <v/>
      </c>
    </row>
    <row r="2078">
      <c r="A2078" s="9" t="n">
        <v>2074</v>
      </c>
      <c r="B2078" s="9" t="inlineStr">
        <is>
          <t>Vanguard_M15</t>
        </is>
      </c>
      <c r="C2078" s="9" t="inlineStr">
        <is>
          <t>Trendline breakout (fractal swing line) + VWAP/S-R distance gate - M15 chart</t>
        </is>
      </c>
      <c r="D2078" s="9" t="inlineStr">
        <is>
          <t>Short</t>
        </is>
      </c>
      <c r="E2078" s="10" t="n">
        <v>45296.80208333334</v>
      </c>
      <c r="F2078" s="10" t="n">
        <v>45296.85416666666</v>
      </c>
      <c r="G2078" s="11" t="n">
        <v>-1.96</v>
      </c>
      <c r="H2078" s="11">
        <f>H2077+G2078</f>
        <v/>
      </c>
    </row>
    <row r="2079">
      <c r="A2079" s="9" t="n">
        <v>2075</v>
      </c>
      <c r="B2079" s="9" t="inlineStr">
        <is>
          <t>Vanguard_M5</t>
        </is>
      </c>
      <c r="C2079" s="9" t="inlineStr">
        <is>
          <t>Trendline breakout (fractal swing line) + VWAP/S-R distance gate</t>
        </is>
      </c>
      <c r="D2079" s="9" t="inlineStr">
        <is>
          <t>Short</t>
        </is>
      </c>
      <c r="E2079" s="10" t="n">
        <v>45296.79861111111</v>
      </c>
      <c r="F2079" s="10" t="n">
        <v>45296.85763888889</v>
      </c>
      <c r="G2079" s="11" t="n">
        <v>-3.1</v>
      </c>
      <c r="H2079" s="11">
        <f>H2078+G2079</f>
        <v/>
      </c>
    </row>
    <row r="2080">
      <c r="A2080" s="9" t="n">
        <v>2076</v>
      </c>
      <c r="B2080" s="9" t="inlineStr">
        <is>
          <t>Meridian</t>
        </is>
      </c>
      <c r="C2080" s="9" t="inlineStr">
        <is>
          <t>21/50 MA cross, 250-period confirm filter, VWAP</t>
        </is>
      </c>
      <c r="D2080" s="9" t="inlineStr">
        <is>
          <t>Long</t>
        </is>
      </c>
      <c r="E2080" s="10" t="n">
        <v>45296.89236111111</v>
      </c>
      <c r="F2080" s="10" t="n">
        <v>45296.91666666666</v>
      </c>
      <c r="G2080" s="11" t="n">
        <v>-2.2</v>
      </c>
      <c r="H2080" s="11">
        <f>H2079+G2080</f>
        <v/>
      </c>
    </row>
    <row r="2081">
      <c r="A2081" s="9" t="n">
        <v>2077</v>
      </c>
      <c r="B2081" s="9" t="inlineStr">
        <is>
          <t>Vanguard_M5</t>
        </is>
      </c>
      <c r="C2081" s="9" t="inlineStr">
        <is>
          <t>Trendline breakout (fractal swing line) + VWAP/S-R distance gate</t>
        </is>
      </c>
      <c r="D2081" s="9" t="inlineStr">
        <is>
          <t>Short</t>
        </is>
      </c>
      <c r="E2081" s="10" t="n">
        <v>45296.92013888889</v>
      </c>
      <c r="F2081" s="10" t="n">
        <v>45296.92013888889</v>
      </c>
      <c r="G2081" s="11" t="n">
        <v>-0.45</v>
      </c>
      <c r="H2081" s="11">
        <f>H2080+G2081</f>
        <v/>
      </c>
    </row>
    <row r="2082">
      <c r="A2082" s="9" t="n">
        <v>2078</v>
      </c>
      <c r="B2082" s="9" t="inlineStr">
        <is>
          <t>Vanguard_M15</t>
        </is>
      </c>
      <c r="C2082" s="9" t="inlineStr">
        <is>
          <t>Trendline breakout (fractal swing line) + VWAP/S-R distance gate - M15 chart</t>
        </is>
      </c>
      <c r="D2082" s="9" t="inlineStr">
        <is>
          <t>Long</t>
        </is>
      </c>
      <c r="E2082" s="10" t="n">
        <v>45296.86458333334</v>
      </c>
      <c r="F2082" s="10" t="n">
        <v>45296.92708333334</v>
      </c>
      <c r="G2082" s="11" t="n">
        <v>-1.38</v>
      </c>
      <c r="H2082" s="11">
        <f>H2081+G2082</f>
        <v/>
      </c>
    </row>
    <row r="2083">
      <c r="A2083" s="9" t="n">
        <v>2079</v>
      </c>
      <c r="B2083" s="9" t="inlineStr">
        <is>
          <t>Vanguard_M5</t>
        </is>
      </c>
      <c r="C2083" s="9" t="inlineStr">
        <is>
          <t>Trendline breakout (fractal swing line) + VWAP/S-R distance gate</t>
        </is>
      </c>
      <c r="D2083" s="9" t="inlineStr">
        <is>
          <t>Short</t>
        </is>
      </c>
      <c r="E2083" s="10" t="n">
        <v>45296.93055555555</v>
      </c>
      <c r="F2083" s="10" t="n">
        <v>45296.94791666666</v>
      </c>
      <c r="G2083" s="11" t="n">
        <v>-1.14</v>
      </c>
      <c r="H2083" s="11">
        <f>H2082+G2083</f>
        <v/>
      </c>
    </row>
    <row r="2084">
      <c r="A2084" s="9" t="n">
        <v>2080</v>
      </c>
      <c r="B2084" s="9" t="inlineStr">
        <is>
          <t>Vanguard_M15</t>
        </is>
      </c>
      <c r="C2084" s="9" t="inlineStr">
        <is>
          <t>Trendline breakout (fractal swing line) + VWAP/S-R distance gate - M15 chart</t>
        </is>
      </c>
      <c r="D2084" s="9" t="inlineStr">
        <is>
          <t>Short</t>
        </is>
      </c>
      <c r="E2084" s="10" t="n">
        <v>45296.9375</v>
      </c>
      <c r="F2084" s="10" t="n">
        <v>45296.96875</v>
      </c>
      <c r="G2084" s="11" t="n">
        <v>-0.82</v>
      </c>
      <c r="H2084" s="11">
        <f>H2083+G2084</f>
        <v/>
      </c>
    </row>
    <row r="2085">
      <c r="A2085" s="9" t="n">
        <v>2081</v>
      </c>
      <c r="B2085" s="9" t="inlineStr">
        <is>
          <t>Meridian</t>
        </is>
      </c>
      <c r="C2085" s="9" t="inlineStr">
        <is>
          <t>21/50 MA cross, 250-period confirm filter, VWAP</t>
        </is>
      </c>
      <c r="D2085" s="9" t="inlineStr">
        <is>
          <t>Long</t>
        </is>
      </c>
      <c r="E2085" s="10" t="n">
        <v>45299.11805555555</v>
      </c>
      <c r="F2085" s="10" t="n">
        <v>45299.14930555555</v>
      </c>
      <c r="G2085" s="11" t="n">
        <v>-2.14</v>
      </c>
      <c r="H2085" s="11">
        <f>H2084+G2085</f>
        <v/>
      </c>
    </row>
    <row r="2086">
      <c r="A2086" s="9" t="n">
        <v>2082</v>
      </c>
      <c r="B2086" s="9" t="inlineStr">
        <is>
          <t>Vanguard_M5</t>
        </is>
      </c>
      <c r="C2086" s="9" t="inlineStr">
        <is>
          <t>Trendline breakout (fractal swing line) + VWAP/S-R distance gate</t>
        </is>
      </c>
      <c r="D2086" s="9" t="inlineStr">
        <is>
          <t>Long</t>
        </is>
      </c>
      <c r="E2086" s="10" t="n">
        <v>45299.09375</v>
      </c>
      <c r="F2086" s="10" t="n">
        <v>45299.20138888889</v>
      </c>
      <c r="G2086" s="11" t="n">
        <v>-3.83</v>
      </c>
      <c r="H2086" s="11">
        <f>H2085+G2086</f>
        <v/>
      </c>
    </row>
    <row r="2087">
      <c r="A2087" s="9" t="n">
        <v>2083</v>
      </c>
      <c r="B2087" s="9" t="inlineStr">
        <is>
          <t>Vanguard_M15</t>
        </is>
      </c>
      <c r="C2087" s="9" t="inlineStr">
        <is>
          <t>Trendline breakout (fractal swing line) + VWAP/S-R distance gate - M15 chart</t>
        </is>
      </c>
      <c r="D2087" s="9" t="inlineStr">
        <is>
          <t>Long</t>
        </is>
      </c>
      <c r="E2087" s="10" t="n">
        <v>45299.09375</v>
      </c>
      <c r="F2087" s="10" t="n">
        <v>45299.22916666666</v>
      </c>
      <c r="G2087" s="11" t="n">
        <v>-6.83</v>
      </c>
      <c r="H2087" s="11">
        <f>H2086+G2087</f>
        <v/>
      </c>
    </row>
    <row r="2088">
      <c r="A2088" s="9" t="n">
        <v>2084</v>
      </c>
      <c r="B2088" s="9" t="inlineStr">
        <is>
          <t>Ratchet</t>
        </is>
      </c>
      <c r="C2088" s="9" t="inlineStr">
        <is>
          <t>Stochastic scalp with give-back trail exit</t>
        </is>
      </c>
      <c r="D2088" s="9" t="inlineStr">
        <is>
          <t>Short</t>
        </is>
      </c>
      <c r="E2088" s="10" t="n">
        <v>45299.22916666666</v>
      </c>
      <c r="F2088" s="10" t="n">
        <v>45299.50694444445</v>
      </c>
      <c r="G2088" s="11" t="n">
        <v>10.69</v>
      </c>
      <c r="H2088" s="11">
        <f>H2087+G2088</f>
        <v/>
      </c>
    </row>
    <row r="2089">
      <c r="A2089" s="9" t="n">
        <v>2085</v>
      </c>
      <c r="B2089" s="9" t="inlineStr">
        <is>
          <t>Meridian</t>
        </is>
      </c>
      <c r="C2089" s="9" t="inlineStr">
        <is>
          <t>21/50 MA cross, 250-period confirm filter, VWAP</t>
        </is>
      </c>
      <c r="D2089" s="9" t="inlineStr">
        <is>
          <t>Short</t>
        </is>
      </c>
      <c r="E2089" s="10" t="n">
        <v>45299.15972222222</v>
      </c>
      <c r="F2089" s="10" t="n">
        <v>45299.71875</v>
      </c>
      <c r="G2089" s="11" t="n">
        <v>14.06</v>
      </c>
      <c r="H2089" s="11">
        <f>H2088+G2089</f>
        <v/>
      </c>
    </row>
    <row r="2090">
      <c r="A2090" s="9" t="n">
        <v>2086</v>
      </c>
      <c r="B2090" s="9" t="inlineStr">
        <is>
          <t>Ratchet</t>
        </is>
      </c>
      <c r="C2090" s="9" t="inlineStr">
        <is>
          <t>Stochastic scalp with give-back trail exit</t>
        </is>
      </c>
      <c r="D2090" s="9" t="inlineStr">
        <is>
          <t>Short</t>
        </is>
      </c>
      <c r="E2090" s="10" t="n">
        <v>45299.86111111111</v>
      </c>
      <c r="F2090" s="10" t="n">
        <v>45299.88194444445</v>
      </c>
      <c r="G2090" s="11" t="n">
        <v>0.38</v>
      </c>
      <c r="H2090" s="11">
        <f>H2089+G2090</f>
        <v/>
      </c>
    </row>
    <row r="2091">
      <c r="A2091" s="9" t="n">
        <v>2087</v>
      </c>
      <c r="B2091" s="9" t="inlineStr">
        <is>
          <t>Meridian</t>
        </is>
      </c>
      <c r="C2091" s="9" t="inlineStr">
        <is>
          <t>21/50 MA cross, 250-period confirm filter, VWAP</t>
        </is>
      </c>
      <c r="D2091" s="9" t="inlineStr">
        <is>
          <t>Short</t>
        </is>
      </c>
      <c r="E2091" s="10" t="n">
        <v>45299.86111111111</v>
      </c>
      <c r="F2091" s="10" t="n">
        <v>45299.92013888889</v>
      </c>
      <c r="G2091" s="11" t="n">
        <v>-0.6899999999999999</v>
      </c>
      <c r="H2091" s="11">
        <f>H2090+G2091</f>
        <v/>
      </c>
    </row>
    <row r="2092">
      <c r="A2092" s="9" t="n">
        <v>2088</v>
      </c>
      <c r="B2092" s="9" t="inlineStr">
        <is>
          <t>Meridian</t>
        </is>
      </c>
      <c r="C2092" s="9" t="inlineStr">
        <is>
          <t>21/50 MA cross, 250-period confirm filter, VWAP</t>
        </is>
      </c>
      <c r="D2092" s="9" t="inlineStr">
        <is>
          <t>Short</t>
        </is>
      </c>
      <c r="E2092" s="10" t="n">
        <v>45299.92361111111</v>
      </c>
      <c r="F2092" s="10" t="n">
        <v>45300.04861111111</v>
      </c>
      <c r="G2092" s="11" t="n">
        <v>-1.12</v>
      </c>
      <c r="H2092" s="11">
        <f>H2091+G2092</f>
        <v/>
      </c>
    </row>
    <row r="2093">
      <c r="A2093" s="9" t="n">
        <v>2089</v>
      </c>
      <c r="B2093" s="9" t="inlineStr">
        <is>
          <t>Meridian</t>
        </is>
      </c>
      <c r="C2093" s="9" t="inlineStr">
        <is>
          <t>21/50 MA cross, 250-period confirm filter, VWAP</t>
        </is>
      </c>
      <c r="D2093" s="9" t="inlineStr">
        <is>
          <t>Long</t>
        </is>
      </c>
      <c r="E2093" s="10" t="n">
        <v>45300.38194444445</v>
      </c>
      <c r="F2093" s="10" t="n">
        <v>45300.42708333334</v>
      </c>
      <c r="G2093" s="11" t="n">
        <v>-3.22</v>
      </c>
      <c r="H2093" s="11">
        <f>H2092+G2093</f>
        <v/>
      </c>
    </row>
    <row r="2094">
      <c r="A2094" s="9" t="n">
        <v>2090</v>
      </c>
      <c r="B2094" s="9" t="inlineStr">
        <is>
          <t>Meridian</t>
        </is>
      </c>
      <c r="C2094" s="9" t="inlineStr">
        <is>
          <t>21/50 MA cross, 250-period confirm filter, VWAP</t>
        </is>
      </c>
      <c r="D2094" s="9" t="inlineStr">
        <is>
          <t>Long</t>
        </is>
      </c>
      <c r="E2094" s="10" t="n">
        <v>45300.65277777778</v>
      </c>
      <c r="F2094" s="10" t="n">
        <v>45300.69791666666</v>
      </c>
      <c r="G2094" s="11" t="n">
        <v>-4.18</v>
      </c>
      <c r="H2094" s="11">
        <f>H2093+G2094</f>
        <v/>
      </c>
    </row>
    <row r="2095">
      <c r="A2095" s="9" t="n">
        <v>2091</v>
      </c>
      <c r="B2095" s="9" t="inlineStr">
        <is>
          <t>Ratchet</t>
        </is>
      </c>
      <c r="C2095" s="9" t="inlineStr">
        <is>
          <t>Stochastic scalp with give-back trail exit</t>
        </is>
      </c>
      <c r="D2095" s="9" t="inlineStr">
        <is>
          <t>Short</t>
        </is>
      </c>
      <c r="E2095" s="10" t="n">
        <v>45300.76388888889</v>
      </c>
      <c r="F2095" s="10" t="n">
        <v>45300.76736111111</v>
      </c>
      <c r="G2095" s="11" t="n">
        <v>-2.95</v>
      </c>
      <c r="H2095" s="11">
        <f>H2094+G2095</f>
        <v/>
      </c>
    </row>
    <row r="2096">
      <c r="A2096" s="9" t="n">
        <v>2092</v>
      </c>
      <c r="B2096" s="9" t="inlineStr">
        <is>
          <t>Ratchet</t>
        </is>
      </c>
      <c r="C2096" s="9" t="inlineStr">
        <is>
          <t>Stochastic scalp with give-back trail exit</t>
        </is>
      </c>
      <c r="D2096" s="9" t="inlineStr">
        <is>
          <t>Short</t>
        </is>
      </c>
      <c r="E2096" s="10" t="n">
        <v>45300.77083333334</v>
      </c>
      <c r="F2096" s="10" t="n">
        <v>45300.82291666666</v>
      </c>
      <c r="G2096" s="11" t="n">
        <v>0.47</v>
      </c>
      <c r="H2096" s="11">
        <f>H2095+G2096</f>
        <v/>
      </c>
    </row>
    <row r="2097">
      <c r="A2097" s="9" t="n">
        <v>2093</v>
      </c>
      <c r="B2097" s="9" t="inlineStr">
        <is>
          <t>Meridian</t>
        </is>
      </c>
      <c r="C2097" s="9" t="inlineStr">
        <is>
          <t>21/50 MA cross, 250-period confirm filter, VWAP</t>
        </is>
      </c>
      <c r="D2097" s="9" t="inlineStr">
        <is>
          <t>Short</t>
        </is>
      </c>
      <c r="E2097" s="10" t="n">
        <v>45301.13888888889</v>
      </c>
      <c r="F2097" s="10" t="n">
        <v>45301.14930555555</v>
      </c>
      <c r="G2097" s="11" t="n">
        <v>-1.94</v>
      </c>
      <c r="H2097" s="11">
        <f>H2096+G2097</f>
        <v/>
      </c>
    </row>
    <row r="2098">
      <c r="A2098" s="9" t="n">
        <v>2094</v>
      </c>
      <c r="B2098" s="9" t="inlineStr">
        <is>
          <t>Ratchet</t>
        </is>
      </c>
      <c r="C2098" s="9" t="inlineStr">
        <is>
          <t>Stochastic scalp with give-back trail exit</t>
        </is>
      </c>
      <c r="D2098" s="9" t="inlineStr">
        <is>
          <t>Short</t>
        </is>
      </c>
      <c r="E2098" s="10" t="n">
        <v>45301.26388888889</v>
      </c>
      <c r="F2098" s="10" t="n">
        <v>45301.26736111111</v>
      </c>
      <c r="G2098" s="11" t="n">
        <v>-0</v>
      </c>
      <c r="H2098" s="11">
        <f>H2097+G2098</f>
        <v/>
      </c>
    </row>
    <row r="2099">
      <c r="A2099" s="9" t="n">
        <v>2095</v>
      </c>
      <c r="B2099" s="9" t="inlineStr">
        <is>
          <t>Ratchet</t>
        </is>
      </c>
      <c r="C2099" s="9" t="inlineStr">
        <is>
          <t>Stochastic scalp with give-back trail exit</t>
        </is>
      </c>
      <c r="D2099" s="9" t="inlineStr">
        <is>
          <t>Short</t>
        </is>
      </c>
      <c r="E2099" s="10" t="n">
        <v>45301.31944444445</v>
      </c>
      <c r="F2099" s="10" t="n">
        <v>45301.38541666666</v>
      </c>
      <c r="G2099" s="11" t="n">
        <v>1.22</v>
      </c>
      <c r="H2099" s="11">
        <f>H2098+G2099</f>
        <v/>
      </c>
    </row>
    <row r="2100">
      <c r="A2100" s="9" t="n">
        <v>2096</v>
      </c>
      <c r="B2100" s="9" t="inlineStr">
        <is>
          <t>Aurelius_M15</t>
        </is>
      </c>
      <c r="C2100" s="9" t="inlineStr">
        <is>
          <t>MA alignment (EMA21&gt;EMA50&gt;SMA250&gt;SMMA500 vs EMA2400 trend filter) - M15 chart</t>
        </is>
      </c>
      <c r="D2100" s="9" t="inlineStr">
        <is>
          <t>Short</t>
        </is>
      </c>
      <c r="E2100" s="10" t="n">
        <v>45301.33333333334</v>
      </c>
      <c r="F2100" s="10" t="n">
        <v>45301.39583333334</v>
      </c>
      <c r="G2100" s="11" t="n">
        <v>-4.17</v>
      </c>
      <c r="H2100" s="11">
        <f>H2099+G2100</f>
        <v/>
      </c>
    </row>
    <row r="2101">
      <c r="A2101" s="9" t="n">
        <v>2097</v>
      </c>
      <c r="B2101" s="9" t="inlineStr">
        <is>
          <t>Meridian</t>
        </is>
      </c>
      <c r="C2101" s="9" t="inlineStr">
        <is>
          <t>21/50 MA cross, 250-period confirm filter, VWAP</t>
        </is>
      </c>
      <c r="D2101" s="9" t="inlineStr">
        <is>
          <t>Short</t>
        </is>
      </c>
      <c r="E2101" s="10" t="n">
        <v>45301.25</v>
      </c>
      <c r="F2101" s="10" t="n">
        <v>45301.40277777778</v>
      </c>
      <c r="G2101" s="11" t="n">
        <v>-2.27</v>
      </c>
      <c r="H2101" s="11">
        <f>H2100+G2101</f>
        <v/>
      </c>
    </row>
    <row r="2102">
      <c r="A2102" s="9" t="n">
        <v>2098</v>
      </c>
      <c r="B2102" s="9" t="inlineStr">
        <is>
          <t>Aurelius_M5</t>
        </is>
      </c>
      <c r="C2102" s="9" t="inlineStr">
        <is>
          <t>MA alignment (EMA21&gt;EMA50&gt;SMA250&gt;SMMA500 vs EMA2400 trend filter)</t>
        </is>
      </c>
      <c r="D2102" s="9" t="inlineStr">
        <is>
          <t>Short</t>
        </is>
      </c>
      <c r="E2102" s="10" t="n">
        <v>45301.28125</v>
      </c>
      <c r="F2102" s="10" t="n">
        <v>45301.41319444445</v>
      </c>
      <c r="G2102" s="11" t="n">
        <v>-1.7</v>
      </c>
      <c r="H2102" s="11">
        <f>H2101+G2102</f>
        <v/>
      </c>
    </row>
    <row r="2103">
      <c r="A2103" s="9" t="n">
        <v>2099</v>
      </c>
      <c r="B2103" s="9" t="inlineStr">
        <is>
          <t>Vanguard_M15</t>
        </is>
      </c>
      <c r="C2103" s="9" t="inlineStr">
        <is>
          <t>Trendline breakout (fractal swing line) + VWAP/S-R distance gate - M15 chart</t>
        </is>
      </c>
      <c r="D2103" s="9" t="inlineStr">
        <is>
          <t>Short</t>
        </is>
      </c>
      <c r="E2103" s="10" t="n">
        <v>45301.25</v>
      </c>
      <c r="F2103" s="10" t="n">
        <v>45301.41666666666</v>
      </c>
      <c r="G2103" s="11" t="n">
        <v>-5.08</v>
      </c>
      <c r="H2103" s="11">
        <f>H2102+G2103</f>
        <v/>
      </c>
    </row>
    <row r="2104">
      <c r="A2104" s="9" t="n">
        <v>2100</v>
      </c>
      <c r="B2104" s="9" t="inlineStr">
        <is>
          <t>Vanguard_M5</t>
        </is>
      </c>
      <c r="C2104" s="9" t="inlineStr">
        <is>
          <t>Trendline breakout (fractal swing line) + VWAP/S-R distance gate</t>
        </is>
      </c>
      <c r="D2104" s="9" t="inlineStr">
        <is>
          <t>Short</t>
        </is>
      </c>
      <c r="E2104" s="10" t="n">
        <v>45301.24305555555</v>
      </c>
      <c r="F2104" s="10" t="n">
        <v>45301.42013888889</v>
      </c>
      <c r="G2104" s="11" t="n">
        <v>-3.59</v>
      </c>
      <c r="H2104" s="11">
        <f>H2103+G2104</f>
        <v/>
      </c>
    </row>
    <row r="2105">
      <c r="A2105" s="9" t="n">
        <v>2101</v>
      </c>
      <c r="B2105" s="9" t="inlineStr">
        <is>
          <t>Meridian</t>
        </is>
      </c>
      <c r="C2105" s="9" t="inlineStr">
        <is>
          <t>21/50 MA cross, 250-period confirm filter, VWAP</t>
        </is>
      </c>
      <c r="D2105" s="9" t="inlineStr">
        <is>
          <t>Long</t>
        </is>
      </c>
      <c r="E2105" s="10" t="n">
        <v>45301.41319444445</v>
      </c>
      <c r="F2105" s="10" t="n">
        <v>45301.625</v>
      </c>
      <c r="G2105" s="11" t="n">
        <v>-0.13</v>
      </c>
      <c r="H2105" s="11">
        <f>H2104+G2105</f>
        <v/>
      </c>
    </row>
    <row r="2106">
      <c r="A2106" s="9" t="n">
        <v>2102</v>
      </c>
      <c r="B2106" s="9" t="inlineStr">
        <is>
          <t>Ratchet</t>
        </is>
      </c>
      <c r="C2106" s="9" t="inlineStr">
        <is>
          <t>Stochastic scalp with give-back trail exit</t>
        </is>
      </c>
      <c r="D2106" s="9" t="inlineStr">
        <is>
          <t>Short</t>
        </is>
      </c>
      <c r="E2106" s="10" t="n">
        <v>45301.81597222222</v>
      </c>
      <c r="F2106" s="10" t="n">
        <v>45301.90277777778</v>
      </c>
      <c r="G2106" s="11" t="n">
        <v>1.26</v>
      </c>
      <c r="H2106" s="11">
        <f>H2105+G2106</f>
        <v/>
      </c>
    </row>
    <row r="2107">
      <c r="A2107" s="9" t="n">
        <v>2103</v>
      </c>
      <c r="B2107" s="9" t="inlineStr">
        <is>
          <t>Aurelius_M15</t>
        </is>
      </c>
      <c r="C2107" s="9" t="inlineStr">
        <is>
          <t>MA alignment (EMA21&gt;EMA50&gt;SMA250&gt;SMMA500 vs EMA2400 trend filter) - M15 chart</t>
        </is>
      </c>
      <c r="D2107" s="9" t="inlineStr">
        <is>
          <t>Short</t>
        </is>
      </c>
      <c r="E2107" s="10" t="n">
        <v>45301.75</v>
      </c>
      <c r="F2107" s="10" t="n">
        <v>45302.14583333334</v>
      </c>
      <c r="G2107" s="11" t="n">
        <v>-0.4</v>
      </c>
      <c r="H2107" s="11">
        <f>H2106+G2107</f>
        <v/>
      </c>
    </row>
    <row r="2108">
      <c r="A2108" s="9" t="n">
        <v>2104</v>
      </c>
      <c r="B2108" s="9" t="inlineStr">
        <is>
          <t>Vanguard_M15</t>
        </is>
      </c>
      <c r="C2108" s="9" t="inlineStr">
        <is>
          <t>Trendline breakout (fractal swing line) + VWAP/S-R distance gate - M15 chart</t>
        </is>
      </c>
      <c r="D2108" s="9" t="inlineStr">
        <is>
          <t>Short</t>
        </is>
      </c>
      <c r="E2108" s="10" t="n">
        <v>45301.625</v>
      </c>
      <c r="F2108" s="10" t="n">
        <v>45302.45833333334</v>
      </c>
      <c r="G2108" s="11" t="n">
        <v>-0.5</v>
      </c>
      <c r="H2108" s="11">
        <f>H2107+G2108</f>
        <v/>
      </c>
    </row>
    <row r="2109">
      <c r="A2109" s="9" t="n">
        <v>2105</v>
      </c>
      <c r="B2109" s="9" t="inlineStr">
        <is>
          <t>Meridian</t>
        </is>
      </c>
      <c r="C2109" s="9" t="inlineStr">
        <is>
          <t>21/50 MA cross, 250-period confirm filter, VWAP</t>
        </is>
      </c>
      <c r="D2109" s="9" t="inlineStr">
        <is>
          <t>Long</t>
        </is>
      </c>
      <c r="E2109" s="10" t="n">
        <v>45302.5625</v>
      </c>
      <c r="F2109" s="10" t="n">
        <v>45302.62152777778</v>
      </c>
      <c r="G2109" s="11" t="n">
        <v>-1.98</v>
      </c>
      <c r="H2109" s="11">
        <f>H2108+G2109</f>
        <v/>
      </c>
    </row>
    <row r="2110">
      <c r="A2110" s="9" t="n">
        <v>2106</v>
      </c>
      <c r="B2110" s="9" t="inlineStr">
        <is>
          <t>Vanguard_M5</t>
        </is>
      </c>
      <c r="C2110" s="9" t="inlineStr">
        <is>
          <t>Trendline breakout (fractal swing line) + VWAP/S-R distance gate</t>
        </is>
      </c>
      <c r="D2110" s="9" t="inlineStr">
        <is>
          <t>Long</t>
        </is>
      </c>
      <c r="E2110" s="10" t="n">
        <v>45302.64236111111</v>
      </c>
      <c r="F2110" s="10" t="n">
        <v>45302.64583333334</v>
      </c>
      <c r="G2110" s="11" t="n">
        <v>-5.49</v>
      </c>
      <c r="H2110" s="11">
        <f>H2109+G2110</f>
        <v/>
      </c>
    </row>
    <row r="2111">
      <c r="A2111" s="9" t="n">
        <v>2107</v>
      </c>
      <c r="B2111" s="9" t="inlineStr">
        <is>
          <t>Ratchet</t>
        </is>
      </c>
      <c r="C2111" s="9" t="inlineStr">
        <is>
          <t>Stochastic scalp with give-back trail exit</t>
        </is>
      </c>
      <c r="D2111" s="9" t="inlineStr">
        <is>
          <t>Short</t>
        </is>
      </c>
      <c r="E2111" s="10" t="n">
        <v>45302.80555555555</v>
      </c>
      <c r="F2111" s="10" t="n">
        <v>45302.83333333334</v>
      </c>
      <c r="G2111" s="11" t="n">
        <v>0.51</v>
      </c>
      <c r="H2111" s="11">
        <f>H2110+G2111</f>
        <v/>
      </c>
    </row>
    <row r="2112">
      <c r="A2112" s="9" t="n">
        <v>2108</v>
      </c>
      <c r="B2112" s="9" t="inlineStr">
        <is>
          <t>Meridian</t>
        </is>
      </c>
      <c r="C2112" s="9" t="inlineStr">
        <is>
          <t>21/50 MA cross, 250-period confirm filter, VWAP</t>
        </is>
      </c>
      <c r="D2112" s="9" t="inlineStr">
        <is>
          <t>Short</t>
        </is>
      </c>
      <c r="E2112" s="10" t="n">
        <v>45302.66319444445</v>
      </c>
      <c r="F2112" s="10" t="n">
        <v>45302.91666666666</v>
      </c>
      <c r="G2112" s="11" t="n">
        <v>1.94</v>
      </c>
      <c r="H2112" s="11">
        <f>H2111+G2112</f>
        <v/>
      </c>
    </row>
    <row r="2113">
      <c r="A2113" s="9" t="n">
        <v>2109</v>
      </c>
      <c r="B2113" s="9" t="inlineStr">
        <is>
          <t>Ratchet</t>
        </is>
      </c>
      <c r="C2113" s="9" t="inlineStr">
        <is>
          <t>Stochastic scalp with give-back trail exit</t>
        </is>
      </c>
      <c r="D2113" s="9" t="inlineStr">
        <is>
          <t>Long</t>
        </is>
      </c>
      <c r="E2113" s="10" t="n">
        <v>45303.43055555555</v>
      </c>
      <c r="F2113" s="10" t="n">
        <v>45303.44097222222</v>
      </c>
      <c r="G2113" s="11" t="n">
        <v>-0</v>
      </c>
      <c r="H2113" s="11">
        <f>H2112+G2113</f>
        <v/>
      </c>
    </row>
    <row r="2114">
      <c r="A2114" s="9" t="n">
        <v>2110</v>
      </c>
      <c r="B2114" s="9" t="inlineStr">
        <is>
          <t>Ratchet</t>
        </is>
      </c>
      <c r="C2114" s="9" t="inlineStr">
        <is>
          <t>Stochastic scalp with give-back trail exit</t>
        </is>
      </c>
      <c r="D2114" s="9" t="inlineStr">
        <is>
          <t>Long</t>
        </is>
      </c>
      <c r="E2114" s="10" t="n">
        <v>45303.47569444445</v>
      </c>
      <c r="F2114" s="10" t="n">
        <v>45303.47916666666</v>
      </c>
      <c r="G2114" s="11" t="n">
        <v>-0</v>
      </c>
      <c r="H2114" s="11">
        <f>H2113+G2114</f>
        <v/>
      </c>
    </row>
    <row r="2115">
      <c r="A2115" s="9" t="n">
        <v>2111</v>
      </c>
      <c r="B2115" s="9" t="inlineStr">
        <is>
          <t>Ratchet</t>
        </is>
      </c>
      <c r="C2115" s="9" t="inlineStr">
        <is>
          <t>Stochastic scalp with give-back trail exit</t>
        </is>
      </c>
      <c r="D2115" s="9" t="inlineStr">
        <is>
          <t>Long</t>
        </is>
      </c>
      <c r="E2115" s="10" t="n">
        <v>45303.50694444445</v>
      </c>
      <c r="F2115" s="10" t="n">
        <v>45303.52083333334</v>
      </c>
      <c r="G2115" s="11" t="n">
        <v>0.14</v>
      </c>
      <c r="H2115" s="11">
        <f>H2114+G2115</f>
        <v/>
      </c>
    </row>
    <row r="2116">
      <c r="A2116" s="9" t="n">
        <v>2112</v>
      </c>
      <c r="B2116" s="9" t="inlineStr">
        <is>
          <t>Ratchet</t>
        </is>
      </c>
      <c r="C2116" s="9" t="inlineStr">
        <is>
          <t>Stochastic scalp with give-back trail exit</t>
        </is>
      </c>
      <c r="D2116" s="9" t="inlineStr">
        <is>
          <t>Long</t>
        </is>
      </c>
      <c r="E2116" s="10" t="n">
        <v>45303.52430555555</v>
      </c>
      <c r="F2116" s="10" t="n">
        <v>45303.79166666666</v>
      </c>
      <c r="G2116" s="11" t="n">
        <v>6.22</v>
      </c>
      <c r="H2116" s="11">
        <f>H2115+G2116</f>
        <v/>
      </c>
    </row>
    <row r="2117">
      <c r="A2117" s="9" t="n">
        <v>2113</v>
      </c>
      <c r="B2117" s="9" t="inlineStr">
        <is>
          <t>Meridian</t>
        </is>
      </c>
      <c r="C2117" s="9" t="inlineStr">
        <is>
          <t>21/50 MA cross, 250-period confirm filter, VWAP</t>
        </is>
      </c>
      <c r="D2117" s="9" t="inlineStr">
        <is>
          <t>Long</t>
        </is>
      </c>
      <c r="E2117" s="10" t="n">
        <v>45306.12847222222</v>
      </c>
      <c r="F2117" s="10" t="n">
        <v>45306.50694444445</v>
      </c>
      <c r="G2117" s="11" t="n">
        <v>5</v>
      </c>
      <c r="H2117" s="11">
        <f>H2116+G2117</f>
        <v/>
      </c>
    </row>
    <row r="2118">
      <c r="A2118" s="9" t="n">
        <v>2114</v>
      </c>
      <c r="B2118" s="9" t="inlineStr">
        <is>
          <t>Ratchet</t>
        </is>
      </c>
      <c r="C2118" s="9" t="inlineStr">
        <is>
          <t>Stochastic scalp with give-back trail exit</t>
        </is>
      </c>
      <c r="D2118" s="9" t="inlineStr">
        <is>
          <t>Long</t>
        </is>
      </c>
      <c r="E2118" s="10" t="n">
        <v>45307.04513888889</v>
      </c>
      <c r="F2118" s="10" t="n">
        <v>45307.05208333334</v>
      </c>
      <c r="G2118" s="11" t="n">
        <v>0.12</v>
      </c>
      <c r="H2118" s="11">
        <f>H2117+G2118</f>
        <v/>
      </c>
    </row>
    <row r="2119">
      <c r="A2119" s="9" t="n">
        <v>2115</v>
      </c>
      <c r="B2119" s="9" t="inlineStr">
        <is>
          <t>Meridian</t>
        </is>
      </c>
      <c r="C2119" s="9" t="inlineStr">
        <is>
          <t>21/50 MA cross, 250-period confirm filter, VWAP</t>
        </is>
      </c>
      <c r="D2119" s="9" t="inlineStr">
        <is>
          <t>Long</t>
        </is>
      </c>
      <c r="E2119" s="10" t="n">
        <v>45306.77083333334</v>
      </c>
      <c r="F2119" s="10" t="n">
        <v>45307.10069444445</v>
      </c>
      <c r="G2119" s="11" t="n">
        <v>-0.47</v>
      </c>
      <c r="H2119" s="11">
        <f>H2118+G2119</f>
        <v/>
      </c>
    </row>
    <row r="2120">
      <c r="A2120" s="9" t="n">
        <v>2116</v>
      </c>
      <c r="B2120" s="9" t="inlineStr">
        <is>
          <t>Ratchet</t>
        </is>
      </c>
      <c r="C2120" s="9" t="inlineStr">
        <is>
          <t>Stochastic scalp with give-back trail exit</t>
        </is>
      </c>
      <c r="D2120" s="9" t="inlineStr">
        <is>
          <t>Short</t>
        </is>
      </c>
      <c r="E2120" s="10" t="n">
        <v>45307.5</v>
      </c>
      <c r="F2120" s="10" t="n">
        <v>45307.52430555555</v>
      </c>
      <c r="G2120" s="11" t="n">
        <v>0.32</v>
      </c>
      <c r="H2120" s="11">
        <f>H2119+G2120</f>
        <v/>
      </c>
    </row>
    <row r="2121">
      <c r="A2121" s="9" t="n">
        <v>2117</v>
      </c>
      <c r="B2121" s="9" t="inlineStr">
        <is>
          <t>Ratchet</t>
        </is>
      </c>
      <c r="C2121" s="9" t="inlineStr">
        <is>
          <t>Stochastic scalp with give-back trail exit</t>
        </is>
      </c>
      <c r="D2121" s="9" t="inlineStr">
        <is>
          <t>Short</t>
        </is>
      </c>
      <c r="E2121" s="10" t="n">
        <v>45307.5625</v>
      </c>
      <c r="F2121" s="10" t="n">
        <v>45307.60069444445</v>
      </c>
      <c r="G2121" s="11" t="n">
        <v>0.92</v>
      </c>
      <c r="H2121" s="11">
        <f>H2120+G2121</f>
        <v/>
      </c>
    </row>
    <row r="2122">
      <c r="A2122" s="9" t="n">
        <v>2118</v>
      </c>
      <c r="B2122" s="9" t="inlineStr">
        <is>
          <t>Ratchet</t>
        </is>
      </c>
      <c r="C2122" s="9" t="inlineStr">
        <is>
          <t>Stochastic scalp with give-back trail exit</t>
        </is>
      </c>
      <c r="D2122" s="9" t="inlineStr">
        <is>
          <t>Short</t>
        </is>
      </c>
      <c r="E2122" s="10" t="n">
        <v>45307.61458333334</v>
      </c>
      <c r="F2122" s="10" t="n">
        <v>45307.62152777778</v>
      </c>
      <c r="G2122" s="11" t="n">
        <v>0.26</v>
      </c>
      <c r="H2122" s="11">
        <f>H2121+G2122</f>
        <v/>
      </c>
    </row>
    <row r="2123">
      <c r="A2123" s="9" t="n">
        <v>2119</v>
      </c>
      <c r="B2123" s="9" t="inlineStr">
        <is>
          <t>Ratchet</t>
        </is>
      </c>
      <c r="C2123" s="9" t="inlineStr">
        <is>
          <t>Stochastic scalp with give-back trail exit</t>
        </is>
      </c>
      <c r="D2123" s="9" t="inlineStr">
        <is>
          <t>Short</t>
        </is>
      </c>
      <c r="E2123" s="10" t="n">
        <v>45307.77430555555</v>
      </c>
      <c r="F2123" s="10" t="n">
        <v>45307.78472222222</v>
      </c>
      <c r="G2123" s="11" t="n">
        <v>0.95</v>
      </c>
      <c r="H2123" s="11">
        <f>H2122+G2123</f>
        <v/>
      </c>
    </row>
    <row r="2124">
      <c r="A2124" s="9" t="n">
        <v>2120</v>
      </c>
      <c r="B2124" s="9" t="inlineStr">
        <is>
          <t>Ratchet</t>
        </is>
      </c>
      <c r="C2124" s="9" t="inlineStr">
        <is>
          <t>Stochastic scalp with give-back trail exit</t>
        </is>
      </c>
      <c r="D2124" s="9" t="inlineStr">
        <is>
          <t>Short</t>
        </is>
      </c>
      <c r="E2124" s="10" t="n">
        <v>45307.87152777778</v>
      </c>
      <c r="F2124" s="10" t="n">
        <v>45307.88541666666</v>
      </c>
      <c r="G2124" s="11" t="n">
        <v>-2.66</v>
      </c>
      <c r="H2124" s="11">
        <f>H2123+G2124</f>
        <v/>
      </c>
    </row>
    <row r="2125">
      <c r="A2125" s="9" t="n">
        <v>2121</v>
      </c>
      <c r="B2125" s="9" t="inlineStr">
        <is>
          <t>Ratchet</t>
        </is>
      </c>
      <c r="C2125" s="9" t="inlineStr">
        <is>
          <t>Stochastic scalp with give-back trail exit</t>
        </is>
      </c>
      <c r="D2125" s="9" t="inlineStr">
        <is>
          <t>Short</t>
        </is>
      </c>
      <c r="E2125" s="10" t="n">
        <v>45307.96875</v>
      </c>
      <c r="F2125" s="10" t="n">
        <v>45307.99305555555</v>
      </c>
      <c r="G2125" s="11" t="n">
        <v>-1.22</v>
      </c>
      <c r="H2125" s="11">
        <f>H2124+G2125</f>
        <v/>
      </c>
    </row>
    <row r="2126">
      <c r="A2126" s="9" t="n">
        <v>2122</v>
      </c>
      <c r="B2126" s="9" t="inlineStr">
        <is>
          <t>Ratchet</t>
        </is>
      </c>
      <c r="C2126" s="9" t="inlineStr">
        <is>
          <t>Stochastic scalp with give-back trail exit</t>
        </is>
      </c>
      <c r="D2126" s="9" t="inlineStr">
        <is>
          <t>Short</t>
        </is>
      </c>
      <c r="E2126" s="10" t="n">
        <v>45308.09027777778</v>
      </c>
      <c r="F2126" s="10" t="n">
        <v>45308.10763888889</v>
      </c>
      <c r="G2126" s="11" t="n">
        <v>-1.51</v>
      </c>
      <c r="H2126" s="11">
        <f>H2125+G2126</f>
        <v/>
      </c>
    </row>
    <row r="2127">
      <c r="A2127" s="9" t="n">
        <v>2123</v>
      </c>
      <c r="B2127" s="9" t="inlineStr">
        <is>
          <t>Aurelius_M5</t>
        </is>
      </c>
      <c r="C2127" s="9" t="inlineStr">
        <is>
          <t>MA alignment (EMA21&gt;EMA50&gt;SMA250&gt;SMMA500 vs EMA2400 trend filter)</t>
        </is>
      </c>
      <c r="D2127" s="9" t="inlineStr">
        <is>
          <t>Short</t>
        </is>
      </c>
      <c r="E2127" s="10" t="n">
        <v>45308.13541666666</v>
      </c>
      <c r="F2127" s="10" t="n">
        <v>45308.14583333334</v>
      </c>
      <c r="G2127" s="11" t="n">
        <v>-1.99</v>
      </c>
      <c r="H2127" s="11">
        <f>H2126+G2127</f>
        <v/>
      </c>
    </row>
    <row r="2128">
      <c r="A2128" s="9" t="n">
        <v>2124</v>
      </c>
      <c r="B2128" s="9" t="inlineStr">
        <is>
          <t>Meridian</t>
        </is>
      </c>
      <c r="C2128" s="9" t="inlineStr">
        <is>
          <t>21/50 MA cross, 250-period confirm filter, VWAP</t>
        </is>
      </c>
      <c r="D2128" s="9" t="inlineStr">
        <is>
          <t>Short</t>
        </is>
      </c>
      <c r="E2128" s="10" t="n">
        <v>45307.75347222222</v>
      </c>
      <c r="F2128" s="10" t="n">
        <v>45308.15277777778</v>
      </c>
      <c r="G2128" s="11" t="n">
        <v>7.07</v>
      </c>
      <c r="H2128" s="11">
        <f>H2127+G2128</f>
        <v/>
      </c>
    </row>
    <row r="2129">
      <c r="A2129" s="9" t="n">
        <v>2125</v>
      </c>
      <c r="B2129" s="9" t="inlineStr">
        <is>
          <t>Ratchet</t>
        </is>
      </c>
      <c r="C2129" s="9" t="inlineStr">
        <is>
          <t>Stochastic scalp with give-back trail exit</t>
        </is>
      </c>
      <c r="D2129" s="9" t="inlineStr">
        <is>
          <t>Short</t>
        </is>
      </c>
      <c r="E2129" s="10" t="n">
        <v>45308.25</v>
      </c>
      <c r="F2129" s="10" t="n">
        <v>45308.26041666666</v>
      </c>
      <c r="G2129" s="11" t="n">
        <v>-0</v>
      </c>
      <c r="H2129" s="11">
        <f>H2128+G2129</f>
        <v/>
      </c>
    </row>
    <row r="2130">
      <c r="A2130" s="9" t="n">
        <v>2126</v>
      </c>
      <c r="B2130" s="9" t="inlineStr">
        <is>
          <t>Ratchet</t>
        </is>
      </c>
      <c r="C2130" s="9" t="inlineStr">
        <is>
          <t>Stochastic scalp with give-back trail exit</t>
        </is>
      </c>
      <c r="D2130" s="9" t="inlineStr">
        <is>
          <t>Short</t>
        </is>
      </c>
      <c r="E2130" s="10" t="n">
        <v>45308.28125</v>
      </c>
      <c r="F2130" s="10" t="n">
        <v>45308.40277777778</v>
      </c>
      <c r="G2130" s="11" t="n">
        <v>2.08</v>
      </c>
      <c r="H2130" s="11">
        <f>H2129+G2130</f>
        <v/>
      </c>
    </row>
    <row r="2131">
      <c r="A2131" s="9" t="n">
        <v>2127</v>
      </c>
      <c r="B2131" s="9" t="inlineStr">
        <is>
          <t>Meridian</t>
        </is>
      </c>
      <c r="C2131" s="9" t="inlineStr">
        <is>
          <t>21/50 MA cross, 250-period confirm filter, VWAP</t>
        </is>
      </c>
      <c r="D2131" s="9" t="inlineStr">
        <is>
          <t>Short</t>
        </is>
      </c>
      <c r="E2131" s="10" t="n">
        <v>45308.22569444445</v>
      </c>
      <c r="F2131" s="10" t="n">
        <v>45308.43055555555</v>
      </c>
      <c r="G2131" s="11" t="n">
        <v>2.14</v>
      </c>
      <c r="H2131" s="11">
        <f>H2130+G2131</f>
        <v/>
      </c>
    </row>
    <row r="2132">
      <c r="A2132" s="9" t="n">
        <v>2128</v>
      </c>
      <c r="B2132" s="9" t="inlineStr">
        <is>
          <t>Meridian</t>
        </is>
      </c>
      <c r="C2132" s="9" t="inlineStr">
        <is>
          <t>21/50 MA cross, 250-period confirm filter, VWAP</t>
        </is>
      </c>
      <c r="D2132" s="9" t="inlineStr">
        <is>
          <t>Short</t>
        </is>
      </c>
      <c r="E2132" s="10" t="n">
        <v>45308.46180555555</v>
      </c>
      <c r="F2132" s="10" t="n">
        <v>45308.49652777778</v>
      </c>
      <c r="G2132" s="11" t="n">
        <v>-3.11</v>
      </c>
      <c r="H2132" s="11">
        <f>H2131+G2132</f>
        <v/>
      </c>
    </row>
    <row r="2133">
      <c r="A2133" s="9" t="n">
        <v>2129</v>
      </c>
      <c r="B2133" s="9" t="inlineStr">
        <is>
          <t>Ratchet</t>
        </is>
      </c>
      <c r="C2133" s="9" t="inlineStr">
        <is>
          <t>Stochastic scalp with give-back trail exit</t>
        </is>
      </c>
      <c r="D2133" s="9" t="inlineStr">
        <is>
          <t>Short</t>
        </is>
      </c>
      <c r="E2133" s="10" t="n">
        <v>45308.67013888889</v>
      </c>
      <c r="F2133" s="10" t="n">
        <v>45308.68402777778</v>
      </c>
      <c r="G2133" s="11" t="n">
        <v>0.9</v>
      </c>
      <c r="H2133" s="11">
        <f>H2132+G2133</f>
        <v/>
      </c>
    </row>
    <row r="2134">
      <c r="A2134" s="9" t="n">
        <v>2130</v>
      </c>
      <c r="B2134" s="9" t="inlineStr">
        <is>
          <t>Aurelius_M5</t>
        </is>
      </c>
      <c r="C2134" s="9" t="inlineStr">
        <is>
          <t>MA alignment (EMA21&gt;EMA50&gt;SMA250&gt;SMMA500 vs EMA2400 trend filter)</t>
        </is>
      </c>
      <c r="D2134" s="9" t="inlineStr">
        <is>
          <t>Short</t>
        </is>
      </c>
      <c r="E2134" s="10" t="n">
        <v>45308.68402777778</v>
      </c>
      <c r="F2134" s="10" t="n">
        <v>45309.04166666666</v>
      </c>
      <c r="G2134" s="11" t="n">
        <v>13.67</v>
      </c>
      <c r="H2134" s="11">
        <f>H2133+G2134</f>
        <v/>
      </c>
    </row>
    <row r="2135">
      <c r="A2135" s="9" t="n">
        <v>2131</v>
      </c>
      <c r="B2135" s="9" t="inlineStr">
        <is>
          <t>Meridian</t>
        </is>
      </c>
      <c r="C2135" s="9" t="inlineStr">
        <is>
          <t>21/50 MA cross, 250-period confirm filter, VWAP</t>
        </is>
      </c>
      <c r="D2135" s="9" t="inlineStr">
        <is>
          <t>Short</t>
        </is>
      </c>
      <c r="E2135" s="10" t="n">
        <v>45308.66666666666</v>
      </c>
      <c r="F2135" s="10" t="n">
        <v>45309.0625</v>
      </c>
      <c r="G2135" s="11" t="n">
        <v>13.09</v>
      </c>
      <c r="H2135" s="11">
        <f>H2134+G2135</f>
        <v/>
      </c>
    </row>
    <row r="2136">
      <c r="A2136" s="9" t="n">
        <v>2132</v>
      </c>
      <c r="B2136" s="9" t="inlineStr">
        <is>
          <t>Meridian</t>
        </is>
      </c>
      <c r="C2136" s="9" t="inlineStr">
        <is>
          <t>21/50 MA cross, 250-period confirm filter, VWAP</t>
        </is>
      </c>
      <c r="D2136" s="9" t="inlineStr">
        <is>
          <t>Short</t>
        </is>
      </c>
      <c r="E2136" s="10" t="n">
        <v>45309.21875</v>
      </c>
      <c r="F2136" s="10" t="n">
        <v>45309.22222222222</v>
      </c>
      <c r="G2136" s="11" t="n">
        <v>-1.76</v>
      </c>
      <c r="H2136" s="11">
        <f>H2135+G2136</f>
        <v/>
      </c>
    </row>
    <row r="2137">
      <c r="A2137" s="9" t="n">
        <v>2133</v>
      </c>
      <c r="B2137" s="9" t="inlineStr">
        <is>
          <t>Aurelius_M5</t>
        </is>
      </c>
      <c r="C2137" s="9" t="inlineStr">
        <is>
          <t>MA alignment (EMA21&gt;EMA50&gt;SMA250&gt;SMMA500 vs EMA2400 trend filter)</t>
        </is>
      </c>
      <c r="D2137" s="9" t="inlineStr">
        <is>
          <t>Short</t>
        </is>
      </c>
      <c r="E2137" s="10" t="n">
        <v>45309.30555555555</v>
      </c>
      <c r="F2137" s="10" t="n">
        <v>45309.31944444445</v>
      </c>
      <c r="G2137" s="11" t="n">
        <v>-1.85</v>
      </c>
      <c r="H2137" s="11">
        <f>H2136+G2137</f>
        <v/>
      </c>
    </row>
    <row r="2138">
      <c r="A2138" s="9" t="n">
        <v>2134</v>
      </c>
      <c r="B2138" s="9" t="inlineStr">
        <is>
          <t>Aurelius_M15</t>
        </is>
      </c>
      <c r="C2138" s="9" t="inlineStr">
        <is>
          <t>MA alignment (EMA21&gt;EMA50&gt;SMA250&gt;SMMA500 vs EMA2400 trend filter) - M15 chart</t>
        </is>
      </c>
      <c r="D2138" s="9" t="inlineStr">
        <is>
          <t>Short</t>
        </is>
      </c>
      <c r="E2138" s="10" t="n">
        <v>45308.70833333334</v>
      </c>
      <c r="F2138" s="10" t="n">
        <v>45309.41666666666</v>
      </c>
      <c r="G2138" s="11" t="n">
        <v>-0.39</v>
      </c>
      <c r="H2138" s="11">
        <f>H2137+G2138</f>
        <v/>
      </c>
    </row>
    <row r="2139">
      <c r="A2139" s="9" t="n">
        <v>2135</v>
      </c>
      <c r="B2139" s="9" t="inlineStr">
        <is>
          <t>Meridian</t>
        </is>
      </c>
      <c r="C2139" s="9" t="inlineStr">
        <is>
          <t>21/50 MA cross, 250-period confirm filter, VWAP</t>
        </is>
      </c>
      <c r="D2139" s="9" t="inlineStr">
        <is>
          <t>Short</t>
        </is>
      </c>
      <c r="E2139" s="10" t="n">
        <v>45309.47222222222</v>
      </c>
      <c r="F2139" s="10" t="n">
        <v>45309.47569444445</v>
      </c>
      <c r="G2139" s="11" t="n">
        <v>-1.66</v>
      </c>
      <c r="H2139" s="11">
        <f>H2138+G2139</f>
        <v/>
      </c>
    </row>
    <row r="2140">
      <c r="A2140" s="9" t="n">
        <v>2136</v>
      </c>
      <c r="B2140" s="9" t="inlineStr">
        <is>
          <t>Vanguard_M15</t>
        </is>
      </c>
      <c r="C2140" s="9" t="inlineStr">
        <is>
          <t>Trendline breakout (fractal swing line) + VWAP/S-R distance gate - M15 chart</t>
        </is>
      </c>
      <c r="D2140" s="9" t="inlineStr">
        <is>
          <t>Long</t>
        </is>
      </c>
      <c r="E2140" s="10" t="n">
        <v>45309.60416666666</v>
      </c>
      <c r="F2140" s="10" t="n">
        <v>45309.63541666666</v>
      </c>
      <c r="G2140" s="11" t="n">
        <v>-5.64</v>
      </c>
      <c r="H2140" s="11">
        <f>H2139+G2140</f>
        <v/>
      </c>
    </row>
    <row r="2141">
      <c r="A2141" s="9" t="n">
        <v>2137</v>
      </c>
      <c r="B2141" s="9" t="inlineStr">
        <is>
          <t>Vanguard_M5</t>
        </is>
      </c>
      <c r="C2141" s="9" t="inlineStr">
        <is>
          <t>Trendline breakout (fractal swing line) + VWAP/S-R distance gate</t>
        </is>
      </c>
      <c r="D2141" s="9" t="inlineStr">
        <is>
          <t>Long</t>
        </is>
      </c>
      <c r="E2141" s="10" t="n">
        <v>45309.59722222222</v>
      </c>
      <c r="F2141" s="10" t="n">
        <v>45309.63888888889</v>
      </c>
      <c r="G2141" s="11" t="n">
        <v>-4.31</v>
      </c>
      <c r="H2141" s="11">
        <f>H2140+G2141</f>
        <v/>
      </c>
    </row>
    <row r="2142">
      <c r="A2142" s="9" t="n">
        <v>2138</v>
      </c>
      <c r="B2142" s="9" t="inlineStr">
        <is>
          <t>Meridian</t>
        </is>
      </c>
      <c r="C2142" s="9" t="inlineStr">
        <is>
          <t>21/50 MA cross, 250-period confirm filter, VWAP</t>
        </is>
      </c>
      <c r="D2142" s="9" t="inlineStr">
        <is>
          <t>Long</t>
        </is>
      </c>
      <c r="E2142" s="10" t="n">
        <v>45309.72569444445</v>
      </c>
      <c r="F2142" s="10" t="n">
        <v>45310.25694444445</v>
      </c>
      <c r="G2142" s="11" t="n">
        <v>8.380000000000001</v>
      </c>
      <c r="H2142" s="11">
        <f>H2141+G2142</f>
        <v/>
      </c>
    </row>
    <row r="2143">
      <c r="A2143" s="9" t="n">
        <v>2139</v>
      </c>
      <c r="B2143" s="9" t="inlineStr">
        <is>
          <t>Ratchet</t>
        </is>
      </c>
      <c r="C2143" s="9" t="inlineStr">
        <is>
          <t>Stochastic scalp with give-back trail exit</t>
        </is>
      </c>
      <c r="D2143" s="9" t="inlineStr">
        <is>
          <t>Long</t>
        </is>
      </c>
      <c r="E2143" s="10" t="n">
        <v>45310.57986111111</v>
      </c>
      <c r="F2143" s="10" t="n">
        <v>45310.67361111111</v>
      </c>
      <c r="G2143" s="11" t="n">
        <v>1.75</v>
      </c>
      <c r="H2143" s="11">
        <f>H2142+G2143</f>
        <v/>
      </c>
    </row>
    <row r="2144">
      <c r="A2144" s="9" t="n">
        <v>2140</v>
      </c>
      <c r="B2144" s="9" t="inlineStr">
        <is>
          <t>Meridian</t>
        </is>
      </c>
      <c r="C2144" s="9" t="inlineStr">
        <is>
          <t>21/50 MA cross, 250-period confirm filter, VWAP</t>
        </is>
      </c>
      <c r="D2144" s="9" t="inlineStr">
        <is>
          <t>Long</t>
        </is>
      </c>
      <c r="E2144" s="10" t="n">
        <v>45310.36458333334</v>
      </c>
      <c r="F2144" s="10" t="n">
        <v>45310.70486111111</v>
      </c>
      <c r="G2144" s="11" t="n">
        <v>5.6</v>
      </c>
      <c r="H2144" s="11">
        <f>H2143+G2144</f>
        <v/>
      </c>
    </row>
    <row r="2145">
      <c r="A2145" s="9" t="n">
        <v>2141</v>
      </c>
      <c r="B2145" s="9" t="inlineStr">
        <is>
          <t>Vanguard_M5</t>
        </is>
      </c>
      <c r="C2145" s="9" t="inlineStr">
        <is>
          <t>Trendline breakout (fractal swing line) + VWAP/S-R distance gate</t>
        </is>
      </c>
      <c r="D2145" s="9" t="inlineStr">
        <is>
          <t>Long</t>
        </is>
      </c>
      <c r="E2145" s="10" t="n">
        <v>45309.72222222222</v>
      </c>
      <c r="F2145" s="10" t="n">
        <v>45310.71527777778</v>
      </c>
      <c r="G2145" s="11" t="n">
        <v>11.01</v>
      </c>
      <c r="H2145" s="11">
        <f>H2144+G2145</f>
        <v/>
      </c>
    </row>
    <row r="2146">
      <c r="A2146" s="9" t="n">
        <v>2142</v>
      </c>
      <c r="B2146" s="9" t="inlineStr">
        <is>
          <t>Meridian</t>
        </is>
      </c>
      <c r="C2146" s="9" t="inlineStr">
        <is>
          <t>21/50 MA cross, 250-period confirm filter, VWAP</t>
        </is>
      </c>
      <c r="D2146" s="9" t="inlineStr">
        <is>
          <t>Long</t>
        </is>
      </c>
      <c r="E2146" s="10" t="n">
        <v>45310.89583333334</v>
      </c>
      <c r="F2146" s="10" t="n">
        <v>45310.91666666666</v>
      </c>
      <c r="G2146" s="11" t="n">
        <v>0.34</v>
      </c>
      <c r="H2146" s="11">
        <f>H2145+G2146</f>
        <v/>
      </c>
    </row>
    <row r="2147">
      <c r="A2147" s="9" t="n">
        <v>2143</v>
      </c>
      <c r="B2147" s="9" t="inlineStr">
        <is>
          <t>Meridian</t>
        </is>
      </c>
      <c r="C2147" s="9" t="inlineStr">
        <is>
          <t>21/50 MA cross, 250-period confirm filter, VWAP</t>
        </is>
      </c>
      <c r="D2147" s="9" t="inlineStr">
        <is>
          <t>Long</t>
        </is>
      </c>
      <c r="E2147" s="10" t="n">
        <v>45313.13194444445</v>
      </c>
      <c r="F2147" s="10" t="n">
        <v>45313.16666666666</v>
      </c>
      <c r="G2147" s="11" t="n">
        <v>-2.5</v>
      </c>
      <c r="H2147" s="11">
        <f>H2146+G2147</f>
        <v/>
      </c>
    </row>
    <row r="2148">
      <c r="A2148" s="9" t="n">
        <v>2144</v>
      </c>
      <c r="B2148" s="9" t="inlineStr">
        <is>
          <t>Vanguard_M15</t>
        </is>
      </c>
      <c r="C2148" s="9" t="inlineStr">
        <is>
          <t>Trendline breakout (fractal swing line) + VWAP/S-R distance gate - M15 chart</t>
        </is>
      </c>
      <c r="D2148" s="9" t="inlineStr">
        <is>
          <t>Long</t>
        </is>
      </c>
      <c r="E2148" s="10" t="n">
        <v>45309.72916666666</v>
      </c>
      <c r="F2148" s="10" t="n">
        <v>45313.20833333334</v>
      </c>
      <c r="G2148" s="11" t="n">
        <v>13.81</v>
      </c>
      <c r="H2148" s="11">
        <f>H2147+G2148</f>
        <v/>
      </c>
    </row>
    <row r="2149">
      <c r="A2149" s="9" t="n">
        <v>2145</v>
      </c>
      <c r="B2149" s="9" t="inlineStr">
        <is>
          <t>Meridian</t>
        </is>
      </c>
      <c r="C2149" s="9" t="inlineStr">
        <is>
          <t>21/50 MA cross, 250-period confirm filter, VWAP</t>
        </is>
      </c>
      <c r="D2149" s="9" t="inlineStr">
        <is>
          <t>Short</t>
        </is>
      </c>
      <c r="E2149" s="10" t="n">
        <v>45313.22569444445</v>
      </c>
      <c r="F2149" s="10" t="n">
        <v>45313.55902777778</v>
      </c>
      <c r="G2149" s="11" t="n">
        <v>3.31</v>
      </c>
      <c r="H2149" s="11">
        <f>H2148+G2149</f>
        <v/>
      </c>
    </row>
    <row r="2150">
      <c r="A2150" s="9" t="n">
        <v>2146</v>
      </c>
      <c r="B2150" s="9" t="inlineStr">
        <is>
          <t>Vanguard_M15</t>
        </is>
      </c>
      <c r="C2150" s="9" t="inlineStr">
        <is>
          <t>Trendline breakout (fractal swing line) + VWAP/S-R distance gate - M15 chart</t>
        </is>
      </c>
      <c r="D2150" s="9" t="inlineStr">
        <is>
          <t>Short</t>
        </is>
      </c>
      <c r="E2150" s="10" t="n">
        <v>45313.21875</v>
      </c>
      <c r="F2150" s="10" t="n">
        <v>45313.5625</v>
      </c>
      <c r="G2150" s="11" t="n">
        <v>2.31</v>
      </c>
      <c r="H2150" s="11">
        <f>H2149+G2150</f>
        <v/>
      </c>
    </row>
    <row r="2151">
      <c r="A2151" s="9" t="n">
        <v>2147</v>
      </c>
      <c r="B2151" s="9" t="inlineStr">
        <is>
          <t>Vanguard_M5</t>
        </is>
      </c>
      <c r="C2151" s="9" t="inlineStr">
        <is>
          <t>Trendline breakout (fractal swing line) + VWAP/S-R distance gate</t>
        </is>
      </c>
      <c r="D2151" s="9" t="inlineStr">
        <is>
          <t>Short</t>
        </is>
      </c>
      <c r="E2151" s="10" t="n">
        <v>45310.71875</v>
      </c>
      <c r="F2151" s="10" t="n">
        <v>45313.56597222222</v>
      </c>
      <c r="G2151" s="11" t="n">
        <v>-1.2</v>
      </c>
      <c r="H2151" s="11">
        <f>H2150+G2151</f>
        <v/>
      </c>
    </row>
    <row r="2152">
      <c r="A2152" s="9" t="n">
        <v>2148</v>
      </c>
      <c r="B2152" s="9" t="inlineStr">
        <is>
          <t>Vanguard_M5</t>
        </is>
      </c>
      <c r="C2152" s="9" t="inlineStr">
        <is>
          <t>Trendline breakout (fractal swing line) + VWAP/S-R distance gate</t>
        </is>
      </c>
      <c r="D2152" s="9" t="inlineStr">
        <is>
          <t>Long</t>
        </is>
      </c>
      <c r="E2152" s="10" t="n">
        <v>45313.56944444445</v>
      </c>
      <c r="F2152" s="10" t="n">
        <v>45313.625</v>
      </c>
      <c r="G2152" s="11" t="n">
        <v>1.68</v>
      </c>
      <c r="H2152" s="11">
        <f>H2151+G2152</f>
        <v/>
      </c>
    </row>
    <row r="2153">
      <c r="A2153" s="9" t="n">
        <v>2149</v>
      </c>
      <c r="B2153" s="9" t="inlineStr">
        <is>
          <t>Vanguard_M15</t>
        </is>
      </c>
      <c r="C2153" s="9" t="inlineStr">
        <is>
          <t>Trendline breakout (fractal swing line) + VWAP/S-R distance gate - M15 chart</t>
        </is>
      </c>
      <c r="D2153" s="9" t="inlineStr">
        <is>
          <t>Long</t>
        </is>
      </c>
      <c r="E2153" s="10" t="n">
        <v>45313.57291666666</v>
      </c>
      <c r="F2153" s="10" t="n">
        <v>45313.6875</v>
      </c>
      <c r="G2153" s="11" t="n">
        <v>-6.22</v>
      </c>
      <c r="H2153" s="11">
        <f>H2152+G2153</f>
        <v/>
      </c>
    </row>
    <row r="2154">
      <c r="A2154" s="9" t="n">
        <v>2150</v>
      </c>
      <c r="B2154" s="9" t="inlineStr">
        <is>
          <t>Meridian</t>
        </is>
      </c>
      <c r="C2154" s="9" t="inlineStr">
        <is>
          <t>21/50 MA cross, 250-period confirm filter, VWAP</t>
        </is>
      </c>
      <c r="D2154" s="9" t="inlineStr">
        <is>
          <t>Short</t>
        </is>
      </c>
      <c r="E2154" s="10" t="n">
        <v>45313.67013888889</v>
      </c>
      <c r="F2154" s="10" t="n">
        <v>45313.71875</v>
      </c>
      <c r="G2154" s="11" t="n">
        <v>-4.06</v>
      </c>
      <c r="H2154" s="11">
        <f>H2153+G2154</f>
        <v/>
      </c>
    </row>
    <row r="2155">
      <c r="A2155" s="9" t="n">
        <v>2151</v>
      </c>
      <c r="B2155" s="9" t="inlineStr">
        <is>
          <t>Ratchet</t>
        </is>
      </c>
      <c r="C2155" s="9" t="inlineStr">
        <is>
          <t>Stochastic scalp with give-back trail exit</t>
        </is>
      </c>
      <c r="D2155" s="9" t="inlineStr">
        <is>
          <t>Short</t>
        </is>
      </c>
      <c r="E2155" s="10" t="n">
        <v>45313.82638888889</v>
      </c>
      <c r="F2155" s="10" t="n">
        <v>45313.99652777778</v>
      </c>
      <c r="G2155" s="11" t="n">
        <v>1.32</v>
      </c>
      <c r="H2155" s="11">
        <f>H2154+G2155</f>
        <v/>
      </c>
    </row>
    <row r="2156">
      <c r="A2156" s="9" t="n">
        <v>2152</v>
      </c>
      <c r="B2156" s="9" t="inlineStr">
        <is>
          <t>Meridian</t>
        </is>
      </c>
      <c r="C2156" s="9" t="inlineStr">
        <is>
          <t>21/50 MA cross, 250-period confirm filter, VWAP</t>
        </is>
      </c>
      <c r="D2156" s="9" t="inlineStr">
        <is>
          <t>Short</t>
        </is>
      </c>
      <c r="E2156" s="10" t="n">
        <v>45314.15972222222</v>
      </c>
      <c r="F2156" s="10" t="n">
        <v>45314.17013888889</v>
      </c>
      <c r="G2156" s="11" t="n">
        <v>-1.87</v>
      </c>
      <c r="H2156" s="11">
        <f>H2155+G2156</f>
        <v/>
      </c>
    </row>
    <row r="2157">
      <c r="A2157" s="9" t="n">
        <v>2153</v>
      </c>
      <c r="B2157" s="9" t="inlineStr">
        <is>
          <t>Aurelius_M15</t>
        </is>
      </c>
      <c r="C2157" s="9" t="inlineStr">
        <is>
          <t>MA alignment (EMA21&gt;EMA50&gt;SMA250&gt;SMMA500 vs EMA2400 trend filter) - M15 chart</t>
        </is>
      </c>
      <c r="D2157" s="9" t="inlineStr">
        <is>
          <t>Short</t>
        </is>
      </c>
      <c r="E2157" s="10" t="n">
        <v>45314.17708333334</v>
      </c>
      <c r="F2157" s="10" t="n">
        <v>45314.22916666666</v>
      </c>
      <c r="G2157" s="11" t="n">
        <v>-3.42</v>
      </c>
      <c r="H2157" s="11">
        <f>H2156+G2157</f>
        <v/>
      </c>
    </row>
    <row r="2158">
      <c r="A2158" s="9" t="n">
        <v>2154</v>
      </c>
      <c r="B2158" s="9" t="inlineStr">
        <is>
          <t>Vanguard_M5</t>
        </is>
      </c>
      <c r="C2158" s="9" t="inlineStr">
        <is>
          <t>Trendline breakout (fractal swing line) + VWAP/S-R distance gate</t>
        </is>
      </c>
      <c r="D2158" s="9" t="inlineStr">
        <is>
          <t>Long</t>
        </is>
      </c>
      <c r="E2158" s="10" t="n">
        <v>45314.29166666666</v>
      </c>
      <c r="F2158" s="10" t="n">
        <v>45314.54166666666</v>
      </c>
      <c r="G2158" s="11" t="n">
        <v>-3.11</v>
      </c>
      <c r="H2158" s="11">
        <f>H2157+G2158</f>
        <v/>
      </c>
    </row>
    <row r="2159">
      <c r="A2159" s="9" t="n">
        <v>2155</v>
      </c>
      <c r="B2159" s="9" t="inlineStr">
        <is>
          <t>Vanguard_M15</t>
        </is>
      </c>
      <c r="C2159" s="9" t="inlineStr">
        <is>
          <t>Trendline breakout (fractal swing line) + VWAP/S-R distance gate - M15 chart</t>
        </is>
      </c>
      <c r="D2159" s="9" t="inlineStr">
        <is>
          <t>Long</t>
        </is>
      </c>
      <c r="E2159" s="10" t="n">
        <v>45313.71875</v>
      </c>
      <c r="F2159" s="10" t="n">
        <v>45314.55208333334</v>
      </c>
      <c r="G2159" s="11" t="n">
        <v>-1.44</v>
      </c>
      <c r="H2159" s="11">
        <f>H2158+G2159</f>
        <v/>
      </c>
    </row>
    <row r="2160">
      <c r="A2160" s="9" t="n">
        <v>2156</v>
      </c>
      <c r="B2160" s="9" t="inlineStr">
        <is>
          <t>Vanguard_M15</t>
        </is>
      </c>
      <c r="C2160" s="9" t="inlineStr">
        <is>
          <t>Trendline breakout (fractal swing line) + VWAP/S-R distance gate - M15 chart</t>
        </is>
      </c>
      <c r="D2160" s="9" t="inlineStr">
        <is>
          <t>Long</t>
        </is>
      </c>
      <c r="E2160" s="10" t="n">
        <v>45314.64583333334</v>
      </c>
      <c r="F2160" s="10" t="n">
        <v>45314.6875</v>
      </c>
      <c r="G2160" s="11" t="n">
        <v>-6.73</v>
      </c>
      <c r="H2160" s="11">
        <f>H2159+G2160</f>
        <v/>
      </c>
    </row>
    <row r="2161">
      <c r="A2161" s="9" t="n">
        <v>2157</v>
      </c>
      <c r="B2161" s="9" t="inlineStr">
        <is>
          <t>Ratchet</t>
        </is>
      </c>
      <c r="C2161" s="9" t="inlineStr">
        <is>
          <t>Stochastic scalp with give-back trail exit</t>
        </is>
      </c>
      <c r="D2161" s="9" t="inlineStr">
        <is>
          <t>Long</t>
        </is>
      </c>
      <c r="E2161" s="10" t="n">
        <v>45314.90625</v>
      </c>
      <c r="F2161" s="10" t="n">
        <v>45314.93055555555</v>
      </c>
      <c r="G2161" s="11" t="n">
        <v>-1.89</v>
      </c>
      <c r="H2161" s="11">
        <f>H2160+G2161</f>
        <v/>
      </c>
    </row>
    <row r="2162">
      <c r="A2162" s="9" t="n">
        <v>2158</v>
      </c>
      <c r="B2162" s="9" t="inlineStr">
        <is>
          <t>Meridian</t>
        </is>
      </c>
      <c r="C2162" s="9" t="inlineStr">
        <is>
          <t>21/50 MA cross, 250-period confirm filter, VWAP</t>
        </is>
      </c>
      <c r="D2162" s="9" t="inlineStr">
        <is>
          <t>Short</t>
        </is>
      </c>
      <c r="E2162" s="10" t="n">
        <v>45315.12847222222</v>
      </c>
      <c r="F2162" s="10" t="n">
        <v>45315.13541666666</v>
      </c>
      <c r="G2162" s="11" t="n">
        <v>-1.67</v>
      </c>
      <c r="H2162" s="11">
        <f>H2161+G2162</f>
        <v/>
      </c>
    </row>
    <row r="2163">
      <c r="A2163" s="9" t="n">
        <v>2159</v>
      </c>
      <c r="B2163" s="9" t="inlineStr">
        <is>
          <t>Vanguard_M15</t>
        </is>
      </c>
      <c r="C2163" s="9" t="inlineStr">
        <is>
          <t>Trendline breakout (fractal swing line) + VWAP/S-R distance gate - M15 chart</t>
        </is>
      </c>
      <c r="D2163" s="9" t="inlineStr">
        <is>
          <t>Short</t>
        </is>
      </c>
      <c r="E2163" s="10" t="n">
        <v>45315.30208333334</v>
      </c>
      <c r="F2163" s="10" t="n">
        <v>45315.34375</v>
      </c>
      <c r="G2163" s="11" t="n">
        <v>-2.08</v>
      </c>
      <c r="H2163" s="11">
        <f>H2162+G2163</f>
        <v/>
      </c>
    </row>
    <row r="2164">
      <c r="A2164" s="9" t="n">
        <v>2160</v>
      </c>
      <c r="B2164" s="9" t="inlineStr">
        <is>
          <t>Vanguard_M5</t>
        </is>
      </c>
      <c r="C2164" s="9" t="inlineStr">
        <is>
          <t>Trendline breakout (fractal swing line) + VWAP/S-R distance gate</t>
        </is>
      </c>
      <c r="D2164" s="9" t="inlineStr">
        <is>
          <t>Short</t>
        </is>
      </c>
      <c r="E2164" s="10" t="n">
        <v>45315.29513888889</v>
      </c>
      <c r="F2164" s="10" t="n">
        <v>45315.34722222222</v>
      </c>
      <c r="G2164" s="11" t="n">
        <v>-1.37</v>
      </c>
      <c r="H2164" s="11">
        <f>H2163+G2164</f>
        <v/>
      </c>
    </row>
    <row r="2165">
      <c r="A2165" s="9" t="n">
        <v>2161</v>
      </c>
      <c r="B2165" s="9" t="inlineStr">
        <is>
          <t>Ratchet</t>
        </is>
      </c>
      <c r="C2165" s="9" t="inlineStr">
        <is>
          <t>Stochastic scalp with give-back trail exit</t>
        </is>
      </c>
      <c r="D2165" s="9" t="inlineStr">
        <is>
          <t>Long</t>
        </is>
      </c>
      <c r="E2165" s="10" t="n">
        <v>45315.46180555555</v>
      </c>
      <c r="F2165" s="10" t="n">
        <v>45315.48958333334</v>
      </c>
      <c r="G2165" s="11" t="n">
        <v>0.6899999999999999</v>
      </c>
      <c r="H2165" s="11">
        <f>H2164+G2165</f>
        <v/>
      </c>
    </row>
    <row r="2166">
      <c r="A2166" s="9" t="n">
        <v>2162</v>
      </c>
      <c r="B2166" s="9" t="inlineStr">
        <is>
          <t>Ratchet</t>
        </is>
      </c>
      <c r="C2166" s="9" t="inlineStr">
        <is>
          <t>Stochastic scalp with give-back trail exit</t>
        </is>
      </c>
      <c r="D2166" s="9" t="inlineStr">
        <is>
          <t>Long</t>
        </is>
      </c>
      <c r="E2166" s="10" t="n">
        <v>45315.60416666666</v>
      </c>
      <c r="F2166" s="10" t="n">
        <v>45315.63194444445</v>
      </c>
      <c r="G2166" s="11" t="n">
        <v>0.22</v>
      </c>
      <c r="H2166" s="11">
        <f>H2165+G2166</f>
        <v/>
      </c>
    </row>
    <row r="2167">
      <c r="A2167" s="9" t="n">
        <v>2163</v>
      </c>
      <c r="B2167" s="9" t="inlineStr">
        <is>
          <t>Ratchet</t>
        </is>
      </c>
      <c r="C2167" s="9" t="inlineStr">
        <is>
          <t>Stochastic scalp with give-back trail exit</t>
        </is>
      </c>
      <c r="D2167" s="9" t="inlineStr">
        <is>
          <t>Long</t>
        </is>
      </c>
      <c r="E2167" s="10" t="n">
        <v>45315.63541666666</v>
      </c>
      <c r="F2167" s="10" t="n">
        <v>45315.64236111111</v>
      </c>
      <c r="G2167" s="11" t="n">
        <v>-2.21</v>
      </c>
      <c r="H2167" s="11">
        <f>H2166+G2167</f>
        <v/>
      </c>
    </row>
    <row r="2168">
      <c r="A2168" s="9" t="n">
        <v>2164</v>
      </c>
      <c r="B2168" s="9" t="inlineStr">
        <is>
          <t>Aurelius_M5</t>
        </is>
      </c>
      <c r="C2168" s="9" t="inlineStr">
        <is>
          <t>MA alignment (EMA21&gt;EMA50&gt;SMA250&gt;SMMA500 vs EMA2400 trend filter)</t>
        </is>
      </c>
      <c r="D2168" s="9" t="inlineStr">
        <is>
          <t>Long</t>
        </is>
      </c>
      <c r="E2168" s="10" t="n">
        <v>45315.64583333334</v>
      </c>
      <c r="F2168" s="10" t="n">
        <v>45315.64930555555</v>
      </c>
      <c r="G2168" s="11" t="n">
        <v>-4.01</v>
      </c>
      <c r="H2168" s="11">
        <f>H2167+G2168</f>
        <v/>
      </c>
    </row>
    <row r="2169">
      <c r="A2169" s="9" t="n">
        <v>2165</v>
      </c>
      <c r="B2169" s="9" t="inlineStr">
        <is>
          <t>Aurelius_M15</t>
        </is>
      </c>
      <c r="C2169" s="9" t="inlineStr">
        <is>
          <t>MA alignment (EMA21&gt;EMA50&gt;SMA250&gt;SMMA500 vs EMA2400 trend filter) - M15 chart</t>
        </is>
      </c>
      <c r="D2169" s="9" t="inlineStr">
        <is>
          <t>Long</t>
        </is>
      </c>
      <c r="E2169" s="10" t="n">
        <v>45315.67708333334</v>
      </c>
      <c r="F2169" s="10" t="n">
        <v>45315.6875</v>
      </c>
      <c r="G2169" s="11" t="n">
        <v>-6.15</v>
      </c>
      <c r="H2169" s="11">
        <f>H2168+G2169</f>
        <v/>
      </c>
    </row>
    <row r="2170">
      <c r="A2170" s="9" t="n">
        <v>2166</v>
      </c>
      <c r="B2170" s="9" t="inlineStr">
        <is>
          <t>Aurelius_M5</t>
        </is>
      </c>
      <c r="C2170" s="9" t="inlineStr">
        <is>
          <t>MA alignment (EMA21&gt;EMA50&gt;SMA250&gt;SMMA500 vs EMA2400 trend filter)</t>
        </is>
      </c>
      <c r="D2170" s="9" t="inlineStr">
        <is>
          <t>Long</t>
        </is>
      </c>
      <c r="E2170" s="10" t="n">
        <v>45315.66666666666</v>
      </c>
      <c r="F2170" s="10" t="n">
        <v>45315.69097222222</v>
      </c>
      <c r="G2170" s="11" t="n">
        <v>-4.55</v>
      </c>
      <c r="H2170" s="11">
        <f>H2169+G2170</f>
        <v/>
      </c>
    </row>
    <row r="2171">
      <c r="A2171" s="9" t="n">
        <v>2167</v>
      </c>
      <c r="B2171" s="9" t="inlineStr">
        <is>
          <t>Vanguard_M15</t>
        </is>
      </c>
      <c r="C2171" s="9" t="inlineStr">
        <is>
          <t>Trendline breakout (fractal swing line) + VWAP/S-R distance gate - M15 chart</t>
        </is>
      </c>
      <c r="D2171" s="9" t="inlineStr">
        <is>
          <t>Long</t>
        </is>
      </c>
      <c r="E2171" s="10" t="n">
        <v>45315.35416666666</v>
      </c>
      <c r="F2171" s="10" t="n">
        <v>45315.69791666666</v>
      </c>
      <c r="G2171" s="11" t="n">
        <v>-4.23</v>
      </c>
      <c r="H2171" s="11">
        <f>H2170+G2171</f>
        <v/>
      </c>
    </row>
    <row r="2172">
      <c r="A2172" s="9" t="n">
        <v>2168</v>
      </c>
      <c r="B2172" s="9" t="inlineStr">
        <is>
          <t>Meridian</t>
        </is>
      </c>
      <c r="C2172" s="9" t="inlineStr">
        <is>
          <t>21/50 MA cross, 250-period confirm filter, VWAP</t>
        </is>
      </c>
      <c r="D2172" s="9" t="inlineStr">
        <is>
          <t>Long</t>
        </is>
      </c>
      <c r="E2172" s="10" t="n">
        <v>45315.36458333334</v>
      </c>
      <c r="F2172" s="10" t="n">
        <v>45315.69791666666</v>
      </c>
      <c r="G2172" s="11" t="n">
        <v>-2.2</v>
      </c>
      <c r="H2172" s="11">
        <f>H2171+G2172</f>
        <v/>
      </c>
    </row>
    <row r="2173">
      <c r="A2173" s="9" t="n">
        <v>2169</v>
      </c>
      <c r="B2173" s="9" t="inlineStr">
        <is>
          <t>Vanguard_M15</t>
        </is>
      </c>
      <c r="C2173" s="9" t="inlineStr">
        <is>
          <t>Trendline breakout (fractal swing line) + VWAP/S-R distance gate - M15 chart</t>
        </is>
      </c>
      <c r="D2173" s="9" t="inlineStr">
        <is>
          <t>Short</t>
        </is>
      </c>
      <c r="E2173" s="10" t="n">
        <v>45315.71875</v>
      </c>
      <c r="F2173" s="10" t="n">
        <v>45315.82291666666</v>
      </c>
      <c r="G2173" s="11" t="n">
        <v>4.17</v>
      </c>
      <c r="H2173" s="11">
        <f>H2172+G2173</f>
        <v/>
      </c>
    </row>
    <row r="2174">
      <c r="A2174" s="9" t="n">
        <v>2170</v>
      </c>
      <c r="B2174" s="9" t="inlineStr">
        <is>
          <t>Vanguard_M5</t>
        </is>
      </c>
      <c r="C2174" s="9" t="inlineStr">
        <is>
          <t>Trendline breakout (fractal swing line) + VWAP/S-R distance gate</t>
        </is>
      </c>
      <c r="D2174" s="9" t="inlineStr">
        <is>
          <t>Short</t>
        </is>
      </c>
      <c r="E2174" s="10" t="n">
        <v>45315.71180555555</v>
      </c>
      <c r="F2174" s="10" t="n">
        <v>45315.82638888889</v>
      </c>
      <c r="G2174" s="11" t="n">
        <v>2.75</v>
      </c>
      <c r="H2174" s="11">
        <f>H2173+G2174</f>
        <v/>
      </c>
    </row>
    <row r="2175">
      <c r="A2175" s="9" t="n">
        <v>2171</v>
      </c>
      <c r="B2175" s="9" t="inlineStr">
        <is>
          <t>Ratchet</t>
        </is>
      </c>
      <c r="C2175" s="9" t="inlineStr">
        <is>
          <t>Stochastic scalp with give-back trail exit</t>
        </is>
      </c>
      <c r="D2175" s="9" t="inlineStr">
        <is>
          <t>Short</t>
        </is>
      </c>
      <c r="E2175" s="10" t="n">
        <v>45316.35069444445</v>
      </c>
      <c r="F2175" s="10" t="n">
        <v>45316.35416666666</v>
      </c>
      <c r="G2175" s="11" t="n">
        <v>-1.13</v>
      </c>
      <c r="H2175" s="11">
        <f>H2174+G2175</f>
        <v/>
      </c>
    </row>
    <row r="2176">
      <c r="A2176" s="9" t="n">
        <v>2172</v>
      </c>
      <c r="B2176" s="9" t="inlineStr">
        <is>
          <t>Meridian</t>
        </is>
      </c>
      <c r="C2176" s="9" t="inlineStr">
        <is>
          <t>21/50 MA cross, 250-period confirm filter, VWAP</t>
        </is>
      </c>
      <c r="D2176" s="9" t="inlineStr">
        <is>
          <t>Short</t>
        </is>
      </c>
      <c r="E2176" s="10" t="n">
        <v>45316.32291666666</v>
      </c>
      <c r="F2176" s="10" t="n">
        <v>45316.35763888889</v>
      </c>
      <c r="G2176" s="11" t="n">
        <v>-1.56</v>
      </c>
      <c r="H2176" s="11">
        <f>H2175+G2176</f>
        <v/>
      </c>
    </row>
    <row r="2177">
      <c r="A2177" s="9" t="n">
        <v>2173</v>
      </c>
      <c r="B2177" s="9" t="inlineStr">
        <is>
          <t>Ratchet</t>
        </is>
      </c>
      <c r="C2177" s="9" t="inlineStr">
        <is>
          <t>Stochastic scalp with give-back trail exit</t>
        </is>
      </c>
      <c r="D2177" s="9" t="inlineStr">
        <is>
          <t>Short</t>
        </is>
      </c>
      <c r="E2177" s="10" t="n">
        <v>45316.45833333334</v>
      </c>
      <c r="F2177" s="10" t="n">
        <v>45316.46527777778</v>
      </c>
      <c r="G2177" s="11" t="n">
        <v>-0</v>
      </c>
      <c r="H2177" s="11">
        <f>H2176+G2177</f>
        <v/>
      </c>
    </row>
    <row r="2178">
      <c r="A2178" s="9" t="n">
        <v>2174</v>
      </c>
      <c r="B2178" s="9" t="inlineStr">
        <is>
          <t>Meridian</t>
        </is>
      </c>
      <c r="C2178" s="9" t="inlineStr">
        <is>
          <t>21/50 MA cross, 250-period confirm filter, VWAP</t>
        </is>
      </c>
      <c r="D2178" s="9" t="inlineStr">
        <is>
          <t>Short</t>
        </is>
      </c>
      <c r="E2178" s="10" t="n">
        <v>45316.42708333334</v>
      </c>
      <c r="F2178" s="10" t="n">
        <v>45316.48263888889</v>
      </c>
      <c r="G2178" s="11" t="n">
        <v>-2.58</v>
      </c>
      <c r="H2178" s="11">
        <f>H2177+G2178</f>
        <v/>
      </c>
    </row>
    <row r="2179">
      <c r="A2179" s="9" t="n">
        <v>2175</v>
      </c>
      <c r="B2179" s="9" t="inlineStr">
        <is>
          <t>Ratchet</t>
        </is>
      </c>
      <c r="C2179" s="9" t="inlineStr">
        <is>
          <t>Stochastic scalp with give-back trail exit</t>
        </is>
      </c>
      <c r="D2179" s="9" t="inlineStr">
        <is>
          <t>Short</t>
        </is>
      </c>
      <c r="E2179" s="10" t="n">
        <v>45316.61458333334</v>
      </c>
      <c r="F2179" s="10" t="n">
        <v>45316.62847222222</v>
      </c>
      <c r="G2179" s="11" t="n">
        <v>0.43</v>
      </c>
      <c r="H2179" s="11">
        <f>H2178+G2179</f>
        <v/>
      </c>
    </row>
    <row r="2180">
      <c r="A2180" s="9" t="n">
        <v>2176</v>
      </c>
      <c r="B2180" s="9" t="inlineStr">
        <is>
          <t>Meridian</t>
        </is>
      </c>
      <c r="C2180" s="9" t="inlineStr">
        <is>
          <t>21/50 MA cross, 250-period confirm filter, VWAP</t>
        </is>
      </c>
      <c r="D2180" s="9" t="inlineStr">
        <is>
          <t>Short</t>
        </is>
      </c>
      <c r="E2180" s="10" t="n">
        <v>45316.60763888889</v>
      </c>
      <c r="F2180" s="10" t="n">
        <v>45316.63541666666</v>
      </c>
      <c r="G2180" s="11" t="n">
        <v>-2.54</v>
      </c>
      <c r="H2180" s="11">
        <f>H2179+G2180</f>
        <v/>
      </c>
    </row>
    <row r="2181">
      <c r="A2181" s="9" t="n">
        <v>2177</v>
      </c>
      <c r="B2181" s="9" t="inlineStr">
        <is>
          <t>Meridian</t>
        </is>
      </c>
      <c r="C2181" s="9" t="inlineStr">
        <is>
          <t>21/50 MA cross, 250-period confirm filter, VWAP</t>
        </is>
      </c>
      <c r="D2181" s="9" t="inlineStr">
        <is>
          <t>Long</t>
        </is>
      </c>
      <c r="E2181" s="10" t="n">
        <v>45316.65277777778</v>
      </c>
      <c r="F2181" s="10" t="n">
        <v>45316.77430555555</v>
      </c>
      <c r="G2181" s="11" t="n">
        <v>-5.46</v>
      </c>
      <c r="H2181" s="11">
        <f>H2180+G2181</f>
        <v/>
      </c>
    </row>
    <row r="2182">
      <c r="A2182" s="9" t="n">
        <v>2178</v>
      </c>
      <c r="B2182" s="9" t="inlineStr">
        <is>
          <t>Meridian</t>
        </is>
      </c>
      <c r="C2182" s="9" t="inlineStr">
        <is>
          <t>21/50 MA cross, 250-period confirm filter, VWAP</t>
        </is>
      </c>
      <c r="D2182" s="9" t="inlineStr">
        <is>
          <t>Long</t>
        </is>
      </c>
      <c r="E2182" s="10" t="n">
        <v>45316.92013888889</v>
      </c>
      <c r="F2182" s="10" t="n">
        <v>45317.38888888889</v>
      </c>
      <c r="G2182" s="11" t="n">
        <v>2.63</v>
      </c>
      <c r="H2182" s="11">
        <f>H2181+G2182</f>
        <v/>
      </c>
    </row>
    <row r="2183">
      <c r="A2183" s="9" t="n">
        <v>2179</v>
      </c>
      <c r="B2183" s="9" t="inlineStr">
        <is>
          <t>Vanguard_M5</t>
        </is>
      </c>
      <c r="C2183" s="9" t="inlineStr">
        <is>
          <t>Trendline breakout (fractal swing line) + VWAP/S-R distance gate</t>
        </is>
      </c>
      <c r="D2183" s="9" t="inlineStr">
        <is>
          <t>Long</t>
        </is>
      </c>
      <c r="E2183" s="10" t="n">
        <v>45317.125</v>
      </c>
      <c r="F2183" s="10" t="n">
        <v>45317.46180555555</v>
      </c>
      <c r="G2183" s="11" t="n">
        <v>-3.11</v>
      </c>
      <c r="H2183" s="11">
        <f>H2182+G2183</f>
        <v/>
      </c>
    </row>
    <row r="2184">
      <c r="A2184" s="9" t="n">
        <v>2180</v>
      </c>
      <c r="B2184" s="9" t="inlineStr">
        <is>
          <t>Meridian</t>
        </is>
      </c>
      <c r="C2184" s="9" t="inlineStr">
        <is>
          <t>21/50 MA cross, 250-period confirm filter, VWAP</t>
        </is>
      </c>
      <c r="D2184" s="9" t="inlineStr">
        <is>
          <t>Long</t>
        </is>
      </c>
      <c r="E2184" s="10" t="n">
        <v>45317.52083333334</v>
      </c>
      <c r="F2184" s="10" t="n">
        <v>45317.60763888889</v>
      </c>
      <c r="G2184" s="11" t="n">
        <v>-2.14</v>
      </c>
      <c r="H2184" s="11">
        <f>H2183+G2184</f>
        <v/>
      </c>
    </row>
    <row r="2185">
      <c r="A2185" s="9" t="n">
        <v>2181</v>
      </c>
      <c r="B2185" s="9" t="inlineStr">
        <is>
          <t>Vanguard_M5</t>
        </is>
      </c>
      <c r="C2185" s="9" t="inlineStr">
        <is>
          <t>Trendline breakout (fractal swing line) + VWAP/S-R distance gate</t>
        </is>
      </c>
      <c r="D2185" s="9" t="inlineStr">
        <is>
          <t>Long</t>
        </is>
      </c>
      <c r="E2185" s="10" t="n">
        <v>45317.53472222222</v>
      </c>
      <c r="F2185" s="10" t="n">
        <v>45317.64930555555</v>
      </c>
      <c r="G2185" s="11" t="n">
        <v>-3.57</v>
      </c>
      <c r="H2185" s="11">
        <f>H2184+G2185</f>
        <v/>
      </c>
    </row>
    <row r="2186">
      <c r="A2186" s="9" t="n">
        <v>2182</v>
      </c>
      <c r="B2186" s="9" t="inlineStr">
        <is>
          <t>Meridian</t>
        </is>
      </c>
      <c r="C2186" s="9" t="inlineStr">
        <is>
          <t>21/50 MA cross, 250-period confirm filter, VWAP</t>
        </is>
      </c>
      <c r="D2186" s="9" t="inlineStr">
        <is>
          <t>Long</t>
        </is>
      </c>
      <c r="E2186" s="10" t="n">
        <v>45317.65625</v>
      </c>
      <c r="F2186" s="10" t="n">
        <v>45317.69791666666</v>
      </c>
      <c r="G2186" s="11" t="n">
        <v>-2.29</v>
      </c>
      <c r="H2186" s="11">
        <f>H2185+G2186</f>
        <v/>
      </c>
    </row>
    <row r="2187">
      <c r="A2187" s="9" t="n">
        <v>2183</v>
      </c>
      <c r="B2187" s="9" t="inlineStr">
        <is>
          <t>Vanguard_M15</t>
        </is>
      </c>
      <c r="C2187" s="9" t="inlineStr">
        <is>
          <t>Trendline breakout (fractal swing line) + VWAP/S-R distance gate - M15 chart</t>
        </is>
      </c>
      <c r="D2187" s="9" t="inlineStr">
        <is>
          <t>Long</t>
        </is>
      </c>
      <c r="E2187" s="10" t="n">
        <v>45317.125</v>
      </c>
      <c r="F2187" s="10" t="n">
        <v>45317.70833333334</v>
      </c>
      <c r="G2187" s="11" t="n">
        <v>-5.33</v>
      </c>
      <c r="H2187" s="11">
        <f>H2186+G2187</f>
        <v/>
      </c>
    </row>
    <row r="2188">
      <c r="A2188" s="9" t="n">
        <v>2184</v>
      </c>
      <c r="B2188" s="9" t="inlineStr">
        <is>
          <t>Vanguard_M5</t>
        </is>
      </c>
      <c r="C2188" s="9" t="inlineStr">
        <is>
          <t>Trendline breakout (fractal swing line) + VWAP/S-R distance gate</t>
        </is>
      </c>
      <c r="D2188" s="9" t="inlineStr">
        <is>
          <t>Long</t>
        </is>
      </c>
      <c r="E2188" s="10" t="n">
        <v>45317.65625</v>
      </c>
      <c r="F2188" s="10" t="n">
        <v>45317.71180555555</v>
      </c>
      <c r="G2188" s="11" t="n">
        <v>-6.53</v>
      </c>
      <c r="H2188" s="11">
        <f>H2187+G2188</f>
        <v/>
      </c>
    </row>
    <row r="2189">
      <c r="A2189" s="9" t="n">
        <v>2185</v>
      </c>
      <c r="B2189" s="9" t="inlineStr">
        <is>
          <t>Ratchet</t>
        </is>
      </c>
      <c r="C2189" s="9" t="inlineStr">
        <is>
          <t>Stochastic scalp with give-back trail exit</t>
        </is>
      </c>
      <c r="D2189" s="9" t="inlineStr">
        <is>
          <t>Long</t>
        </is>
      </c>
      <c r="E2189" s="10" t="n">
        <v>45320.61111111111</v>
      </c>
      <c r="F2189" s="10" t="n">
        <v>45320.61805555555</v>
      </c>
      <c r="G2189" s="11" t="n">
        <v>-1.27</v>
      </c>
      <c r="H2189" s="11">
        <f>H2188+G2189</f>
        <v/>
      </c>
    </row>
    <row r="2190">
      <c r="A2190" s="9" t="n">
        <v>2186</v>
      </c>
      <c r="B2190" s="9" t="inlineStr">
        <is>
          <t>Aurelius_M15</t>
        </is>
      </c>
      <c r="C2190" s="9" t="inlineStr">
        <is>
          <t>MA alignment (EMA21&gt;EMA50&gt;SMA250&gt;SMMA500 vs EMA2400 trend filter) - M15 chart</t>
        </is>
      </c>
      <c r="D2190" s="9" t="inlineStr">
        <is>
          <t>Long</t>
        </is>
      </c>
      <c r="E2190" s="10" t="n">
        <v>45320.6875</v>
      </c>
      <c r="F2190" s="10" t="n">
        <v>45320.6875</v>
      </c>
      <c r="G2190" s="11" t="n">
        <v>-5.08</v>
      </c>
      <c r="H2190" s="11">
        <f>H2189+G2190</f>
        <v/>
      </c>
    </row>
    <row r="2191">
      <c r="A2191" s="9" t="n">
        <v>2187</v>
      </c>
      <c r="B2191" s="9" t="inlineStr">
        <is>
          <t>Meridian</t>
        </is>
      </c>
      <c r="C2191" s="9" t="inlineStr">
        <is>
          <t>21/50 MA cross, 250-period confirm filter, VWAP</t>
        </is>
      </c>
      <c r="D2191" s="9" t="inlineStr">
        <is>
          <t>Long</t>
        </is>
      </c>
      <c r="E2191" s="10" t="n">
        <v>45320.61111111111</v>
      </c>
      <c r="F2191" s="10" t="n">
        <v>45320.69097222222</v>
      </c>
      <c r="G2191" s="11" t="n">
        <v>-2.05</v>
      </c>
      <c r="H2191" s="11">
        <f>H2190+G2191</f>
        <v/>
      </c>
    </row>
    <row r="2192">
      <c r="A2192" s="9" t="n">
        <v>2188</v>
      </c>
      <c r="B2192" s="9" t="inlineStr">
        <is>
          <t>Aurelius_M5</t>
        </is>
      </c>
      <c r="C2192" s="9" t="inlineStr">
        <is>
          <t>MA alignment (EMA21&gt;EMA50&gt;SMA250&gt;SMMA500 vs EMA2400 trend filter)</t>
        </is>
      </c>
      <c r="D2192" s="9" t="inlineStr">
        <is>
          <t>Long</t>
        </is>
      </c>
      <c r="E2192" s="10" t="n">
        <v>45320.64236111111</v>
      </c>
      <c r="F2192" s="10" t="n">
        <v>45320.69097222222</v>
      </c>
      <c r="G2192" s="11" t="n">
        <v>-2.46</v>
      </c>
      <c r="H2192" s="11">
        <f>H2191+G2192</f>
        <v/>
      </c>
    </row>
    <row r="2193">
      <c r="A2193" s="9" t="n">
        <v>2189</v>
      </c>
      <c r="B2193" s="9" t="inlineStr">
        <is>
          <t>Meridian</t>
        </is>
      </c>
      <c r="C2193" s="9" t="inlineStr">
        <is>
          <t>21/50 MA cross, 250-period confirm filter, VWAP</t>
        </is>
      </c>
      <c r="D2193" s="9" t="inlineStr">
        <is>
          <t>Short</t>
        </is>
      </c>
      <c r="E2193" s="10" t="n">
        <v>45320.70486111111</v>
      </c>
      <c r="F2193" s="10" t="n">
        <v>45320.80208333334</v>
      </c>
      <c r="G2193" s="11" t="n">
        <v>-4.38</v>
      </c>
      <c r="H2193" s="11">
        <f>H2192+G2193</f>
        <v/>
      </c>
    </row>
    <row r="2194">
      <c r="A2194" s="9" t="n">
        <v>2190</v>
      </c>
      <c r="B2194" s="9" t="inlineStr">
        <is>
          <t>Vanguard_M15</t>
        </is>
      </c>
      <c r="C2194" s="9" t="inlineStr">
        <is>
          <t>Trendline breakout (fractal swing line) + VWAP/S-R distance gate - M15 chart</t>
        </is>
      </c>
      <c r="D2194" s="9" t="inlineStr">
        <is>
          <t>Short</t>
        </is>
      </c>
      <c r="E2194" s="10" t="n">
        <v>45320.72916666666</v>
      </c>
      <c r="F2194" s="10" t="n">
        <v>45320.80208333334</v>
      </c>
      <c r="G2194" s="11" t="n">
        <v>-7.98</v>
      </c>
      <c r="H2194" s="11">
        <f>H2193+G2194</f>
        <v/>
      </c>
    </row>
    <row r="2195">
      <c r="A2195" s="9" t="n">
        <v>2191</v>
      </c>
      <c r="B2195" s="9" t="inlineStr">
        <is>
          <t>Vanguard_M5</t>
        </is>
      </c>
      <c r="C2195" s="9" t="inlineStr">
        <is>
          <t>Trendline breakout (fractal swing line) + VWAP/S-R distance gate</t>
        </is>
      </c>
      <c r="D2195" s="9" t="inlineStr">
        <is>
          <t>Short</t>
        </is>
      </c>
      <c r="E2195" s="10" t="n">
        <v>45320.72916666666</v>
      </c>
      <c r="F2195" s="10" t="n">
        <v>45320.80208333334</v>
      </c>
      <c r="G2195" s="11" t="n">
        <v>-6.83</v>
      </c>
      <c r="H2195" s="11">
        <f>H2194+G2195</f>
        <v/>
      </c>
    </row>
    <row r="2196">
      <c r="A2196" s="9" t="n">
        <v>2192</v>
      </c>
      <c r="B2196" s="9" t="inlineStr">
        <is>
          <t>Meridian</t>
        </is>
      </c>
      <c r="C2196" s="9" t="inlineStr">
        <is>
          <t>21/50 MA cross, 250-period confirm filter, VWAP</t>
        </is>
      </c>
      <c r="D2196" s="9" t="inlineStr">
        <is>
          <t>Long</t>
        </is>
      </c>
      <c r="E2196" s="10" t="n">
        <v>45320.81597222222</v>
      </c>
      <c r="F2196" s="10" t="n">
        <v>45320.83680555555</v>
      </c>
      <c r="G2196" s="11" t="n">
        <v>-3</v>
      </c>
      <c r="H2196" s="11">
        <f>H2195+G2196</f>
        <v/>
      </c>
    </row>
    <row r="2197">
      <c r="A2197" s="9" t="n">
        <v>2193</v>
      </c>
      <c r="B2197" s="9" t="inlineStr">
        <is>
          <t>Meridian</t>
        </is>
      </c>
      <c r="C2197" s="9" t="inlineStr">
        <is>
          <t>21/50 MA cross, 250-period confirm filter, VWAP</t>
        </is>
      </c>
      <c r="D2197" s="9" t="inlineStr">
        <is>
          <t>Short</t>
        </is>
      </c>
      <c r="E2197" s="10" t="n">
        <v>45320.85763888889</v>
      </c>
      <c r="F2197" s="10" t="n">
        <v>45320.91666666666</v>
      </c>
      <c r="G2197" s="11" t="n">
        <v>-2.54</v>
      </c>
      <c r="H2197" s="11">
        <f>H2196+G2197</f>
        <v/>
      </c>
    </row>
    <row r="2198">
      <c r="A2198" s="9" t="n">
        <v>2194</v>
      </c>
      <c r="B2198" s="9" t="inlineStr">
        <is>
          <t>Aurelius_M5</t>
        </is>
      </c>
      <c r="C2198" s="9" t="inlineStr">
        <is>
          <t>MA alignment (EMA21&gt;EMA50&gt;SMA250&gt;SMMA500 vs EMA2400 trend filter)</t>
        </is>
      </c>
      <c r="D2198" s="9" t="inlineStr">
        <is>
          <t>Long</t>
        </is>
      </c>
      <c r="E2198" s="10" t="n">
        <v>45320.9375</v>
      </c>
      <c r="F2198" s="10" t="n">
        <v>45321.04166666666</v>
      </c>
      <c r="G2198" s="11" t="n">
        <v>-0.07000000000000001</v>
      </c>
      <c r="H2198" s="11">
        <f>H2197+G2198</f>
        <v/>
      </c>
    </row>
    <row r="2199">
      <c r="A2199" s="9" t="n">
        <v>2195</v>
      </c>
      <c r="B2199" s="9" t="inlineStr">
        <is>
          <t>Meridian</t>
        </is>
      </c>
      <c r="C2199" s="9" t="inlineStr">
        <is>
          <t>21/50 MA cross, 250-period confirm filter, VWAP</t>
        </is>
      </c>
      <c r="D2199" s="9" t="inlineStr">
        <is>
          <t>Long</t>
        </is>
      </c>
      <c r="E2199" s="10" t="n">
        <v>45320.92361111111</v>
      </c>
      <c r="F2199" s="10" t="n">
        <v>45321.1875</v>
      </c>
      <c r="G2199" s="11" t="n">
        <v>0.43</v>
      </c>
      <c r="H2199" s="11">
        <f>H2198+G2199</f>
        <v/>
      </c>
    </row>
    <row r="2200">
      <c r="A2200" s="9" t="n">
        <v>2196</v>
      </c>
      <c r="B2200" s="9" t="inlineStr">
        <is>
          <t>Ratchet</t>
        </is>
      </c>
      <c r="C2200" s="9" t="inlineStr">
        <is>
          <t>Stochastic scalp with give-back trail exit</t>
        </is>
      </c>
      <c r="D2200" s="9" t="inlineStr">
        <is>
          <t>Long</t>
        </is>
      </c>
      <c r="E2200" s="10" t="n">
        <v>45321.25347222222</v>
      </c>
      <c r="F2200" s="10" t="n">
        <v>45321.26041666666</v>
      </c>
      <c r="G2200" s="11" t="n">
        <v>0.1</v>
      </c>
      <c r="H2200" s="11">
        <f>H2199+G2200</f>
        <v/>
      </c>
    </row>
    <row r="2201">
      <c r="A2201" s="9" t="n">
        <v>2197</v>
      </c>
      <c r="B2201" s="9" t="inlineStr">
        <is>
          <t>Ratchet</t>
        </is>
      </c>
      <c r="C2201" s="9" t="inlineStr">
        <is>
          <t>Stochastic scalp with give-back trail exit</t>
        </is>
      </c>
      <c r="D2201" s="9" t="inlineStr">
        <is>
          <t>Long</t>
        </is>
      </c>
      <c r="E2201" s="10" t="n">
        <v>45321.31597222222</v>
      </c>
      <c r="F2201" s="10" t="n">
        <v>45321.32986111111</v>
      </c>
      <c r="G2201" s="11" t="n">
        <v>-1.06</v>
      </c>
      <c r="H2201" s="11">
        <f>H2200+G2201</f>
        <v/>
      </c>
    </row>
    <row r="2202">
      <c r="A2202" s="9" t="n">
        <v>2198</v>
      </c>
      <c r="B2202" s="9" t="inlineStr">
        <is>
          <t>Ratchet</t>
        </is>
      </c>
      <c r="C2202" s="9" t="inlineStr">
        <is>
          <t>Stochastic scalp with give-back trail exit</t>
        </is>
      </c>
      <c r="D2202" s="9" t="inlineStr">
        <is>
          <t>Long</t>
        </is>
      </c>
      <c r="E2202" s="10" t="n">
        <v>45321.34027777778</v>
      </c>
      <c r="F2202" s="10" t="n">
        <v>45321.36458333334</v>
      </c>
      <c r="G2202" s="11" t="n">
        <v>0.73</v>
      </c>
      <c r="H2202" s="11">
        <f>H2201+G2202</f>
        <v/>
      </c>
    </row>
    <row r="2203">
      <c r="A2203" s="9" t="n">
        <v>2199</v>
      </c>
      <c r="B2203" s="9" t="inlineStr">
        <is>
          <t>Ratchet</t>
        </is>
      </c>
      <c r="C2203" s="9" t="inlineStr">
        <is>
          <t>Stochastic scalp with give-back trail exit</t>
        </is>
      </c>
      <c r="D2203" s="9" t="inlineStr">
        <is>
          <t>Long</t>
        </is>
      </c>
      <c r="E2203" s="10" t="n">
        <v>45321.375</v>
      </c>
      <c r="F2203" s="10" t="n">
        <v>45321.38541666666</v>
      </c>
      <c r="G2203" s="11" t="n">
        <v>-0</v>
      </c>
      <c r="H2203" s="11">
        <f>H2202+G2203</f>
        <v/>
      </c>
    </row>
    <row r="2204">
      <c r="A2204" s="9" t="n">
        <v>2200</v>
      </c>
      <c r="B2204" s="9" t="inlineStr">
        <is>
          <t>Ratchet</t>
        </is>
      </c>
      <c r="C2204" s="9" t="inlineStr">
        <is>
          <t>Stochastic scalp with give-back trail exit</t>
        </is>
      </c>
      <c r="D2204" s="9" t="inlineStr">
        <is>
          <t>Long</t>
        </is>
      </c>
      <c r="E2204" s="10" t="n">
        <v>45321.39583333334</v>
      </c>
      <c r="F2204" s="10" t="n">
        <v>45321.47222222222</v>
      </c>
      <c r="G2204" s="11" t="n">
        <v>0.91</v>
      </c>
      <c r="H2204" s="11">
        <f>H2203+G2204</f>
        <v/>
      </c>
    </row>
    <row r="2205">
      <c r="A2205" s="9" t="n">
        <v>2201</v>
      </c>
      <c r="B2205" s="9" t="inlineStr">
        <is>
          <t>Meridian</t>
        </is>
      </c>
      <c r="C2205" s="9" t="inlineStr">
        <is>
          <t>21/50 MA cross, 250-period confirm filter, VWAP</t>
        </is>
      </c>
      <c r="D2205" s="9" t="inlineStr">
        <is>
          <t>Long</t>
        </is>
      </c>
      <c r="E2205" s="10" t="n">
        <v>45321.20833333334</v>
      </c>
      <c r="F2205" s="10" t="n">
        <v>45321.55555555555</v>
      </c>
      <c r="G2205" s="11" t="n">
        <v>1.72</v>
      </c>
      <c r="H2205" s="11">
        <f>H2204+G2205</f>
        <v/>
      </c>
    </row>
    <row r="2206">
      <c r="A2206" s="9" t="n">
        <v>2202</v>
      </c>
      <c r="B2206" s="9" t="inlineStr">
        <is>
          <t>Aurelius_M5</t>
        </is>
      </c>
      <c r="C2206" s="9" t="inlineStr">
        <is>
          <t>MA alignment (EMA21&gt;EMA50&gt;SMA250&gt;SMMA500 vs EMA2400 trend filter)</t>
        </is>
      </c>
      <c r="D2206" s="9" t="inlineStr">
        <is>
          <t>Long</t>
        </is>
      </c>
      <c r="E2206" s="10" t="n">
        <v>45321.31944444445</v>
      </c>
      <c r="F2206" s="10" t="n">
        <v>45321.55555555555</v>
      </c>
      <c r="G2206" s="11" t="n">
        <v>1.08</v>
      </c>
      <c r="H2206" s="11">
        <f>H2205+G2206</f>
        <v/>
      </c>
    </row>
    <row r="2207">
      <c r="A2207" s="9" t="n">
        <v>2203</v>
      </c>
      <c r="B2207" s="9" t="inlineStr">
        <is>
          <t>Ratchet</t>
        </is>
      </c>
      <c r="C2207" s="9" t="inlineStr">
        <is>
          <t>Stochastic scalp with give-back trail exit</t>
        </is>
      </c>
      <c r="D2207" s="9" t="inlineStr">
        <is>
          <t>Long</t>
        </is>
      </c>
      <c r="E2207" s="10" t="n">
        <v>45321.66319444445</v>
      </c>
      <c r="F2207" s="10" t="n">
        <v>45321.6875</v>
      </c>
      <c r="G2207" s="11" t="n">
        <v>10.29</v>
      </c>
      <c r="H2207" s="11">
        <f>H2206+G2207</f>
        <v/>
      </c>
    </row>
    <row r="2208">
      <c r="A2208" s="9" t="n">
        <v>2204</v>
      </c>
      <c r="B2208" s="9" t="inlineStr">
        <is>
          <t>Aurelius_M5</t>
        </is>
      </c>
      <c r="C2208" s="9" t="inlineStr">
        <is>
          <t>MA alignment (EMA21&gt;EMA50&gt;SMA250&gt;SMMA500 vs EMA2400 trend filter)</t>
        </is>
      </c>
      <c r="D2208" s="9" t="inlineStr">
        <is>
          <t>Long</t>
        </is>
      </c>
      <c r="E2208" s="10" t="n">
        <v>45321.67708333334</v>
      </c>
      <c r="F2208" s="10" t="n">
        <v>45321.71180555555</v>
      </c>
      <c r="G2208" s="11" t="n">
        <v>-3.55</v>
      </c>
      <c r="H2208" s="11">
        <f>H2207+G2208</f>
        <v/>
      </c>
    </row>
    <row r="2209">
      <c r="A2209" s="9" t="n">
        <v>2205</v>
      </c>
      <c r="B2209" s="9" t="inlineStr">
        <is>
          <t>Meridian</t>
        </is>
      </c>
      <c r="C2209" s="9" t="inlineStr">
        <is>
          <t>21/50 MA cross, 250-period confirm filter, VWAP</t>
        </is>
      </c>
      <c r="D2209" s="9" t="inlineStr">
        <is>
          <t>Long</t>
        </is>
      </c>
      <c r="E2209" s="10" t="n">
        <v>45321.66319444445</v>
      </c>
      <c r="F2209" s="10" t="n">
        <v>45321.71875</v>
      </c>
      <c r="G2209" s="11" t="n">
        <v>-2.87</v>
      </c>
      <c r="H2209" s="11">
        <f>H2208+G2209</f>
        <v/>
      </c>
    </row>
    <row r="2210">
      <c r="A2210" s="9" t="n">
        <v>2206</v>
      </c>
      <c r="B2210" s="9" t="inlineStr">
        <is>
          <t>Aurelius_M15</t>
        </is>
      </c>
      <c r="C2210" s="9" t="inlineStr">
        <is>
          <t>MA alignment (EMA21&gt;EMA50&gt;SMA250&gt;SMMA500 vs EMA2400 trend filter) - M15 chart</t>
        </is>
      </c>
      <c r="D2210" s="9" t="inlineStr">
        <is>
          <t>Long</t>
        </is>
      </c>
      <c r="E2210" s="10" t="n">
        <v>45320.95833333334</v>
      </c>
      <c r="F2210" s="10" t="n">
        <v>45321.88541666666</v>
      </c>
      <c r="G2210" s="11" t="n">
        <v>1.77</v>
      </c>
      <c r="H2210" s="11">
        <f>H2209+G2210</f>
        <v/>
      </c>
    </row>
    <row r="2211">
      <c r="A2211" s="9" t="n">
        <v>2207</v>
      </c>
      <c r="B2211" s="9" t="inlineStr">
        <is>
          <t>Meridian</t>
        </is>
      </c>
      <c r="C2211" s="9" t="inlineStr">
        <is>
          <t>21/50 MA cross, 250-period confirm filter, VWAP</t>
        </is>
      </c>
      <c r="D2211" s="9" t="inlineStr">
        <is>
          <t>Short</t>
        </is>
      </c>
      <c r="E2211" s="10" t="n">
        <v>45321.73958333334</v>
      </c>
      <c r="F2211" s="10" t="n">
        <v>45321.90972222222</v>
      </c>
      <c r="G2211" s="11" t="n">
        <v>-5.41</v>
      </c>
      <c r="H2211" s="11">
        <f>H2210+G2211</f>
        <v/>
      </c>
    </row>
    <row r="2212">
      <c r="A2212" s="9" t="n">
        <v>2208</v>
      </c>
      <c r="B2212" s="9" t="inlineStr">
        <is>
          <t>Ratchet</t>
        </is>
      </c>
      <c r="C2212" s="9" t="inlineStr">
        <is>
          <t>Stochastic scalp with give-back trail exit</t>
        </is>
      </c>
      <c r="D2212" s="9" t="inlineStr">
        <is>
          <t>Long</t>
        </is>
      </c>
      <c r="E2212" s="10" t="n">
        <v>45321.94791666666</v>
      </c>
      <c r="F2212" s="10" t="n">
        <v>45321.99652777778</v>
      </c>
      <c r="G2212" s="11" t="n">
        <v>0.17</v>
      </c>
      <c r="H2212" s="11">
        <f>H2211+G2212</f>
        <v/>
      </c>
    </row>
    <row r="2213">
      <c r="A2213" s="9" t="n">
        <v>2209</v>
      </c>
      <c r="B2213" s="9" t="inlineStr">
        <is>
          <t>Ratchet</t>
        </is>
      </c>
      <c r="C2213" s="9" t="inlineStr">
        <is>
          <t>Stochastic scalp with give-back trail exit</t>
        </is>
      </c>
      <c r="D2213" s="9" t="inlineStr">
        <is>
          <t>Long</t>
        </is>
      </c>
      <c r="E2213" s="10" t="n">
        <v>45322.11111111111</v>
      </c>
      <c r="F2213" s="10" t="n">
        <v>45322.11111111111</v>
      </c>
      <c r="G2213" s="11" t="n">
        <v>-1.02</v>
      </c>
      <c r="H2213" s="11">
        <f>H2212+G2213</f>
        <v/>
      </c>
    </row>
    <row r="2214">
      <c r="A2214" s="9" t="n">
        <v>2210</v>
      </c>
      <c r="B2214" s="9" t="inlineStr">
        <is>
          <t>Aurelius_M5</t>
        </is>
      </c>
      <c r="C2214" s="9" t="inlineStr">
        <is>
          <t>MA alignment (EMA21&gt;EMA50&gt;SMA250&gt;SMMA500 vs EMA2400 trend filter)</t>
        </is>
      </c>
      <c r="D2214" s="9" t="inlineStr">
        <is>
          <t>Long</t>
        </is>
      </c>
      <c r="E2214" s="10" t="n">
        <v>45322.13194444445</v>
      </c>
      <c r="F2214" s="10" t="n">
        <v>45322.15625</v>
      </c>
      <c r="G2214" s="11" t="n">
        <v>-1.68</v>
      </c>
      <c r="H2214" s="11">
        <f>H2213+G2214</f>
        <v/>
      </c>
    </row>
    <row r="2215">
      <c r="A2215" s="9" t="n">
        <v>2211</v>
      </c>
      <c r="B2215" s="9" t="inlineStr">
        <is>
          <t>Vanguard_M5</t>
        </is>
      </c>
      <c r="C2215" s="9" t="inlineStr">
        <is>
          <t>Trendline breakout (fractal swing line) + VWAP/S-R distance gate</t>
        </is>
      </c>
      <c r="D2215" s="9" t="inlineStr">
        <is>
          <t>Short</t>
        </is>
      </c>
      <c r="E2215" s="10" t="n">
        <v>45322.25694444445</v>
      </c>
      <c r="F2215" s="10" t="n">
        <v>45322.32986111111</v>
      </c>
      <c r="G2215" s="11" t="n">
        <v>-1.84</v>
      </c>
      <c r="H2215" s="11">
        <f>H2214+G2215</f>
        <v/>
      </c>
    </row>
    <row r="2216">
      <c r="A2216" s="9" t="n">
        <v>2212</v>
      </c>
      <c r="B2216" s="9" t="inlineStr">
        <is>
          <t>Meridian</t>
        </is>
      </c>
      <c r="C2216" s="9" t="inlineStr">
        <is>
          <t>21/50 MA cross, 250-period confirm filter, VWAP</t>
        </is>
      </c>
      <c r="D2216" s="9" t="inlineStr">
        <is>
          <t>Short</t>
        </is>
      </c>
      <c r="E2216" s="10" t="n">
        <v>45322.15972222222</v>
      </c>
      <c r="F2216" s="10" t="n">
        <v>45322.34722222222</v>
      </c>
      <c r="G2216" s="11" t="n">
        <v>0.16</v>
      </c>
      <c r="H2216" s="11">
        <f>H2215+G2216</f>
        <v/>
      </c>
    </row>
    <row r="2217">
      <c r="A2217" s="9" t="n">
        <v>2213</v>
      </c>
      <c r="B2217" s="9" t="inlineStr">
        <is>
          <t>Vanguard_M15</t>
        </is>
      </c>
      <c r="C2217" s="9" t="inlineStr">
        <is>
          <t>Trendline breakout (fractal swing line) + VWAP/S-R distance gate - M15 chart</t>
        </is>
      </c>
      <c r="D2217" s="9" t="inlineStr">
        <is>
          <t>Short</t>
        </is>
      </c>
      <c r="E2217" s="10" t="n">
        <v>45322.3125</v>
      </c>
      <c r="F2217" s="10" t="n">
        <v>45322.375</v>
      </c>
      <c r="G2217" s="11" t="n">
        <v>-2.8</v>
      </c>
      <c r="H2217" s="11">
        <f>H2216+G2217</f>
        <v/>
      </c>
    </row>
    <row r="2218">
      <c r="A2218" s="9" t="n">
        <v>2214</v>
      </c>
      <c r="B2218" s="9" t="inlineStr">
        <is>
          <t>Meridian</t>
        </is>
      </c>
      <c r="C2218" s="9" t="inlineStr">
        <is>
          <t>21/50 MA cross, 250-period confirm filter, VWAP</t>
        </is>
      </c>
      <c r="D2218" s="9" t="inlineStr">
        <is>
          <t>Short</t>
        </is>
      </c>
      <c r="E2218" s="10" t="n">
        <v>45322.36111111111</v>
      </c>
      <c r="F2218" s="10" t="n">
        <v>45322.37847222222</v>
      </c>
      <c r="G2218" s="11" t="n">
        <v>-1.22</v>
      </c>
      <c r="H2218" s="11">
        <f>H2217+G2218</f>
        <v/>
      </c>
    </row>
    <row r="2219">
      <c r="A2219" s="9" t="n">
        <v>2215</v>
      </c>
      <c r="B2219" s="9" t="inlineStr">
        <is>
          <t>Vanguard_M5</t>
        </is>
      </c>
      <c r="C2219" s="9" t="inlineStr">
        <is>
          <t>Trendline breakout (fractal swing line) + VWAP/S-R distance gate</t>
        </is>
      </c>
      <c r="D2219" s="9" t="inlineStr">
        <is>
          <t>Short</t>
        </is>
      </c>
      <c r="E2219" s="10" t="n">
        <v>45322.36111111111</v>
      </c>
      <c r="F2219" s="10" t="n">
        <v>45322.38194444445</v>
      </c>
      <c r="G2219" s="11" t="n">
        <v>-1.94</v>
      </c>
      <c r="H2219" s="11">
        <f>H2218+G2219</f>
        <v/>
      </c>
    </row>
    <row r="2220">
      <c r="A2220" s="9" t="n">
        <v>2216</v>
      </c>
      <c r="B2220" s="9" t="inlineStr">
        <is>
          <t>Ratchet</t>
        </is>
      </c>
      <c r="C2220" s="9" t="inlineStr">
        <is>
          <t>Stochastic scalp with give-back trail exit</t>
        </is>
      </c>
      <c r="D2220" s="9" t="inlineStr">
        <is>
          <t>Long</t>
        </is>
      </c>
      <c r="E2220" s="10" t="n">
        <v>45322.41666666666</v>
      </c>
      <c r="F2220" s="10" t="n">
        <v>45322.50347222222</v>
      </c>
      <c r="G2220" s="11" t="n">
        <v>0.96</v>
      </c>
      <c r="H2220" s="11">
        <f>H2219+G2220</f>
        <v/>
      </c>
    </row>
    <row r="2221">
      <c r="A2221" s="9" t="n">
        <v>2217</v>
      </c>
      <c r="B2221" s="9" t="inlineStr">
        <is>
          <t>Aurelius_M5</t>
        </is>
      </c>
      <c r="C2221" s="9" t="inlineStr">
        <is>
          <t>MA alignment (EMA21&gt;EMA50&gt;SMA250&gt;SMMA500 vs EMA2400 trend filter)</t>
        </is>
      </c>
      <c r="D2221" s="9" t="inlineStr">
        <is>
          <t>Long</t>
        </is>
      </c>
      <c r="E2221" s="10" t="n">
        <v>45322.54513888889</v>
      </c>
      <c r="F2221" s="10" t="n">
        <v>45322.62847222222</v>
      </c>
      <c r="G2221" s="11" t="n">
        <v>-1.81</v>
      </c>
      <c r="H2221" s="11">
        <f>H2220+G2221</f>
        <v/>
      </c>
    </row>
    <row r="2222">
      <c r="A2222" s="9" t="n">
        <v>2218</v>
      </c>
      <c r="B2222" s="9" t="inlineStr">
        <is>
          <t>Vanguard_M15</t>
        </is>
      </c>
      <c r="C2222" s="9" t="inlineStr">
        <is>
          <t>Trendline breakout (fractal swing line) + VWAP/S-R distance gate - M15 chart</t>
        </is>
      </c>
      <c r="D2222" s="9" t="inlineStr">
        <is>
          <t>Short</t>
        </is>
      </c>
      <c r="E2222" s="10" t="n">
        <v>45322.63541666666</v>
      </c>
      <c r="F2222" s="10" t="n">
        <v>45322.64583333334</v>
      </c>
      <c r="G2222" s="11" t="n">
        <v>-4.13</v>
      </c>
      <c r="H2222" s="11">
        <f>H2221+G2222</f>
        <v/>
      </c>
    </row>
    <row r="2223">
      <c r="A2223" s="9" t="n">
        <v>2219</v>
      </c>
      <c r="B2223" s="9" t="inlineStr">
        <is>
          <t>Vanguard_M5</t>
        </is>
      </c>
      <c r="C2223" s="9" t="inlineStr">
        <is>
          <t>Trendline breakout (fractal swing line) + VWAP/S-R distance gate</t>
        </is>
      </c>
      <c r="D2223" s="9" t="inlineStr">
        <is>
          <t>Short</t>
        </is>
      </c>
      <c r="E2223" s="10" t="n">
        <v>45322.63541666666</v>
      </c>
      <c r="F2223" s="10" t="n">
        <v>45322.64583333334</v>
      </c>
      <c r="G2223" s="11" t="n">
        <v>-3.77</v>
      </c>
      <c r="H2223" s="11">
        <f>H2222+G2223</f>
        <v/>
      </c>
    </row>
    <row r="2224">
      <c r="A2224" s="9" t="n">
        <v>2220</v>
      </c>
      <c r="B2224" s="9" t="inlineStr">
        <is>
          <t>Aurelius_M5</t>
        </is>
      </c>
      <c r="C2224" s="9" t="inlineStr">
        <is>
          <t>MA alignment (EMA21&gt;EMA50&gt;SMA250&gt;SMMA500 vs EMA2400 trend filter)</t>
        </is>
      </c>
      <c r="D2224" s="9" t="inlineStr">
        <is>
          <t>Long</t>
        </is>
      </c>
      <c r="E2224" s="10" t="n">
        <v>45322.65972222222</v>
      </c>
      <c r="F2224" s="10" t="n">
        <v>45322.87847222222</v>
      </c>
      <c r="G2224" s="11" t="n">
        <v>3.29</v>
      </c>
      <c r="H2224" s="11">
        <f>H2223+G2224</f>
        <v/>
      </c>
    </row>
    <row r="2225">
      <c r="A2225" s="9" t="n">
        <v>2221</v>
      </c>
      <c r="B2225" s="9" t="inlineStr">
        <is>
          <t>Aurelius_M15</t>
        </is>
      </c>
      <c r="C2225" s="9" t="inlineStr">
        <is>
          <t>MA alignment (EMA21&gt;EMA50&gt;SMA250&gt;SMMA500 vs EMA2400 trend filter) - M15 chart</t>
        </is>
      </c>
      <c r="D2225" s="9" t="inlineStr">
        <is>
          <t>Long</t>
        </is>
      </c>
      <c r="E2225" s="10" t="n">
        <v>45322.65625</v>
      </c>
      <c r="F2225" s="10" t="n">
        <v>45322.91666666666</v>
      </c>
      <c r="G2225" s="11" t="n">
        <v>-4.24</v>
      </c>
      <c r="H2225" s="11">
        <f>H2224+G2225</f>
        <v/>
      </c>
    </row>
    <row r="2226">
      <c r="A2226" s="9" t="n">
        <v>2222</v>
      </c>
      <c r="B2226" s="9" t="inlineStr">
        <is>
          <t>Ratchet</t>
        </is>
      </c>
      <c r="C2226" s="9" t="inlineStr">
        <is>
          <t>Stochastic scalp with give-back trail exit</t>
        </is>
      </c>
      <c r="D2226" s="9" t="inlineStr">
        <is>
          <t>Long</t>
        </is>
      </c>
      <c r="E2226" s="10" t="n">
        <v>45323.28125</v>
      </c>
      <c r="F2226" s="10" t="n">
        <v>45323.29166666666</v>
      </c>
      <c r="G2226" s="11" t="n">
        <v>-1</v>
      </c>
      <c r="H2226" s="11">
        <f>H2225+G2226</f>
        <v/>
      </c>
    </row>
    <row r="2227">
      <c r="A2227" s="9" t="n">
        <v>2223</v>
      </c>
      <c r="B2227" s="9" t="inlineStr">
        <is>
          <t>Meridian</t>
        </is>
      </c>
      <c r="C2227" s="9" t="inlineStr">
        <is>
          <t>21/50 MA cross, 250-period confirm filter, VWAP</t>
        </is>
      </c>
      <c r="D2227" s="9" t="inlineStr">
        <is>
          <t>Long</t>
        </is>
      </c>
      <c r="E2227" s="10" t="n">
        <v>45323.15625</v>
      </c>
      <c r="F2227" s="10" t="n">
        <v>45323.35069444445</v>
      </c>
      <c r="G2227" s="11" t="n">
        <v>1.22</v>
      </c>
      <c r="H2227" s="11">
        <f>H2226+G2227</f>
        <v/>
      </c>
    </row>
    <row r="2228">
      <c r="A2228" s="9" t="n">
        <v>2224</v>
      </c>
      <c r="B2228" s="9" t="inlineStr">
        <is>
          <t>Vanguard_M5</t>
        </is>
      </c>
      <c r="C2228" s="9" t="inlineStr">
        <is>
          <t>Trendline breakout (fractal swing line) + VWAP/S-R distance gate</t>
        </is>
      </c>
      <c r="D2228" s="9" t="inlineStr">
        <is>
          <t>Short</t>
        </is>
      </c>
      <c r="E2228" s="10" t="n">
        <v>45322.92013888889</v>
      </c>
      <c r="F2228" s="10" t="n">
        <v>45323.69444444445</v>
      </c>
      <c r="G2228" s="11" t="n">
        <v>-14.97</v>
      </c>
      <c r="H2228" s="11">
        <f>H2227+G2228</f>
        <v/>
      </c>
    </row>
    <row r="2229">
      <c r="A2229" s="9" t="n">
        <v>2225</v>
      </c>
      <c r="B2229" s="9" t="inlineStr">
        <is>
          <t>Vanguard_M15</t>
        </is>
      </c>
      <c r="C2229" s="9" t="inlineStr">
        <is>
          <t>Trendline breakout (fractal swing line) + VWAP/S-R distance gate - M15 chart</t>
        </is>
      </c>
      <c r="D2229" s="9" t="inlineStr">
        <is>
          <t>Short</t>
        </is>
      </c>
      <c r="E2229" s="10" t="n">
        <v>45322.92708333334</v>
      </c>
      <c r="F2229" s="10" t="n">
        <v>45323.69791666666</v>
      </c>
      <c r="G2229" s="11" t="n">
        <v>-13.75</v>
      </c>
      <c r="H2229" s="11">
        <f>H2228+G2229</f>
        <v/>
      </c>
    </row>
    <row r="2230">
      <c r="A2230" s="9" t="n">
        <v>2226</v>
      </c>
      <c r="B2230" s="9" t="inlineStr">
        <is>
          <t>Ratchet</t>
        </is>
      </c>
      <c r="C2230" s="9" t="inlineStr">
        <is>
          <t>Stochastic scalp with give-back trail exit</t>
        </is>
      </c>
      <c r="D2230" s="9" t="inlineStr">
        <is>
          <t>Long</t>
        </is>
      </c>
      <c r="E2230" s="10" t="n">
        <v>45323.71180555555</v>
      </c>
      <c r="F2230" s="10" t="n">
        <v>45323.71527777778</v>
      </c>
      <c r="G2230" s="11" t="n">
        <v>-0</v>
      </c>
      <c r="H2230" s="11">
        <f>H2229+G2230</f>
        <v/>
      </c>
    </row>
    <row r="2231">
      <c r="A2231" s="9" t="n">
        <v>2227</v>
      </c>
      <c r="B2231" s="9" t="inlineStr">
        <is>
          <t>Aurelius_M15</t>
        </is>
      </c>
      <c r="C2231" s="9" t="inlineStr">
        <is>
          <t>MA alignment (EMA21&gt;EMA50&gt;SMA250&gt;SMMA500 vs EMA2400 trend filter) - M15 chart</t>
        </is>
      </c>
      <c r="D2231" s="9" t="inlineStr">
        <is>
          <t>Long</t>
        </is>
      </c>
      <c r="E2231" s="10" t="n">
        <v>45323.78125</v>
      </c>
      <c r="F2231" s="10" t="n">
        <v>45323.8125</v>
      </c>
      <c r="G2231" s="11" t="n">
        <v>-10.22</v>
      </c>
      <c r="H2231" s="11">
        <f>H2230+G2231</f>
        <v/>
      </c>
    </row>
    <row r="2232">
      <c r="A2232" s="9" t="n">
        <v>2228</v>
      </c>
      <c r="B2232" s="9" t="inlineStr">
        <is>
          <t>Ratchet</t>
        </is>
      </c>
      <c r="C2232" s="9" t="inlineStr">
        <is>
          <t>Stochastic scalp with give-back trail exit</t>
        </is>
      </c>
      <c r="D2232" s="9" t="inlineStr">
        <is>
          <t>Long</t>
        </is>
      </c>
      <c r="E2232" s="10" t="n">
        <v>45323.71875</v>
      </c>
      <c r="F2232" s="10" t="n">
        <v>45323.81944444445</v>
      </c>
      <c r="G2232" s="11" t="n">
        <v>4.63</v>
      </c>
      <c r="H2232" s="11">
        <f>H2231+G2232</f>
        <v/>
      </c>
    </row>
    <row r="2233">
      <c r="A2233" s="9" t="n">
        <v>2229</v>
      </c>
      <c r="B2233" s="9" t="inlineStr">
        <is>
          <t>Ratchet</t>
        </is>
      </c>
      <c r="C2233" s="9" t="inlineStr">
        <is>
          <t>Stochastic scalp with give-back trail exit</t>
        </is>
      </c>
      <c r="D2233" s="9" t="inlineStr">
        <is>
          <t>Long</t>
        </is>
      </c>
      <c r="E2233" s="10" t="n">
        <v>45323.86458333334</v>
      </c>
      <c r="F2233" s="10" t="n">
        <v>45323.99652777778</v>
      </c>
      <c r="G2233" s="11" t="n">
        <v>-2.95</v>
      </c>
      <c r="H2233" s="11">
        <f>H2232+G2233</f>
        <v/>
      </c>
    </row>
    <row r="2234">
      <c r="A2234" s="9" t="n">
        <v>2230</v>
      </c>
      <c r="B2234" s="9" t="inlineStr">
        <is>
          <t>Ratchet</t>
        </is>
      </c>
      <c r="C2234" s="9" t="inlineStr">
        <is>
          <t>Stochastic scalp with give-back trail exit</t>
        </is>
      </c>
      <c r="D2234" s="9" t="inlineStr">
        <is>
          <t>Long</t>
        </is>
      </c>
      <c r="E2234" s="10" t="n">
        <v>45324.05555555555</v>
      </c>
      <c r="F2234" s="10" t="n">
        <v>45324.07291666666</v>
      </c>
      <c r="G2234" s="11" t="n">
        <v>-1</v>
      </c>
      <c r="H2234" s="11">
        <f>H2233+G2234</f>
        <v/>
      </c>
    </row>
    <row r="2235">
      <c r="A2235" s="9" t="n">
        <v>2231</v>
      </c>
      <c r="B2235" s="9" t="inlineStr">
        <is>
          <t>Ratchet</t>
        </is>
      </c>
      <c r="C2235" s="9" t="inlineStr">
        <is>
          <t>Stochastic scalp with give-back trail exit</t>
        </is>
      </c>
      <c r="D2235" s="9" t="inlineStr">
        <is>
          <t>Long</t>
        </is>
      </c>
      <c r="E2235" s="10" t="n">
        <v>45324.27777777778</v>
      </c>
      <c r="F2235" s="10" t="n">
        <v>45324.28125</v>
      </c>
      <c r="G2235" s="11" t="n">
        <v>-0.87</v>
      </c>
      <c r="H2235" s="11">
        <f>H2234+G2235</f>
        <v/>
      </c>
    </row>
    <row r="2236">
      <c r="A2236" s="9" t="n">
        <v>2232</v>
      </c>
      <c r="B2236" s="9" t="inlineStr">
        <is>
          <t>Meridian</t>
        </is>
      </c>
      <c r="C2236" s="9" t="inlineStr">
        <is>
          <t>21/50 MA cross, 250-period confirm filter, VWAP</t>
        </is>
      </c>
      <c r="D2236" s="9" t="inlineStr">
        <is>
          <t>Long</t>
        </is>
      </c>
      <c r="E2236" s="10" t="n">
        <v>45324.26041666666</v>
      </c>
      <c r="F2236" s="10" t="n">
        <v>45324.45486111111</v>
      </c>
      <c r="G2236" s="11" t="n">
        <v>-1.58</v>
      </c>
      <c r="H2236" s="11">
        <f>H2235+G2236</f>
        <v/>
      </c>
    </row>
    <row r="2237">
      <c r="A2237" s="9" t="n">
        <v>2233</v>
      </c>
      <c r="B2237" s="9" t="inlineStr">
        <is>
          <t>Aurelius_M5</t>
        </is>
      </c>
      <c r="C2237" s="9" t="inlineStr">
        <is>
          <t>MA alignment (EMA21&gt;EMA50&gt;SMA250&gt;SMMA500 vs EMA2400 trend filter)</t>
        </is>
      </c>
      <c r="D2237" s="9" t="inlineStr">
        <is>
          <t>Long</t>
        </is>
      </c>
      <c r="E2237" s="10" t="n">
        <v>45324.31597222222</v>
      </c>
      <c r="F2237" s="10" t="n">
        <v>45324.45486111111</v>
      </c>
      <c r="G2237" s="11" t="n">
        <v>-1.64</v>
      </c>
      <c r="H2237" s="11">
        <f>H2236+G2237</f>
        <v/>
      </c>
    </row>
    <row r="2238">
      <c r="A2238" s="9" t="n">
        <v>2234</v>
      </c>
      <c r="B2238" s="9" t="inlineStr">
        <is>
          <t>Ratchet</t>
        </is>
      </c>
      <c r="C2238" s="9" t="inlineStr">
        <is>
          <t>Stochastic scalp with give-back trail exit</t>
        </is>
      </c>
      <c r="D2238" s="9" t="inlineStr">
        <is>
          <t>Long</t>
        </is>
      </c>
      <c r="E2238" s="10" t="n">
        <v>45324.57986111111</v>
      </c>
      <c r="F2238" s="10" t="n">
        <v>45324.61111111111</v>
      </c>
      <c r="G2238" s="11" t="n">
        <v>-1.15</v>
      </c>
      <c r="H2238" s="11">
        <f>H2237+G2238</f>
        <v/>
      </c>
    </row>
    <row r="2239">
      <c r="A2239" s="9" t="n">
        <v>2235</v>
      </c>
      <c r="B2239" s="9" t="inlineStr">
        <is>
          <t>Meridian</t>
        </is>
      </c>
      <c r="C2239" s="9" t="inlineStr">
        <is>
          <t>21/50 MA cross, 250-period confirm filter, VWAP</t>
        </is>
      </c>
      <c r="D2239" s="9" t="inlineStr">
        <is>
          <t>Long</t>
        </is>
      </c>
      <c r="E2239" s="10" t="n">
        <v>45324.56944444445</v>
      </c>
      <c r="F2239" s="10" t="n">
        <v>45324.61458333334</v>
      </c>
      <c r="G2239" s="11" t="n">
        <v>-1.9</v>
      </c>
      <c r="H2239" s="11">
        <f>H2238+G2239</f>
        <v/>
      </c>
    </row>
    <row r="2240">
      <c r="A2240" s="9" t="n">
        <v>2236</v>
      </c>
      <c r="B2240" s="9" t="inlineStr">
        <is>
          <t>Meridian</t>
        </is>
      </c>
      <c r="C2240" s="9" t="inlineStr">
        <is>
          <t>21/50 MA cross, 250-period confirm filter, VWAP</t>
        </is>
      </c>
      <c r="D2240" s="9" t="inlineStr">
        <is>
          <t>Short</t>
        </is>
      </c>
      <c r="E2240" s="10" t="n">
        <v>45324.64583333334</v>
      </c>
      <c r="F2240" s="10" t="n">
        <v>45324.91319444445</v>
      </c>
      <c r="G2240" s="11" t="n">
        <v>13.81</v>
      </c>
      <c r="H2240" s="11">
        <f>H2239+G2240</f>
        <v/>
      </c>
    </row>
    <row r="2241">
      <c r="A2241" s="9" t="n">
        <v>2237</v>
      </c>
      <c r="B2241" s="9" t="inlineStr">
        <is>
          <t>Meridian</t>
        </is>
      </c>
      <c r="C2241" s="9" t="inlineStr">
        <is>
          <t>21/50 MA cross, 250-period confirm filter, VWAP</t>
        </is>
      </c>
      <c r="D2241" s="9" t="inlineStr">
        <is>
          <t>Short</t>
        </is>
      </c>
      <c r="E2241" s="10" t="n">
        <v>45327.10763888889</v>
      </c>
      <c r="F2241" s="10" t="n">
        <v>45327.15277777778</v>
      </c>
      <c r="G2241" s="11" t="n">
        <v>-3.21</v>
      </c>
      <c r="H2241" s="11">
        <f>H2240+G2241</f>
        <v/>
      </c>
    </row>
    <row r="2242">
      <c r="A2242" s="9" t="n">
        <v>2238</v>
      </c>
      <c r="B2242" s="9" t="inlineStr">
        <is>
          <t>Ratchet</t>
        </is>
      </c>
      <c r="C2242" s="9" t="inlineStr">
        <is>
          <t>Stochastic scalp with give-back trail exit</t>
        </is>
      </c>
      <c r="D2242" s="9" t="inlineStr">
        <is>
          <t>Short</t>
        </is>
      </c>
      <c r="E2242" s="10" t="n">
        <v>45327.1875</v>
      </c>
      <c r="F2242" s="10" t="n">
        <v>45327.19791666666</v>
      </c>
      <c r="G2242" s="11" t="n">
        <v>0.2</v>
      </c>
      <c r="H2242" s="11">
        <f>H2241+G2242</f>
        <v/>
      </c>
    </row>
    <row r="2243">
      <c r="A2243" s="9" t="n">
        <v>2239</v>
      </c>
      <c r="B2243" s="9" t="inlineStr">
        <is>
          <t>Ratchet</t>
        </is>
      </c>
      <c r="C2243" s="9" t="inlineStr">
        <is>
          <t>Stochastic scalp with give-back trail exit</t>
        </is>
      </c>
      <c r="D2243" s="9" t="inlineStr">
        <is>
          <t>Short</t>
        </is>
      </c>
      <c r="E2243" s="10" t="n">
        <v>45327.20138888889</v>
      </c>
      <c r="F2243" s="10" t="n">
        <v>45327.21180555555</v>
      </c>
      <c r="G2243" s="11" t="n">
        <v>0.5</v>
      </c>
      <c r="H2243" s="11">
        <f>H2242+G2243</f>
        <v/>
      </c>
    </row>
    <row r="2244">
      <c r="A2244" s="9" t="n">
        <v>2240</v>
      </c>
      <c r="B2244" s="9" t="inlineStr">
        <is>
          <t>Ratchet</t>
        </is>
      </c>
      <c r="C2244" s="9" t="inlineStr">
        <is>
          <t>Stochastic scalp with give-back trail exit</t>
        </is>
      </c>
      <c r="D2244" s="9" t="inlineStr">
        <is>
          <t>Short</t>
        </is>
      </c>
      <c r="E2244" s="10" t="n">
        <v>45327.31597222222</v>
      </c>
      <c r="F2244" s="10" t="n">
        <v>45327.33680555555</v>
      </c>
      <c r="G2244" s="11" t="n">
        <v>0.31</v>
      </c>
      <c r="H2244" s="11">
        <f>H2243+G2244</f>
        <v/>
      </c>
    </row>
    <row r="2245">
      <c r="A2245" s="9" t="n">
        <v>2241</v>
      </c>
      <c r="B2245" s="9" t="inlineStr">
        <is>
          <t>Ratchet</t>
        </is>
      </c>
      <c r="C2245" s="9" t="inlineStr">
        <is>
          <t>Stochastic scalp with give-back trail exit</t>
        </is>
      </c>
      <c r="D2245" s="9" t="inlineStr">
        <is>
          <t>Short</t>
        </is>
      </c>
      <c r="E2245" s="10" t="n">
        <v>45327.41319444445</v>
      </c>
      <c r="F2245" s="10" t="n">
        <v>45327.54861111111</v>
      </c>
      <c r="G2245" s="11" t="n">
        <v>1.97</v>
      </c>
      <c r="H2245" s="11">
        <f>H2244+G2245</f>
        <v/>
      </c>
    </row>
    <row r="2246">
      <c r="A2246" s="9" t="n">
        <v>2242</v>
      </c>
      <c r="B2246" s="9" t="inlineStr">
        <is>
          <t>Ratchet</t>
        </is>
      </c>
      <c r="C2246" s="9" t="inlineStr">
        <is>
          <t>Stochastic scalp with give-back trail exit</t>
        </is>
      </c>
      <c r="D2246" s="9" t="inlineStr">
        <is>
          <t>Short</t>
        </is>
      </c>
      <c r="E2246" s="10" t="n">
        <v>45327.63194444445</v>
      </c>
      <c r="F2246" s="10" t="n">
        <v>45327.69791666666</v>
      </c>
      <c r="G2246" s="11" t="n">
        <v>1.88</v>
      </c>
      <c r="H2246" s="11">
        <f>H2245+G2246</f>
        <v/>
      </c>
    </row>
    <row r="2247">
      <c r="A2247" s="9" t="n">
        <v>2243</v>
      </c>
      <c r="B2247" s="9" t="inlineStr">
        <is>
          <t>Ratchet</t>
        </is>
      </c>
      <c r="C2247" s="9" t="inlineStr">
        <is>
          <t>Stochastic scalp with give-back trail exit</t>
        </is>
      </c>
      <c r="D2247" s="9" t="inlineStr">
        <is>
          <t>Short</t>
        </is>
      </c>
      <c r="E2247" s="10" t="n">
        <v>45327.74652777778</v>
      </c>
      <c r="F2247" s="10" t="n">
        <v>45327.77083333334</v>
      </c>
      <c r="G2247" s="11" t="n">
        <v>-4.8</v>
      </c>
      <c r="H2247" s="11">
        <f>H2246+G2247</f>
        <v/>
      </c>
    </row>
    <row r="2248">
      <c r="A2248" s="9" t="n">
        <v>2244</v>
      </c>
      <c r="B2248" s="9" t="inlineStr">
        <is>
          <t>Aurelius_M5</t>
        </is>
      </c>
      <c r="C2248" s="9" t="inlineStr">
        <is>
          <t>MA alignment (EMA21&gt;EMA50&gt;SMA250&gt;SMMA500 vs EMA2400 trend filter)</t>
        </is>
      </c>
      <c r="D2248" s="9" t="inlineStr">
        <is>
          <t>Short</t>
        </is>
      </c>
      <c r="E2248" s="10" t="n">
        <v>45327.63541666666</v>
      </c>
      <c r="F2248" s="10" t="n">
        <v>45327.79513888889</v>
      </c>
      <c r="G2248" s="11" t="n">
        <v>-1.64</v>
      </c>
      <c r="H2248" s="11">
        <f>H2247+G2248</f>
        <v/>
      </c>
    </row>
    <row r="2249">
      <c r="A2249" s="9" t="n">
        <v>2245</v>
      </c>
      <c r="B2249" s="9" t="inlineStr">
        <is>
          <t>Meridian</t>
        </is>
      </c>
      <c r="C2249" s="9" t="inlineStr">
        <is>
          <t>21/50 MA cross, 250-period confirm filter, VWAP</t>
        </is>
      </c>
      <c r="D2249" s="9" t="inlineStr">
        <is>
          <t>Short</t>
        </is>
      </c>
      <c r="E2249" s="10" t="n">
        <v>45327.61111111111</v>
      </c>
      <c r="F2249" s="10" t="n">
        <v>45327.79861111111</v>
      </c>
      <c r="G2249" s="11" t="n">
        <v>1.08</v>
      </c>
      <c r="H2249" s="11">
        <f>H2248+G2249</f>
        <v/>
      </c>
    </row>
    <row r="2250">
      <c r="A2250" s="9" t="n">
        <v>2246</v>
      </c>
      <c r="B2250" s="9" t="inlineStr">
        <is>
          <t>Meridian</t>
        </is>
      </c>
      <c r="C2250" s="9" t="inlineStr">
        <is>
          <t>21/50 MA cross, 250-period confirm filter, VWAP</t>
        </is>
      </c>
      <c r="D2250" s="9" t="inlineStr">
        <is>
          <t>Short</t>
        </is>
      </c>
      <c r="E2250" s="10" t="n">
        <v>45328.22222222222</v>
      </c>
      <c r="F2250" s="10" t="n">
        <v>45328.28125</v>
      </c>
      <c r="G2250" s="11" t="n">
        <v>-1.76</v>
      </c>
      <c r="H2250" s="11">
        <f>H2249+G2250</f>
        <v/>
      </c>
    </row>
    <row r="2251">
      <c r="A2251" s="9" t="n">
        <v>2247</v>
      </c>
      <c r="B2251" s="9" t="inlineStr">
        <is>
          <t>Meridian</t>
        </is>
      </c>
      <c r="C2251" s="9" t="inlineStr">
        <is>
          <t>21/50 MA cross, 250-period confirm filter, VWAP</t>
        </is>
      </c>
      <c r="D2251" s="9" t="inlineStr">
        <is>
          <t>Long</t>
        </is>
      </c>
      <c r="E2251" s="10" t="n">
        <v>45328.30208333334</v>
      </c>
      <c r="F2251" s="10" t="n">
        <v>45328.43055555555</v>
      </c>
      <c r="G2251" s="11" t="n">
        <v>-0.43</v>
      </c>
      <c r="H2251" s="11">
        <f>H2250+G2251</f>
        <v/>
      </c>
    </row>
    <row r="2252">
      <c r="A2252" s="9" t="n">
        <v>2248</v>
      </c>
      <c r="B2252" s="9" t="inlineStr">
        <is>
          <t>Meridian</t>
        </is>
      </c>
      <c r="C2252" s="9" t="inlineStr">
        <is>
          <t>21/50 MA cross, 250-period confirm filter, VWAP</t>
        </is>
      </c>
      <c r="D2252" s="9" t="inlineStr">
        <is>
          <t>Long</t>
        </is>
      </c>
      <c r="E2252" s="10" t="n">
        <v>45328.57986111111</v>
      </c>
      <c r="F2252" s="10" t="n">
        <v>45329.07638888889</v>
      </c>
      <c r="G2252" s="11" t="n">
        <v>8.51</v>
      </c>
      <c r="H2252" s="11">
        <f>H2251+G2252</f>
        <v/>
      </c>
    </row>
    <row r="2253">
      <c r="A2253" s="9" t="n">
        <v>2249</v>
      </c>
      <c r="B2253" s="9" t="inlineStr">
        <is>
          <t>Meridian</t>
        </is>
      </c>
      <c r="C2253" s="9" t="inlineStr">
        <is>
          <t>21/50 MA cross, 250-period confirm filter, VWAP</t>
        </is>
      </c>
      <c r="D2253" s="9" t="inlineStr">
        <is>
          <t>Long</t>
        </is>
      </c>
      <c r="E2253" s="10" t="n">
        <v>45329.3125</v>
      </c>
      <c r="F2253" s="10" t="n">
        <v>45329.31597222222</v>
      </c>
      <c r="G2253" s="11" t="n">
        <v>-0.6</v>
      </c>
      <c r="H2253" s="11">
        <f>H2252+G2253</f>
        <v/>
      </c>
    </row>
    <row r="2254">
      <c r="A2254" s="9" t="n">
        <v>2250</v>
      </c>
      <c r="B2254" s="9" t="inlineStr">
        <is>
          <t>Meridian</t>
        </is>
      </c>
      <c r="C2254" s="9" t="inlineStr">
        <is>
          <t>21/50 MA cross, 250-period confirm filter, VWAP</t>
        </is>
      </c>
      <c r="D2254" s="9" t="inlineStr">
        <is>
          <t>Long</t>
        </is>
      </c>
      <c r="E2254" s="10" t="n">
        <v>45329.40625</v>
      </c>
      <c r="F2254" s="10" t="n">
        <v>45329.42708333334</v>
      </c>
      <c r="G2254" s="11" t="n">
        <v>-1.65</v>
      </c>
      <c r="H2254" s="11">
        <f>H2253+G2254</f>
        <v/>
      </c>
    </row>
    <row r="2255">
      <c r="A2255" s="9" t="n">
        <v>2251</v>
      </c>
      <c r="B2255" s="9" t="inlineStr">
        <is>
          <t>Meridian</t>
        </is>
      </c>
      <c r="C2255" s="9" t="inlineStr">
        <is>
          <t>21/50 MA cross, 250-period confirm filter, VWAP</t>
        </is>
      </c>
      <c r="D2255" s="9" t="inlineStr">
        <is>
          <t>Short</t>
        </is>
      </c>
      <c r="E2255" s="10" t="n">
        <v>45329.43402777778</v>
      </c>
      <c r="F2255" s="10" t="n">
        <v>45329.48958333334</v>
      </c>
      <c r="G2255" s="11" t="n">
        <v>-1.82</v>
      </c>
      <c r="H2255" s="11">
        <f>H2254+G2255</f>
        <v/>
      </c>
    </row>
    <row r="2256">
      <c r="A2256" s="9" t="n">
        <v>2252</v>
      </c>
      <c r="B2256" s="9" t="inlineStr">
        <is>
          <t>Vanguard_M5</t>
        </is>
      </c>
      <c r="C2256" s="9" t="inlineStr">
        <is>
          <t>Trendline breakout (fractal swing line) + VWAP/S-R distance gate</t>
        </is>
      </c>
      <c r="D2256" s="9" t="inlineStr">
        <is>
          <t>Short</t>
        </is>
      </c>
      <c r="E2256" s="10" t="n">
        <v>45329.4375</v>
      </c>
      <c r="F2256" s="10" t="n">
        <v>45329.5625</v>
      </c>
      <c r="G2256" s="11" t="n">
        <v>-2.96</v>
      </c>
      <c r="H2256" s="11">
        <f>H2255+G2256</f>
        <v/>
      </c>
    </row>
    <row r="2257">
      <c r="A2257" s="9" t="n">
        <v>2253</v>
      </c>
      <c r="B2257" s="9" t="inlineStr">
        <is>
          <t>Meridian</t>
        </is>
      </c>
      <c r="C2257" s="9" t="inlineStr">
        <is>
          <t>21/50 MA cross, 250-period confirm filter, VWAP</t>
        </is>
      </c>
      <c r="D2257" s="9" t="inlineStr">
        <is>
          <t>Long</t>
        </is>
      </c>
      <c r="E2257" s="10" t="n">
        <v>45329.56597222222</v>
      </c>
      <c r="F2257" s="10" t="n">
        <v>45329.56944444445</v>
      </c>
      <c r="G2257" s="11" t="n">
        <v>-1.7</v>
      </c>
      <c r="H2257" s="11">
        <f>H2256+G2257</f>
        <v/>
      </c>
    </row>
    <row r="2258">
      <c r="A2258" s="9" t="n">
        <v>2254</v>
      </c>
      <c r="B2258" s="9" t="inlineStr">
        <is>
          <t>Meridian</t>
        </is>
      </c>
      <c r="C2258" s="9" t="inlineStr">
        <is>
          <t>21/50 MA cross, 250-period confirm filter, VWAP</t>
        </is>
      </c>
      <c r="D2258" s="9" t="inlineStr">
        <is>
          <t>Short</t>
        </is>
      </c>
      <c r="E2258" s="10" t="n">
        <v>45329.59375</v>
      </c>
      <c r="F2258" s="10" t="n">
        <v>45329.63888888889</v>
      </c>
      <c r="G2258" s="11" t="n">
        <v>-2.04</v>
      </c>
      <c r="H2258" s="11">
        <f>H2257+G2258</f>
        <v/>
      </c>
    </row>
    <row r="2259">
      <c r="A2259" s="9" t="n">
        <v>2255</v>
      </c>
      <c r="B2259" s="9" t="inlineStr">
        <is>
          <t>Vanguard_M15</t>
        </is>
      </c>
      <c r="C2259" s="9" t="inlineStr">
        <is>
          <t>Trendline breakout (fractal swing line) + VWAP/S-R distance gate - M15 chart</t>
        </is>
      </c>
      <c r="D2259" s="9" t="inlineStr">
        <is>
          <t>Short</t>
        </is>
      </c>
      <c r="E2259" s="10" t="n">
        <v>45329.45833333334</v>
      </c>
      <c r="F2259" s="10" t="n">
        <v>45329.64583333334</v>
      </c>
      <c r="G2259" s="11" t="n">
        <v>-3.43</v>
      </c>
      <c r="H2259" s="11">
        <f>H2258+G2259</f>
        <v/>
      </c>
    </row>
    <row r="2260">
      <c r="A2260" s="9" t="n">
        <v>2256</v>
      </c>
      <c r="B2260" s="9" t="inlineStr">
        <is>
          <t>Vanguard_M5</t>
        </is>
      </c>
      <c r="C2260" s="9" t="inlineStr">
        <is>
          <t>Trendline breakout (fractal swing line) + VWAP/S-R distance gate</t>
        </is>
      </c>
      <c r="D2260" s="9" t="inlineStr">
        <is>
          <t>Short</t>
        </is>
      </c>
      <c r="E2260" s="10" t="n">
        <v>45329.57291666666</v>
      </c>
      <c r="F2260" s="10" t="n">
        <v>45329.66666666666</v>
      </c>
      <c r="G2260" s="11" t="n">
        <v>-2.96</v>
      </c>
      <c r="H2260" s="11">
        <f>H2259+G2260</f>
        <v/>
      </c>
    </row>
    <row r="2261">
      <c r="A2261" s="9" t="n">
        <v>2257</v>
      </c>
      <c r="B2261" s="9" t="inlineStr">
        <is>
          <t>Meridian</t>
        </is>
      </c>
      <c r="C2261" s="9" t="inlineStr">
        <is>
          <t>21/50 MA cross, 250-period confirm filter, VWAP</t>
        </is>
      </c>
      <c r="D2261" s="9" t="inlineStr">
        <is>
          <t>Long</t>
        </is>
      </c>
      <c r="E2261" s="10" t="n">
        <v>45329.65277777778</v>
      </c>
      <c r="F2261" s="10" t="n">
        <v>45329.6875</v>
      </c>
      <c r="G2261" s="11" t="n">
        <v>-2.72</v>
      </c>
      <c r="H2261" s="11">
        <f>H2260+G2261</f>
        <v/>
      </c>
    </row>
    <row r="2262">
      <c r="A2262" s="9" t="n">
        <v>2258</v>
      </c>
      <c r="B2262" s="9" t="inlineStr">
        <is>
          <t>Aurelius_M5</t>
        </is>
      </c>
      <c r="C2262" s="9" t="inlineStr">
        <is>
          <t>MA alignment (EMA21&gt;EMA50&gt;SMA250&gt;SMMA500 vs EMA2400 trend filter)</t>
        </is>
      </c>
      <c r="D2262" s="9" t="inlineStr">
        <is>
          <t>Long</t>
        </is>
      </c>
      <c r="E2262" s="10" t="n">
        <v>45329.70138888889</v>
      </c>
      <c r="F2262" s="10" t="n">
        <v>45329.71527777778</v>
      </c>
      <c r="G2262" s="11" t="n">
        <v>-5.1</v>
      </c>
      <c r="H2262" s="11">
        <f>H2261+G2262</f>
        <v/>
      </c>
    </row>
    <row r="2263">
      <c r="A2263" s="9" t="n">
        <v>2259</v>
      </c>
      <c r="B2263" s="9" t="inlineStr">
        <is>
          <t>Vanguard_M15</t>
        </is>
      </c>
      <c r="C2263" s="9" t="inlineStr">
        <is>
          <t>Trendline breakout (fractal swing line) + VWAP/S-R distance gate - M15 chart</t>
        </is>
      </c>
      <c r="D2263" s="9" t="inlineStr">
        <is>
          <t>Long</t>
        </is>
      </c>
      <c r="E2263" s="10" t="n">
        <v>45329.69791666666</v>
      </c>
      <c r="F2263" s="10" t="n">
        <v>45329.79166666666</v>
      </c>
      <c r="G2263" s="11" t="n">
        <v>-4.84</v>
      </c>
      <c r="H2263" s="11">
        <f>H2262+G2263</f>
        <v/>
      </c>
    </row>
    <row r="2264">
      <c r="A2264" s="9" t="n">
        <v>2260</v>
      </c>
      <c r="B2264" s="9" t="inlineStr">
        <is>
          <t>Vanguard_M5</t>
        </is>
      </c>
      <c r="C2264" s="9" t="inlineStr">
        <is>
          <t>Trendline breakout (fractal swing line) + VWAP/S-R distance gate</t>
        </is>
      </c>
      <c r="D2264" s="9" t="inlineStr">
        <is>
          <t>Long</t>
        </is>
      </c>
      <c r="E2264" s="10" t="n">
        <v>45329.69791666666</v>
      </c>
      <c r="F2264" s="10" t="n">
        <v>45329.79513888889</v>
      </c>
      <c r="G2264" s="11" t="n">
        <v>-3.98</v>
      </c>
      <c r="H2264" s="11">
        <f>H2263+G2264</f>
        <v/>
      </c>
    </row>
    <row r="2265">
      <c r="A2265" s="9" t="n">
        <v>2261</v>
      </c>
      <c r="B2265" s="9" t="inlineStr">
        <is>
          <t>Ratchet</t>
        </is>
      </c>
      <c r="C2265" s="9" t="inlineStr">
        <is>
          <t>Stochastic scalp with give-back trail exit</t>
        </is>
      </c>
      <c r="D2265" s="9" t="inlineStr">
        <is>
          <t>Long</t>
        </is>
      </c>
      <c r="E2265" s="10" t="n">
        <v>45329.73611111111</v>
      </c>
      <c r="F2265" s="10" t="n">
        <v>45329.79861111111</v>
      </c>
      <c r="G2265" s="11" t="n">
        <v>-5.16</v>
      </c>
      <c r="H2265" s="11">
        <f>H2264+G2265</f>
        <v/>
      </c>
    </row>
    <row r="2266">
      <c r="A2266" s="9" t="n">
        <v>2262</v>
      </c>
      <c r="B2266" s="9" t="inlineStr">
        <is>
          <t>Ratchet</t>
        </is>
      </c>
      <c r="C2266" s="9" t="inlineStr">
        <is>
          <t>Stochastic scalp with give-back trail exit</t>
        </is>
      </c>
      <c r="D2266" s="9" t="inlineStr">
        <is>
          <t>Long</t>
        </is>
      </c>
      <c r="E2266" s="10" t="n">
        <v>45330.14236111111</v>
      </c>
      <c r="F2266" s="10" t="n">
        <v>45330.14583333334</v>
      </c>
      <c r="G2266" s="11" t="n">
        <v>-0.96</v>
      </c>
      <c r="H2266" s="11">
        <f>H2265+G2266</f>
        <v/>
      </c>
    </row>
    <row r="2267">
      <c r="A2267" s="9" t="n">
        <v>2263</v>
      </c>
      <c r="B2267" s="9" t="inlineStr">
        <is>
          <t>Meridian</t>
        </is>
      </c>
      <c r="C2267" s="9" t="inlineStr">
        <is>
          <t>21/50 MA cross, 250-period confirm filter, VWAP</t>
        </is>
      </c>
      <c r="D2267" s="9" t="inlineStr">
        <is>
          <t>Long</t>
        </is>
      </c>
      <c r="E2267" s="10" t="n">
        <v>45330.07291666666</v>
      </c>
      <c r="F2267" s="10" t="n">
        <v>45330.21875</v>
      </c>
      <c r="G2267" s="11" t="n">
        <v>-1.2</v>
      </c>
      <c r="H2267" s="11">
        <f>H2266+G2267</f>
        <v/>
      </c>
    </row>
    <row r="2268">
      <c r="A2268" s="9" t="n">
        <v>2264</v>
      </c>
      <c r="B2268" s="9" t="inlineStr">
        <is>
          <t>Vanguard_M5</t>
        </is>
      </c>
      <c r="C2268" s="9" t="inlineStr">
        <is>
          <t>Trendline breakout (fractal swing line) + VWAP/S-R distance gate</t>
        </is>
      </c>
      <c r="D2268" s="9" t="inlineStr">
        <is>
          <t>Long</t>
        </is>
      </c>
      <c r="E2268" s="10" t="n">
        <v>45330.08680555555</v>
      </c>
      <c r="F2268" s="10" t="n">
        <v>45330.21875</v>
      </c>
      <c r="G2268" s="11" t="n">
        <v>-2.03</v>
      </c>
      <c r="H2268" s="11">
        <f>H2267+G2268</f>
        <v/>
      </c>
    </row>
    <row r="2269">
      <c r="A2269" s="9" t="n">
        <v>2265</v>
      </c>
      <c r="B2269" s="9" t="inlineStr">
        <is>
          <t>Vanguard_M5</t>
        </is>
      </c>
      <c r="C2269" s="9" t="inlineStr">
        <is>
          <t>Trendline breakout (fractal swing line) + VWAP/S-R distance gate</t>
        </is>
      </c>
      <c r="D2269" s="9" t="inlineStr">
        <is>
          <t>Short</t>
        </is>
      </c>
      <c r="E2269" s="10" t="n">
        <v>45330.22916666666</v>
      </c>
      <c r="F2269" s="10" t="n">
        <v>45330.51388888889</v>
      </c>
      <c r="G2269" s="11" t="n">
        <v>-2.51</v>
      </c>
      <c r="H2269" s="11">
        <f>H2268+G2269</f>
        <v/>
      </c>
    </row>
    <row r="2270">
      <c r="A2270" s="9" t="n">
        <v>2266</v>
      </c>
      <c r="B2270" s="9" t="inlineStr">
        <is>
          <t>Meridian</t>
        </is>
      </c>
      <c r="C2270" s="9" t="inlineStr">
        <is>
          <t>21/50 MA cross, 250-period confirm filter, VWAP</t>
        </is>
      </c>
      <c r="D2270" s="9" t="inlineStr">
        <is>
          <t>Long</t>
        </is>
      </c>
      <c r="E2270" s="10" t="n">
        <v>45330.50694444445</v>
      </c>
      <c r="F2270" s="10" t="n">
        <v>45330.54861111111</v>
      </c>
      <c r="G2270" s="11" t="n">
        <v>-2.45</v>
      </c>
      <c r="H2270" s="11">
        <f>H2269+G2270</f>
        <v/>
      </c>
    </row>
    <row r="2271">
      <c r="A2271" s="9" t="n">
        <v>2267</v>
      </c>
      <c r="B2271" s="9" t="inlineStr">
        <is>
          <t>Meridian</t>
        </is>
      </c>
      <c r="C2271" s="9" t="inlineStr">
        <is>
          <t>21/50 MA cross, 250-period confirm filter, VWAP</t>
        </is>
      </c>
      <c r="D2271" s="9" t="inlineStr">
        <is>
          <t>Short</t>
        </is>
      </c>
      <c r="E2271" s="10" t="n">
        <v>45330.56944444445</v>
      </c>
      <c r="F2271" s="10" t="n">
        <v>45330.6875</v>
      </c>
      <c r="G2271" s="11" t="n">
        <v>-3.07</v>
      </c>
      <c r="H2271" s="11">
        <f>H2270+G2271</f>
        <v/>
      </c>
    </row>
    <row r="2272">
      <c r="A2272" s="9" t="n">
        <v>2268</v>
      </c>
      <c r="B2272" s="9" t="inlineStr">
        <is>
          <t>Aurelius_M15</t>
        </is>
      </c>
      <c r="C2272" s="9" t="inlineStr">
        <is>
          <t>MA alignment (EMA21&gt;EMA50&gt;SMA250&gt;SMMA500 vs EMA2400 trend filter) - M15 chart</t>
        </is>
      </c>
      <c r="D2272" s="9" t="inlineStr">
        <is>
          <t>Short</t>
        </is>
      </c>
      <c r="E2272" s="10" t="n">
        <v>45330.5625</v>
      </c>
      <c r="F2272" s="10" t="n">
        <v>45330.83333333334</v>
      </c>
      <c r="G2272" s="11" t="n">
        <v>-4.97</v>
      </c>
      <c r="H2272" s="11">
        <f>H2271+G2272</f>
        <v/>
      </c>
    </row>
    <row r="2273">
      <c r="A2273" s="9" t="n">
        <v>2269</v>
      </c>
      <c r="B2273" s="9" t="inlineStr">
        <is>
          <t>Vanguard_M15</t>
        </is>
      </c>
      <c r="C2273" s="9" t="inlineStr">
        <is>
          <t>Trendline breakout (fractal swing line) + VWAP/S-R distance gate - M15 chart</t>
        </is>
      </c>
      <c r="D2273" s="9" t="inlineStr">
        <is>
          <t>Short</t>
        </is>
      </c>
      <c r="E2273" s="10" t="n">
        <v>45329.80208333334</v>
      </c>
      <c r="F2273" s="10" t="n">
        <v>45331.13541666666</v>
      </c>
      <c r="G2273" s="11" t="n">
        <v>1.24</v>
      </c>
      <c r="H2273" s="11">
        <f>H2272+G2273</f>
        <v/>
      </c>
    </row>
    <row r="2274">
      <c r="A2274" s="9" t="n">
        <v>2270</v>
      </c>
      <c r="B2274" s="9" t="inlineStr">
        <is>
          <t>Meridian</t>
        </is>
      </c>
      <c r="C2274" s="9" t="inlineStr">
        <is>
          <t>21/50 MA cross, 250-period confirm filter, VWAP</t>
        </is>
      </c>
      <c r="D2274" s="9" t="inlineStr">
        <is>
          <t>Long</t>
        </is>
      </c>
      <c r="E2274" s="10" t="n">
        <v>45331.37847222222</v>
      </c>
      <c r="F2274" s="10" t="n">
        <v>45331.38194444445</v>
      </c>
      <c r="G2274" s="11" t="n">
        <v>-1.31</v>
      </c>
      <c r="H2274" s="11">
        <f>H2273+G2274</f>
        <v/>
      </c>
    </row>
    <row r="2275">
      <c r="A2275" s="9" t="n">
        <v>2271</v>
      </c>
      <c r="B2275" s="9" t="inlineStr">
        <is>
          <t>Vanguard_M15</t>
        </is>
      </c>
      <c r="C2275" s="9" t="inlineStr">
        <is>
          <t>Trendline breakout (fractal swing line) + VWAP/S-R distance gate - M15 chart</t>
        </is>
      </c>
      <c r="D2275" s="9" t="inlineStr">
        <is>
          <t>Long</t>
        </is>
      </c>
      <c r="E2275" s="10" t="n">
        <v>45331.14583333334</v>
      </c>
      <c r="F2275" s="10" t="n">
        <v>45331.42708333334</v>
      </c>
      <c r="G2275" s="11" t="n">
        <v>-3.69</v>
      </c>
      <c r="H2275" s="11">
        <f>H2274+G2275</f>
        <v/>
      </c>
    </row>
    <row r="2276">
      <c r="A2276" s="9" t="n">
        <v>2272</v>
      </c>
      <c r="B2276" s="9" t="inlineStr">
        <is>
          <t>Ratchet</t>
        </is>
      </c>
      <c r="C2276" s="9" t="inlineStr">
        <is>
          <t>Stochastic scalp with give-back trail exit</t>
        </is>
      </c>
      <c r="D2276" s="9" t="inlineStr">
        <is>
          <t>Short</t>
        </is>
      </c>
      <c r="E2276" s="10" t="n">
        <v>45331.47222222222</v>
      </c>
      <c r="F2276" s="10" t="n">
        <v>45331.48263888889</v>
      </c>
      <c r="G2276" s="11" t="n">
        <v>-1.57</v>
      </c>
      <c r="H2276" s="11">
        <f>H2275+G2276</f>
        <v/>
      </c>
    </row>
    <row r="2277">
      <c r="A2277" s="9" t="n">
        <v>2273</v>
      </c>
      <c r="B2277" s="9" t="inlineStr">
        <is>
          <t>Ratchet</t>
        </is>
      </c>
      <c r="C2277" s="9" t="inlineStr">
        <is>
          <t>Stochastic scalp with give-back trail exit</t>
        </is>
      </c>
      <c r="D2277" s="9" t="inlineStr">
        <is>
          <t>Short</t>
        </is>
      </c>
      <c r="E2277" s="10" t="n">
        <v>45331.57638888889</v>
      </c>
      <c r="F2277" s="10" t="n">
        <v>45331.58333333334</v>
      </c>
      <c r="G2277" s="11" t="n">
        <v>0.14</v>
      </c>
      <c r="H2277" s="11">
        <f>H2276+G2277</f>
        <v/>
      </c>
    </row>
    <row r="2278">
      <c r="A2278" s="9" t="n">
        <v>2274</v>
      </c>
      <c r="B2278" s="9" t="inlineStr">
        <is>
          <t>Aurelius_M15</t>
        </is>
      </c>
      <c r="C2278" s="9" t="inlineStr">
        <is>
          <t>MA alignment (EMA21&gt;EMA50&gt;SMA250&gt;SMMA500 vs EMA2400 trend filter) - M15 chart</t>
        </is>
      </c>
      <c r="D2278" s="9" t="inlineStr">
        <is>
          <t>Short</t>
        </is>
      </c>
      <c r="E2278" s="10" t="n">
        <v>45331.63541666666</v>
      </c>
      <c r="F2278" s="10" t="n">
        <v>45331.64583333334</v>
      </c>
      <c r="G2278" s="11" t="n">
        <v>-3.38</v>
      </c>
      <c r="H2278" s="11">
        <f>H2277+G2278</f>
        <v/>
      </c>
    </row>
    <row r="2279">
      <c r="A2279" s="9" t="n">
        <v>2275</v>
      </c>
      <c r="B2279" s="9" t="inlineStr">
        <is>
          <t>Aurelius_M5</t>
        </is>
      </c>
      <c r="C2279" s="9" t="inlineStr">
        <is>
          <t>MA alignment (EMA21&gt;EMA50&gt;SMA250&gt;SMMA500 vs EMA2400 trend filter)</t>
        </is>
      </c>
      <c r="D2279" s="9" t="inlineStr">
        <is>
          <t>Short</t>
        </is>
      </c>
      <c r="E2279" s="10" t="n">
        <v>45331.65277777778</v>
      </c>
      <c r="F2279" s="10" t="n">
        <v>45331.84375</v>
      </c>
      <c r="G2279" s="11" t="n">
        <v>5.43</v>
      </c>
      <c r="H2279" s="11">
        <f>H2278+G2279</f>
        <v/>
      </c>
    </row>
    <row r="2280">
      <c r="A2280" s="9" t="n">
        <v>2276</v>
      </c>
      <c r="B2280" s="9" t="inlineStr">
        <is>
          <t>Aurelius_M15</t>
        </is>
      </c>
      <c r="C2280" s="9" t="inlineStr">
        <is>
          <t>MA alignment (EMA21&gt;EMA50&gt;SMA250&gt;SMMA500 vs EMA2400 trend filter) - M15 chart</t>
        </is>
      </c>
      <c r="D2280" s="9" t="inlineStr">
        <is>
          <t>Short</t>
        </is>
      </c>
      <c r="E2280" s="10" t="n">
        <v>45331.69791666666</v>
      </c>
      <c r="F2280" s="10" t="n">
        <v>45331.92708333334</v>
      </c>
      <c r="G2280" s="11" t="n">
        <v>-0.32</v>
      </c>
      <c r="H2280" s="11">
        <f>H2279+G2280</f>
        <v/>
      </c>
    </row>
    <row r="2281">
      <c r="A2281" s="9" t="n">
        <v>2277</v>
      </c>
      <c r="B2281" s="9" t="inlineStr">
        <is>
          <t>Meridian</t>
        </is>
      </c>
      <c r="C2281" s="9" t="inlineStr">
        <is>
          <t>21/50 MA cross, 250-period confirm filter, VWAP</t>
        </is>
      </c>
      <c r="D2281" s="9" t="inlineStr">
        <is>
          <t>Short</t>
        </is>
      </c>
      <c r="E2281" s="10" t="n">
        <v>45334.14583333334</v>
      </c>
      <c r="F2281" s="10" t="n">
        <v>45334.34027777778</v>
      </c>
      <c r="G2281" s="11" t="n">
        <v>0.17</v>
      </c>
      <c r="H2281" s="11">
        <f>H2280+G2281</f>
        <v/>
      </c>
    </row>
    <row r="2282">
      <c r="A2282" s="9" t="n">
        <v>2278</v>
      </c>
      <c r="B2282" s="9" t="inlineStr">
        <is>
          <t>Ratchet</t>
        </is>
      </c>
      <c r="C2282" s="9" t="inlineStr">
        <is>
          <t>Stochastic scalp with give-back trail exit</t>
        </is>
      </c>
      <c r="D2282" s="9" t="inlineStr">
        <is>
          <t>Short</t>
        </is>
      </c>
      <c r="E2282" s="10" t="n">
        <v>45334.54513888889</v>
      </c>
      <c r="F2282" s="10" t="n">
        <v>45334.55555555555</v>
      </c>
      <c r="G2282" s="11" t="n">
        <v>-0.99</v>
      </c>
      <c r="H2282" s="11">
        <f>H2281+G2282</f>
        <v/>
      </c>
    </row>
    <row r="2283">
      <c r="A2283" s="9" t="n">
        <v>2279</v>
      </c>
      <c r="B2283" s="9" t="inlineStr">
        <is>
          <t>Ratchet</t>
        </is>
      </c>
      <c r="C2283" s="9" t="inlineStr">
        <is>
          <t>Stochastic scalp with give-back trail exit</t>
        </is>
      </c>
      <c r="D2283" s="9" t="inlineStr">
        <is>
          <t>Short</t>
        </is>
      </c>
      <c r="E2283" s="10" t="n">
        <v>45334.61111111111</v>
      </c>
      <c r="F2283" s="10" t="n">
        <v>45334.625</v>
      </c>
      <c r="G2283" s="11" t="n">
        <v>-1.04</v>
      </c>
      <c r="H2283" s="11">
        <f>H2282+G2283</f>
        <v/>
      </c>
    </row>
    <row r="2284">
      <c r="A2284" s="9" t="n">
        <v>2280</v>
      </c>
      <c r="B2284" s="9" t="inlineStr">
        <is>
          <t>Aurelius_M5</t>
        </is>
      </c>
      <c r="C2284" s="9" t="inlineStr">
        <is>
          <t>MA alignment (EMA21&gt;EMA50&gt;SMA250&gt;SMMA500 vs EMA2400 trend filter)</t>
        </is>
      </c>
      <c r="D2284" s="9" t="inlineStr">
        <is>
          <t>Short</t>
        </is>
      </c>
      <c r="E2284" s="10" t="n">
        <v>45334.60763888889</v>
      </c>
      <c r="F2284" s="10" t="n">
        <v>45334.62847222222</v>
      </c>
      <c r="G2284" s="11" t="n">
        <v>-1.53</v>
      </c>
      <c r="H2284" s="11">
        <f>H2283+G2284</f>
        <v/>
      </c>
    </row>
    <row r="2285">
      <c r="A2285" s="9" t="n">
        <v>2281</v>
      </c>
      <c r="B2285" s="9" t="inlineStr">
        <is>
          <t>Meridian</t>
        </is>
      </c>
      <c r="C2285" s="9" t="inlineStr">
        <is>
          <t>21/50 MA cross, 250-period confirm filter, VWAP</t>
        </is>
      </c>
      <c r="D2285" s="9" t="inlineStr">
        <is>
          <t>Short</t>
        </is>
      </c>
      <c r="E2285" s="10" t="n">
        <v>45334.47916666666</v>
      </c>
      <c r="F2285" s="10" t="n">
        <v>45334.63194444445</v>
      </c>
      <c r="G2285" s="11" t="n">
        <v>-1.92</v>
      </c>
      <c r="H2285" s="11">
        <f>H2284+G2285</f>
        <v/>
      </c>
    </row>
    <row r="2286">
      <c r="A2286" s="9" t="n">
        <v>2282</v>
      </c>
      <c r="B2286" s="9" t="inlineStr">
        <is>
          <t>Ratchet</t>
        </is>
      </c>
      <c r="C2286" s="9" t="inlineStr">
        <is>
          <t>Stochastic scalp with give-back trail exit</t>
        </is>
      </c>
      <c r="D2286" s="9" t="inlineStr">
        <is>
          <t>Short</t>
        </is>
      </c>
      <c r="E2286" s="10" t="n">
        <v>45334.69097222222</v>
      </c>
      <c r="F2286" s="10" t="n">
        <v>45334.69444444445</v>
      </c>
      <c r="G2286" s="11" t="n">
        <v>-3.56</v>
      </c>
      <c r="H2286" s="11">
        <f>H2285+G2286</f>
        <v/>
      </c>
    </row>
    <row r="2287">
      <c r="A2287" s="9" t="n">
        <v>2283</v>
      </c>
      <c r="B2287" s="9" t="inlineStr">
        <is>
          <t>Aurelius_M15</t>
        </is>
      </c>
      <c r="C2287" s="9" t="inlineStr">
        <is>
          <t>MA alignment (EMA21&gt;EMA50&gt;SMA250&gt;SMMA500 vs EMA2400 trend filter) - M15 chart</t>
        </is>
      </c>
      <c r="D2287" s="9" t="inlineStr">
        <is>
          <t>Short</t>
        </is>
      </c>
      <c r="E2287" s="10" t="n">
        <v>45334.6875</v>
      </c>
      <c r="F2287" s="10" t="n">
        <v>45334.82291666666</v>
      </c>
      <c r="G2287" s="11" t="n">
        <v>-5.29</v>
      </c>
      <c r="H2287" s="11">
        <f>H2286+G2287</f>
        <v/>
      </c>
    </row>
    <row r="2288">
      <c r="A2288" s="9" t="n">
        <v>2284</v>
      </c>
      <c r="B2288" s="9" t="inlineStr">
        <is>
          <t>Aurelius_M5</t>
        </is>
      </c>
      <c r="C2288" s="9" t="inlineStr">
        <is>
          <t>MA alignment (EMA21&gt;EMA50&gt;SMA250&gt;SMMA500 vs EMA2400 trend filter)</t>
        </is>
      </c>
      <c r="D2288" s="9" t="inlineStr">
        <is>
          <t>Short</t>
        </is>
      </c>
      <c r="E2288" s="10" t="n">
        <v>45334.6875</v>
      </c>
      <c r="F2288" s="10" t="n">
        <v>45334.82638888889</v>
      </c>
      <c r="G2288" s="11" t="n">
        <v>-4.23</v>
      </c>
      <c r="H2288" s="11">
        <f>H2287+G2288</f>
        <v/>
      </c>
    </row>
    <row r="2289">
      <c r="A2289" s="9" t="n">
        <v>2285</v>
      </c>
      <c r="B2289" s="9" t="inlineStr">
        <is>
          <t>Meridian</t>
        </is>
      </c>
      <c r="C2289" s="9" t="inlineStr">
        <is>
          <t>21/50 MA cross, 250-period confirm filter, VWAP</t>
        </is>
      </c>
      <c r="D2289" s="9" t="inlineStr">
        <is>
          <t>Short</t>
        </is>
      </c>
      <c r="E2289" s="10" t="n">
        <v>45334.66666666666</v>
      </c>
      <c r="F2289" s="10" t="n">
        <v>45334.83680555555</v>
      </c>
      <c r="G2289" s="11" t="n">
        <v>0.19</v>
      </c>
      <c r="H2289" s="11">
        <f>H2288+G2289</f>
        <v/>
      </c>
    </row>
    <row r="2290">
      <c r="A2290" s="9" t="n">
        <v>2286</v>
      </c>
      <c r="B2290" s="9" t="inlineStr">
        <is>
          <t>Ratchet</t>
        </is>
      </c>
      <c r="C2290" s="9" t="inlineStr">
        <is>
          <t>Stochastic scalp with give-back trail exit</t>
        </is>
      </c>
      <c r="D2290" s="9" t="inlineStr">
        <is>
          <t>Short</t>
        </is>
      </c>
      <c r="E2290" s="10" t="n">
        <v>45335.07638888889</v>
      </c>
      <c r="F2290" s="10" t="n">
        <v>45335.08333333334</v>
      </c>
      <c r="G2290" s="11" t="n">
        <v>-0.53</v>
      </c>
      <c r="H2290" s="11">
        <f>H2289+G2290</f>
        <v/>
      </c>
    </row>
    <row r="2291">
      <c r="A2291" s="9" t="n">
        <v>2287</v>
      </c>
      <c r="B2291" s="9" t="inlineStr">
        <is>
          <t>Meridian</t>
        </is>
      </c>
      <c r="C2291" s="9" t="inlineStr">
        <is>
          <t>21/50 MA cross, 250-period confirm filter, VWAP</t>
        </is>
      </c>
      <c r="D2291" s="9" t="inlineStr">
        <is>
          <t>Short</t>
        </is>
      </c>
      <c r="E2291" s="10" t="n">
        <v>45335.07638888889</v>
      </c>
      <c r="F2291" s="10" t="n">
        <v>45335.09375</v>
      </c>
      <c r="G2291" s="11" t="n">
        <v>-0.92</v>
      </c>
      <c r="H2291" s="11">
        <f>H2290+G2291</f>
        <v/>
      </c>
    </row>
    <row r="2292">
      <c r="A2292" s="9" t="n">
        <v>2288</v>
      </c>
      <c r="B2292" s="9" t="inlineStr">
        <is>
          <t>Ratchet</t>
        </is>
      </c>
      <c r="C2292" s="9" t="inlineStr">
        <is>
          <t>Stochastic scalp with give-back trail exit</t>
        </is>
      </c>
      <c r="D2292" s="9" t="inlineStr">
        <is>
          <t>Short</t>
        </is>
      </c>
      <c r="E2292" s="10" t="n">
        <v>45335.09722222222</v>
      </c>
      <c r="F2292" s="10" t="n">
        <v>45335.10069444445</v>
      </c>
      <c r="G2292" s="11" t="n">
        <v>-0.6</v>
      </c>
      <c r="H2292" s="11">
        <f>H2291+G2292</f>
        <v/>
      </c>
    </row>
    <row r="2293">
      <c r="A2293" s="9" t="n">
        <v>2289</v>
      </c>
      <c r="B2293" s="9" t="inlineStr">
        <is>
          <t>Meridian</t>
        </is>
      </c>
      <c r="C2293" s="9" t="inlineStr">
        <is>
          <t>21/50 MA cross, 250-period confirm filter, VWAP</t>
        </is>
      </c>
      <c r="D2293" s="9" t="inlineStr">
        <is>
          <t>Long</t>
        </is>
      </c>
      <c r="E2293" s="10" t="n">
        <v>45335.12847222222</v>
      </c>
      <c r="F2293" s="10" t="n">
        <v>45335.13541666666</v>
      </c>
      <c r="G2293" s="11" t="n">
        <v>-1.29</v>
      </c>
      <c r="H2293" s="11">
        <f>H2292+G2293</f>
        <v/>
      </c>
    </row>
    <row r="2294">
      <c r="A2294" s="9" t="n">
        <v>2290</v>
      </c>
      <c r="B2294" s="9" t="inlineStr">
        <is>
          <t>Ratchet</t>
        </is>
      </c>
      <c r="C2294" s="9" t="inlineStr">
        <is>
          <t>Stochastic scalp with give-back trail exit</t>
        </is>
      </c>
      <c r="D2294" s="9" t="inlineStr">
        <is>
          <t>Short</t>
        </is>
      </c>
      <c r="E2294" s="10" t="n">
        <v>45335.23263888889</v>
      </c>
      <c r="F2294" s="10" t="n">
        <v>45335.23611111111</v>
      </c>
      <c r="G2294" s="11" t="n">
        <v>-0.86</v>
      </c>
      <c r="H2294" s="11">
        <f>H2293+G2294</f>
        <v/>
      </c>
    </row>
    <row r="2295">
      <c r="A2295" s="9" t="n">
        <v>2291</v>
      </c>
      <c r="B2295" s="9" t="inlineStr">
        <is>
          <t>Meridian</t>
        </is>
      </c>
      <c r="C2295" s="9" t="inlineStr">
        <is>
          <t>21/50 MA cross, 250-period confirm filter, VWAP</t>
        </is>
      </c>
      <c r="D2295" s="9" t="inlineStr">
        <is>
          <t>Short</t>
        </is>
      </c>
      <c r="E2295" s="10" t="n">
        <v>45335.21180555555</v>
      </c>
      <c r="F2295" s="10" t="n">
        <v>45335.25694444445</v>
      </c>
      <c r="G2295" s="11" t="n">
        <v>-1.13</v>
      </c>
      <c r="H2295" s="11">
        <f>H2294+G2295</f>
        <v/>
      </c>
    </row>
    <row r="2296">
      <c r="A2296" s="9" t="n">
        <v>2292</v>
      </c>
      <c r="B2296" s="9" t="inlineStr">
        <is>
          <t>Vanguard_M15</t>
        </is>
      </c>
      <c r="C2296" s="9" t="inlineStr">
        <is>
          <t>Trendline breakout (fractal swing line) + VWAP/S-R distance gate - M15 chart</t>
        </is>
      </c>
      <c r="D2296" s="9" t="inlineStr">
        <is>
          <t>Short</t>
        </is>
      </c>
      <c r="E2296" s="10" t="n">
        <v>45334.66666666666</v>
      </c>
      <c r="F2296" s="10" t="n">
        <v>45335.33333333334</v>
      </c>
      <c r="G2296" s="11" t="n">
        <v>-2.42</v>
      </c>
      <c r="H2296" s="11">
        <f>H2295+G2296</f>
        <v/>
      </c>
    </row>
    <row r="2297">
      <c r="A2297" s="9" t="n">
        <v>2293</v>
      </c>
      <c r="B2297" s="9" t="inlineStr">
        <is>
          <t>Meridian</t>
        </is>
      </c>
      <c r="C2297" s="9" t="inlineStr">
        <is>
          <t>21/50 MA cross, 250-period confirm filter, VWAP</t>
        </is>
      </c>
      <c r="D2297" s="9" t="inlineStr">
        <is>
          <t>Long</t>
        </is>
      </c>
      <c r="E2297" s="10" t="n">
        <v>45335.30208333334</v>
      </c>
      <c r="F2297" s="10" t="n">
        <v>45335.64583333334</v>
      </c>
      <c r="G2297" s="11" t="n">
        <v>-1.12</v>
      </c>
      <c r="H2297" s="11">
        <f>H2296+G2297</f>
        <v/>
      </c>
    </row>
    <row r="2298">
      <c r="A2298" s="9" t="n">
        <v>2294</v>
      </c>
      <c r="B2298" s="9" t="inlineStr">
        <is>
          <t>Vanguard_M5</t>
        </is>
      </c>
      <c r="C2298" s="9" t="inlineStr">
        <is>
          <t>Trendline breakout (fractal swing line) + VWAP/S-R distance gate</t>
        </is>
      </c>
      <c r="D2298" s="9" t="inlineStr">
        <is>
          <t>Long</t>
        </is>
      </c>
      <c r="E2298" s="10" t="n">
        <v>45335.32638888889</v>
      </c>
      <c r="F2298" s="10" t="n">
        <v>45335.64583333334</v>
      </c>
      <c r="G2298" s="11" t="n">
        <v>-1.93</v>
      </c>
      <c r="H2298" s="11">
        <f>H2297+G2298</f>
        <v/>
      </c>
    </row>
    <row r="2299">
      <c r="A2299" s="9" t="n">
        <v>2295</v>
      </c>
      <c r="B2299" s="9" t="inlineStr">
        <is>
          <t>Vanguard_M15</t>
        </is>
      </c>
      <c r="C2299" s="9" t="inlineStr">
        <is>
          <t>Trendline breakout (fractal swing line) + VWAP/S-R distance gate - M15 chart</t>
        </is>
      </c>
      <c r="D2299" s="9" t="inlineStr">
        <is>
          <t>Long</t>
        </is>
      </c>
      <c r="E2299" s="10" t="n">
        <v>45335.34375</v>
      </c>
      <c r="F2299" s="10" t="n">
        <v>45335.64583333334</v>
      </c>
      <c r="G2299" s="11" t="n">
        <v>-2.76</v>
      </c>
      <c r="H2299" s="11">
        <f>H2298+G2299</f>
        <v/>
      </c>
    </row>
    <row r="2300">
      <c r="A2300" s="9" t="n">
        <v>2296</v>
      </c>
      <c r="B2300" s="9" t="inlineStr">
        <is>
          <t>Ratchet</t>
        </is>
      </c>
      <c r="C2300" s="9" t="inlineStr">
        <is>
          <t>Stochastic scalp with give-back trail exit</t>
        </is>
      </c>
      <c r="D2300" s="9" t="inlineStr">
        <is>
          <t>Short</t>
        </is>
      </c>
      <c r="E2300" s="10" t="n">
        <v>45335.6875</v>
      </c>
      <c r="F2300" s="10" t="n">
        <v>45335.69097222222</v>
      </c>
      <c r="G2300" s="11" t="n">
        <v>0.79</v>
      </c>
      <c r="H2300" s="11">
        <f>H2299+G2300</f>
        <v/>
      </c>
    </row>
    <row r="2301">
      <c r="A2301" s="9" t="n">
        <v>2297</v>
      </c>
      <c r="B2301" s="9" t="inlineStr">
        <is>
          <t>Ratchet</t>
        </is>
      </c>
      <c r="C2301" s="9" t="inlineStr">
        <is>
          <t>Stochastic scalp with give-back trail exit</t>
        </is>
      </c>
      <c r="D2301" s="9" t="inlineStr">
        <is>
          <t>Short</t>
        </is>
      </c>
      <c r="E2301" s="10" t="n">
        <v>45335.69444444445</v>
      </c>
      <c r="F2301" s="10" t="n">
        <v>45335.75347222222</v>
      </c>
      <c r="G2301" s="11" t="n">
        <v>1.94</v>
      </c>
      <c r="H2301" s="11">
        <f>H2300+G2301</f>
        <v/>
      </c>
    </row>
    <row r="2302">
      <c r="A2302" s="9" t="n">
        <v>2298</v>
      </c>
      <c r="B2302" s="9" t="inlineStr">
        <is>
          <t>Ratchet</t>
        </is>
      </c>
      <c r="C2302" s="9" t="inlineStr">
        <is>
          <t>Stochastic scalp with give-back trail exit</t>
        </is>
      </c>
      <c r="D2302" s="9" t="inlineStr">
        <is>
          <t>Short</t>
        </is>
      </c>
      <c r="E2302" s="10" t="n">
        <v>45335.77083333334</v>
      </c>
      <c r="F2302" s="10" t="n">
        <v>45335.77430555555</v>
      </c>
      <c r="G2302" s="11" t="n">
        <v>-3.31</v>
      </c>
      <c r="H2302" s="11">
        <f>H2301+G2302</f>
        <v/>
      </c>
    </row>
    <row r="2303">
      <c r="A2303" s="9" t="n">
        <v>2299</v>
      </c>
      <c r="B2303" s="9" t="inlineStr">
        <is>
          <t>Meridian</t>
        </is>
      </c>
      <c r="C2303" s="9" t="inlineStr">
        <is>
          <t>21/50 MA cross, 250-period confirm filter, VWAP</t>
        </is>
      </c>
      <c r="D2303" s="9" t="inlineStr">
        <is>
          <t>Short</t>
        </is>
      </c>
      <c r="E2303" s="10" t="n">
        <v>45335.65277777778</v>
      </c>
      <c r="F2303" s="10" t="n">
        <v>45336.25347222222</v>
      </c>
      <c r="G2303" s="11" t="n">
        <v>22.4</v>
      </c>
      <c r="H2303" s="11">
        <f>H2302+G2303</f>
        <v/>
      </c>
    </row>
    <row r="2304">
      <c r="A2304" s="9" t="n">
        <v>2300</v>
      </c>
      <c r="B2304" s="9" t="inlineStr">
        <is>
          <t>Aurelius_M15</t>
        </is>
      </c>
      <c r="C2304" s="9" t="inlineStr">
        <is>
          <t>MA alignment (EMA21&gt;EMA50&gt;SMA250&gt;SMMA500 vs EMA2400 trend filter) - M15 chart</t>
        </is>
      </c>
      <c r="D2304" s="9" t="inlineStr">
        <is>
          <t>Short</t>
        </is>
      </c>
      <c r="E2304" s="10" t="n">
        <v>45335.69791666666</v>
      </c>
      <c r="F2304" s="10" t="n">
        <v>45336.30208333334</v>
      </c>
      <c r="G2304" s="11" t="n">
        <v>4.89</v>
      </c>
      <c r="H2304" s="11">
        <f>H2303+G2304</f>
        <v/>
      </c>
    </row>
    <row r="2305">
      <c r="A2305" s="9" t="n">
        <v>2301</v>
      </c>
      <c r="B2305" s="9" t="inlineStr">
        <is>
          <t>Aurelius_M5</t>
        </is>
      </c>
      <c r="C2305" s="9" t="inlineStr">
        <is>
          <t>MA alignment (EMA21&gt;EMA50&gt;SMA250&gt;SMMA500 vs EMA2400 trend filter)</t>
        </is>
      </c>
      <c r="D2305" s="9" t="inlineStr">
        <is>
          <t>Short</t>
        </is>
      </c>
      <c r="E2305" s="10" t="n">
        <v>45336.39930555555</v>
      </c>
      <c r="F2305" s="10" t="n">
        <v>45336.52777777778</v>
      </c>
      <c r="G2305" s="11" t="n">
        <v>0.12</v>
      </c>
      <c r="H2305" s="11">
        <f>H2304+G2305</f>
        <v/>
      </c>
    </row>
    <row r="2306">
      <c r="A2306" s="9" t="n">
        <v>2302</v>
      </c>
      <c r="B2306" s="9" t="inlineStr">
        <is>
          <t>Ratchet</t>
        </is>
      </c>
      <c r="C2306" s="9" t="inlineStr">
        <is>
          <t>Stochastic scalp with give-back trail exit</t>
        </is>
      </c>
      <c r="D2306" s="9" t="inlineStr">
        <is>
          <t>Short</t>
        </is>
      </c>
      <c r="E2306" s="10" t="n">
        <v>45336.62152777778</v>
      </c>
      <c r="F2306" s="10" t="n">
        <v>45336.62847222222</v>
      </c>
      <c r="G2306" s="11" t="n">
        <v>-1.62</v>
      </c>
      <c r="H2306" s="11">
        <f>H2305+G2306</f>
        <v/>
      </c>
    </row>
    <row r="2307">
      <c r="A2307" s="9" t="n">
        <v>2303</v>
      </c>
      <c r="B2307" s="9" t="inlineStr">
        <is>
          <t>Meridian</t>
        </is>
      </c>
      <c r="C2307" s="9" t="inlineStr">
        <is>
          <t>21/50 MA cross, 250-period confirm filter, VWAP</t>
        </is>
      </c>
      <c r="D2307" s="9" t="inlineStr">
        <is>
          <t>Long</t>
        </is>
      </c>
      <c r="E2307" s="10" t="n">
        <v>45336.65277777778</v>
      </c>
      <c r="F2307" s="10" t="n">
        <v>45336.65972222222</v>
      </c>
      <c r="G2307" s="11" t="n">
        <v>-2.58</v>
      </c>
      <c r="H2307" s="11">
        <f>H2306+G2307</f>
        <v/>
      </c>
    </row>
    <row r="2308">
      <c r="A2308" s="9" t="n">
        <v>2304</v>
      </c>
      <c r="B2308" s="9" t="inlineStr">
        <is>
          <t>Ratchet</t>
        </is>
      </c>
      <c r="C2308" s="9" t="inlineStr">
        <is>
          <t>Stochastic scalp with give-back trail exit</t>
        </is>
      </c>
      <c r="D2308" s="9" t="inlineStr">
        <is>
          <t>Short</t>
        </is>
      </c>
      <c r="E2308" s="10" t="n">
        <v>45336.66319444445</v>
      </c>
      <c r="F2308" s="10" t="n">
        <v>45336.69097222222</v>
      </c>
      <c r="G2308" s="11" t="n">
        <v>-2.78</v>
      </c>
      <c r="H2308" s="11">
        <f>H2307+G2308</f>
        <v/>
      </c>
    </row>
    <row r="2309">
      <c r="A2309" s="9" t="n">
        <v>2305</v>
      </c>
      <c r="B2309" s="9" t="inlineStr">
        <is>
          <t>Aurelius_M5</t>
        </is>
      </c>
      <c r="C2309" s="9" t="inlineStr">
        <is>
          <t>MA alignment (EMA21&gt;EMA50&gt;SMA250&gt;SMMA500 vs EMA2400 trend filter)</t>
        </is>
      </c>
      <c r="D2309" s="9" t="inlineStr">
        <is>
          <t>Short</t>
        </is>
      </c>
      <c r="E2309" s="10" t="n">
        <v>45336.71875</v>
      </c>
      <c r="F2309" s="10" t="n">
        <v>45336.76736111111</v>
      </c>
      <c r="G2309" s="11" t="n">
        <v>-5.45</v>
      </c>
      <c r="H2309" s="11">
        <f>H2308+G2309</f>
        <v/>
      </c>
    </row>
    <row r="2310">
      <c r="A2310" s="9" t="n">
        <v>2306</v>
      </c>
      <c r="B2310" s="9" t="inlineStr">
        <is>
          <t>Aurelius_M15</t>
        </is>
      </c>
      <c r="C2310" s="9" t="inlineStr">
        <is>
          <t>MA alignment (EMA21&gt;EMA50&gt;SMA250&gt;SMMA500 vs EMA2400 trend filter) - M15 chart</t>
        </is>
      </c>
      <c r="D2310" s="9" t="inlineStr">
        <is>
          <t>Short</t>
        </is>
      </c>
      <c r="E2310" s="10" t="n">
        <v>45336.71875</v>
      </c>
      <c r="F2310" s="10" t="n">
        <v>45336.77083333334</v>
      </c>
      <c r="G2310" s="11" t="n">
        <v>-6.27</v>
      </c>
      <c r="H2310" s="11">
        <f>H2309+G2310</f>
        <v/>
      </c>
    </row>
    <row r="2311">
      <c r="A2311" s="9" t="n">
        <v>2307</v>
      </c>
      <c r="B2311" s="9" t="inlineStr">
        <is>
          <t>Meridian</t>
        </is>
      </c>
      <c r="C2311" s="9" t="inlineStr">
        <is>
          <t>21/50 MA cross, 250-period confirm filter, VWAP</t>
        </is>
      </c>
      <c r="D2311" s="9" t="inlineStr">
        <is>
          <t>Long</t>
        </is>
      </c>
      <c r="E2311" s="10" t="n">
        <v>45336.78819444445</v>
      </c>
      <c r="F2311" s="10" t="n">
        <v>45336.90972222222</v>
      </c>
      <c r="G2311" s="11" t="n">
        <v>-3.58</v>
      </c>
      <c r="H2311" s="11">
        <f>H2310+G2311</f>
        <v/>
      </c>
    </row>
    <row r="2312">
      <c r="A2312" s="9" t="n">
        <v>2308</v>
      </c>
      <c r="B2312" s="9" t="inlineStr">
        <is>
          <t>Meridian</t>
        </is>
      </c>
      <c r="C2312" s="9" t="inlineStr">
        <is>
          <t>21/50 MA cross, 250-period confirm filter, VWAP</t>
        </is>
      </c>
      <c r="D2312" s="9" t="inlineStr">
        <is>
          <t>Long</t>
        </is>
      </c>
      <c r="E2312" s="10" t="n">
        <v>45336.99652777778</v>
      </c>
      <c r="F2312" s="10" t="n">
        <v>45337.23611111111</v>
      </c>
      <c r="G2312" s="11" t="n">
        <v>-0.28</v>
      </c>
      <c r="H2312" s="11">
        <f>H2311+G2312</f>
        <v/>
      </c>
    </row>
    <row r="2313">
      <c r="A2313" s="9" t="n">
        <v>2309</v>
      </c>
      <c r="B2313" s="9" t="inlineStr">
        <is>
          <t>Meridian</t>
        </is>
      </c>
      <c r="C2313" s="9" t="inlineStr">
        <is>
          <t>21/50 MA cross, 250-period confirm filter, VWAP</t>
        </is>
      </c>
      <c r="D2313" s="9" t="inlineStr">
        <is>
          <t>Long</t>
        </is>
      </c>
      <c r="E2313" s="10" t="n">
        <v>45337.35069444445</v>
      </c>
      <c r="F2313" s="10" t="n">
        <v>45337.35069444445</v>
      </c>
      <c r="G2313" s="11" t="n">
        <v>-1.3</v>
      </c>
      <c r="H2313" s="11">
        <f>H2312+G2313</f>
        <v/>
      </c>
    </row>
    <row r="2314">
      <c r="A2314" s="9" t="n">
        <v>2310</v>
      </c>
      <c r="B2314" s="9" t="inlineStr">
        <is>
          <t>Meridian</t>
        </is>
      </c>
      <c r="C2314" s="9" t="inlineStr">
        <is>
          <t>21/50 MA cross, 250-period confirm filter, VWAP</t>
        </is>
      </c>
      <c r="D2314" s="9" t="inlineStr">
        <is>
          <t>Long</t>
        </is>
      </c>
      <c r="E2314" s="10" t="n">
        <v>45337.79861111111</v>
      </c>
      <c r="F2314" s="10" t="n">
        <v>45338.09375</v>
      </c>
      <c r="G2314" s="11" t="n">
        <v>1.36</v>
      </c>
      <c r="H2314" s="11">
        <f>H2313+G2314</f>
        <v/>
      </c>
    </row>
    <row r="2315">
      <c r="A2315" s="9" t="n">
        <v>2311</v>
      </c>
      <c r="B2315" s="9" t="inlineStr">
        <is>
          <t>Meridian</t>
        </is>
      </c>
      <c r="C2315" s="9" t="inlineStr">
        <is>
          <t>21/50 MA cross, 250-period confirm filter, VWAP</t>
        </is>
      </c>
      <c r="D2315" s="9" t="inlineStr">
        <is>
          <t>Long</t>
        </is>
      </c>
      <c r="E2315" s="10" t="n">
        <v>45338.16319444445</v>
      </c>
      <c r="F2315" s="10" t="n">
        <v>45338.24305555555</v>
      </c>
      <c r="G2315" s="11" t="n">
        <v>-1.26</v>
      </c>
      <c r="H2315" s="11">
        <f>H2314+G2315</f>
        <v/>
      </c>
    </row>
    <row r="2316">
      <c r="A2316" s="9" t="n">
        <v>2312</v>
      </c>
      <c r="B2316" s="9" t="inlineStr">
        <is>
          <t>Meridian</t>
        </is>
      </c>
      <c r="C2316" s="9" t="inlineStr">
        <is>
          <t>21/50 MA cross, 250-period confirm filter, VWAP</t>
        </is>
      </c>
      <c r="D2316" s="9" t="inlineStr">
        <is>
          <t>Long</t>
        </is>
      </c>
      <c r="E2316" s="10" t="n">
        <v>45338.32986111111</v>
      </c>
      <c r="F2316" s="10" t="n">
        <v>45338.34375</v>
      </c>
      <c r="G2316" s="11" t="n">
        <v>-1.02</v>
      </c>
      <c r="H2316" s="11">
        <f>H2315+G2316</f>
        <v/>
      </c>
    </row>
    <row r="2317">
      <c r="A2317" s="9" t="n">
        <v>2313</v>
      </c>
      <c r="B2317" s="9" t="inlineStr">
        <is>
          <t>Meridian</t>
        </is>
      </c>
      <c r="C2317" s="9" t="inlineStr">
        <is>
          <t>21/50 MA cross, 250-period confirm filter, VWAP</t>
        </is>
      </c>
      <c r="D2317" s="9" t="inlineStr">
        <is>
          <t>Long</t>
        </is>
      </c>
      <c r="E2317" s="10" t="n">
        <v>45338.39236111111</v>
      </c>
      <c r="F2317" s="10" t="n">
        <v>45338.64583333334</v>
      </c>
      <c r="G2317" s="11" t="n">
        <v>-1.28</v>
      </c>
      <c r="H2317" s="11">
        <f>H2316+G2317</f>
        <v/>
      </c>
    </row>
    <row r="2318">
      <c r="A2318" s="9" t="n">
        <v>2314</v>
      </c>
      <c r="B2318" s="9" t="inlineStr">
        <is>
          <t>Meridian</t>
        </is>
      </c>
      <c r="C2318" s="9" t="inlineStr">
        <is>
          <t>21/50 MA cross, 250-period confirm filter, VWAP</t>
        </is>
      </c>
      <c r="D2318" s="9" t="inlineStr">
        <is>
          <t>Long</t>
        </is>
      </c>
      <c r="E2318" s="10" t="n">
        <v>45338.74305555555</v>
      </c>
      <c r="F2318" s="10" t="n">
        <v>45338.91666666666</v>
      </c>
      <c r="G2318" s="11" t="n">
        <v>4.28</v>
      </c>
      <c r="H2318" s="11">
        <f>H2317+G2318</f>
        <v/>
      </c>
    </row>
    <row r="2319">
      <c r="A2319" s="9" t="n">
        <v>2315</v>
      </c>
      <c r="B2319" s="9" t="inlineStr">
        <is>
          <t>Vanguard_M5</t>
        </is>
      </c>
      <c r="C2319" s="9" t="inlineStr">
        <is>
          <t>Trendline breakout (fractal swing line) + VWAP/S-R distance gate</t>
        </is>
      </c>
      <c r="D2319" s="9" t="inlineStr">
        <is>
          <t>Short</t>
        </is>
      </c>
      <c r="E2319" s="10" t="n">
        <v>45335.64930555555</v>
      </c>
      <c r="F2319" s="10" t="n">
        <v>45341.09027777778</v>
      </c>
      <c r="G2319" s="11" t="n">
        <v>-1.07</v>
      </c>
      <c r="H2319" s="11">
        <f>H2318+G2319</f>
        <v/>
      </c>
    </row>
    <row r="2320">
      <c r="A2320" s="9" t="n">
        <v>2316</v>
      </c>
      <c r="B2320" s="9" t="inlineStr">
        <is>
          <t>Meridian</t>
        </is>
      </c>
      <c r="C2320" s="9" t="inlineStr">
        <is>
          <t>21/50 MA cross, 250-period confirm filter, VWAP</t>
        </is>
      </c>
      <c r="D2320" s="9" t="inlineStr">
        <is>
          <t>Short</t>
        </is>
      </c>
      <c r="E2320" s="10" t="n">
        <v>45342.06944444445</v>
      </c>
      <c r="F2320" s="10" t="n">
        <v>45342.13888888889</v>
      </c>
      <c r="G2320" s="11" t="n">
        <v>-1.19</v>
      </c>
      <c r="H2320" s="11">
        <f>H2319+G2320</f>
        <v/>
      </c>
    </row>
    <row r="2321">
      <c r="A2321" s="9" t="n">
        <v>2317</v>
      </c>
      <c r="B2321" s="9" t="inlineStr">
        <is>
          <t>Ratchet</t>
        </is>
      </c>
      <c r="C2321" s="9" t="inlineStr">
        <is>
          <t>Stochastic scalp with give-back trail exit</t>
        </is>
      </c>
      <c r="D2321" s="9" t="inlineStr">
        <is>
          <t>Long</t>
        </is>
      </c>
      <c r="E2321" s="10" t="n">
        <v>45342.54861111111</v>
      </c>
      <c r="F2321" s="10" t="n">
        <v>45342.55555555555</v>
      </c>
      <c r="G2321" s="11" t="n">
        <v>-1.52</v>
      </c>
      <c r="H2321" s="11">
        <f>H2320+G2321</f>
        <v/>
      </c>
    </row>
    <row r="2322">
      <c r="A2322" s="9" t="n">
        <v>2318</v>
      </c>
      <c r="B2322" s="9" t="inlineStr">
        <is>
          <t>Ratchet</t>
        </is>
      </c>
      <c r="C2322" s="9" t="inlineStr">
        <is>
          <t>Stochastic scalp with give-back trail exit</t>
        </is>
      </c>
      <c r="D2322" s="9" t="inlineStr">
        <is>
          <t>Long</t>
        </is>
      </c>
      <c r="E2322" s="10" t="n">
        <v>45342.64236111111</v>
      </c>
      <c r="F2322" s="10" t="n">
        <v>45342.64930555555</v>
      </c>
      <c r="G2322" s="11" t="n">
        <v>0.62</v>
      </c>
      <c r="H2322" s="11">
        <f>H2321+G2322</f>
        <v/>
      </c>
    </row>
    <row r="2323">
      <c r="A2323" s="9" t="n">
        <v>2319</v>
      </c>
      <c r="B2323" s="9" t="inlineStr">
        <is>
          <t>Ratchet</t>
        </is>
      </c>
      <c r="C2323" s="9" t="inlineStr">
        <is>
          <t>Stochastic scalp with give-back trail exit</t>
        </is>
      </c>
      <c r="D2323" s="9" t="inlineStr">
        <is>
          <t>Long</t>
        </is>
      </c>
      <c r="E2323" s="10" t="n">
        <v>45342.68402777778</v>
      </c>
      <c r="F2323" s="10" t="n">
        <v>45342.69097222222</v>
      </c>
      <c r="G2323" s="11" t="n">
        <v>-2.52</v>
      </c>
      <c r="H2323" s="11">
        <f>H2322+G2323</f>
        <v/>
      </c>
    </row>
    <row r="2324">
      <c r="A2324" s="9" t="n">
        <v>2320</v>
      </c>
      <c r="B2324" s="9" t="inlineStr">
        <is>
          <t>Aurelius_M5</t>
        </is>
      </c>
      <c r="C2324" s="9" t="inlineStr">
        <is>
          <t>MA alignment (EMA21&gt;EMA50&gt;SMA250&gt;SMMA500 vs EMA2400 trend filter)</t>
        </is>
      </c>
      <c r="D2324" s="9" t="inlineStr">
        <is>
          <t>Long</t>
        </is>
      </c>
      <c r="E2324" s="10" t="n">
        <v>45342.34722222222</v>
      </c>
      <c r="F2324" s="10" t="n">
        <v>45342.79513888889</v>
      </c>
      <c r="G2324" s="11" t="n">
        <v>7.16</v>
      </c>
      <c r="H2324" s="11">
        <f>H2323+G2324</f>
        <v/>
      </c>
    </row>
    <row r="2325">
      <c r="A2325" s="9" t="n">
        <v>2321</v>
      </c>
      <c r="B2325" s="9" t="inlineStr">
        <is>
          <t>Meridian</t>
        </is>
      </c>
      <c r="C2325" s="9" t="inlineStr">
        <is>
          <t>21/50 MA cross, 250-period confirm filter, VWAP</t>
        </is>
      </c>
      <c r="D2325" s="9" t="inlineStr">
        <is>
          <t>Long</t>
        </is>
      </c>
      <c r="E2325" s="10" t="n">
        <v>45342.83333333334</v>
      </c>
      <c r="F2325" s="10" t="n">
        <v>45342.87847222222</v>
      </c>
      <c r="G2325" s="11" t="n">
        <v>-2.19</v>
      </c>
      <c r="H2325" s="11">
        <f>H2324+G2325</f>
        <v/>
      </c>
    </row>
    <row r="2326">
      <c r="A2326" s="9" t="n">
        <v>2322</v>
      </c>
      <c r="B2326" s="9" t="inlineStr">
        <is>
          <t>Ratchet</t>
        </is>
      </c>
      <c r="C2326" s="9" t="inlineStr">
        <is>
          <t>Stochastic scalp with give-back trail exit</t>
        </is>
      </c>
      <c r="D2326" s="9" t="inlineStr">
        <is>
          <t>Long</t>
        </is>
      </c>
      <c r="E2326" s="10" t="n">
        <v>45343.19097222222</v>
      </c>
      <c r="F2326" s="10" t="n">
        <v>45343.20138888889</v>
      </c>
      <c r="G2326" s="11" t="n">
        <v>0.25</v>
      </c>
      <c r="H2326" s="11">
        <f>H2325+G2326</f>
        <v/>
      </c>
    </row>
    <row r="2327">
      <c r="A2327" s="9" t="n">
        <v>2323</v>
      </c>
      <c r="B2327" s="9" t="inlineStr">
        <is>
          <t>Ratchet</t>
        </is>
      </c>
      <c r="C2327" s="9" t="inlineStr">
        <is>
          <t>Stochastic scalp with give-back trail exit</t>
        </is>
      </c>
      <c r="D2327" s="9" t="inlineStr">
        <is>
          <t>Long</t>
        </is>
      </c>
      <c r="E2327" s="10" t="n">
        <v>45343.20833333334</v>
      </c>
      <c r="F2327" s="10" t="n">
        <v>45343.39236111111</v>
      </c>
      <c r="G2327" s="11" t="n">
        <v>1.14</v>
      </c>
      <c r="H2327" s="11">
        <f>H2326+G2327</f>
        <v/>
      </c>
    </row>
    <row r="2328">
      <c r="A2328" s="9" t="n">
        <v>2324</v>
      </c>
      <c r="B2328" s="9" t="inlineStr">
        <is>
          <t>Meridian</t>
        </is>
      </c>
      <c r="C2328" s="9" t="inlineStr">
        <is>
          <t>21/50 MA cross, 250-period confirm filter, VWAP</t>
        </is>
      </c>
      <c r="D2328" s="9" t="inlineStr">
        <is>
          <t>Long</t>
        </is>
      </c>
      <c r="E2328" s="10" t="n">
        <v>45343.15972222222</v>
      </c>
      <c r="F2328" s="10" t="n">
        <v>45343.42013888889</v>
      </c>
      <c r="G2328" s="11" t="n">
        <v>2.33</v>
      </c>
      <c r="H2328" s="11">
        <f>H2327+G2328</f>
        <v/>
      </c>
    </row>
    <row r="2329">
      <c r="A2329" s="9" t="n">
        <v>2325</v>
      </c>
      <c r="B2329" s="9" t="inlineStr">
        <is>
          <t>Meridian</t>
        </is>
      </c>
      <c r="C2329" s="9" t="inlineStr">
        <is>
          <t>21/50 MA cross, 250-period confirm filter, VWAP</t>
        </is>
      </c>
      <c r="D2329" s="9" t="inlineStr">
        <is>
          <t>Long</t>
        </is>
      </c>
      <c r="E2329" s="10" t="n">
        <v>45343.53819444445</v>
      </c>
      <c r="F2329" s="10" t="n">
        <v>45343.54861111111</v>
      </c>
      <c r="G2329" s="11" t="n">
        <v>-1.64</v>
      </c>
      <c r="H2329" s="11">
        <f>H2328+G2329</f>
        <v/>
      </c>
    </row>
    <row r="2330">
      <c r="A2330" s="9" t="n">
        <v>2326</v>
      </c>
      <c r="B2330" s="9" t="inlineStr">
        <is>
          <t>Meridian</t>
        </is>
      </c>
      <c r="C2330" s="9" t="inlineStr">
        <is>
          <t>21/50 MA cross, 250-period confirm filter, VWAP</t>
        </is>
      </c>
      <c r="D2330" s="9" t="inlineStr">
        <is>
          <t>Long</t>
        </is>
      </c>
      <c r="E2330" s="10" t="n">
        <v>45343.59722222222</v>
      </c>
      <c r="F2330" s="10" t="n">
        <v>45343.60763888889</v>
      </c>
      <c r="G2330" s="11" t="n">
        <v>-1.65</v>
      </c>
      <c r="H2330" s="11">
        <f>H2329+G2330</f>
        <v/>
      </c>
    </row>
    <row r="2331">
      <c r="A2331" s="9" t="n">
        <v>2327</v>
      </c>
      <c r="B2331" s="9" t="inlineStr">
        <is>
          <t>Ratchet</t>
        </is>
      </c>
      <c r="C2331" s="9" t="inlineStr">
        <is>
          <t>Stochastic scalp with give-back trail exit</t>
        </is>
      </c>
      <c r="D2331" s="9" t="inlineStr">
        <is>
          <t>Long</t>
        </is>
      </c>
      <c r="E2331" s="10" t="n">
        <v>45343.61805555555</v>
      </c>
      <c r="F2331" s="10" t="n">
        <v>45343.63888888889</v>
      </c>
      <c r="G2331" s="11" t="n">
        <v>0.45</v>
      </c>
      <c r="H2331" s="11">
        <f>H2330+G2331</f>
        <v/>
      </c>
    </row>
    <row r="2332">
      <c r="A2332" s="9" t="n">
        <v>2328</v>
      </c>
      <c r="B2332" s="9" t="inlineStr">
        <is>
          <t>Aurelius_M5</t>
        </is>
      </c>
      <c r="C2332" s="9" t="inlineStr">
        <is>
          <t>MA alignment (EMA21&gt;EMA50&gt;SMA250&gt;SMMA500 vs EMA2400 trend filter)</t>
        </is>
      </c>
      <c r="D2332" s="9" t="inlineStr">
        <is>
          <t>Long</t>
        </is>
      </c>
      <c r="E2332" s="10" t="n">
        <v>45343.64930555555</v>
      </c>
      <c r="F2332" s="10" t="n">
        <v>45343.6875</v>
      </c>
      <c r="G2332" s="11" t="n">
        <v>-2.36</v>
      </c>
      <c r="H2332" s="11">
        <f>H2331+G2332</f>
        <v/>
      </c>
    </row>
    <row r="2333">
      <c r="A2333" s="9" t="n">
        <v>2329</v>
      </c>
      <c r="B2333" s="9" t="inlineStr">
        <is>
          <t>Meridian</t>
        </is>
      </c>
      <c r="C2333" s="9" t="inlineStr">
        <is>
          <t>21/50 MA cross, 250-period confirm filter, VWAP</t>
        </is>
      </c>
      <c r="D2333" s="9" t="inlineStr">
        <is>
          <t>Short</t>
        </is>
      </c>
      <c r="E2333" s="10" t="n">
        <v>45343.70833333334</v>
      </c>
      <c r="F2333" s="10" t="n">
        <v>45343.72569444445</v>
      </c>
      <c r="G2333" s="11" t="n">
        <v>-2.16</v>
      </c>
      <c r="H2333" s="11">
        <f>H2332+G2333</f>
        <v/>
      </c>
    </row>
    <row r="2334">
      <c r="A2334" s="9" t="n">
        <v>2330</v>
      </c>
      <c r="B2334" s="9" t="inlineStr">
        <is>
          <t>Aurelius_M15</t>
        </is>
      </c>
      <c r="C2334" s="9" t="inlineStr">
        <is>
          <t>MA alignment (EMA21&gt;EMA50&gt;SMA250&gt;SMMA500 vs EMA2400 trend filter) - M15 chart</t>
        </is>
      </c>
      <c r="D2334" s="9" t="inlineStr">
        <is>
          <t>Long</t>
        </is>
      </c>
      <c r="E2334" s="10" t="n">
        <v>45343.64583333334</v>
      </c>
      <c r="F2334" s="10" t="n">
        <v>45343.73958333334</v>
      </c>
      <c r="G2334" s="11" t="n">
        <v>-3.66</v>
      </c>
      <c r="H2334" s="11">
        <f>H2333+G2334</f>
        <v/>
      </c>
    </row>
    <row r="2335">
      <c r="A2335" s="9" t="n">
        <v>2331</v>
      </c>
      <c r="B2335" s="9" t="inlineStr">
        <is>
          <t>Meridian</t>
        </is>
      </c>
      <c r="C2335" s="9" t="inlineStr">
        <is>
          <t>21/50 MA cross, 250-period confirm filter, VWAP</t>
        </is>
      </c>
      <c r="D2335" s="9" t="inlineStr">
        <is>
          <t>Short</t>
        </is>
      </c>
      <c r="E2335" s="10" t="n">
        <v>45343.96875</v>
      </c>
      <c r="F2335" s="10" t="n">
        <v>45344.04166666666</v>
      </c>
      <c r="G2335" s="11" t="n">
        <v>-1.87</v>
      </c>
      <c r="H2335" s="11">
        <f>H2334+G2335</f>
        <v/>
      </c>
    </row>
    <row r="2336">
      <c r="A2336" s="9" t="n">
        <v>2332</v>
      </c>
      <c r="B2336" s="9" t="inlineStr">
        <is>
          <t>Vanguard_M15</t>
        </is>
      </c>
      <c r="C2336" s="9" t="inlineStr">
        <is>
          <t>Trendline breakout (fractal swing line) + VWAP/S-R distance gate - M15 chart</t>
        </is>
      </c>
      <c r="D2336" s="9" t="inlineStr">
        <is>
          <t>Short</t>
        </is>
      </c>
      <c r="E2336" s="10" t="n">
        <v>45343.70833333334</v>
      </c>
      <c r="F2336" s="10" t="n">
        <v>45344.41666666666</v>
      </c>
      <c r="G2336" s="11" t="n">
        <v>-5.2</v>
      </c>
      <c r="H2336" s="11">
        <f>H2335+G2336</f>
        <v/>
      </c>
    </row>
    <row r="2337">
      <c r="A2337" s="9" t="n">
        <v>2333</v>
      </c>
      <c r="B2337" s="9" t="inlineStr">
        <is>
          <t>Vanguard_M5</t>
        </is>
      </c>
      <c r="C2337" s="9" t="inlineStr">
        <is>
          <t>Trendline breakout (fractal swing line) + VWAP/S-R distance gate</t>
        </is>
      </c>
      <c r="D2337" s="9" t="inlineStr">
        <is>
          <t>Short</t>
        </is>
      </c>
      <c r="E2337" s="10" t="n">
        <v>45343.69097222222</v>
      </c>
      <c r="F2337" s="10" t="n">
        <v>45344.42013888889</v>
      </c>
      <c r="G2337" s="11" t="n">
        <v>-4.4</v>
      </c>
      <c r="H2337" s="11">
        <f>H2336+G2337</f>
        <v/>
      </c>
    </row>
    <row r="2338">
      <c r="A2338" s="9" t="n">
        <v>2334</v>
      </c>
      <c r="B2338" s="9" t="inlineStr">
        <is>
          <t>Meridian</t>
        </is>
      </c>
      <c r="C2338" s="9" t="inlineStr">
        <is>
          <t>21/50 MA cross, 250-period confirm filter, VWAP</t>
        </is>
      </c>
      <c r="D2338" s="9" t="inlineStr">
        <is>
          <t>Short</t>
        </is>
      </c>
      <c r="E2338" s="10" t="n">
        <v>45345.31944444445</v>
      </c>
      <c r="F2338" s="10" t="n">
        <v>45345.54861111111</v>
      </c>
      <c r="G2338" s="11" t="n">
        <v>0.55</v>
      </c>
      <c r="H2338" s="11">
        <f>H2337+G2338</f>
        <v/>
      </c>
    </row>
    <row r="2339">
      <c r="A2339" s="9" t="n">
        <v>2335</v>
      </c>
      <c r="B2339" s="9" t="inlineStr">
        <is>
          <t>Ratchet</t>
        </is>
      </c>
      <c r="C2339" s="9" t="inlineStr">
        <is>
          <t>Stochastic scalp with give-back trail exit</t>
        </is>
      </c>
      <c r="D2339" s="9" t="inlineStr">
        <is>
          <t>Long</t>
        </is>
      </c>
      <c r="E2339" s="10" t="n">
        <v>45345.78819444445</v>
      </c>
      <c r="F2339" s="10" t="n">
        <v>45345.79513888889</v>
      </c>
      <c r="G2339" s="11" t="n">
        <v>0.3</v>
      </c>
      <c r="H2339" s="11">
        <f>H2338+G2339</f>
        <v/>
      </c>
    </row>
    <row r="2340">
      <c r="A2340" s="9" t="n">
        <v>2336</v>
      </c>
      <c r="B2340" s="9" t="inlineStr">
        <is>
          <t>Aurelius_M5</t>
        </is>
      </c>
      <c r="C2340" s="9" t="inlineStr">
        <is>
          <t>MA alignment (EMA21&gt;EMA50&gt;SMA250&gt;SMMA500 vs EMA2400 trend filter)</t>
        </is>
      </c>
      <c r="D2340" s="9" t="inlineStr">
        <is>
          <t>Long</t>
        </is>
      </c>
      <c r="E2340" s="10" t="n">
        <v>45345.70486111111</v>
      </c>
      <c r="F2340" s="10" t="n">
        <v>45345.92013888889</v>
      </c>
      <c r="G2340" s="11" t="n">
        <v>11.3</v>
      </c>
      <c r="H2340" s="11">
        <f>H2339+G2340</f>
        <v/>
      </c>
    </row>
    <row r="2341">
      <c r="A2341" s="9" t="n">
        <v>2337</v>
      </c>
      <c r="B2341" s="9" t="inlineStr">
        <is>
          <t>Aurelius_M5</t>
        </is>
      </c>
      <c r="C2341" s="9" t="inlineStr">
        <is>
          <t>MA alignment (EMA21&gt;EMA50&gt;SMA250&gt;SMMA500 vs EMA2400 trend filter)</t>
        </is>
      </c>
      <c r="D2341" s="9" t="inlineStr">
        <is>
          <t>Long</t>
        </is>
      </c>
      <c r="E2341" s="10" t="n">
        <v>45348.31597222222</v>
      </c>
      <c r="F2341" s="10" t="n">
        <v>45348.33333333334</v>
      </c>
      <c r="G2341" s="11" t="n">
        <v>-1.28</v>
      </c>
      <c r="H2341" s="11">
        <f>H2340+G2341</f>
        <v/>
      </c>
    </row>
    <row r="2342">
      <c r="A2342" s="9" t="n">
        <v>2338</v>
      </c>
      <c r="B2342" s="9" t="inlineStr">
        <is>
          <t>Meridian</t>
        </is>
      </c>
      <c r="C2342" s="9" t="inlineStr">
        <is>
          <t>21/50 MA cross, 250-period confirm filter, VWAP</t>
        </is>
      </c>
      <c r="D2342" s="9" t="inlineStr">
        <is>
          <t>Long</t>
        </is>
      </c>
      <c r="E2342" s="10" t="n">
        <v>45348.30555555555</v>
      </c>
      <c r="F2342" s="10" t="n">
        <v>45348.34027777778</v>
      </c>
      <c r="G2342" s="11" t="n">
        <v>-1.17</v>
      </c>
      <c r="H2342" s="11">
        <f>H2341+G2342</f>
        <v/>
      </c>
    </row>
    <row r="2343">
      <c r="A2343" s="9" t="n">
        <v>2339</v>
      </c>
      <c r="B2343" s="9" t="inlineStr">
        <is>
          <t>Ratchet</t>
        </is>
      </c>
      <c r="C2343" s="9" t="inlineStr">
        <is>
          <t>Stochastic scalp with give-back trail exit</t>
        </is>
      </c>
      <c r="D2343" s="9" t="inlineStr">
        <is>
          <t>Long</t>
        </is>
      </c>
      <c r="E2343" s="10" t="n">
        <v>45348.36111111111</v>
      </c>
      <c r="F2343" s="10" t="n">
        <v>45348.36805555555</v>
      </c>
      <c r="G2343" s="11" t="n">
        <v>-1.31</v>
      </c>
      <c r="H2343" s="11">
        <f>H2342+G2343</f>
        <v/>
      </c>
    </row>
    <row r="2344">
      <c r="A2344" s="9" t="n">
        <v>2340</v>
      </c>
      <c r="B2344" s="9" t="inlineStr">
        <is>
          <t>Ratchet</t>
        </is>
      </c>
      <c r="C2344" s="9" t="inlineStr">
        <is>
          <t>Stochastic scalp with give-back trail exit</t>
        </is>
      </c>
      <c r="D2344" s="9" t="inlineStr">
        <is>
          <t>Long</t>
        </is>
      </c>
      <c r="E2344" s="10" t="n">
        <v>45348.39236111111</v>
      </c>
      <c r="F2344" s="10" t="n">
        <v>45348.39583333334</v>
      </c>
      <c r="G2344" s="11" t="n">
        <v>0.17</v>
      </c>
      <c r="H2344" s="11">
        <f>H2343+G2344</f>
        <v/>
      </c>
    </row>
    <row r="2345">
      <c r="A2345" s="9" t="n">
        <v>2341</v>
      </c>
      <c r="B2345" s="9" t="inlineStr">
        <is>
          <t>Aurelius_M5</t>
        </is>
      </c>
      <c r="C2345" s="9" t="inlineStr">
        <is>
          <t>MA alignment (EMA21&gt;EMA50&gt;SMA250&gt;SMMA500 vs EMA2400 trend filter)</t>
        </is>
      </c>
      <c r="D2345" s="9" t="inlineStr">
        <is>
          <t>Long</t>
        </is>
      </c>
      <c r="E2345" s="10" t="n">
        <v>45348.35416666666</v>
      </c>
      <c r="F2345" s="10" t="n">
        <v>45348.48263888889</v>
      </c>
      <c r="G2345" s="11" t="n">
        <v>-0.37</v>
      </c>
      <c r="H2345" s="11">
        <f>H2344+G2345</f>
        <v/>
      </c>
    </row>
    <row r="2346">
      <c r="A2346" s="9" t="n">
        <v>2342</v>
      </c>
      <c r="B2346" s="9" t="inlineStr">
        <is>
          <t>Aurelius_M15</t>
        </is>
      </c>
      <c r="C2346" s="9" t="inlineStr">
        <is>
          <t>MA alignment (EMA21&gt;EMA50&gt;SMA250&gt;SMMA500 vs EMA2400 trend filter) - M15 chart</t>
        </is>
      </c>
      <c r="D2346" s="9" t="inlineStr">
        <is>
          <t>Long</t>
        </is>
      </c>
      <c r="E2346" s="10" t="n">
        <v>45348.42708333334</v>
      </c>
      <c r="F2346" s="10" t="n">
        <v>45348.53125</v>
      </c>
      <c r="G2346" s="11" t="n">
        <v>-3.16</v>
      </c>
      <c r="H2346" s="11">
        <f>H2345+G2346</f>
        <v/>
      </c>
    </row>
    <row r="2347">
      <c r="A2347" s="9" t="n">
        <v>2343</v>
      </c>
      <c r="B2347" s="9" t="inlineStr">
        <is>
          <t>Meridian</t>
        </is>
      </c>
      <c r="C2347" s="9" t="inlineStr">
        <is>
          <t>21/50 MA cross, 250-period confirm filter, VWAP</t>
        </is>
      </c>
      <c r="D2347" s="9" t="inlineStr">
        <is>
          <t>Long</t>
        </is>
      </c>
      <c r="E2347" s="10" t="n">
        <v>45348.50694444445</v>
      </c>
      <c r="F2347" s="10" t="n">
        <v>45348.53472222222</v>
      </c>
      <c r="G2347" s="11" t="n">
        <v>-1.94</v>
      </c>
      <c r="H2347" s="11">
        <f>H2346+G2347</f>
        <v/>
      </c>
    </row>
    <row r="2348">
      <c r="A2348" s="9" t="n">
        <v>2344</v>
      </c>
      <c r="B2348" s="9" t="inlineStr">
        <is>
          <t>Meridian</t>
        </is>
      </c>
      <c r="C2348" s="9" t="inlineStr">
        <is>
          <t>21/50 MA cross, 250-period confirm filter, VWAP</t>
        </is>
      </c>
      <c r="D2348" s="9" t="inlineStr">
        <is>
          <t>Short</t>
        </is>
      </c>
      <c r="E2348" s="10" t="n">
        <v>45348.67013888889</v>
      </c>
      <c r="F2348" s="10" t="n">
        <v>45348.875</v>
      </c>
      <c r="G2348" s="11" t="n">
        <v>2.51</v>
      </c>
      <c r="H2348" s="11">
        <f>H2347+G2348</f>
        <v/>
      </c>
    </row>
    <row r="2349">
      <c r="A2349" s="9" t="n">
        <v>2345</v>
      </c>
      <c r="B2349" s="9" t="inlineStr">
        <is>
          <t>Ratchet</t>
        </is>
      </c>
      <c r="C2349" s="9" t="inlineStr">
        <is>
          <t>Stochastic scalp with give-back trail exit</t>
        </is>
      </c>
      <c r="D2349" s="9" t="inlineStr">
        <is>
          <t>Long</t>
        </is>
      </c>
      <c r="E2349" s="10" t="n">
        <v>45349.42708333334</v>
      </c>
      <c r="F2349" s="10" t="n">
        <v>45349.46875</v>
      </c>
      <c r="G2349" s="11" t="n">
        <v>0.96</v>
      </c>
      <c r="H2349" s="11">
        <f>H2348+G2349</f>
        <v/>
      </c>
    </row>
    <row r="2350">
      <c r="A2350" s="9" t="n">
        <v>2346</v>
      </c>
      <c r="B2350" s="9" t="inlineStr">
        <is>
          <t>Ratchet</t>
        </is>
      </c>
      <c r="C2350" s="9" t="inlineStr">
        <is>
          <t>Stochastic scalp with give-back trail exit</t>
        </is>
      </c>
      <c r="D2350" s="9" t="inlineStr">
        <is>
          <t>Long</t>
        </is>
      </c>
      <c r="E2350" s="10" t="n">
        <v>45349.55555555555</v>
      </c>
      <c r="F2350" s="10" t="n">
        <v>45349.5625</v>
      </c>
      <c r="G2350" s="11" t="n">
        <v>-1.19</v>
      </c>
      <c r="H2350" s="11">
        <f>H2349+G2350</f>
        <v/>
      </c>
    </row>
    <row r="2351">
      <c r="A2351" s="9" t="n">
        <v>2347</v>
      </c>
      <c r="B2351" s="9" t="inlineStr">
        <is>
          <t>Ratchet</t>
        </is>
      </c>
      <c r="C2351" s="9" t="inlineStr">
        <is>
          <t>Stochastic scalp with give-back trail exit</t>
        </is>
      </c>
      <c r="D2351" s="9" t="inlineStr">
        <is>
          <t>Long</t>
        </is>
      </c>
      <c r="E2351" s="10" t="n">
        <v>45349.62152777778</v>
      </c>
      <c r="F2351" s="10" t="n">
        <v>45349.63194444445</v>
      </c>
      <c r="G2351" s="11" t="n">
        <v>-1.33</v>
      </c>
      <c r="H2351" s="11">
        <f>H2350+G2351</f>
        <v/>
      </c>
    </row>
    <row r="2352">
      <c r="A2352" s="9" t="n">
        <v>2348</v>
      </c>
      <c r="B2352" s="9" t="inlineStr">
        <is>
          <t>Aurelius_M5</t>
        </is>
      </c>
      <c r="C2352" s="9" t="inlineStr">
        <is>
          <t>MA alignment (EMA21&gt;EMA50&gt;SMA250&gt;SMMA500 vs EMA2400 trend filter)</t>
        </is>
      </c>
      <c r="D2352" s="9" t="inlineStr">
        <is>
          <t>Long</t>
        </is>
      </c>
      <c r="E2352" s="10" t="n">
        <v>45349.34027777778</v>
      </c>
      <c r="F2352" s="10" t="n">
        <v>45349.67013888889</v>
      </c>
      <c r="G2352" s="11" t="n">
        <v>1.18</v>
      </c>
      <c r="H2352" s="11">
        <f>H2351+G2352</f>
        <v/>
      </c>
    </row>
    <row r="2353">
      <c r="A2353" s="9" t="n">
        <v>2349</v>
      </c>
      <c r="B2353" s="9" t="inlineStr">
        <is>
          <t>Aurelius_M15</t>
        </is>
      </c>
      <c r="C2353" s="9" t="inlineStr">
        <is>
          <t>MA alignment (EMA21&gt;EMA50&gt;SMA250&gt;SMMA500 vs EMA2400 trend filter) - M15 chart</t>
        </is>
      </c>
      <c r="D2353" s="9" t="inlineStr">
        <is>
          <t>Long</t>
        </is>
      </c>
      <c r="E2353" s="10" t="n">
        <v>45349.6875</v>
      </c>
      <c r="F2353" s="10" t="n">
        <v>45349.75</v>
      </c>
      <c r="G2353" s="11" t="n">
        <v>-4.02</v>
      </c>
      <c r="H2353" s="11">
        <f>H2352+G2353</f>
        <v/>
      </c>
    </row>
    <row r="2354">
      <c r="A2354" s="9" t="n">
        <v>2350</v>
      </c>
      <c r="B2354" s="9" t="inlineStr">
        <is>
          <t>Vanguard_M5</t>
        </is>
      </c>
      <c r="C2354" s="9" t="inlineStr">
        <is>
          <t>Trendline breakout (fractal swing line) + VWAP/S-R distance gate</t>
        </is>
      </c>
      <c r="D2354" s="9" t="inlineStr">
        <is>
          <t>Long</t>
        </is>
      </c>
      <c r="E2354" s="10" t="n">
        <v>45345.55902777778</v>
      </c>
      <c r="F2354" s="10" t="n">
        <v>45349.76041666666</v>
      </c>
      <c r="G2354" s="11" t="n">
        <v>8.710000000000001</v>
      </c>
      <c r="H2354" s="11">
        <f>H2353+G2354</f>
        <v/>
      </c>
    </row>
    <row r="2355">
      <c r="A2355" s="9" t="n">
        <v>2351</v>
      </c>
      <c r="B2355" s="9" t="inlineStr">
        <is>
          <t>Vanguard_M15</t>
        </is>
      </c>
      <c r="C2355" s="9" t="inlineStr">
        <is>
          <t>Trendline breakout (fractal swing line) + VWAP/S-R distance gate - M15 chart</t>
        </is>
      </c>
      <c r="D2355" s="9" t="inlineStr">
        <is>
          <t>Long</t>
        </is>
      </c>
      <c r="E2355" s="10" t="n">
        <v>45345.57291666666</v>
      </c>
      <c r="F2355" s="10" t="n">
        <v>45349.79166666666</v>
      </c>
      <c r="G2355" s="11" t="n">
        <v>7.17</v>
      </c>
      <c r="H2355" s="11">
        <f>H2354+G2355</f>
        <v/>
      </c>
    </row>
    <row r="2356">
      <c r="A2356" s="9" t="n">
        <v>2352</v>
      </c>
      <c r="B2356" s="9" t="inlineStr">
        <is>
          <t>Meridian</t>
        </is>
      </c>
      <c r="C2356" s="9" t="inlineStr">
        <is>
          <t>21/50 MA cross, 250-period confirm filter, VWAP</t>
        </is>
      </c>
      <c r="D2356" s="9" t="inlineStr">
        <is>
          <t>Short</t>
        </is>
      </c>
      <c r="E2356" s="10" t="n">
        <v>45350.24652777778</v>
      </c>
      <c r="F2356" s="10" t="n">
        <v>45350.34722222222</v>
      </c>
      <c r="G2356" s="11" t="n">
        <v>-0.53</v>
      </c>
      <c r="H2356" s="11">
        <f>H2355+G2356</f>
        <v/>
      </c>
    </row>
    <row r="2357">
      <c r="A2357" s="9" t="n">
        <v>2353</v>
      </c>
      <c r="B2357" s="9" t="inlineStr">
        <is>
          <t>Ratchet</t>
        </is>
      </c>
      <c r="C2357" s="9" t="inlineStr">
        <is>
          <t>Stochastic scalp with give-back trail exit</t>
        </is>
      </c>
      <c r="D2357" s="9" t="inlineStr">
        <is>
          <t>Short</t>
        </is>
      </c>
      <c r="E2357" s="10" t="n">
        <v>45350.48611111111</v>
      </c>
      <c r="F2357" s="10" t="n">
        <v>45350.48958333334</v>
      </c>
      <c r="G2357" s="11" t="n">
        <v>-1.23</v>
      </c>
      <c r="H2357" s="11">
        <f>H2356+G2357</f>
        <v/>
      </c>
    </row>
    <row r="2358">
      <c r="A2358" s="9" t="n">
        <v>2354</v>
      </c>
      <c r="B2358" s="9" t="inlineStr">
        <is>
          <t>Meridian</t>
        </is>
      </c>
      <c r="C2358" s="9" t="inlineStr">
        <is>
          <t>21/50 MA cross, 250-period confirm filter, VWAP</t>
        </is>
      </c>
      <c r="D2358" s="9" t="inlineStr">
        <is>
          <t>Short</t>
        </is>
      </c>
      <c r="E2358" s="10" t="n">
        <v>45350.36805555555</v>
      </c>
      <c r="F2358" s="10" t="n">
        <v>45350.59722222222</v>
      </c>
      <c r="G2358" s="11" t="n">
        <v>0.51</v>
      </c>
      <c r="H2358" s="11">
        <f>H2357+G2358</f>
        <v/>
      </c>
    </row>
    <row r="2359">
      <c r="A2359" s="9" t="n">
        <v>2355</v>
      </c>
      <c r="B2359" s="9" t="inlineStr">
        <is>
          <t>Vanguard_M15</t>
        </is>
      </c>
      <c r="C2359" s="9" t="inlineStr">
        <is>
          <t>Trendline breakout (fractal swing line) + VWAP/S-R distance gate - M15 chart</t>
        </is>
      </c>
      <c r="D2359" s="9" t="inlineStr">
        <is>
          <t>Short</t>
        </is>
      </c>
      <c r="E2359" s="10" t="n">
        <v>45349.80208333334</v>
      </c>
      <c r="F2359" s="10" t="n">
        <v>45350.625</v>
      </c>
      <c r="G2359" s="11" t="n">
        <v>-1.49</v>
      </c>
      <c r="H2359" s="11">
        <f>H2358+G2359</f>
        <v/>
      </c>
    </row>
    <row r="2360">
      <c r="A2360" s="9" t="n">
        <v>2356</v>
      </c>
      <c r="B2360" s="9" t="inlineStr">
        <is>
          <t>Vanguard_M5</t>
        </is>
      </c>
      <c r="C2360" s="9" t="inlineStr">
        <is>
          <t>Trendline breakout (fractal swing line) + VWAP/S-R distance gate</t>
        </is>
      </c>
      <c r="D2360" s="9" t="inlineStr">
        <is>
          <t>Short</t>
        </is>
      </c>
      <c r="E2360" s="10" t="n">
        <v>45349.76388888889</v>
      </c>
      <c r="F2360" s="10" t="n">
        <v>45350.63541666666</v>
      </c>
      <c r="G2360" s="11" t="n">
        <v>-0.55</v>
      </c>
      <c r="H2360" s="11">
        <f>H2359+G2360</f>
        <v/>
      </c>
    </row>
    <row r="2361">
      <c r="A2361" s="9" t="n">
        <v>2357</v>
      </c>
      <c r="B2361" s="9" t="inlineStr">
        <is>
          <t>Aurelius_M5</t>
        </is>
      </c>
      <c r="C2361" s="9" t="inlineStr">
        <is>
          <t>MA alignment (EMA21&gt;EMA50&gt;SMA250&gt;SMMA500 vs EMA2400 trend filter)</t>
        </is>
      </c>
      <c r="D2361" s="9" t="inlineStr">
        <is>
          <t>Long</t>
        </is>
      </c>
      <c r="E2361" s="10" t="n">
        <v>45350.75347222222</v>
      </c>
      <c r="F2361" s="10" t="n">
        <v>45350.75694444445</v>
      </c>
      <c r="G2361" s="11" t="n">
        <v>-0.52</v>
      </c>
      <c r="H2361" s="11">
        <f>H2360+G2361</f>
        <v/>
      </c>
    </row>
    <row r="2362">
      <c r="A2362" s="9" t="n">
        <v>2358</v>
      </c>
      <c r="B2362" s="9" t="inlineStr">
        <is>
          <t>Ratchet</t>
        </is>
      </c>
      <c r="C2362" s="9" t="inlineStr">
        <is>
          <t>Stochastic scalp with give-back trail exit</t>
        </is>
      </c>
      <c r="D2362" s="9" t="inlineStr">
        <is>
          <t>Long</t>
        </is>
      </c>
      <c r="E2362" s="10" t="n">
        <v>45351.05208333334</v>
      </c>
      <c r="F2362" s="10" t="n">
        <v>45351.12152777778</v>
      </c>
      <c r="G2362" s="11" t="n">
        <v>-1.03</v>
      </c>
      <c r="H2362" s="11">
        <f>H2361+G2362</f>
        <v/>
      </c>
    </row>
    <row r="2363">
      <c r="A2363" s="9" t="n">
        <v>2359</v>
      </c>
      <c r="B2363" s="9" t="inlineStr">
        <is>
          <t>Ratchet</t>
        </is>
      </c>
      <c r="C2363" s="9" t="inlineStr">
        <is>
          <t>Stochastic scalp with give-back trail exit</t>
        </is>
      </c>
      <c r="D2363" s="9" t="inlineStr">
        <is>
          <t>Long</t>
        </is>
      </c>
      <c r="E2363" s="10" t="n">
        <v>45351.20833333334</v>
      </c>
      <c r="F2363" s="10" t="n">
        <v>45351.22569444445</v>
      </c>
      <c r="G2363" s="11" t="n">
        <v>-1.21</v>
      </c>
      <c r="H2363" s="11">
        <f>H2362+G2363</f>
        <v/>
      </c>
    </row>
    <row r="2364">
      <c r="A2364" s="9" t="n">
        <v>2360</v>
      </c>
      <c r="B2364" s="9" t="inlineStr">
        <is>
          <t>Meridian</t>
        </is>
      </c>
      <c r="C2364" s="9" t="inlineStr">
        <is>
          <t>21/50 MA cross, 250-period confirm filter, VWAP</t>
        </is>
      </c>
      <c r="D2364" s="9" t="inlineStr">
        <is>
          <t>Long</t>
        </is>
      </c>
      <c r="E2364" s="10" t="n">
        <v>45350.9375</v>
      </c>
      <c r="F2364" s="10" t="n">
        <v>45351.30902777778</v>
      </c>
      <c r="G2364" s="11" t="n">
        <v>0.99</v>
      </c>
      <c r="H2364" s="11">
        <f>H2363+G2364</f>
        <v/>
      </c>
    </row>
    <row r="2365">
      <c r="A2365" s="9" t="n">
        <v>2361</v>
      </c>
      <c r="B2365" s="9" t="inlineStr">
        <is>
          <t>Aurelius_M5</t>
        </is>
      </c>
      <c r="C2365" s="9" t="inlineStr">
        <is>
          <t>MA alignment (EMA21&gt;EMA50&gt;SMA250&gt;SMMA500 vs EMA2400 trend filter)</t>
        </is>
      </c>
      <c r="D2365" s="9" t="inlineStr">
        <is>
          <t>Long</t>
        </is>
      </c>
      <c r="E2365" s="10" t="n">
        <v>45351.14236111111</v>
      </c>
      <c r="F2365" s="10" t="n">
        <v>45351.30902777778</v>
      </c>
      <c r="G2365" s="11" t="n">
        <v>0.75</v>
      </c>
      <c r="H2365" s="11">
        <f>H2364+G2365</f>
        <v/>
      </c>
    </row>
    <row r="2366">
      <c r="A2366" s="9" t="n">
        <v>2362</v>
      </c>
      <c r="B2366" s="9" t="inlineStr">
        <is>
          <t>Aurelius_M5</t>
        </is>
      </c>
      <c r="C2366" s="9" t="inlineStr">
        <is>
          <t>MA alignment (EMA21&gt;EMA50&gt;SMA250&gt;SMMA500 vs EMA2400 trend filter)</t>
        </is>
      </c>
      <c r="D2366" s="9" t="inlineStr">
        <is>
          <t>Long</t>
        </is>
      </c>
      <c r="E2366" s="10" t="n">
        <v>45351.375</v>
      </c>
      <c r="F2366" s="10" t="n">
        <v>45351.39236111111</v>
      </c>
      <c r="G2366" s="11" t="n">
        <v>-1.07</v>
      </c>
      <c r="H2366" s="11">
        <f>H2365+G2366</f>
        <v/>
      </c>
    </row>
    <row r="2367">
      <c r="A2367" s="9" t="n">
        <v>2363</v>
      </c>
      <c r="B2367" s="9" t="inlineStr">
        <is>
          <t>Ratchet</t>
        </is>
      </c>
      <c r="C2367" s="9" t="inlineStr">
        <is>
          <t>Stochastic scalp with give-back trail exit</t>
        </is>
      </c>
      <c r="D2367" s="9" t="inlineStr">
        <is>
          <t>Long</t>
        </is>
      </c>
      <c r="E2367" s="10" t="n">
        <v>45351.40625</v>
      </c>
      <c r="F2367" s="10" t="n">
        <v>45351.40972222222</v>
      </c>
      <c r="G2367" s="11" t="n">
        <v>-0.93</v>
      </c>
      <c r="H2367" s="11">
        <f>H2366+G2367</f>
        <v/>
      </c>
    </row>
    <row r="2368">
      <c r="A2368" s="9" t="n">
        <v>2364</v>
      </c>
      <c r="B2368" s="9" t="inlineStr">
        <is>
          <t>Vanguard_M5</t>
        </is>
      </c>
      <c r="C2368" s="9" t="inlineStr">
        <is>
          <t>Trendline breakout (fractal swing line) + VWAP/S-R distance gate</t>
        </is>
      </c>
      <c r="D2368" s="9" t="inlineStr">
        <is>
          <t>Long</t>
        </is>
      </c>
      <c r="E2368" s="10" t="n">
        <v>45351.38194444445</v>
      </c>
      <c r="F2368" s="10" t="n">
        <v>45351.46875</v>
      </c>
      <c r="G2368" s="11" t="n">
        <v>-1.84</v>
      </c>
      <c r="H2368" s="11">
        <f>H2367+G2368</f>
        <v/>
      </c>
    </row>
    <row r="2369">
      <c r="A2369" s="9" t="n">
        <v>2365</v>
      </c>
      <c r="B2369" s="9" t="inlineStr">
        <is>
          <t>Aurelius_M5</t>
        </is>
      </c>
      <c r="C2369" s="9" t="inlineStr">
        <is>
          <t>MA alignment (EMA21&gt;EMA50&gt;SMA250&gt;SMMA500 vs EMA2400 trend filter)</t>
        </is>
      </c>
      <c r="D2369" s="9" t="inlineStr">
        <is>
          <t>Long</t>
        </is>
      </c>
      <c r="E2369" s="10" t="n">
        <v>45351.43402777778</v>
      </c>
      <c r="F2369" s="10" t="n">
        <v>45351.46875</v>
      </c>
      <c r="G2369" s="11" t="n">
        <v>-1.64</v>
      </c>
      <c r="H2369" s="11">
        <f>H2368+G2369</f>
        <v/>
      </c>
    </row>
    <row r="2370">
      <c r="A2370" s="9" t="n">
        <v>2366</v>
      </c>
      <c r="B2370" s="9" t="inlineStr">
        <is>
          <t>Meridian</t>
        </is>
      </c>
      <c r="C2370" s="9" t="inlineStr">
        <is>
          <t>21/50 MA cross, 250-period confirm filter, VWAP</t>
        </is>
      </c>
      <c r="D2370" s="9" t="inlineStr">
        <is>
          <t>Long</t>
        </is>
      </c>
      <c r="E2370" s="10" t="n">
        <v>45351.34722222222</v>
      </c>
      <c r="F2370" s="10" t="n">
        <v>45351.47222222222</v>
      </c>
      <c r="G2370" s="11" t="n">
        <v>-1.16</v>
      </c>
      <c r="H2370" s="11">
        <f>H2369+G2370</f>
        <v/>
      </c>
    </row>
    <row r="2371">
      <c r="A2371" s="9" t="n">
        <v>2367</v>
      </c>
      <c r="B2371" s="9" t="inlineStr">
        <is>
          <t>Vanguard_M15</t>
        </is>
      </c>
      <c r="C2371" s="9" t="inlineStr">
        <is>
          <t>Trendline breakout (fractal swing line) + VWAP/S-R distance gate - M15 chart</t>
        </is>
      </c>
      <c r="D2371" s="9" t="inlineStr">
        <is>
          <t>Long</t>
        </is>
      </c>
      <c r="E2371" s="10" t="n">
        <v>45351.40625</v>
      </c>
      <c r="F2371" s="10" t="n">
        <v>45351.47916666666</v>
      </c>
      <c r="G2371" s="11" t="n">
        <v>-2.74</v>
      </c>
      <c r="H2371" s="11">
        <f>H2370+G2371</f>
        <v/>
      </c>
    </row>
    <row r="2372">
      <c r="A2372" s="9" t="n">
        <v>2368</v>
      </c>
      <c r="B2372" s="9" t="inlineStr">
        <is>
          <t>Aurelius_M15</t>
        </is>
      </c>
      <c r="C2372" s="9" t="inlineStr">
        <is>
          <t>MA alignment (EMA21&gt;EMA50&gt;SMA250&gt;SMMA500 vs EMA2400 trend filter) - M15 chart</t>
        </is>
      </c>
      <c r="D2372" s="9" t="inlineStr">
        <is>
          <t>Long</t>
        </is>
      </c>
      <c r="E2372" s="10" t="n">
        <v>45351.4375</v>
      </c>
      <c r="F2372" s="10" t="n">
        <v>45351.48958333334</v>
      </c>
      <c r="G2372" s="11" t="n">
        <v>-2.64</v>
      </c>
      <c r="H2372" s="11">
        <f>H2371+G2372</f>
        <v/>
      </c>
    </row>
    <row r="2373">
      <c r="A2373" s="9" t="n">
        <v>2369</v>
      </c>
      <c r="B2373" s="9" t="inlineStr">
        <is>
          <t>Ratchet</t>
        </is>
      </c>
      <c r="C2373" s="9" t="inlineStr">
        <is>
          <t>Stochastic scalp with give-back trail exit</t>
        </is>
      </c>
      <c r="D2373" s="9" t="inlineStr">
        <is>
          <t>Long</t>
        </is>
      </c>
      <c r="E2373" s="10" t="n">
        <v>45351.67013888889</v>
      </c>
      <c r="F2373" s="10" t="n">
        <v>45351.67708333334</v>
      </c>
      <c r="G2373" s="11" t="n">
        <v>0.55</v>
      </c>
      <c r="H2373" s="11">
        <f>H2372+G2373</f>
        <v/>
      </c>
    </row>
    <row r="2374">
      <c r="A2374" s="9" t="n">
        <v>2370</v>
      </c>
      <c r="B2374" s="9" t="inlineStr">
        <is>
          <t>Ratchet</t>
        </is>
      </c>
      <c r="C2374" s="9" t="inlineStr">
        <is>
          <t>Stochastic scalp with give-back trail exit</t>
        </is>
      </c>
      <c r="D2374" s="9" t="inlineStr">
        <is>
          <t>Long</t>
        </is>
      </c>
      <c r="E2374" s="10" t="n">
        <v>45351.68402777778</v>
      </c>
      <c r="F2374" s="10" t="n">
        <v>45351.70138888889</v>
      </c>
      <c r="G2374" s="11" t="n">
        <v>0.47</v>
      </c>
      <c r="H2374" s="11">
        <f>H2373+G2374</f>
        <v/>
      </c>
    </row>
    <row r="2375">
      <c r="A2375" s="9" t="n">
        <v>2371</v>
      </c>
      <c r="B2375" s="9" t="inlineStr">
        <is>
          <t>Ratchet</t>
        </is>
      </c>
      <c r="C2375" s="9" t="inlineStr">
        <is>
          <t>Stochastic scalp with give-back trail exit</t>
        </is>
      </c>
      <c r="D2375" s="9" t="inlineStr">
        <is>
          <t>Long</t>
        </is>
      </c>
      <c r="E2375" s="10" t="n">
        <v>45351.73611111111</v>
      </c>
      <c r="F2375" s="10" t="n">
        <v>45351.75694444445</v>
      </c>
      <c r="G2375" s="11" t="n">
        <v>-3.35</v>
      </c>
      <c r="H2375" s="11">
        <f>H2374+G2375</f>
        <v/>
      </c>
    </row>
    <row r="2376">
      <c r="A2376" s="9" t="n">
        <v>2372</v>
      </c>
      <c r="B2376" s="9" t="inlineStr">
        <is>
          <t>Aurelius_M15</t>
        </is>
      </c>
      <c r="C2376" s="9" t="inlineStr">
        <is>
          <t>MA alignment (EMA21&gt;EMA50&gt;SMA250&gt;SMMA500 vs EMA2400 trend filter) - M15 chart</t>
        </is>
      </c>
      <c r="D2376" s="9" t="inlineStr">
        <is>
          <t>Long</t>
        </is>
      </c>
      <c r="E2376" s="10" t="n">
        <v>45351.69791666666</v>
      </c>
      <c r="F2376" s="10" t="n">
        <v>45351.8125</v>
      </c>
      <c r="G2376" s="11" t="n">
        <v>-6.35</v>
      </c>
      <c r="H2376" s="11">
        <f>H2375+G2376</f>
        <v/>
      </c>
    </row>
    <row r="2377">
      <c r="A2377" s="9" t="n">
        <v>2373</v>
      </c>
      <c r="B2377" s="9" t="inlineStr">
        <is>
          <t>Ratchet</t>
        </is>
      </c>
      <c r="C2377" s="9" t="inlineStr">
        <is>
          <t>Stochastic scalp with give-back trail exit</t>
        </is>
      </c>
      <c r="D2377" s="9" t="inlineStr">
        <is>
          <t>Long</t>
        </is>
      </c>
      <c r="E2377" s="10" t="n">
        <v>45351.85763888889</v>
      </c>
      <c r="F2377" s="10" t="n">
        <v>45351.87847222222</v>
      </c>
      <c r="G2377" s="11" t="n">
        <v>0</v>
      </c>
      <c r="H2377" s="11">
        <f>H2376+G2377</f>
        <v/>
      </c>
    </row>
    <row r="2378">
      <c r="A2378" s="9" t="n">
        <v>2374</v>
      </c>
      <c r="B2378" s="9" t="inlineStr">
        <is>
          <t>Meridian</t>
        </is>
      </c>
      <c r="C2378" s="9" t="inlineStr">
        <is>
          <t>21/50 MA cross, 250-period confirm filter, VWAP</t>
        </is>
      </c>
      <c r="D2378" s="9" t="inlineStr">
        <is>
          <t>Long</t>
        </is>
      </c>
      <c r="E2378" s="10" t="n">
        <v>45351.65277777778</v>
      </c>
      <c r="F2378" s="10" t="n">
        <v>45351.94791666666</v>
      </c>
      <c r="G2378" s="11" t="n">
        <v>2.9</v>
      </c>
      <c r="H2378" s="11">
        <f>H2377+G2378</f>
        <v/>
      </c>
    </row>
    <row r="2379">
      <c r="A2379" s="9" t="n">
        <v>2375</v>
      </c>
      <c r="B2379" s="9" t="inlineStr">
        <is>
          <t>Ratchet</t>
        </is>
      </c>
      <c r="C2379" s="9" t="inlineStr">
        <is>
          <t>Stochastic scalp with give-back trail exit</t>
        </is>
      </c>
      <c r="D2379" s="9" t="inlineStr">
        <is>
          <t>Long</t>
        </is>
      </c>
      <c r="E2379" s="10" t="n">
        <v>45352.19791666666</v>
      </c>
      <c r="F2379" s="10" t="n">
        <v>45352.19791666666</v>
      </c>
      <c r="G2379" s="11" t="n">
        <v>-0.74</v>
      </c>
      <c r="H2379" s="11">
        <f>H2378+G2379</f>
        <v/>
      </c>
    </row>
    <row r="2380">
      <c r="A2380" s="9" t="n">
        <v>2376</v>
      </c>
      <c r="B2380" s="9" t="inlineStr">
        <is>
          <t>Ratchet</t>
        </is>
      </c>
      <c r="C2380" s="9" t="inlineStr">
        <is>
          <t>Stochastic scalp with give-back trail exit</t>
        </is>
      </c>
      <c r="D2380" s="9" t="inlineStr">
        <is>
          <t>Long</t>
        </is>
      </c>
      <c r="E2380" s="10" t="n">
        <v>45352.26736111111</v>
      </c>
      <c r="F2380" s="10" t="n">
        <v>45352.28472222222</v>
      </c>
      <c r="G2380" s="11" t="n">
        <v>-0.76</v>
      </c>
      <c r="H2380" s="11">
        <f>H2379+G2380</f>
        <v/>
      </c>
    </row>
    <row r="2381">
      <c r="A2381" s="9" t="n">
        <v>2377</v>
      </c>
      <c r="B2381" s="9" t="inlineStr">
        <is>
          <t>Aurelius_M5</t>
        </is>
      </c>
      <c r="C2381" s="9" t="inlineStr">
        <is>
          <t>MA alignment (EMA21&gt;EMA50&gt;SMA250&gt;SMMA500 vs EMA2400 trend filter)</t>
        </is>
      </c>
      <c r="D2381" s="9" t="inlineStr">
        <is>
          <t>Long</t>
        </is>
      </c>
      <c r="E2381" s="10" t="n">
        <v>45352.19444444445</v>
      </c>
      <c r="F2381" s="10" t="n">
        <v>45352.29513888889</v>
      </c>
      <c r="G2381" s="11" t="n">
        <v>-1.12</v>
      </c>
      <c r="H2381" s="11">
        <f>H2380+G2381</f>
        <v/>
      </c>
    </row>
    <row r="2382">
      <c r="A2382" s="9" t="n">
        <v>2378</v>
      </c>
      <c r="B2382" s="9" t="inlineStr">
        <is>
          <t>Meridian</t>
        </is>
      </c>
      <c r="C2382" s="9" t="inlineStr">
        <is>
          <t>21/50 MA cross, 250-period confirm filter, VWAP</t>
        </is>
      </c>
      <c r="D2382" s="9" t="inlineStr">
        <is>
          <t>Long</t>
        </is>
      </c>
      <c r="E2382" s="10" t="n">
        <v>45352.17361111111</v>
      </c>
      <c r="F2382" s="10" t="n">
        <v>45352.30555555555</v>
      </c>
      <c r="G2382" s="11" t="n">
        <v>-1.14</v>
      </c>
      <c r="H2382" s="11">
        <f>H2381+G2382</f>
        <v/>
      </c>
    </row>
    <row r="2383">
      <c r="A2383" s="9" t="n">
        <v>2379</v>
      </c>
      <c r="B2383" s="9" t="inlineStr">
        <is>
          <t>Ratchet</t>
        </is>
      </c>
      <c r="C2383" s="9" t="inlineStr">
        <is>
          <t>Stochastic scalp with give-back trail exit</t>
        </is>
      </c>
      <c r="D2383" s="9" t="inlineStr">
        <is>
          <t>Long</t>
        </is>
      </c>
      <c r="E2383" s="10" t="n">
        <v>45352.34027777778</v>
      </c>
      <c r="F2383" s="10" t="n">
        <v>45352.36111111111</v>
      </c>
      <c r="G2383" s="11" t="n">
        <v>0.42</v>
      </c>
      <c r="H2383" s="11">
        <f>H2382+G2383</f>
        <v/>
      </c>
    </row>
    <row r="2384">
      <c r="A2384" s="9" t="n">
        <v>2380</v>
      </c>
      <c r="B2384" s="9" t="inlineStr">
        <is>
          <t>Aurelius_M5</t>
        </is>
      </c>
      <c r="C2384" s="9" t="inlineStr">
        <is>
          <t>MA alignment (EMA21&gt;EMA50&gt;SMA250&gt;SMMA500 vs EMA2400 trend filter)</t>
        </is>
      </c>
      <c r="D2384" s="9" t="inlineStr">
        <is>
          <t>Long</t>
        </is>
      </c>
      <c r="E2384" s="10" t="n">
        <v>45352.36805555555</v>
      </c>
      <c r="F2384" s="10" t="n">
        <v>45352.41319444445</v>
      </c>
      <c r="G2384" s="11" t="n">
        <v>-1.43</v>
      </c>
      <c r="H2384" s="11">
        <f>H2383+G2384</f>
        <v/>
      </c>
    </row>
    <row r="2385">
      <c r="A2385" s="9" t="n">
        <v>2381</v>
      </c>
      <c r="B2385" s="9" t="inlineStr">
        <is>
          <t>Meridian</t>
        </is>
      </c>
      <c r="C2385" s="9" t="inlineStr">
        <is>
          <t>21/50 MA cross, 250-period confirm filter, VWAP</t>
        </is>
      </c>
      <c r="D2385" s="9" t="inlineStr">
        <is>
          <t>Long</t>
        </is>
      </c>
      <c r="E2385" s="10" t="n">
        <v>45352.33680555555</v>
      </c>
      <c r="F2385" s="10" t="n">
        <v>45352.41666666666</v>
      </c>
      <c r="G2385" s="11" t="n">
        <v>-1.42</v>
      </c>
      <c r="H2385" s="11">
        <f>H2384+G2385</f>
        <v/>
      </c>
    </row>
    <row r="2386">
      <c r="A2386" s="9" t="n">
        <v>2382</v>
      </c>
      <c r="B2386" s="9" t="inlineStr">
        <is>
          <t>Meridian</t>
        </is>
      </c>
      <c r="C2386" s="9" t="inlineStr">
        <is>
          <t>21/50 MA cross, 250-period confirm filter, VWAP</t>
        </is>
      </c>
      <c r="D2386" s="9" t="inlineStr">
        <is>
          <t>Short</t>
        </is>
      </c>
      <c r="E2386" s="10" t="n">
        <v>45352.43055555555</v>
      </c>
      <c r="F2386" s="10" t="n">
        <v>45352.47222222222</v>
      </c>
      <c r="G2386" s="11" t="n">
        <v>-2.03</v>
      </c>
      <c r="H2386" s="11">
        <f>H2385+G2386</f>
        <v/>
      </c>
    </row>
    <row r="2387">
      <c r="A2387" s="9" t="n">
        <v>2383</v>
      </c>
      <c r="B2387" s="9" t="inlineStr">
        <is>
          <t>Ratchet</t>
        </is>
      </c>
      <c r="C2387" s="9" t="inlineStr">
        <is>
          <t>Stochastic scalp with give-back trail exit</t>
        </is>
      </c>
      <c r="D2387" s="9" t="inlineStr">
        <is>
          <t>Long</t>
        </is>
      </c>
      <c r="E2387" s="10" t="n">
        <v>45352.51388888889</v>
      </c>
      <c r="F2387" s="10" t="n">
        <v>45352.62847222222</v>
      </c>
      <c r="G2387" s="11" t="n">
        <v>2.24</v>
      </c>
      <c r="H2387" s="11">
        <f>H2386+G2387</f>
        <v/>
      </c>
    </row>
    <row r="2388">
      <c r="A2388" s="9" t="n">
        <v>2384</v>
      </c>
      <c r="B2388" s="9" t="inlineStr">
        <is>
          <t>Aurelius_M5</t>
        </is>
      </c>
      <c r="C2388" s="9" t="inlineStr">
        <is>
          <t>MA alignment (EMA21&gt;EMA50&gt;SMA250&gt;SMMA500 vs EMA2400 trend filter)</t>
        </is>
      </c>
      <c r="D2388" s="9" t="inlineStr">
        <is>
          <t>Long</t>
        </is>
      </c>
      <c r="E2388" s="10" t="n">
        <v>45352.67361111111</v>
      </c>
      <c r="F2388" s="10" t="n">
        <v>45352.69791666666</v>
      </c>
      <c r="G2388" s="11" t="n">
        <v>-3.26</v>
      </c>
      <c r="H2388" s="11">
        <f>H2387+G2388</f>
        <v/>
      </c>
    </row>
    <row r="2389">
      <c r="A2389" s="9" t="n">
        <v>2385</v>
      </c>
      <c r="B2389" s="9" t="inlineStr">
        <is>
          <t>Meridian</t>
        </is>
      </c>
      <c r="C2389" s="9" t="inlineStr">
        <is>
          <t>21/50 MA cross, 250-period confirm filter, VWAP</t>
        </is>
      </c>
      <c r="D2389" s="9" t="inlineStr">
        <is>
          <t>Long</t>
        </is>
      </c>
      <c r="E2389" s="10" t="n">
        <v>45352.50347222222</v>
      </c>
      <c r="F2389" s="10" t="n">
        <v>45352.70833333334</v>
      </c>
      <c r="G2389" s="11" t="n">
        <v>-0.33</v>
      </c>
      <c r="H2389" s="11">
        <f>H2388+G2389</f>
        <v/>
      </c>
    </row>
    <row r="2390">
      <c r="A2390" s="9" t="n">
        <v>2386</v>
      </c>
      <c r="B2390" s="9" t="inlineStr">
        <is>
          <t>Ratchet</t>
        </is>
      </c>
      <c r="C2390" s="9" t="inlineStr">
        <is>
          <t>Stochastic scalp with give-back trail exit</t>
        </is>
      </c>
      <c r="D2390" s="9" t="inlineStr">
        <is>
          <t>Long</t>
        </is>
      </c>
      <c r="E2390" s="10" t="n">
        <v>45352.73611111111</v>
      </c>
      <c r="F2390" s="10" t="n">
        <v>45352.73958333334</v>
      </c>
      <c r="G2390" s="11" t="n">
        <v>1.04</v>
      </c>
      <c r="H2390" s="11">
        <f>H2389+G2390</f>
        <v/>
      </c>
    </row>
    <row r="2391">
      <c r="A2391" s="9" t="n">
        <v>2387</v>
      </c>
      <c r="B2391" s="9" t="inlineStr">
        <is>
          <t>Meridian</t>
        </is>
      </c>
      <c r="C2391" s="9" t="inlineStr">
        <is>
          <t>21/50 MA cross, 250-period confirm filter, VWAP</t>
        </is>
      </c>
      <c r="D2391" s="9" t="inlineStr">
        <is>
          <t>Long</t>
        </is>
      </c>
      <c r="E2391" s="10" t="n">
        <v>45352.71875</v>
      </c>
      <c r="F2391" s="10" t="n">
        <v>45352.91666666666</v>
      </c>
      <c r="G2391" s="11" t="n">
        <v>29.37</v>
      </c>
      <c r="H2391" s="11">
        <f>H2390+G2391</f>
        <v/>
      </c>
    </row>
    <row r="2392">
      <c r="A2392" s="9" t="n">
        <v>2388</v>
      </c>
      <c r="B2392" s="9" t="inlineStr">
        <is>
          <t>Aurelius_M15</t>
        </is>
      </c>
      <c r="C2392" s="9" t="inlineStr">
        <is>
          <t>MA alignment (EMA21&gt;EMA50&gt;SMA250&gt;SMMA500 vs EMA2400 trend filter) - M15 chart</t>
        </is>
      </c>
      <c r="D2392" s="9" t="inlineStr">
        <is>
          <t>Long</t>
        </is>
      </c>
      <c r="E2392" s="10" t="n">
        <v>45352.5</v>
      </c>
      <c r="F2392" s="10" t="n">
        <v>45352.92708333334</v>
      </c>
      <c r="G2392" s="11" t="n">
        <v>37.31</v>
      </c>
      <c r="H2392" s="11">
        <f>H2391+G2392</f>
        <v/>
      </c>
    </row>
    <row r="2393">
      <c r="A2393" s="9" t="n">
        <v>2389</v>
      </c>
      <c r="B2393" s="9" t="inlineStr">
        <is>
          <t>Meridian</t>
        </is>
      </c>
      <c r="C2393" s="9" t="inlineStr">
        <is>
          <t>21/50 MA cross, 250-period confirm filter, VWAP</t>
        </is>
      </c>
      <c r="D2393" s="9" t="inlineStr">
        <is>
          <t>Long</t>
        </is>
      </c>
      <c r="E2393" s="10" t="n">
        <v>45355.34375</v>
      </c>
      <c r="F2393" s="10" t="n">
        <v>45355.34722222222</v>
      </c>
      <c r="G2393" s="11" t="n">
        <v>-1.33</v>
      </c>
      <c r="H2393" s="11">
        <f>H2392+G2393</f>
        <v/>
      </c>
    </row>
    <row r="2394">
      <c r="A2394" s="9" t="n">
        <v>2390</v>
      </c>
      <c r="B2394" s="9" t="inlineStr">
        <is>
          <t>Aurelius_M5</t>
        </is>
      </c>
      <c r="C2394" s="9" t="inlineStr">
        <is>
          <t>MA alignment (EMA21&gt;EMA50&gt;SMA250&gt;SMMA500 vs EMA2400 trend filter)</t>
        </is>
      </c>
      <c r="D2394" s="9" t="inlineStr">
        <is>
          <t>Long</t>
        </is>
      </c>
      <c r="E2394" s="10" t="n">
        <v>45355.37152777778</v>
      </c>
      <c r="F2394" s="10" t="n">
        <v>45355.5625</v>
      </c>
      <c r="G2394" s="11" t="n">
        <v>-0.85</v>
      </c>
      <c r="H2394" s="11">
        <f>H2393+G2394</f>
        <v/>
      </c>
    </row>
    <row r="2395">
      <c r="A2395" s="9" t="n">
        <v>2391</v>
      </c>
      <c r="B2395" s="9" t="inlineStr">
        <is>
          <t>Ratchet</t>
        </is>
      </c>
      <c r="C2395" s="9" t="inlineStr">
        <is>
          <t>Stochastic scalp with give-back trail exit</t>
        </is>
      </c>
      <c r="D2395" s="9" t="inlineStr">
        <is>
          <t>Long</t>
        </is>
      </c>
      <c r="E2395" s="10" t="n">
        <v>45355.89930555555</v>
      </c>
      <c r="F2395" s="10" t="n">
        <v>45355.91319444445</v>
      </c>
      <c r="G2395" s="11" t="n">
        <v>0</v>
      </c>
      <c r="H2395" s="11">
        <f>H2394+G2395</f>
        <v/>
      </c>
    </row>
    <row r="2396">
      <c r="A2396" s="9" t="n">
        <v>2392</v>
      </c>
      <c r="B2396" s="9" t="inlineStr">
        <is>
          <t>Ratchet</t>
        </is>
      </c>
      <c r="C2396" s="9" t="inlineStr">
        <is>
          <t>Stochastic scalp with give-back trail exit</t>
        </is>
      </c>
      <c r="D2396" s="9" t="inlineStr">
        <is>
          <t>Long</t>
        </is>
      </c>
      <c r="E2396" s="10" t="n">
        <v>45355.92361111111</v>
      </c>
      <c r="F2396" s="10" t="n">
        <v>45355.94097222222</v>
      </c>
      <c r="G2396" s="11" t="n">
        <v>0.28</v>
      </c>
      <c r="H2396" s="11">
        <f>H2395+G2396</f>
        <v/>
      </c>
    </row>
    <row r="2397">
      <c r="A2397" s="9" t="n">
        <v>2393</v>
      </c>
      <c r="B2397" s="9" t="inlineStr">
        <is>
          <t>Aurelius_M5</t>
        </is>
      </c>
      <c r="C2397" s="9" t="inlineStr">
        <is>
          <t>MA alignment (EMA21&gt;EMA50&gt;SMA250&gt;SMMA500 vs EMA2400 trend filter)</t>
        </is>
      </c>
      <c r="D2397" s="9" t="inlineStr">
        <is>
          <t>Long</t>
        </is>
      </c>
      <c r="E2397" s="10" t="n">
        <v>45355.67361111111</v>
      </c>
      <c r="F2397" s="10" t="n">
        <v>45356.04166666666</v>
      </c>
      <c r="G2397" s="11" t="n">
        <v>22.5</v>
      </c>
      <c r="H2397" s="11">
        <f>H2396+G2397</f>
        <v/>
      </c>
    </row>
    <row r="2398">
      <c r="A2398" s="9" t="n">
        <v>2394</v>
      </c>
      <c r="B2398" s="9" t="inlineStr">
        <is>
          <t>Meridian</t>
        </is>
      </c>
      <c r="C2398" s="9" t="inlineStr">
        <is>
          <t>21/50 MA cross, 250-period confirm filter, VWAP</t>
        </is>
      </c>
      <c r="D2398" s="9" t="inlineStr">
        <is>
          <t>Long</t>
        </is>
      </c>
      <c r="E2398" s="10" t="n">
        <v>45355.65972222222</v>
      </c>
      <c r="F2398" s="10" t="n">
        <v>45356.14236111111</v>
      </c>
      <c r="G2398" s="11" t="n">
        <v>26.17</v>
      </c>
      <c r="H2398" s="11">
        <f>H2397+G2398</f>
        <v/>
      </c>
    </row>
    <row r="2399">
      <c r="A2399" s="9" t="n">
        <v>2395</v>
      </c>
      <c r="B2399" s="9" t="inlineStr">
        <is>
          <t>Aurelius_M15</t>
        </is>
      </c>
      <c r="C2399" s="9" t="inlineStr">
        <is>
          <t>MA alignment (EMA21&gt;EMA50&gt;SMA250&gt;SMMA500 vs EMA2400 trend filter) - M15 chart</t>
        </is>
      </c>
      <c r="D2399" s="9" t="inlineStr">
        <is>
          <t>Long</t>
        </is>
      </c>
      <c r="E2399" s="10" t="n">
        <v>45355.65625</v>
      </c>
      <c r="F2399" s="10" t="n">
        <v>45356.20833333334</v>
      </c>
      <c r="G2399" s="11" t="n">
        <v>27.13</v>
      </c>
      <c r="H2399" s="11">
        <f>H2398+G2399</f>
        <v/>
      </c>
    </row>
    <row r="2400">
      <c r="A2400" s="9" t="n">
        <v>2396</v>
      </c>
      <c r="B2400" s="9" t="inlineStr">
        <is>
          <t>Ratchet</t>
        </is>
      </c>
      <c r="C2400" s="9" t="inlineStr">
        <is>
          <t>Stochastic scalp with give-back trail exit</t>
        </is>
      </c>
      <c r="D2400" s="9" t="inlineStr">
        <is>
          <t>Long</t>
        </is>
      </c>
      <c r="E2400" s="10" t="n">
        <v>45356.28819444445</v>
      </c>
      <c r="F2400" s="10" t="n">
        <v>45356.29513888889</v>
      </c>
      <c r="G2400" s="11" t="n">
        <v>0.18</v>
      </c>
      <c r="H2400" s="11">
        <f>H2399+G2400</f>
        <v/>
      </c>
    </row>
    <row r="2401">
      <c r="A2401" s="9" t="n">
        <v>2397</v>
      </c>
      <c r="B2401" s="9" t="inlineStr">
        <is>
          <t>Ratchet</t>
        </is>
      </c>
      <c r="C2401" s="9" t="inlineStr">
        <is>
          <t>Stochastic scalp with give-back trail exit</t>
        </is>
      </c>
      <c r="D2401" s="9" t="inlineStr">
        <is>
          <t>Long</t>
        </is>
      </c>
      <c r="E2401" s="10" t="n">
        <v>45356.29861111111</v>
      </c>
      <c r="F2401" s="10" t="n">
        <v>45356.30902777778</v>
      </c>
      <c r="G2401" s="11" t="n">
        <v>0.16</v>
      </c>
      <c r="H2401" s="11">
        <f>H2400+G2401</f>
        <v/>
      </c>
    </row>
    <row r="2402">
      <c r="A2402" s="9" t="n">
        <v>2398</v>
      </c>
      <c r="B2402" s="9" t="inlineStr">
        <is>
          <t>Aurelius_M5</t>
        </is>
      </c>
      <c r="C2402" s="9" t="inlineStr">
        <is>
          <t>MA alignment (EMA21&gt;EMA50&gt;SMA250&gt;SMMA500 vs EMA2400 trend filter)</t>
        </is>
      </c>
      <c r="D2402" s="9" t="inlineStr">
        <is>
          <t>Long</t>
        </is>
      </c>
      <c r="E2402" s="10" t="n">
        <v>45356.39236111111</v>
      </c>
      <c r="F2402" s="10" t="n">
        <v>45356.61458333334</v>
      </c>
      <c r="G2402" s="11" t="n">
        <v>6.36</v>
      </c>
      <c r="H2402" s="11">
        <f>H2401+G2402</f>
        <v/>
      </c>
    </row>
    <row r="2403">
      <c r="A2403" s="9" t="n">
        <v>2399</v>
      </c>
      <c r="B2403" s="9" t="inlineStr">
        <is>
          <t>Aurelius_M5</t>
        </is>
      </c>
      <c r="C2403" s="9" t="inlineStr">
        <is>
          <t>MA alignment (EMA21&gt;EMA50&gt;SMA250&gt;SMMA500 vs EMA2400 trend filter)</t>
        </is>
      </c>
      <c r="D2403" s="9" t="inlineStr">
        <is>
          <t>Long</t>
        </is>
      </c>
      <c r="E2403" s="10" t="n">
        <v>45356.63194444445</v>
      </c>
      <c r="F2403" s="10" t="n">
        <v>45356.65972222222</v>
      </c>
      <c r="G2403" s="11" t="n">
        <v>-3.65</v>
      </c>
      <c r="H2403" s="11">
        <f>H2402+G2403</f>
        <v/>
      </c>
    </row>
    <row r="2404">
      <c r="A2404" s="9" t="n">
        <v>2400</v>
      </c>
      <c r="B2404" s="9" t="inlineStr">
        <is>
          <t>Ratchet</t>
        </is>
      </c>
      <c r="C2404" s="9" t="inlineStr">
        <is>
          <t>Stochastic scalp with give-back trail exit</t>
        </is>
      </c>
      <c r="D2404" s="9" t="inlineStr">
        <is>
          <t>Long</t>
        </is>
      </c>
      <c r="E2404" s="10" t="n">
        <v>45356.68055555555</v>
      </c>
      <c r="F2404" s="10" t="n">
        <v>45356.72222222222</v>
      </c>
      <c r="G2404" s="11" t="n">
        <v>1.15</v>
      </c>
      <c r="H2404" s="11">
        <f>H2403+G2404</f>
        <v/>
      </c>
    </row>
    <row r="2405">
      <c r="A2405" s="9" t="n">
        <v>2401</v>
      </c>
      <c r="B2405" s="9" t="inlineStr">
        <is>
          <t>Meridian</t>
        </is>
      </c>
      <c r="C2405" s="9" t="inlineStr">
        <is>
          <t>21/50 MA cross, 250-period confirm filter, VWAP</t>
        </is>
      </c>
      <c r="D2405" s="9" t="inlineStr">
        <is>
          <t>Long</t>
        </is>
      </c>
      <c r="E2405" s="10" t="n">
        <v>45356.27430555555</v>
      </c>
      <c r="F2405" s="10" t="n">
        <v>45356.78125</v>
      </c>
      <c r="G2405" s="11" t="n">
        <v>9.24</v>
      </c>
      <c r="H2405" s="11">
        <f>H2404+G2405</f>
        <v/>
      </c>
    </row>
    <row r="2406">
      <c r="A2406" s="9" t="n">
        <v>2402</v>
      </c>
      <c r="B2406" s="9" t="inlineStr">
        <is>
          <t>Aurelius_M5</t>
        </is>
      </c>
      <c r="C2406" s="9" t="inlineStr">
        <is>
          <t>MA alignment (EMA21&gt;EMA50&gt;SMA250&gt;SMMA500 vs EMA2400 trend filter)</t>
        </is>
      </c>
      <c r="D2406" s="9" t="inlineStr">
        <is>
          <t>Long</t>
        </is>
      </c>
      <c r="E2406" s="10" t="n">
        <v>45356.67708333334</v>
      </c>
      <c r="F2406" s="10" t="n">
        <v>45356.78125</v>
      </c>
      <c r="G2406" s="11" t="n">
        <v>-5.87</v>
      </c>
      <c r="H2406" s="11">
        <f>H2405+G2406</f>
        <v/>
      </c>
    </row>
    <row r="2407">
      <c r="A2407" s="9" t="n">
        <v>2403</v>
      </c>
      <c r="B2407" s="9" t="inlineStr">
        <is>
          <t>Ratchet</t>
        </is>
      </c>
      <c r="C2407" s="9" t="inlineStr">
        <is>
          <t>Stochastic scalp with give-back trail exit</t>
        </is>
      </c>
      <c r="D2407" s="9" t="inlineStr">
        <is>
          <t>Long</t>
        </is>
      </c>
      <c r="E2407" s="10" t="n">
        <v>45356.8125</v>
      </c>
      <c r="F2407" s="10" t="n">
        <v>45356.84375</v>
      </c>
      <c r="G2407" s="11" t="n">
        <v>0.63</v>
      </c>
      <c r="H2407" s="11">
        <f>H2406+G2407</f>
        <v/>
      </c>
    </row>
    <row r="2408">
      <c r="A2408" s="9" t="n">
        <v>2404</v>
      </c>
      <c r="B2408" s="9" t="inlineStr">
        <is>
          <t>Ratchet</t>
        </is>
      </c>
      <c r="C2408" s="9" t="inlineStr">
        <is>
          <t>Stochastic scalp with give-back trail exit</t>
        </is>
      </c>
      <c r="D2408" s="9" t="inlineStr">
        <is>
          <t>Long</t>
        </is>
      </c>
      <c r="E2408" s="10" t="n">
        <v>45356.88194444445</v>
      </c>
      <c r="F2408" s="10" t="n">
        <v>45356.89583333334</v>
      </c>
      <c r="G2408" s="11" t="n">
        <v>0.5</v>
      </c>
      <c r="H2408" s="11">
        <f>H2407+G2408</f>
        <v/>
      </c>
    </row>
    <row r="2409">
      <c r="A2409" s="9" t="n">
        <v>2405</v>
      </c>
      <c r="B2409" s="9" t="inlineStr">
        <is>
          <t>Meridian</t>
        </is>
      </c>
      <c r="C2409" s="9" t="inlineStr">
        <is>
          <t>21/50 MA cross, 250-period confirm filter, VWAP</t>
        </is>
      </c>
      <c r="D2409" s="9" t="inlineStr">
        <is>
          <t>Long</t>
        </is>
      </c>
      <c r="E2409" s="10" t="n">
        <v>45356.79861111111</v>
      </c>
      <c r="F2409" s="10" t="n">
        <v>45356.96527777778</v>
      </c>
      <c r="G2409" s="11" t="n">
        <v>-0.33</v>
      </c>
      <c r="H2409" s="11">
        <f>H2408+G2409</f>
        <v/>
      </c>
    </row>
    <row r="2410">
      <c r="A2410" s="9" t="n">
        <v>2406</v>
      </c>
      <c r="B2410" s="9" t="inlineStr">
        <is>
          <t>Aurelius_M15</t>
        </is>
      </c>
      <c r="C2410" s="9" t="inlineStr">
        <is>
          <t>MA alignment (EMA21&gt;EMA50&gt;SMA250&gt;SMMA500 vs EMA2400 trend filter) - M15 chart</t>
        </is>
      </c>
      <c r="D2410" s="9" t="inlineStr">
        <is>
          <t>Long</t>
        </is>
      </c>
      <c r="E2410" s="10" t="n">
        <v>45356.72916666666</v>
      </c>
      <c r="F2410" s="10" t="n">
        <v>45357.19791666666</v>
      </c>
      <c r="G2410" s="11" t="n">
        <v>-6.84</v>
      </c>
      <c r="H2410" s="11">
        <f>H2409+G2410</f>
        <v/>
      </c>
    </row>
    <row r="2411">
      <c r="A2411" s="9" t="n">
        <v>2407</v>
      </c>
      <c r="B2411" s="9" t="inlineStr">
        <is>
          <t>Meridian</t>
        </is>
      </c>
      <c r="C2411" s="9" t="inlineStr">
        <is>
          <t>21/50 MA cross, 250-period confirm filter, VWAP</t>
        </is>
      </c>
      <c r="D2411" s="9" t="inlineStr">
        <is>
          <t>Long</t>
        </is>
      </c>
      <c r="E2411" s="10" t="n">
        <v>45357.30902777778</v>
      </c>
      <c r="F2411" s="10" t="n">
        <v>45357.31597222222</v>
      </c>
      <c r="G2411" s="11" t="n">
        <v>-1.29</v>
      </c>
      <c r="H2411" s="11">
        <f>H2410+G2411</f>
        <v/>
      </c>
    </row>
    <row r="2412">
      <c r="A2412" s="9" t="n">
        <v>2408</v>
      </c>
      <c r="B2412" s="9" t="inlineStr">
        <is>
          <t>Meridian</t>
        </is>
      </c>
      <c r="C2412" s="9" t="inlineStr">
        <is>
          <t>21/50 MA cross, 250-period confirm filter, VWAP</t>
        </is>
      </c>
      <c r="D2412" s="9" t="inlineStr">
        <is>
          <t>Short</t>
        </is>
      </c>
      <c r="E2412" s="10" t="n">
        <v>45357.33680555555</v>
      </c>
      <c r="F2412" s="10" t="n">
        <v>45357.35763888889</v>
      </c>
      <c r="G2412" s="11" t="n">
        <v>-1.18</v>
      </c>
      <c r="H2412" s="11">
        <f>H2411+G2412</f>
        <v/>
      </c>
    </row>
    <row r="2413">
      <c r="A2413" s="9" t="n">
        <v>2409</v>
      </c>
      <c r="B2413" s="9" t="inlineStr">
        <is>
          <t>Meridian</t>
        </is>
      </c>
      <c r="C2413" s="9" t="inlineStr">
        <is>
          <t>21/50 MA cross, 250-period confirm filter, VWAP</t>
        </is>
      </c>
      <c r="D2413" s="9" t="inlineStr">
        <is>
          <t>Short</t>
        </is>
      </c>
      <c r="E2413" s="10" t="n">
        <v>45357.45486111111</v>
      </c>
      <c r="F2413" s="10" t="n">
        <v>45357.49305555555</v>
      </c>
      <c r="G2413" s="11" t="n">
        <v>-2.88</v>
      </c>
      <c r="H2413" s="11">
        <f>H2412+G2413</f>
        <v/>
      </c>
    </row>
    <row r="2414">
      <c r="A2414" s="9" t="n">
        <v>2410</v>
      </c>
      <c r="B2414" s="9" t="inlineStr">
        <is>
          <t>Vanguard_M15</t>
        </is>
      </c>
      <c r="C2414" s="9" t="inlineStr">
        <is>
          <t>Trendline breakout (fractal swing line) + VWAP/S-R distance gate - M15 chart</t>
        </is>
      </c>
      <c r="D2414" s="9" t="inlineStr">
        <is>
          <t>Long</t>
        </is>
      </c>
      <c r="E2414" s="10" t="n">
        <v>45351.65625</v>
      </c>
      <c r="F2414" s="10" t="n">
        <v>45357.58333333334</v>
      </c>
      <c r="G2414" s="11" t="n">
        <v>87.83</v>
      </c>
      <c r="H2414" s="11">
        <f>H2413+G2414</f>
        <v/>
      </c>
    </row>
    <row r="2415">
      <c r="A2415" s="9" t="n">
        <v>2411</v>
      </c>
      <c r="B2415" s="9" t="inlineStr">
        <is>
          <t>Vanguard_M5</t>
        </is>
      </c>
      <c r="C2415" s="9" t="inlineStr">
        <is>
          <t>Trendline breakout (fractal swing line) + VWAP/S-R distance gate</t>
        </is>
      </c>
      <c r="D2415" s="9" t="inlineStr">
        <is>
          <t>Long</t>
        </is>
      </c>
      <c r="E2415" s="10" t="n">
        <v>45351.64930555555</v>
      </c>
      <c r="F2415" s="10" t="n">
        <v>45357.59027777778</v>
      </c>
      <c r="G2415" s="11" t="n">
        <v>93.95</v>
      </c>
      <c r="H2415" s="11">
        <f>H2414+G2415</f>
        <v/>
      </c>
    </row>
    <row r="2416">
      <c r="A2416" s="9" t="n">
        <v>2412</v>
      </c>
      <c r="B2416" s="9" t="inlineStr">
        <is>
          <t>Ratchet</t>
        </is>
      </c>
      <c r="C2416" s="9" t="inlineStr">
        <is>
          <t>Stochastic scalp with give-back trail exit</t>
        </is>
      </c>
      <c r="D2416" s="9" t="inlineStr">
        <is>
          <t>Long</t>
        </is>
      </c>
      <c r="E2416" s="10" t="n">
        <v>45357.65277777778</v>
      </c>
      <c r="F2416" s="10" t="n">
        <v>45357.65972222222</v>
      </c>
      <c r="G2416" s="11" t="n">
        <v>0.37</v>
      </c>
      <c r="H2416" s="11">
        <f>H2415+G2416</f>
        <v/>
      </c>
    </row>
    <row r="2417">
      <c r="A2417" s="9" t="n">
        <v>2413</v>
      </c>
      <c r="B2417" s="9" t="inlineStr">
        <is>
          <t>Ratchet</t>
        </is>
      </c>
      <c r="C2417" s="9" t="inlineStr">
        <is>
          <t>Stochastic scalp with give-back trail exit</t>
        </is>
      </c>
      <c r="D2417" s="9" t="inlineStr">
        <is>
          <t>Long</t>
        </is>
      </c>
      <c r="E2417" s="10" t="n">
        <v>45357.78819444445</v>
      </c>
      <c r="F2417" s="10" t="n">
        <v>45357.79513888889</v>
      </c>
      <c r="G2417" s="11" t="n">
        <v>1.27</v>
      </c>
      <c r="H2417" s="11">
        <f>H2416+G2417</f>
        <v/>
      </c>
    </row>
    <row r="2418">
      <c r="A2418" s="9" t="n">
        <v>2414</v>
      </c>
      <c r="B2418" s="9" t="inlineStr">
        <is>
          <t>Ratchet</t>
        </is>
      </c>
      <c r="C2418" s="9" t="inlineStr">
        <is>
          <t>Stochastic scalp with give-back trail exit</t>
        </is>
      </c>
      <c r="D2418" s="9" t="inlineStr">
        <is>
          <t>Long</t>
        </is>
      </c>
      <c r="E2418" s="10" t="n">
        <v>45357.80208333334</v>
      </c>
      <c r="F2418" s="10" t="n">
        <v>45357.8125</v>
      </c>
      <c r="G2418" s="11" t="n">
        <v>-4.42</v>
      </c>
      <c r="H2418" s="11">
        <f>H2417+G2418</f>
        <v/>
      </c>
    </row>
    <row r="2419">
      <c r="A2419" s="9" t="n">
        <v>2415</v>
      </c>
      <c r="B2419" s="9" t="inlineStr">
        <is>
          <t>Ratchet</t>
        </is>
      </c>
      <c r="C2419" s="9" t="inlineStr">
        <is>
          <t>Stochastic scalp with give-back trail exit</t>
        </is>
      </c>
      <c r="D2419" s="9" t="inlineStr">
        <is>
          <t>Long</t>
        </is>
      </c>
      <c r="E2419" s="10" t="n">
        <v>45357.84027777778</v>
      </c>
      <c r="F2419" s="10" t="n">
        <v>45357.87152777778</v>
      </c>
      <c r="G2419" s="11" t="n">
        <v>1.36</v>
      </c>
      <c r="H2419" s="11">
        <f>H2418+G2419</f>
        <v/>
      </c>
    </row>
    <row r="2420">
      <c r="A2420" s="9" t="n">
        <v>2416</v>
      </c>
      <c r="B2420" s="9" t="inlineStr">
        <is>
          <t>Aurelius_M5</t>
        </is>
      </c>
      <c r="C2420" s="9" t="inlineStr">
        <is>
          <t>MA alignment (EMA21&gt;EMA50&gt;SMA250&gt;SMMA500 vs EMA2400 trend filter)</t>
        </is>
      </c>
      <c r="D2420" s="9" t="inlineStr">
        <is>
          <t>Long</t>
        </is>
      </c>
      <c r="E2420" s="10" t="n">
        <v>45357.59027777778</v>
      </c>
      <c r="F2420" s="10" t="n">
        <v>45357.90277777778</v>
      </c>
      <c r="G2420" s="11" t="n">
        <v>9.74</v>
      </c>
      <c r="H2420" s="11">
        <f>H2419+G2420</f>
        <v/>
      </c>
    </row>
    <row r="2421">
      <c r="A2421" s="9" t="n">
        <v>2417</v>
      </c>
      <c r="B2421" s="9" t="inlineStr">
        <is>
          <t>Ratchet</t>
        </is>
      </c>
      <c r="C2421" s="9" t="inlineStr">
        <is>
          <t>Stochastic scalp with give-back trail exit</t>
        </is>
      </c>
      <c r="D2421" s="9" t="inlineStr">
        <is>
          <t>Long</t>
        </is>
      </c>
      <c r="E2421" s="10" t="n">
        <v>45357.94444444445</v>
      </c>
      <c r="F2421" s="10" t="n">
        <v>45357.96180555555</v>
      </c>
      <c r="G2421" s="11" t="n">
        <v>0.36</v>
      </c>
      <c r="H2421" s="11">
        <f>H2420+G2421</f>
        <v/>
      </c>
    </row>
    <row r="2422">
      <c r="A2422" s="9" t="n">
        <v>2418</v>
      </c>
      <c r="B2422" s="9" t="inlineStr">
        <is>
          <t>Ratchet</t>
        </is>
      </c>
      <c r="C2422" s="9" t="inlineStr">
        <is>
          <t>Stochastic scalp with give-back trail exit</t>
        </is>
      </c>
      <c r="D2422" s="9" t="inlineStr">
        <is>
          <t>Long</t>
        </is>
      </c>
      <c r="E2422" s="10" t="n">
        <v>45358.09375</v>
      </c>
      <c r="F2422" s="10" t="n">
        <v>45358.125</v>
      </c>
      <c r="G2422" s="11" t="n">
        <v>-2.35</v>
      </c>
      <c r="H2422" s="11">
        <f>H2421+G2422</f>
        <v/>
      </c>
    </row>
    <row r="2423">
      <c r="A2423" s="9" t="n">
        <v>2419</v>
      </c>
      <c r="B2423" s="9" t="inlineStr">
        <is>
          <t>Meridian</t>
        </is>
      </c>
      <c r="C2423" s="9" t="inlineStr">
        <is>
          <t>21/50 MA cross, 250-period confirm filter, VWAP</t>
        </is>
      </c>
      <c r="D2423" s="9" t="inlineStr">
        <is>
          <t>Long</t>
        </is>
      </c>
      <c r="E2423" s="10" t="n">
        <v>45357.5625</v>
      </c>
      <c r="F2423" s="10" t="n">
        <v>45358.16319444445</v>
      </c>
      <c r="G2423" s="11" t="n">
        <v>17.36</v>
      </c>
      <c r="H2423" s="11">
        <f>H2422+G2423</f>
        <v/>
      </c>
    </row>
    <row r="2424">
      <c r="A2424" s="9" t="n">
        <v>2420</v>
      </c>
      <c r="B2424" s="9" t="inlineStr">
        <is>
          <t>Vanguard_M5</t>
        </is>
      </c>
      <c r="C2424" s="9" t="inlineStr">
        <is>
          <t>Trendline breakout (fractal swing line) + VWAP/S-R distance gate</t>
        </is>
      </c>
      <c r="D2424" s="9" t="inlineStr">
        <is>
          <t>Short</t>
        </is>
      </c>
      <c r="E2424" s="10" t="n">
        <v>45358.06597222222</v>
      </c>
      <c r="F2424" s="10" t="n">
        <v>45358.19097222222</v>
      </c>
      <c r="G2424" s="11" t="n">
        <v>-4.11</v>
      </c>
      <c r="H2424" s="11">
        <f>H2423+G2424</f>
        <v/>
      </c>
    </row>
    <row r="2425">
      <c r="A2425" s="9" t="n">
        <v>2421</v>
      </c>
      <c r="B2425" s="9" t="inlineStr">
        <is>
          <t>Vanguard_M15</t>
        </is>
      </c>
      <c r="C2425" s="9" t="inlineStr">
        <is>
          <t>Trendline breakout (fractal swing line) + VWAP/S-R distance gate - M15 chart</t>
        </is>
      </c>
      <c r="D2425" s="9" t="inlineStr">
        <is>
          <t>Short</t>
        </is>
      </c>
      <c r="E2425" s="10" t="n">
        <v>45358.07291666666</v>
      </c>
      <c r="F2425" s="10" t="n">
        <v>45358.25</v>
      </c>
      <c r="G2425" s="11" t="n">
        <v>-7.82</v>
      </c>
      <c r="H2425" s="11">
        <f>H2424+G2425</f>
        <v/>
      </c>
    </row>
    <row r="2426">
      <c r="A2426" s="9" t="n">
        <v>2422</v>
      </c>
      <c r="B2426" s="9" t="inlineStr">
        <is>
          <t>Ratchet</t>
        </is>
      </c>
      <c r="C2426" s="9" t="inlineStr">
        <is>
          <t>Stochastic scalp with give-back trail exit</t>
        </is>
      </c>
      <c r="D2426" s="9" t="inlineStr">
        <is>
          <t>Long</t>
        </is>
      </c>
      <c r="E2426" s="10" t="n">
        <v>45358.21180555555</v>
      </c>
      <c r="F2426" s="10" t="n">
        <v>45358.33333333334</v>
      </c>
      <c r="G2426" s="11" t="n">
        <v>2.39</v>
      </c>
      <c r="H2426" s="11">
        <f>H2425+G2426</f>
        <v/>
      </c>
    </row>
    <row r="2427">
      <c r="A2427" s="9" t="n">
        <v>2423</v>
      </c>
      <c r="B2427" s="9" t="inlineStr">
        <is>
          <t>Ratchet</t>
        </is>
      </c>
      <c r="C2427" s="9" t="inlineStr">
        <is>
          <t>Stochastic scalp with give-back trail exit</t>
        </is>
      </c>
      <c r="D2427" s="9" t="inlineStr">
        <is>
          <t>Long</t>
        </is>
      </c>
      <c r="E2427" s="10" t="n">
        <v>45358.38541666666</v>
      </c>
      <c r="F2427" s="10" t="n">
        <v>45358.40277777778</v>
      </c>
      <c r="G2427" s="11" t="n">
        <v>0.58</v>
      </c>
      <c r="H2427" s="11">
        <f>H2426+G2427</f>
        <v/>
      </c>
    </row>
    <row r="2428">
      <c r="A2428" s="9" t="n">
        <v>2424</v>
      </c>
      <c r="B2428" s="9" t="inlineStr">
        <is>
          <t>Aurelius_M5</t>
        </is>
      </c>
      <c r="C2428" s="9" t="inlineStr">
        <is>
          <t>MA alignment (EMA21&gt;EMA50&gt;SMA250&gt;SMMA500 vs EMA2400 trend filter)</t>
        </is>
      </c>
      <c r="D2428" s="9" t="inlineStr">
        <is>
          <t>Long</t>
        </is>
      </c>
      <c r="E2428" s="10" t="n">
        <v>45358.37152777778</v>
      </c>
      <c r="F2428" s="10" t="n">
        <v>45358.40625</v>
      </c>
      <c r="G2428" s="11" t="n">
        <v>-3.28</v>
      </c>
      <c r="H2428" s="11">
        <f>H2427+G2428</f>
        <v/>
      </c>
    </row>
    <row r="2429">
      <c r="A2429" s="9" t="n">
        <v>2425</v>
      </c>
      <c r="B2429" s="9" t="inlineStr">
        <is>
          <t>Ratchet</t>
        </is>
      </c>
      <c r="C2429" s="9" t="inlineStr">
        <is>
          <t>Stochastic scalp with give-back trail exit</t>
        </is>
      </c>
      <c r="D2429" s="9" t="inlineStr">
        <is>
          <t>Long</t>
        </is>
      </c>
      <c r="E2429" s="10" t="n">
        <v>45358.49652777778</v>
      </c>
      <c r="F2429" s="10" t="n">
        <v>45358.50347222222</v>
      </c>
      <c r="G2429" s="11" t="n">
        <v>0</v>
      </c>
      <c r="H2429" s="11">
        <f>H2428+G2429</f>
        <v/>
      </c>
    </row>
    <row r="2430">
      <c r="A2430" s="9" t="n">
        <v>2426</v>
      </c>
      <c r="B2430" s="9" t="inlineStr">
        <is>
          <t>Ratchet</t>
        </is>
      </c>
      <c r="C2430" s="9" t="inlineStr">
        <is>
          <t>Stochastic scalp with give-back trail exit</t>
        </is>
      </c>
      <c r="D2430" s="9" t="inlineStr">
        <is>
          <t>Long</t>
        </is>
      </c>
      <c r="E2430" s="10" t="n">
        <v>45358.51736111111</v>
      </c>
      <c r="F2430" s="10" t="n">
        <v>45358.52777777778</v>
      </c>
      <c r="G2430" s="11" t="n">
        <v>-1.7</v>
      </c>
      <c r="H2430" s="11">
        <f>H2429+G2430</f>
        <v/>
      </c>
    </row>
    <row r="2431">
      <c r="A2431" s="9" t="n">
        <v>2427</v>
      </c>
      <c r="B2431" s="9" t="inlineStr">
        <is>
          <t>Aurelius_M5</t>
        </is>
      </c>
      <c r="C2431" s="9" t="inlineStr">
        <is>
          <t>MA alignment (EMA21&gt;EMA50&gt;SMA250&gt;SMMA500 vs EMA2400 trend filter)</t>
        </is>
      </c>
      <c r="D2431" s="9" t="inlineStr">
        <is>
          <t>Long</t>
        </is>
      </c>
      <c r="E2431" s="10" t="n">
        <v>45358.42361111111</v>
      </c>
      <c r="F2431" s="10" t="n">
        <v>45358.55555555555</v>
      </c>
      <c r="G2431" s="11" t="n">
        <v>-3.76</v>
      </c>
      <c r="H2431" s="11">
        <f>H2430+G2431</f>
        <v/>
      </c>
    </row>
    <row r="2432">
      <c r="A2432" s="9" t="n">
        <v>2428</v>
      </c>
      <c r="B2432" s="9" t="inlineStr">
        <is>
          <t>Meridian</t>
        </is>
      </c>
      <c r="C2432" s="9" t="inlineStr">
        <is>
          <t>21/50 MA cross, 250-period confirm filter, VWAP</t>
        </is>
      </c>
      <c r="D2432" s="9" t="inlineStr">
        <is>
          <t>Long</t>
        </is>
      </c>
      <c r="E2432" s="10" t="n">
        <v>45358.19097222222</v>
      </c>
      <c r="F2432" s="10" t="n">
        <v>45358.56597222222</v>
      </c>
      <c r="G2432" s="11" t="n">
        <v>4.23</v>
      </c>
      <c r="H2432" s="11">
        <f>H2431+G2432</f>
        <v/>
      </c>
    </row>
    <row r="2433">
      <c r="A2433" s="9" t="n">
        <v>2429</v>
      </c>
      <c r="B2433" s="9" t="inlineStr">
        <is>
          <t>Ratchet</t>
        </is>
      </c>
      <c r="C2433" s="9" t="inlineStr">
        <is>
          <t>Stochastic scalp with give-back trail exit</t>
        </is>
      </c>
      <c r="D2433" s="9" t="inlineStr">
        <is>
          <t>Long</t>
        </is>
      </c>
      <c r="E2433" s="10" t="n">
        <v>45358.60069444445</v>
      </c>
      <c r="F2433" s="10" t="n">
        <v>45358.60763888889</v>
      </c>
      <c r="G2433" s="11" t="n">
        <v>-1.97</v>
      </c>
      <c r="H2433" s="11">
        <f>H2432+G2433</f>
        <v/>
      </c>
    </row>
    <row r="2434">
      <c r="A2434" s="9" t="n">
        <v>2430</v>
      </c>
      <c r="B2434" s="9" t="inlineStr">
        <is>
          <t>Meridian</t>
        </is>
      </c>
      <c r="C2434" s="9" t="inlineStr">
        <is>
          <t>21/50 MA cross, 250-period confirm filter, VWAP</t>
        </is>
      </c>
      <c r="D2434" s="9" t="inlineStr">
        <is>
          <t>Long</t>
        </is>
      </c>
      <c r="E2434" s="10" t="n">
        <v>45358.59027777778</v>
      </c>
      <c r="F2434" s="10" t="n">
        <v>45358.61458333334</v>
      </c>
      <c r="G2434" s="11" t="n">
        <v>-1.51</v>
      </c>
      <c r="H2434" s="11">
        <f>H2433+G2434</f>
        <v/>
      </c>
    </row>
    <row r="2435">
      <c r="A2435" s="9" t="n">
        <v>2431</v>
      </c>
      <c r="B2435" s="9" t="inlineStr">
        <is>
          <t>Aurelius_M5</t>
        </is>
      </c>
      <c r="C2435" s="9" t="inlineStr">
        <is>
          <t>MA alignment (EMA21&gt;EMA50&gt;SMA250&gt;SMMA500 vs EMA2400 trend filter)</t>
        </is>
      </c>
      <c r="D2435" s="9" t="inlineStr">
        <is>
          <t>Long</t>
        </is>
      </c>
      <c r="E2435" s="10" t="n">
        <v>45358.64930555555</v>
      </c>
      <c r="F2435" s="10" t="n">
        <v>45358.66666666666</v>
      </c>
      <c r="G2435" s="11" t="n">
        <v>-4.72</v>
      </c>
      <c r="H2435" s="11">
        <f>H2434+G2435</f>
        <v/>
      </c>
    </row>
    <row r="2436">
      <c r="A2436" s="9" t="n">
        <v>2432</v>
      </c>
      <c r="B2436" s="9" t="inlineStr">
        <is>
          <t>Meridian</t>
        </is>
      </c>
      <c r="C2436" s="9" t="inlineStr">
        <is>
          <t>21/50 MA cross, 250-period confirm filter, VWAP</t>
        </is>
      </c>
      <c r="D2436" s="9" t="inlineStr">
        <is>
          <t>Long</t>
        </is>
      </c>
      <c r="E2436" s="10" t="n">
        <v>45358.62152777778</v>
      </c>
      <c r="F2436" s="10" t="n">
        <v>45358.67013888889</v>
      </c>
      <c r="G2436" s="11" t="n">
        <v>-3.12</v>
      </c>
      <c r="H2436" s="11">
        <f>H2435+G2436</f>
        <v/>
      </c>
    </row>
    <row r="2437">
      <c r="A2437" s="9" t="n">
        <v>2433</v>
      </c>
      <c r="B2437" s="9" t="inlineStr">
        <is>
          <t>Meridian</t>
        </is>
      </c>
      <c r="C2437" s="9" t="inlineStr">
        <is>
          <t>21/50 MA cross, 250-period confirm filter, VWAP</t>
        </is>
      </c>
      <c r="D2437" s="9" t="inlineStr">
        <is>
          <t>Short</t>
        </is>
      </c>
      <c r="E2437" s="10" t="n">
        <v>45358.69444444445</v>
      </c>
      <c r="F2437" s="10" t="n">
        <v>45358.71527777778</v>
      </c>
      <c r="G2437" s="11" t="n">
        <v>-6.55</v>
      </c>
      <c r="H2437" s="11">
        <f>H2436+G2437</f>
        <v/>
      </c>
    </row>
    <row r="2438">
      <c r="A2438" s="9" t="n">
        <v>2434</v>
      </c>
      <c r="B2438" s="9" t="inlineStr">
        <is>
          <t>Ratchet</t>
        </is>
      </c>
      <c r="C2438" s="9" t="inlineStr">
        <is>
          <t>Stochastic scalp with give-back trail exit</t>
        </is>
      </c>
      <c r="D2438" s="9" t="inlineStr">
        <is>
          <t>Long</t>
        </is>
      </c>
      <c r="E2438" s="10" t="n">
        <v>45358.80902777778</v>
      </c>
      <c r="F2438" s="10" t="n">
        <v>45358.84027777778</v>
      </c>
      <c r="G2438" s="11" t="n">
        <v>0</v>
      </c>
      <c r="H2438" s="11">
        <f>H2437+G2438</f>
        <v/>
      </c>
    </row>
    <row r="2439">
      <c r="A2439" s="9" t="n">
        <v>2435</v>
      </c>
      <c r="B2439" s="9" t="inlineStr">
        <is>
          <t>Ratchet</t>
        </is>
      </c>
      <c r="C2439" s="9" t="inlineStr">
        <is>
          <t>Stochastic scalp with give-back trail exit</t>
        </is>
      </c>
      <c r="D2439" s="9" t="inlineStr">
        <is>
          <t>Long</t>
        </is>
      </c>
      <c r="E2439" s="10" t="n">
        <v>45358.85416666666</v>
      </c>
      <c r="F2439" s="10" t="n">
        <v>45358.92013888889</v>
      </c>
      <c r="G2439" s="11" t="n">
        <v>0.72</v>
      </c>
      <c r="H2439" s="11">
        <f>H2438+G2439</f>
        <v/>
      </c>
    </row>
    <row r="2440">
      <c r="A2440" s="9" t="n">
        <v>2436</v>
      </c>
      <c r="B2440" s="9" t="inlineStr">
        <is>
          <t>Ratchet</t>
        </is>
      </c>
      <c r="C2440" s="9" t="inlineStr">
        <is>
          <t>Stochastic scalp with give-back trail exit</t>
        </is>
      </c>
      <c r="D2440" s="9" t="inlineStr">
        <is>
          <t>Long</t>
        </is>
      </c>
      <c r="E2440" s="10" t="n">
        <v>45359.06597222222</v>
      </c>
      <c r="F2440" s="10" t="n">
        <v>45359.08333333334</v>
      </c>
      <c r="G2440" s="11" t="n">
        <v>0.38</v>
      </c>
      <c r="H2440" s="11">
        <f>H2439+G2440</f>
        <v/>
      </c>
    </row>
    <row r="2441">
      <c r="A2441" s="9" t="n">
        <v>2437</v>
      </c>
      <c r="B2441" s="9" t="inlineStr">
        <is>
          <t>Meridian</t>
        </is>
      </c>
      <c r="C2441" s="9" t="inlineStr">
        <is>
          <t>21/50 MA cross, 250-period confirm filter, VWAP</t>
        </is>
      </c>
      <c r="D2441" s="9" t="inlineStr">
        <is>
          <t>Long</t>
        </is>
      </c>
      <c r="E2441" s="10" t="n">
        <v>45358.80208333334</v>
      </c>
      <c r="F2441" s="10" t="n">
        <v>45359.16319444445</v>
      </c>
      <c r="G2441" s="11" t="n">
        <v>-0.42</v>
      </c>
      <c r="H2441" s="11">
        <f>H2440+G2441</f>
        <v/>
      </c>
    </row>
    <row r="2442">
      <c r="A2442" s="9" t="n">
        <v>2438</v>
      </c>
      <c r="B2442" s="9" t="inlineStr">
        <is>
          <t>Aurelius_M15</t>
        </is>
      </c>
      <c r="C2442" s="9" t="inlineStr">
        <is>
          <t>MA alignment (EMA21&gt;EMA50&gt;SMA250&gt;SMMA500 vs EMA2400 trend filter) - M15 chart</t>
        </is>
      </c>
      <c r="D2442" s="9" t="inlineStr">
        <is>
          <t>Long</t>
        </is>
      </c>
      <c r="E2442" s="10" t="n">
        <v>45357.63541666666</v>
      </c>
      <c r="F2442" s="10" t="n">
        <v>45359.20833333334</v>
      </c>
      <c r="G2442" s="11" t="n">
        <v>21.83</v>
      </c>
      <c r="H2442" s="11">
        <f>H2441+G2442</f>
        <v/>
      </c>
    </row>
    <row r="2443">
      <c r="A2443" s="9" t="n">
        <v>2439</v>
      </c>
      <c r="B2443" s="9" t="inlineStr">
        <is>
          <t>Vanguard_M5</t>
        </is>
      </c>
      <c r="C2443" s="9" t="inlineStr">
        <is>
          <t>Trendline breakout (fractal swing line) + VWAP/S-R distance gate</t>
        </is>
      </c>
      <c r="D2443" s="9" t="inlineStr">
        <is>
          <t>Short</t>
        </is>
      </c>
      <c r="E2443" s="10" t="n">
        <v>45359.20486111111</v>
      </c>
      <c r="F2443" s="10" t="n">
        <v>45359.26041666666</v>
      </c>
      <c r="G2443" s="11" t="n">
        <v>-3.54</v>
      </c>
      <c r="H2443" s="11">
        <f>H2442+G2443</f>
        <v/>
      </c>
    </row>
    <row r="2444">
      <c r="A2444" s="9" t="n">
        <v>2440</v>
      </c>
      <c r="B2444" s="9" t="inlineStr">
        <is>
          <t>Vanguard_M15</t>
        </is>
      </c>
      <c r="C2444" s="9" t="inlineStr">
        <is>
          <t>Trendline breakout (fractal swing line) + VWAP/S-R distance gate - M15 chart</t>
        </is>
      </c>
      <c r="D2444" s="9" t="inlineStr">
        <is>
          <t>Short</t>
        </is>
      </c>
      <c r="E2444" s="10" t="n">
        <v>45359.20833333334</v>
      </c>
      <c r="F2444" s="10" t="n">
        <v>45359.35416666666</v>
      </c>
      <c r="G2444" s="11" t="n">
        <v>-5.36</v>
      </c>
      <c r="H2444" s="11">
        <f>H2443+G2444</f>
        <v/>
      </c>
    </row>
    <row r="2445">
      <c r="A2445" s="9" t="n">
        <v>2441</v>
      </c>
      <c r="B2445" s="9" t="inlineStr">
        <is>
          <t>Vanguard_M5</t>
        </is>
      </c>
      <c r="C2445" s="9" t="inlineStr">
        <is>
          <t>Trendline breakout (fractal swing line) + VWAP/S-R distance gate</t>
        </is>
      </c>
      <c r="D2445" s="9" t="inlineStr">
        <is>
          <t>Short</t>
        </is>
      </c>
      <c r="E2445" s="10" t="n">
        <v>45359.27777777778</v>
      </c>
      <c r="F2445" s="10" t="n">
        <v>45359.35416666666</v>
      </c>
      <c r="G2445" s="11" t="n">
        <v>-3.11</v>
      </c>
      <c r="H2445" s="11">
        <f>H2444+G2445</f>
        <v/>
      </c>
    </row>
    <row r="2446">
      <c r="A2446" s="9" t="n">
        <v>2442</v>
      </c>
      <c r="B2446" s="9" t="inlineStr">
        <is>
          <t>Aurelius_M5</t>
        </is>
      </c>
      <c r="C2446" s="9" t="inlineStr">
        <is>
          <t>MA alignment (EMA21&gt;EMA50&gt;SMA250&gt;SMMA500 vs EMA2400 trend filter)</t>
        </is>
      </c>
      <c r="D2446" s="9" t="inlineStr">
        <is>
          <t>Long</t>
        </is>
      </c>
      <c r="E2446" s="10" t="n">
        <v>45359.37152777778</v>
      </c>
      <c r="F2446" s="10" t="n">
        <v>45359.38541666666</v>
      </c>
      <c r="G2446" s="11" t="n">
        <v>-2.19</v>
      </c>
      <c r="H2446" s="11">
        <f>H2445+G2446</f>
        <v/>
      </c>
    </row>
    <row r="2447">
      <c r="A2447" s="9" t="n">
        <v>2443</v>
      </c>
      <c r="B2447" s="9" t="inlineStr">
        <is>
          <t>Ratchet</t>
        </is>
      </c>
      <c r="C2447" s="9" t="inlineStr">
        <is>
          <t>Stochastic scalp with give-back trail exit</t>
        </is>
      </c>
      <c r="D2447" s="9" t="inlineStr">
        <is>
          <t>Long</t>
        </is>
      </c>
      <c r="E2447" s="10" t="n">
        <v>45359.41319444445</v>
      </c>
      <c r="F2447" s="10" t="n">
        <v>45359.63541666666</v>
      </c>
      <c r="G2447" s="11" t="n">
        <v>2.59</v>
      </c>
      <c r="H2447" s="11">
        <f>H2446+G2447</f>
        <v/>
      </c>
    </row>
    <row r="2448">
      <c r="A2448" s="9" t="n">
        <v>2444</v>
      </c>
      <c r="B2448" s="9" t="inlineStr">
        <is>
          <t>Meridian</t>
        </is>
      </c>
      <c r="C2448" s="9" t="inlineStr">
        <is>
          <t>21/50 MA cross, 250-period confirm filter, VWAP</t>
        </is>
      </c>
      <c r="D2448" s="9" t="inlineStr">
        <is>
          <t>Long</t>
        </is>
      </c>
      <c r="E2448" s="10" t="n">
        <v>45359.35763888889</v>
      </c>
      <c r="F2448" s="10" t="n">
        <v>45359.64583333334</v>
      </c>
      <c r="G2448" s="11" t="n">
        <v>-2.16</v>
      </c>
      <c r="H2448" s="11">
        <f>H2447+G2448</f>
        <v/>
      </c>
    </row>
    <row r="2449">
      <c r="A2449" s="9" t="n">
        <v>2445</v>
      </c>
      <c r="B2449" s="9" t="inlineStr">
        <is>
          <t>Aurelius_M15</t>
        </is>
      </c>
      <c r="C2449" s="9" t="inlineStr">
        <is>
          <t>MA alignment (EMA21&gt;EMA50&gt;SMA250&gt;SMMA500 vs EMA2400 trend filter) - M15 chart</t>
        </is>
      </c>
      <c r="D2449" s="9" t="inlineStr">
        <is>
          <t>Long</t>
        </is>
      </c>
      <c r="E2449" s="10" t="n">
        <v>45359.65625</v>
      </c>
      <c r="F2449" s="10" t="n">
        <v>45359.65625</v>
      </c>
      <c r="G2449" s="11" t="n">
        <v>-10.26</v>
      </c>
      <c r="H2449" s="11">
        <f>H2448+G2449</f>
        <v/>
      </c>
    </row>
    <row r="2450">
      <c r="A2450" s="9" t="n">
        <v>2446</v>
      </c>
      <c r="B2450" s="9" t="inlineStr">
        <is>
          <t>Aurelius_M5</t>
        </is>
      </c>
      <c r="C2450" s="9" t="inlineStr">
        <is>
          <t>MA alignment (EMA21&gt;EMA50&gt;SMA250&gt;SMMA500 vs EMA2400 trend filter)</t>
        </is>
      </c>
      <c r="D2450" s="9" t="inlineStr">
        <is>
          <t>Long</t>
        </is>
      </c>
      <c r="E2450" s="10" t="n">
        <v>45359.65972222222</v>
      </c>
      <c r="F2450" s="10" t="n">
        <v>45359.67013888889</v>
      </c>
      <c r="G2450" s="11" t="n">
        <v>-9.369999999999999</v>
      </c>
      <c r="H2450" s="11">
        <f>H2449+G2450</f>
        <v/>
      </c>
    </row>
    <row r="2451">
      <c r="A2451" s="9" t="n">
        <v>2447</v>
      </c>
      <c r="B2451" s="9" t="inlineStr">
        <is>
          <t>Aurelius_M5</t>
        </is>
      </c>
      <c r="C2451" s="9" t="inlineStr">
        <is>
          <t>MA alignment (EMA21&gt;EMA50&gt;SMA250&gt;SMMA500 vs EMA2400 trend filter)</t>
        </is>
      </c>
      <c r="D2451" s="9" t="inlineStr">
        <is>
          <t>Long</t>
        </is>
      </c>
      <c r="E2451" s="10" t="n">
        <v>45359.70833333334</v>
      </c>
      <c r="F2451" s="10" t="n">
        <v>45359.88541666666</v>
      </c>
      <c r="G2451" s="11" t="n">
        <v>-0.25</v>
      </c>
      <c r="H2451" s="11">
        <f>H2450+G2451</f>
        <v/>
      </c>
    </row>
    <row r="2452">
      <c r="A2452" s="9" t="n">
        <v>2448</v>
      </c>
      <c r="B2452" s="9" t="inlineStr">
        <is>
          <t>Aurelius_M15</t>
        </is>
      </c>
      <c r="C2452" s="9" t="inlineStr">
        <is>
          <t>MA alignment (EMA21&gt;EMA50&gt;SMA250&gt;SMMA500 vs EMA2400 trend filter) - M15 chart</t>
        </is>
      </c>
      <c r="D2452" s="9" t="inlineStr">
        <is>
          <t>Long</t>
        </is>
      </c>
      <c r="E2452" s="10" t="n">
        <v>45359.73958333334</v>
      </c>
      <c r="F2452" s="10" t="n">
        <v>45359.92708333334</v>
      </c>
      <c r="G2452" s="11" t="n">
        <v>3.64</v>
      </c>
      <c r="H2452" s="11">
        <f>H2451+G2452</f>
        <v/>
      </c>
    </row>
    <row r="2453">
      <c r="A2453" s="9" t="n">
        <v>2449</v>
      </c>
      <c r="B2453" s="9" t="inlineStr">
        <is>
          <t>Meridian</t>
        </is>
      </c>
      <c r="C2453" s="9" t="inlineStr">
        <is>
          <t>21/50 MA cross, 250-period confirm filter, VWAP</t>
        </is>
      </c>
      <c r="D2453" s="9" t="inlineStr">
        <is>
          <t>Long</t>
        </is>
      </c>
      <c r="E2453" s="10" t="n">
        <v>45362.41319444445</v>
      </c>
      <c r="F2453" s="10" t="n">
        <v>45362.44097222222</v>
      </c>
      <c r="G2453" s="11" t="n">
        <v>-2.82</v>
      </c>
      <c r="H2453" s="11">
        <f>H2452+G2453</f>
        <v/>
      </c>
    </row>
    <row r="2454">
      <c r="A2454" s="9" t="n">
        <v>2450</v>
      </c>
      <c r="B2454" s="9" t="inlineStr">
        <is>
          <t>Aurelius_M5</t>
        </is>
      </c>
      <c r="C2454" s="9" t="inlineStr">
        <is>
          <t>MA alignment (EMA21&gt;EMA50&gt;SMA250&gt;SMMA500 vs EMA2400 trend filter)</t>
        </is>
      </c>
      <c r="D2454" s="9" t="inlineStr">
        <is>
          <t>Long</t>
        </is>
      </c>
      <c r="E2454" s="10" t="n">
        <v>45362.4375</v>
      </c>
      <c r="F2454" s="10" t="n">
        <v>45362.45486111111</v>
      </c>
      <c r="G2454" s="11" t="n">
        <v>-1.93</v>
      </c>
      <c r="H2454" s="11">
        <f>H2453+G2454</f>
        <v/>
      </c>
    </row>
    <row r="2455">
      <c r="A2455" s="9" t="n">
        <v>2451</v>
      </c>
      <c r="B2455" s="9" t="inlineStr">
        <is>
          <t>Meridian</t>
        </is>
      </c>
      <c r="C2455" s="9" t="inlineStr">
        <is>
          <t>21/50 MA cross, 250-period confirm filter, VWAP</t>
        </is>
      </c>
      <c r="D2455" s="9" t="inlineStr">
        <is>
          <t>Long</t>
        </is>
      </c>
      <c r="E2455" s="10" t="n">
        <v>45362.51388888889</v>
      </c>
      <c r="F2455" s="10" t="n">
        <v>45362.52083333334</v>
      </c>
      <c r="G2455" s="11" t="n">
        <v>-1.74</v>
      </c>
      <c r="H2455" s="11">
        <f>H2454+G2455</f>
        <v/>
      </c>
    </row>
    <row r="2456">
      <c r="A2456" s="9" t="n">
        <v>2452</v>
      </c>
      <c r="B2456" s="9" t="inlineStr">
        <is>
          <t>Meridian</t>
        </is>
      </c>
      <c r="C2456" s="9" t="inlineStr">
        <is>
          <t>21/50 MA cross, 250-period confirm filter, VWAP</t>
        </is>
      </c>
      <c r="D2456" s="9" t="inlineStr">
        <is>
          <t>Long</t>
        </is>
      </c>
      <c r="E2456" s="10" t="n">
        <v>45362.65625</v>
      </c>
      <c r="F2456" s="10" t="n">
        <v>45362.66666666666</v>
      </c>
      <c r="G2456" s="11" t="n">
        <v>-4.82</v>
      </c>
      <c r="H2456" s="11">
        <f>H2455+G2456</f>
        <v/>
      </c>
    </row>
    <row r="2457">
      <c r="A2457" s="9" t="n">
        <v>2453</v>
      </c>
      <c r="B2457" s="9" t="inlineStr">
        <is>
          <t>Ratchet</t>
        </is>
      </c>
      <c r="C2457" s="9" t="inlineStr">
        <is>
          <t>Stochastic scalp with give-back trail exit</t>
        </is>
      </c>
      <c r="D2457" s="9" t="inlineStr">
        <is>
          <t>Long</t>
        </is>
      </c>
      <c r="E2457" s="10" t="n">
        <v>45362.69097222222</v>
      </c>
      <c r="F2457" s="10" t="n">
        <v>45362.70138888889</v>
      </c>
      <c r="G2457" s="11" t="n">
        <v>-0</v>
      </c>
      <c r="H2457" s="11">
        <f>H2456+G2457</f>
        <v/>
      </c>
    </row>
    <row r="2458">
      <c r="A2458" s="9" t="n">
        <v>2454</v>
      </c>
      <c r="B2458" s="9" t="inlineStr">
        <is>
          <t>Ratchet</t>
        </is>
      </c>
      <c r="C2458" s="9" t="inlineStr">
        <is>
          <t>Stochastic scalp with give-back trail exit</t>
        </is>
      </c>
      <c r="D2458" s="9" t="inlineStr">
        <is>
          <t>Long</t>
        </is>
      </c>
      <c r="E2458" s="10" t="n">
        <v>45362.72569444445</v>
      </c>
      <c r="F2458" s="10" t="n">
        <v>45362.73958333334</v>
      </c>
      <c r="G2458" s="11" t="n">
        <v>0</v>
      </c>
      <c r="H2458" s="11">
        <f>H2457+G2458</f>
        <v/>
      </c>
    </row>
    <row r="2459">
      <c r="A2459" s="9" t="n">
        <v>2455</v>
      </c>
      <c r="B2459" s="9" t="inlineStr">
        <is>
          <t>Ratchet</t>
        </is>
      </c>
      <c r="C2459" s="9" t="inlineStr">
        <is>
          <t>Stochastic scalp with give-back trail exit</t>
        </is>
      </c>
      <c r="D2459" s="9" t="inlineStr">
        <is>
          <t>Long</t>
        </is>
      </c>
      <c r="E2459" s="10" t="n">
        <v>45362.80555555555</v>
      </c>
      <c r="F2459" s="10" t="n">
        <v>45362.8125</v>
      </c>
      <c r="G2459" s="11" t="n">
        <v>-2.69</v>
      </c>
      <c r="H2459" s="11">
        <f>H2458+G2459</f>
        <v/>
      </c>
    </row>
    <row r="2460">
      <c r="A2460" s="9" t="n">
        <v>2456</v>
      </c>
      <c r="B2460" s="9" t="inlineStr">
        <is>
          <t>Aurelius_M5</t>
        </is>
      </c>
      <c r="C2460" s="9" t="inlineStr">
        <is>
          <t>MA alignment (EMA21&gt;EMA50&gt;SMA250&gt;SMMA500 vs EMA2400 trend filter)</t>
        </is>
      </c>
      <c r="D2460" s="9" t="inlineStr">
        <is>
          <t>Long</t>
        </is>
      </c>
      <c r="E2460" s="10" t="n">
        <v>45362.70138888889</v>
      </c>
      <c r="F2460" s="10" t="n">
        <v>45362.82638888889</v>
      </c>
      <c r="G2460" s="11" t="n">
        <v>-3.6</v>
      </c>
      <c r="H2460" s="11">
        <f>H2459+G2460</f>
        <v/>
      </c>
    </row>
    <row r="2461">
      <c r="A2461" s="9" t="n">
        <v>2457</v>
      </c>
      <c r="B2461" s="9" t="inlineStr">
        <is>
          <t>Meridian</t>
        </is>
      </c>
      <c r="C2461" s="9" t="inlineStr">
        <is>
          <t>21/50 MA cross, 250-period confirm filter, VWAP</t>
        </is>
      </c>
      <c r="D2461" s="9" t="inlineStr">
        <is>
          <t>Short</t>
        </is>
      </c>
      <c r="E2461" s="10" t="n">
        <v>45362.82638888889</v>
      </c>
      <c r="F2461" s="10" t="n">
        <v>45362.87847222222</v>
      </c>
      <c r="G2461" s="11" t="n">
        <v>-3.69</v>
      </c>
      <c r="H2461" s="11">
        <f>H2460+G2461</f>
        <v/>
      </c>
    </row>
    <row r="2462">
      <c r="A2462" s="9" t="n">
        <v>2458</v>
      </c>
      <c r="B2462" s="9" t="inlineStr">
        <is>
          <t>Meridian</t>
        </is>
      </c>
      <c r="C2462" s="9" t="inlineStr">
        <is>
          <t>21/50 MA cross, 250-period confirm filter, VWAP</t>
        </is>
      </c>
      <c r="D2462" s="9" t="inlineStr">
        <is>
          <t>Long</t>
        </is>
      </c>
      <c r="E2462" s="10" t="n">
        <v>45362.89236111111</v>
      </c>
      <c r="F2462" s="10" t="n">
        <v>45363.11805555555</v>
      </c>
      <c r="G2462" s="11" t="n">
        <v>-2.9</v>
      </c>
      <c r="H2462" s="11">
        <f>H2461+G2462</f>
        <v/>
      </c>
    </row>
    <row r="2463">
      <c r="A2463" s="9" t="n">
        <v>2459</v>
      </c>
      <c r="B2463" s="9" t="inlineStr">
        <is>
          <t>Vanguard_M15</t>
        </is>
      </c>
      <c r="C2463" s="9" t="inlineStr">
        <is>
          <t>Trendline breakout (fractal swing line) + VWAP/S-R distance gate - M15 chart</t>
        </is>
      </c>
      <c r="D2463" s="9" t="inlineStr">
        <is>
          <t>Short</t>
        </is>
      </c>
      <c r="E2463" s="10" t="n">
        <v>45363.03125</v>
      </c>
      <c r="F2463" s="10" t="n">
        <v>45363.15625</v>
      </c>
      <c r="G2463" s="11" t="n">
        <v>-1.32</v>
      </c>
      <c r="H2463" s="11">
        <f>H2462+G2463</f>
        <v/>
      </c>
    </row>
    <row r="2464">
      <c r="A2464" s="9" t="n">
        <v>2460</v>
      </c>
      <c r="B2464" s="9" t="inlineStr">
        <is>
          <t>Vanguard_M5</t>
        </is>
      </c>
      <c r="C2464" s="9" t="inlineStr">
        <is>
          <t>Trendline breakout (fractal swing line) + VWAP/S-R distance gate</t>
        </is>
      </c>
      <c r="D2464" s="9" t="inlineStr">
        <is>
          <t>Short</t>
        </is>
      </c>
      <c r="E2464" s="10" t="n">
        <v>45363.03472222222</v>
      </c>
      <c r="F2464" s="10" t="n">
        <v>45363.15972222222</v>
      </c>
      <c r="G2464" s="11" t="n">
        <v>-2.02</v>
      </c>
      <c r="H2464" s="11">
        <f>H2463+G2464</f>
        <v/>
      </c>
    </row>
    <row r="2465">
      <c r="A2465" s="9" t="n">
        <v>2461</v>
      </c>
      <c r="B2465" s="9" t="inlineStr">
        <is>
          <t>Vanguard_M5</t>
        </is>
      </c>
      <c r="C2465" s="9" t="inlineStr">
        <is>
          <t>Trendline breakout (fractal swing line) + VWAP/S-R distance gate</t>
        </is>
      </c>
      <c r="D2465" s="9" t="inlineStr">
        <is>
          <t>Long</t>
        </is>
      </c>
      <c r="E2465" s="10" t="n">
        <v>45363.16319444445</v>
      </c>
      <c r="F2465" s="10" t="n">
        <v>45363.20486111111</v>
      </c>
      <c r="G2465" s="11" t="n">
        <v>-3.6</v>
      </c>
      <c r="H2465" s="11">
        <f>H2464+G2465</f>
        <v/>
      </c>
    </row>
    <row r="2466">
      <c r="A2466" s="9" t="n">
        <v>2462</v>
      </c>
      <c r="B2466" s="9" t="inlineStr">
        <is>
          <t>Vanguard_M15</t>
        </is>
      </c>
      <c r="C2466" s="9" t="inlineStr">
        <is>
          <t>Trendline breakout (fractal swing line) + VWAP/S-R distance gate - M15 chart</t>
        </is>
      </c>
      <c r="D2466" s="9" t="inlineStr">
        <is>
          <t>Long</t>
        </is>
      </c>
      <c r="E2466" s="10" t="n">
        <v>45363.16666666666</v>
      </c>
      <c r="F2466" s="10" t="n">
        <v>45363.20833333334</v>
      </c>
      <c r="G2466" s="11" t="n">
        <v>-5.32</v>
      </c>
      <c r="H2466" s="11">
        <f>H2465+G2466</f>
        <v/>
      </c>
    </row>
    <row r="2467">
      <c r="A2467" s="9" t="n">
        <v>2463</v>
      </c>
      <c r="B2467" s="9" t="inlineStr">
        <is>
          <t>Aurelius_M15</t>
        </is>
      </c>
      <c r="C2467" s="9" t="inlineStr">
        <is>
          <t>MA alignment (EMA21&gt;EMA50&gt;SMA250&gt;SMMA500 vs EMA2400 trend filter) - M15 chart</t>
        </is>
      </c>
      <c r="D2467" s="9" t="inlineStr">
        <is>
          <t>Long</t>
        </is>
      </c>
      <c r="E2467" s="10" t="n">
        <v>45362.73958333334</v>
      </c>
      <c r="F2467" s="10" t="n">
        <v>45363.21875</v>
      </c>
      <c r="G2467" s="11" t="n">
        <v>-7.77</v>
      </c>
      <c r="H2467" s="11">
        <f>H2466+G2467</f>
        <v/>
      </c>
    </row>
    <row r="2468">
      <c r="A2468" s="9" t="n">
        <v>2464</v>
      </c>
      <c r="B2468" s="9" t="inlineStr">
        <is>
          <t>Vanguard_M5</t>
        </is>
      </c>
      <c r="C2468" s="9" t="inlineStr">
        <is>
          <t>Trendline breakout (fractal swing line) + VWAP/S-R distance gate</t>
        </is>
      </c>
      <c r="D2468" s="9" t="inlineStr">
        <is>
          <t>Long</t>
        </is>
      </c>
      <c r="E2468" s="10" t="n">
        <v>45363.46180555555</v>
      </c>
      <c r="F2468" s="10" t="n">
        <v>45363.54861111111</v>
      </c>
      <c r="G2468" s="11" t="n">
        <v>-3.97</v>
      </c>
      <c r="H2468" s="11">
        <f>H2467+G2468</f>
        <v/>
      </c>
    </row>
    <row r="2469">
      <c r="A2469" s="9" t="n">
        <v>2465</v>
      </c>
      <c r="B2469" s="9" t="inlineStr">
        <is>
          <t>Meridian</t>
        </is>
      </c>
      <c r="C2469" s="9" t="inlineStr">
        <is>
          <t>21/50 MA cross, 250-period confirm filter, VWAP</t>
        </is>
      </c>
      <c r="D2469" s="9" t="inlineStr">
        <is>
          <t>Short</t>
        </is>
      </c>
      <c r="E2469" s="10" t="n">
        <v>45363.51041666666</v>
      </c>
      <c r="F2469" s="10" t="n">
        <v>45363.60763888889</v>
      </c>
      <c r="G2469" s="11" t="n">
        <v>-2.34</v>
      </c>
      <c r="H2469" s="11">
        <f>H2468+G2469</f>
        <v/>
      </c>
    </row>
    <row r="2470">
      <c r="A2470" s="9" t="n">
        <v>2466</v>
      </c>
      <c r="B2470" s="9" t="inlineStr">
        <is>
          <t>Vanguard_M5</t>
        </is>
      </c>
      <c r="C2470" s="9" t="inlineStr">
        <is>
          <t>Trendline breakout (fractal swing line) + VWAP/S-R distance gate</t>
        </is>
      </c>
      <c r="D2470" s="9" t="inlineStr">
        <is>
          <t>Long</t>
        </is>
      </c>
      <c r="E2470" s="10" t="n">
        <v>45363.61111111111</v>
      </c>
      <c r="F2470" s="10" t="n">
        <v>45363.625</v>
      </c>
      <c r="G2470" s="11" t="n">
        <v>-12.21</v>
      </c>
      <c r="H2470" s="11">
        <f>H2469+G2470</f>
        <v/>
      </c>
    </row>
    <row r="2471">
      <c r="A2471" s="9" t="n">
        <v>2467</v>
      </c>
      <c r="B2471" s="9" t="inlineStr">
        <is>
          <t>Vanguard_M15</t>
        </is>
      </c>
      <c r="C2471" s="9" t="inlineStr">
        <is>
          <t>Trendline breakout (fractal swing line) + VWAP/S-R distance gate - M15 chart</t>
        </is>
      </c>
      <c r="D2471" s="9" t="inlineStr">
        <is>
          <t>Long</t>
        </is>
      </c>
      <c r="E2471" s="10" t="n">
        <v>45363.61458333334</v>
      </c>
      <c r="F2471" s="10" t="n">
        <v>45363.625</v>
      </c>
      <c r="G2471" s="11" t="n">
        <v>-10.43</v>
      </c>
      <c r="H2471" s="11">
        <f>H2470+G2471</f>
        <v/>
      </c>
    </row>
    <row r="2472">
      <c r="A2472" s="9" t="n">
        <v>2468</v>
      </c>
      <c r="B2472" s="9" t="inlineStr">
        <is>
          <t>Meridian</t>
        </is>
      </c>
      <c r="C2472" s="9" t="inlineStr">
        <is>
          <t>21/50 MA cross, 250-period confirm filter, VWAP</t>
        </is>
      </c>
      <c r="D2472" s="9" t="inlineStr">
        <is>
          <t>Short</t>
        </is>
      </c>
      <c r="E2472" s="10" t="n">
        <v>45364.0625</v>
      </c>
      <c r="F2472" s="10" t="n">
        <v>45364.10416666666</v>
      </c>
      <c r="G2472" s="11" t="n">
        <v>-3.01</v>
      </c>
      <c r="H2472" s="11">
        <f>H2471+G2472</f>
        <v/>
      </c>
    </row>
    <row r="2473">
      <c r="A2473" s="9" t="n">
        <v>2469</v>
      </c>
      <c r="B2473" s="9" t="inlineStr">
        <is>
          <t>Meridian</t>
        </is>
      </c>
      <c r="C2473" s="9" t="inlineStr">
        <is>
          <t>21/50 MA cross, 250-period confirm filter, VWAP</t>
        </is>
      </c>
      <c r="D2473" s="9" t="inlineStr">
        <is>
          <t>Short</t>
        </is>
      </c>
      <c r="E2473" s="10" t="n">
        <v>45364.27430555555</v>
      </c>
      <c r="F2473" s="10" t="n">
        <v>45364.29166666666</v>
      </c>
      <c r="G2473" s="11" t="n">
        <v>-1.96</v>
      </c>
      <c r="H2473" s="11">
        <f>H2472+G2473</f>
        <v/>
      </c>
    </row>
    <row r="2474">
      <c r="A2474" s="9" t="n">
        <v>2470</v>
      </c>
      <c r="B2474" s="9" t="inlineStr">
        <is>
          <t>Meridian</t>
        </is>
      </c>
      <c r="C2474" s="9" t="inlineStr">
        <is>
          <t>21/50 MA cross, 250-period confirm filter, VWAP</t>
        </is>
      </c>
      <c r="D2474" s="9" t="inlineStr">
        <is>
          <t>Short</t>
        </is>
      </c>
      <c r="E2474" s="10" t="n">
        <v>45364.44791666666</v>
      </c>
      <c r="F2474" s="10" t="n">
        <v>45364.51736111111</v>
      </c>
      <c r="G2474" s="11" t="n">
        <v>-0.99</v>
      </c>
      <c r="H2474" s="11">
        <f>H2473+G2474</f>
        <v/>
      </c>
    </row>
    <row r="2475">
      <c r="A2475" s="9" t="n">
        <v>2471</v>
      </c>
      <c r="B2475" s="9" t="inlineStr">
        <is>
          <t>Ratchet</t>
        </is>
      </c>
      <c r="C2475" s="9" t="inlineStr">
        <is>
          <t>Stochastic scalp with give-back trail exit</t>
        </is>
      </c>
      <c r="D2475" s="9" t="inlineStr">
        <is>
          <t>Long</t>
        </is>
      </c>
      <c r="E2475" s="10" t="n">
        <v>45364.95138888889</v>
      </c>
      <c r="F2475" s="10" t="n">
        <v>45365.0625</v>
      </c>
      <c r="G2475" s="11" t="n">
        <v>0.37</v>
      </c>
      <c r="H2475" s="11">
        <f>H2474+G2475</f>
        <v/>
      </c>
    </row>
    <row r="2476">
      <c r="A2476" s="9" t="n">
        <v>2472</v>
      </c>
      <c r="B2476" s="9" t="inlineStr">
        <is>
          <t>Aurelius_M5</t>
        </is>
      </c>
      <c r="C2476" s="9" t="inlineStr">
        <is>
          <t>MA alignment (EMA21&gt;EMA50&gt;SMA250&gt;SMMA500 vs EMA2400 trend filter)</t>
        </is>
      </c>
      <c r="D2476" s="9" t="inlineStr">
        <is>
          <t>Long</t>
        </is>
      </c>
      <c r="E2476" s="10" t="n">
        <v>45365.12847222222</v>
      </c>
      <c r="F2476" s="10" t="n">
        <v>45365.13194444445</v>
      </c>
      <c r="G2476" s="11" t="n">
        <v>-1.84</v>
      </c>
      <c r="H2476" s="11">
        <f>H2475+G2476</f>
        <v/>
      </c>
    </row>
    <row r="2477">
      <c r="A2477" s="9" t="n">
        <v>2473</v>
      </c>
      <c r="B2477" s="9" t="inlineStr">
        <is>
          <t>Vanguard_M5</t>
        </is>
      </c>
      <c r="C2477" s="9" t="inlineStr">
        <is>
          <t>Trendline breakout (fractal swing line) + VWAP/S-R distance gate</t>
        </is>
      </c>
      <c r="D2477" s="9" t="inlineStr">
        <is>
          <t>Long</t>
        </is>
      </c>
      <c r="E2477" s="10" t="n">
        <v>45364.80208333334</v>
      </c>
      <c r="F2477" s="10" t="n">
        <v>45365.22916666666</v>
      </c>
      <c r="G2477" s="11" t="n">
        <v>-6.74</v>
      </c>
      <c r="H2477" s="11">
        <f>H2476+G2477</f>
        <v/>
      </c>
    </row>
    <row r="2478">
      <c r="A2478" s="9" t="n">
        <v>2474</v>
      </c>
      <c r="B2478" s="9" t="inlineStr">
        <is>
          <t>Vanguard_M15</t>
        </is>
      </c>
      <c r="C2478" s="9" t="inlineStr">
        <is>
          <t>Trendline breakout (fractal swing line) + VWAP/S-R distance gate - M15 chart</t>
        </is>
      </c>
      <c r="D2478" s="9" t="inlineStr">
        <is>
          <t>Long</t>
        </is>
      </c>
      <c r="E2478" s="10" t="n">
        <v>45364.80208333334</v>
      </c>
      <c r="F2478" s="10" t="n">
        <v>45365.32291666666</v>
      </c>
      <c r="G2478" s="11" t="n">
        <v>-8.859999999999999</v>
      </c>
      <c r="H2478" s="11">
        <f>H2477+G2478</f>
        <v/>
      </c>
    </row>
    <row r="2479">
      <c r="A2479" s="9" t="n">
        <v>2475</v>
      </c>
      <c r="B2479" s="9" t="inlineStr">
        <is>
          <t>Meridian</t>
        </is>
      </c>
      <c r="C2479" s="9" t="inlineStr">
        <is>
          <t>21/50 MA cross, 250-period confirm filter, VWAP</t>
        </is>
      </c>
      <c r="D2479" s="9" t="inlineStr">
        <is>
          <t>Long</t>
        </is>
      </c>
      <c r="E2479" s="10" t="n">
        <v>45365.49305555555</v>
      </c>
      <c r="F2479" s="10" t="n">
        <v>45365.49652777778</v>
      </c>
      <c r="G2479" s="11" t="n">
        <v>-2.22</v>
      </c>
      <c r="H2479" s="11">
        <f>H2478+G2479</f>
        <v/>
      </c>
    </row>
    <row r="2480">
      <c r="A2480" s="9" t="n">
        <v>2476</v>
      </c>
      <c r="B2480" s="9" t="inlineStr">
        <is>
          <t>Meridian</t>
        </is>
      </c>
      <c r="C2480" s="9" t="inlineStr">
        <is>
          <t>21/50 MA cross, 250-period confirm filter, VWAP</t>
        </is>
      </c>
      <c r="D2480" s="9" t="inlineStr">
        <is>
          <t>Short</t>
        </is>
      </c>
      <c r="E2480" s="10" t="n">
        <v>45365.56944444445</v>
      </c>
      <c r="F2480" s="10" t="n">
        <v>45365.86458333334</v>
      </c>
      <c r="G2480" s="11" t="n">
        <v>7.27</v>
      </c>
      <c r="H2480" s="11">
        <f>H2479+G2480</f>
        <v/>
      </c>
    </row>
    <row r="2481">
      <c r="A2481" s="9" t="n">
        <v>2477</v>
      </c>
      <c r="B2481" s="9" t="inlineStr">
        <is>
          <t>Meridian</t>
        </is>
      </c>
      <c r="C2481" s="9" t="inlineStr">
        <is>
          <t>21/50 MA cross, 250-period confirm filter, VWAP</t>
        </is>
      </c>
      <c r="D2481" s="9" t="inlineStr">
        <is>
          <t>Short</t>
        </is>
      </c>
      <c r="E2481" s="10" t="n">
        <v>45366.04861111111</v>
      </c>
      <c r="F2481" s="10" t="n">
        <v>45366.11111111111</v>
      </c>
      <c r="G2481" s="11" t="n">
        <v>-1.03</v>
      </c>
      <c r="H2481" s="11">
        <f>H2480+G2481</f>
        <v/>
      </c>
    </row>
    <row r="2482">
      <c r="A2482" s="9" t="n">
        <v>2478</v>
      </c>
      <c r="B2482" s="9" t="inlineStr">
        <is>
          <t>Ratchet</t>
        </is>
      </c>
      <c r="C2482" s="9" t="inlineStr">
        <is>
          <t>Stochastic scalp with give-back trail exit</t>
        </is>
      </c>
      <c r="D2482" s="9" t="inlineStr">
        <is>
          <t>Short</t>
        </is>
      </c>
      <c r="E2482" s="10" t="n">
        <v>45369.21180555555</v>
      </c>
      <c r="F2482" s="10" t="n">
        <v>45369.21875</v>
      </c>
      <c r="G2482" s="11" t="n">
        <v>0.22</v>
      </c>
      <c r="H2482" s="11">
        <f>H2481+G2482</f>
        <v/>
      </c>
    </row>
    <row r="2483">
      <c r="A2483" s="9" t="n">
        <v>2479</v>
      </c>
      <c r="B2483" s="9" t="inlineStr">
        <is>
          <t>Ratchet</t>
        </is>
      </c>
      <c r="C2483" s="9" t="inlineStr">
        <is>
          <t>Stochastic scalp with give-back trail exit</t>
        </is>
      </c>
      <c r="D2483" s="9" t="inlineStr">
        <is>
          <t>Short</t>
        </is>
      </c>
      <c r="E2483" s="10" t="n">
        <v>45369.28125</v>
      </c>
      <c r="F2483" s="10" t="n">
        <v>45369.36805555555</v>
      </c>
      <c r="G2483" s="11" t="n">
        <v>-1.51</v>
      </c>
      <c r="H2483" s="11">
        <f>H2482+G2483</f>
        <v/>
      </c>
    </row>
    <row r="2484">
      <c r="A2484" s="9" t="n">
        <v>2480</v>
      </c>
      <c r="B2484" s="9" t="inlineStr">
        <is>
          <t>Vanguard_M5</t>
        </is>
      </c>
      <c r="C2484" s="9" t="inlineStr">
        <is>
          <t>Trendline breakout (fractal swing line) + VWAP/S-R distance gate</t>
        </is>
      </c>
      <c r="D2484" s="9" t="inlineStr">
        <is>
          <t>Short</t>
        </is>
      </c>
      <c r="E2484" s="10" t="n">
        <v>45369.01388888889</v>
      </c>
      <c r="F2484" s="10" t="n">
        <v>45369.53472222222</v>
      </c>
      <c r="G2484" s="11" t="n">
        <v>-4.43</v>
      </c>
      <c r="H2484" s="11">
        <f>H2483+G2484</f>
        <v/>
      </c>
    </row>
    <row r="2485">
      <c r="A2485" s="9" t="n">
        <v>2481</v>
      </c>
      <c r="B2485" s="9" t="inlineStr">
        <is>
          <t>Vanguard_M5</t>
        </is>
      </c>
      <c r="C2485" s="9" t="inlineStr">
        <is>
          <t>Trendline breakout (fractal swing line) + VWAP/S-R distance gate</t>
        </is>
      </c>
      <c r="D2485" s="9" t="inlineStr">
        <is>
          <t>Short</t>
        </is>
      </c>
      <c r="E2485" s="10" t="n">
        <v>45369.75347222222</v>
      </c>
      <c r="F2485" s="10" t="n">
        <v>45370.00694444445</v>
      </c>
      <c r="G2485" s="11" t="n">
        <v>-6.1</v>
      </c>
      <c r="H2485" s="11">
        <f>H2484+G2485</f>
        <v/>
      </c>
    </row>
    <row r="2486">
      <c r="A2486" s="9" t="n">
        <v>2482</v>
      </c>
      <c r="B2486" s="9" t="inlineStr">
        <is>
          <t>Vanguard_M5</t>
        </is>
      </c>
      <c r="C2486" s="9" t="inlineStr">
        <is>
          <t>Trendline breakout (fractal swing line) + VWAP/S-R distance gate</t>
        </is>
      </c>
      <c r="D2486" s="9" t="inlineStr">
        <is>
          <t>Long</t>
        </is>
      </c>
      <c r="E2486" s="10" t="n">
        <v>45370.01041666666</v>
      </c>
      <c r="F2486" s="10" t="n">
        <v>45370.14583333334</v>
      </c>
      <c r="G2486" s="11" t="n">
        <v>-1.92</v>
      </c>
      <c r="H2486" s="11">
        <f>H2485+G2486</f>
        <v/>
      </c>
    </row>
    <row r="2487">
      <c r="A2487" s="9" t="n">
        <v>2483</v>
      </c>
      <c r="B2487" s="9" t="inlineStr">
        <is>
          <t>Meridian</t>
        </is>
      </c>
      <c r="C2487" s="9" t="inlineStr">
        <is>
          <t>21/50 MA cross, 250-period confirm filter, VWAP</t>
        </is>
      </c>
      <c r="D2487" s="9" t="inlineStr">
        <is>
          <t>Long</t>
        </is>
      </c>
      <c r="E2487" s="10" t="n">
        <v>45369.78819444445</v>
      </c>
      <c r="F2487" s="10" t="n">
        <v>45370.15625</v>
      </c>
      <c r="G2487" s="11" t="n">
        <v>-1.48</v>
      </c>
      <c r="H2487" s="11">
        <f>H2486+G2487</f>
        <v/>
      </c>
    </row>
    <row r="2488">
      <c r="A2488" s="9" t="n">
        <v>2484</v>
      </c>
      <c r="B2488" s="9" t="inlineStr">
        <is>
          <t>Ratchet</t>
        </is>
      </c>
      <c r="C2488" s="9" t="inlineStr">
        <is>
          <t>Stochastic scalp with give-back trail exit</t>
        </is>
      </c>
      <c r="D2488" s="9" t="inlineStr">
        <is>
          <t>Long</t>
        </is>
      </c>
      <c r="E2488" s="10" t="n">
        <v>45370.23611111111</v>
      </c>
      <c r="F2488" s="10" t="n">
        <v>45370.23958333334</v>
      </c>
      <c r="G2488" s="11" t="n">
        <v>-1.26</v>
      </c>
      <c r="H2488" s="11">
        <f>H2487+G2488</f>
        <v/>
      </c>
    </row>
    <row r="2489">
      <c r="A2489" s="9" t="n">
        <v>2485</v>
      </c>
      <c r="B2489" s="9" t="inlineStr">
        <is>
          <t>Meridian</t>
        </is>
      </c>
      <c r="C2489" s="9" t="inlineStr">
        <is>
          <t>21/50 MA cross, 250-period confirm filter, VWAP</t>
        </is>
      </c>
      <c r="D2489" s="9" t="inlineStr">
        <is>
          <t>Long</t>
        </is>
      </c>
      <c r="E2489" s="10" t="n">
        <v>45370.18402777778</v>
      </c>
      <c r="F2489" s="10" t="n">
        <v>45370.28125</v>
      </c>
      <c r="G2489" s="11" t="n">
        <v>-2.41</v>
      </c>
      <c r="H2489" s="11">
        <f>H2488+G2489</f>
        <v/>
      </c>
    </row>
    <row r="2490">
      <c r="A2490" s="9" t="n">
        <v>2486</v>
      </c>
      <c r="B2490" s="9" t="inlineStr">
        <is>
          <t>Vanguard_M15</t>
        </is>
      </c>
      <c r="C2490" s="9" t="inlineStr">
        <is>
          <t>Trendline breakout (fractal swing line) + VWAP/S-R distance gate - M15 chart</t>
        </is>
      </c>
      <c r="D2490" s="9" t="inlineStr">
        <is>
          <t>Long</t>
        </is>
      </c>
      <c r="E2490" s="10" t="n">
        <v>45370.01041666666</v>
      </c>
      <c r="F2490" s="10" t="n">
        <v>45370.33333333334</v>
      </c>
      <c r="G2490" s="11" t="n">
        <v>-4.5</v>
      </c>
      <c r="H2490" s="11">
        <f>H2489+G2490</f>
        <v/>
      </c>
    </row>
    <row r="2491">
      <c r="A2491" s="9" t="n">
        <v>2487</v>
      </c>
      <c r="B2491" s="9" t="inlineStr">
        <is>
          <t>Vanguard_M5</t>
        </is>
      </c>
      <c r="C2491" s="9" t="inlineStr">
        <is>
          <t>Trendline breakout (fractal swing line) + VWAP/S-R distance gate</t>
        </is>
      </c>
      <c r="D2491" s="9" t="inlineStr">
        <is>
          <t>Short</t>
        </is>
      </c>
      <c r="E2491" s="10" t="n">
        <v>45370.34027777778</v>
      </c>
      <c r="F2491" s="10" t="n">
        <v>45370.61111111111</v>
      </c>
      <c r="G2491" s="11" t="n">
        <v>-3.97</v>
      </c>
      <c r="H2491" s="11">
        <f>H2490+G2491</f>
        <v/>
      </c>
    </row>
    <row r="2492">
      <c r="A2492" s="9" t="n">
        <v>2488</v>
      </c>
      <c r="B2492" s="9" t="inlineStr">
        <is>
          <t>Meridian</t>
        </is>
      </c>
      <c r="C2492" s="9" t="inlineStr">
        <is>
          <t>21/50 MA cross, 250-period confirm filter, VWAP</t>
        </is>
      </c>
      <c r="D2492" s="9" t="inlineStr">
        <is>
          <t>Short</t>
        </is>
      </c>
      <c r="E2492" s="10" t="n">
        <v>45370.65972222222</v>
      </c>
      <c r="F2492" s="10" t="n">
        <v>45370.76041666666</v>
      </c>
      <c r="G2492" s="11" t="n">
        <v>-4.49</v>
      </c>
      <c r="H2492" s="11">
        <f>H2491+G2492</f>
        <v/>
      </c>
    </row>
    <row r="2493">
      <c r="A2493" s="9" t="n">
        <v>2489</v>
      </c>
      <c r="B2493" s="9" t="inlineStr">
        <is>
          <t>Meridian</t>
        </is>
      </c>
      <c r="C2493" s="9" t="inlineStr">
        <is>
          <t>21/50 MA cross, 250-period confirm filter, VWAP</t>
        </is>
      </c>
      <c r="D2493" s="9" t="inlineStr">
        <is>
          <t>Short</t>
        </is>
      </c>
      <c r="E2493" s="10" t="n">
        <v>45370.78819444445</v>
      </c>
      <c r="F2493" s="10" t="n">
        <v>45370.79166666666</v>
      </c>
      <c r="G2493" s="11" t="n">
        <v>-0.88</v>
      </c>
      <c r="H2493" s="11">
        <f>H2492+G2493</f>
        <v/>
      </c>
    </row>
    <row r="2494">
      <c r="A2494" s="9" t="n">
        <v>2490</v>
      </c>
      <c r="B2494" s="9" t="inlineStr">
        <is>
          <t>Vanguard_M15</t>
        </is>
      </c>
      <c r="C2494" s="9" t="inlineStr">
        <is>
          <t>Trendline breakout (fractal swing line) + VWAP/S-R distance gate - M15 chart</t>
        </is>
      </c>
      <c r="D2494" s="9" t="inlineStr">
        <is>
          <t>Short</t>
        </is>
      </c>
      <c r="E2494" s="10" t="n">
        <v>45370.34375</v>
      </c>
      <c r="F2494" s="10" t="n">
        <v>45371.01041666666</v>
      </c>
      <c r="G2494" s="11" t="n">
        <v>-4.74</v>
      </c>
      <c r="H2494" s="11">
        <f>H2493+G2494</f>
        <v/>
      </c>
    </row>
    <row r="2495">
      <c r="A2495" s="9" t="n">
        <v>2491</v>
      </c>
      <c r="B2495" s="9" t="inlineStr">
        <is>
          <t>Meridian</t>
        </is>
      </c>
      <c r="C2495" s="9" t="inlineStr">
        <is>
          <t>21/50 MA cross, 250-period confirm filter, VWAP</t>
        </is>
      </c>
      <c r="D2495" s="9" t="inlineStr">
        <is>
          <t>Short</t>
        </is>
      </c>
      <c r="E2495" s="10" t="n">
        <v>45371.10069444445</v>
      </c>
      <c r="F2495" s="10" t="n">
        <v>45371.11805555555</v>
      </c>
      <c r="G2495" s="11" t="n">
        <v>-1.26</v>
      </c>
      <c r="H2495" s="11">
        <f>H2494+G2495</f>
        <v/>
      </c>
    </row>
    <row r="2496">
      <c r="A2496" s="9" t="n">
        <v>2492</v>
      </c>
      <c r="B2496" s="9" t="inlineStr">
        <is>
          <t>Meridian</t>
        </is>
      </c>
      <c r="C2496" s="9" t="inlineStr">
        <is>
          <t>21/50 MA cross, 250-period confirm filter, VWAP</t>
        </is>
      </c>
      <c r="D2496" s="9" t="inlineStr">
        <is>
          <t>Long</t>
        </is>
      </c>
      <c r="E2496" s="10" t="n">
        <v>45371.14236111111</v>
      </c>
      <c r="F2496" s="10" t="n">
        <v>45371.15972222222</v>
      </c>
      <c r="G2496" s="11" t="n">
        <v>-1.77</v>
      </c>
      <c r="H2496" s="11">
        <f>H2495+G2496</f>
        <v/>
      </c>
    </row>
    <row r="2497">
      <c r="A2497" s="9" t="n">
        <v>2493</v>
      </c>
      <c r="B2497" s="9" t="inlineStr">
        <is>
          <t>Ratchet</t>
        </is>
      </c>
      <c r="C2497" s="9" t="inlineStr">
        <is>
          <t>Stochastic scalp with give-back trail exit</t>
        </is>
      </c>
      <c r="D2497" s="9" t="inlineStr">
        <is>
          <t>Long</t>
        </is>
      </c>
      <c r="E2497" s="10" t="n">
        <v>45371.23958333334</v>
      </c>
      <c r="F2497" s="10" t="n">
        <v>45371.24652777778</v>
      </c>
      <c r="G2497" s="11" t="n">
        <v>0</v>
      </c>
      <c r="H2497" s="11">
        <f>H2496+G2497</f>
        <v/>
      </c>
    </row>
    <row r="2498">
      <c r="A2498" s="9" t="n">
        <v>2494</v>
      </c>
      <c r="B2498" s="9" t="inlineStr">
        <is>
          <t>Aurelius_M5</t>
        </is>
      </c>
      <c r="C2498" s="9" t="inlineStr">
        <is>
          <t>MA alignment (EMA21&gt;EMA50&gt;SMA250&gt;SMMA500 vs EMA2400 trend filter)</t>
        </is>
      </c>
      <c r="D2498" s="9" t="inlineStr">
        <is>
          <t>Short</t>
        </is>
      </c>
      <c r="E2498" s="10" t="n">
        <v>45371.61111111111</v>
      </c>
      <c r="F2498" s="10" t="n">
        <v>45371.62152777778</v>
      </c>
      <c r="G2498" s="11" t="n">
        <v>-1.26</v>
      </c>
      <c r="H2498" s="11">
        <f>H2497+G2498</f>
        <v/>
      </c>
    </row>
    <row r="2499">
      <c r="A2499" s="9" t="n">
        <v>2495</v>
      </c>
      <c r="B2499" s="9" t="inlineStr">
        <is>
          <t>Aurelius_M5</t>
        </is>
      </c>
      <c r="C2499" s="9" t="inlineStr">
        <is>
          <t>MA alignment (EMA21&gt;EMA50&gt;SMA250&gt;SMMA500 vs EMA2400 trend filter)</t>
        </is>
      </c>
      <c r="D2499" s="9" t="inlineStr">
        <is>
          <t>Short</t>
        </is>
      </c>
      <c r="E2499" s="10" t="n">
        <v>45371.64236111111</v>
      </c>
      <c r="F2499" s="10" t="n">
        <v>45371.65277777778</v>
      </c>
      <c r="G2499" s="11" t="n">
        <v>-1.25</v>
      </c>
      <c r="H2499" s="11">
        <f>H2498+G2499</f>
        <v/>
      </c>
    </row>
    <row r="2500">
      <c r="A2500" s="9" t="n">
        <v>2496</v>
      </c>
      <c r="B2500" s="9" t="inlineStr">
        <is>
          <t>Ratchet</t>
        </is>
      </c>
      <c r="C2500" s="9" t="inlineStr">
        <is>
          <t>Stochastic scalp with give-back trail exit</t>
        </is>
      </c>
      <c r="D2500" s="9" t="inlineStr">
        <is>
          <t>Short</t>
        </is>
      </c>
      <c r="E2500" s="10" t="n">
        <v>45371.64583333334</v>
      </c>
      <c r="F2500" s="10" t="n">
        <v>45371.65277777778</v>
      </c>
      <c r="G2500" s="11" t="n">
        <v>-2.93</v>
      </c>
      <c r="H2500" s="11">
        <f>H2499+G2500</f>
        <v/>
      </c>
    </row>
    <row r="2501">
      <c r="A2501" s="9" t="n">
        <v>2497</v>
      </c>
      <c r="B2501" s="9" t="inlineStr">
        <is>
          <t>Vanguard_M5</t>
        </is>
      </c>
      <c r="C2501" s="9" t="inlineStr">
        <is>
          <t>Trendline breakout (fractal swing line) + VWAP/S-R distance gate</t>
        </is>
      </c>
      <c r="D2501" s="9" t="inlineStr">
        <is>
          <t>Short</t>
        </is>
      </c>
      <c r="E2501" s="10" t="n">
        <v>45370.64583333334</v>
      </c>
      <c r="F2501" s="10" t="n">
        <v>45371.65972222222</v>
      </c>
      <c r="G2501" s="11" t="n">
        <v>-0.62</v>
      </c>
      <c r="H2501" s="11">
        <f>H2500+G2501</f>
        <v/>
      </c>
    </row>
    <row r="2502">
      <c r="A2502" s="9" t="n">
        <v>2498</v>
      </c>
      <c r="B2502" s="9" t="inlineStr">
        <is>
          <t>Meridian</t>
        </is>
      </c>
      <c r="C2502" s="9" t="inlineStr">
        <is>
          <t>21/50 MA cross, 250-period confirm filter, VWAP</t>
        </is>
      </c>
      <c r="D2502" s="9" t="inlineStr">
        <is>
          <t>Long</t>
        </is>
      </c>
      <c r="E2502" s="10" t="n">
        <v>45371.67013888889</v>
      </c>
      <c r="F2502" s="10" t="n">
        <v>45371.69097222222</v>
      </c>
      <c r="G2502" s="11" t="n">
        <v>-5.21</v>
      </c>
      <c r="H2502" s="11">
        <f>H2501+G2502</f>
        <v/>
      </c>
    </row>
    <row r="2503">
      <c r="A2503" s="9" t="n">
        <v>2499</v>
      </c>
      <c r="B2503" s="9" t="inlineStr">
        <is>
          <t>Vanguard_M15</t>
        </is>
      </c>
      <c r="C2503" s="9" t="inlineStr">
        <is>
          <t>Trendline breakout (fractal swing line) + VWAP/S-R distance gate - M15 chart</t>
        </is>
      </c>
      <c r="D2503" s="9" t="inlineStr">
        <is>
          <t>Long</t>
        </is>
      </c>
      <c r="E2503" s="10" t="n">
        <v>45371.67708333334</v>
      </c>
      <c r="F2503" s="10" t="n">
        <v>45371.72916666666</v>
      </c>
      <c r="G2503" s="11" t="n">
        <v>-8.58</v>
      </c>
      <c r="H2503" s="11">
        <f>H2502+G2503</f>
        <v/>
      </c>
    </row>
    <row r="2504">
      <c r="A2504" s="9" t="n">
        <v>2500</v>
      </c>
      <c r="B2504" s="9" t="inlineStr">
        <is>
          <t>Vanguard_M5</t>
        </is>
      </c>
      <c r="C2504" s="9" t="inlineStr">
        <is>
          <t>Trendline breakout (fractal swing line) + VWAP/S-R distance gate</t>
        </is>
      </c>
      <c r="D2504" s="9" t="inlineStr">
        <is>
          <t>Long</t>
        </is>
      </c>
      <c r="E2504" s="10" t="n">
        <v>45371.67013888889</v>
      </c>
      <c r="F2504" s="10" t="n">
        <v>45371.73611111111</v>
      </c>
      <c r="G2504" s="11" t="n">
        <v>-8.33</v>
      </c>
      <c r="H2504" s="11">
        <f>H2503+G2504</f>
        <v/>
      </c>
    </row>
    <row r="2505">
      <c r="A2505" s="9" t="n">
        <v>2501</v>
      </c>
      <c r="B2505" s="9" t="inlineStr">
        <is>
          <t>Ratchet</t>
        </is>
      </c>
      <c r="C2505" s="9" t="inlineStr">
        <is>
          <t>Stochastic scalp with give-back trail exit</t>
        </is>
      </c>
      <c r="D2505" s="9" t="inlineStr">
        <is>
          <t>Long</t>
        </is>
      </c>
      <c r="E2505" s="10" t="n">
        <v>45372.15972222222</v>
      </c>
      <c r="F2505" s="10" t="n">
        <v>45372.18055555555</v>
      </c>
      <c r="G2505" s="11" t="n">
        <v>0</v>
      </c>
      <c r="H2505" s="11">
        <f>H2504+G2505</f>
        <v/>
      </c>
    </row>
    <row r="2506">
      <c r="A2506" s="9" t="n">
        <v>2502</v>
      </c>
      <c r="B2506" s="9" t="inlineStr">
        <is>
          <t>Ratchet</t>
        </is>
      </c>
      <c r="C2506" s="9" t="inlineStr">
        <is>
          <t>Stochastic scalp with give-back trail exit</t>
        </is>
      </c>
      <c r="D2506" s="9" t="inlineStr">
        <is>
          <t>Long</t>
        </is>
      </c>
      <c r="E2506" s="10" t="n">
        <v>45372.27083333334</v>
      </c>
      <c r="F2506" s="10" t="n">
        <v>45372.27777777778</v>
      </c>
      <c r="G2506" s="11" t="n">
        <v>-1.33</v>
      </c>
      <c r="H2506" s="11">
        <f>H2505+G2506</f>
        <v/>
      </c>
    </row>
    <row r="2507">
      <c r="A2507" s="9" t="n">
        <v>2503</v>
      </c>
      <c r="B2507" s="9" t="inlineStr">
        <is>
          <t>Ratchet</t>
        </is>
      </c>
      <c r="C2507" s="9" t="inlineStr">
        <is>
          <t>Stochastic scalp with give-back trail exit</t>
        </is>
      </c>
      <c r="D2507" s="9" t="inlineStr">
        <is>
          <t>Long</t>
        </is>
      </c>
      <c r="E2507" s="10" t="n">
        <v>45372.29861111111</v>
      </c>
      <c r="F2507" s="10" t="n">
        <v>45372.30555555555</v>
      </c>
      <c r="G2507" s="11" t="n">
        <v>-1.49</v>
      </c>
      <c r="H2507" s="11">
        <f>H2506+G2507</f>
        <v/>
      </c>
    </row>
    <row r="2508">
      <c r="A2508" s="9" t="n">
        <v>2504</v>
      </c>
      <c r="B2508" s="9" t="inlineStr">
        <is>
          <t>Ratchet</t>
        </is>
      </c>
      <c r="C2508" s="9" t="inlineStr">
        <is>
          <t>Stochastic scalp with give-back trail exit</t>
        </is>
      </c>
      <c r="D2508" s="9" t="inlineStr">
        <is>
          <t>Long</t>
        </is>
      </c>
      <c r="E2508" s="10" t="n">
        <v>45372.32291666666</v>
      </c>
      <c r="F2508" s="10" t="n">
        <v>45372.33333333334</v>
      </c>
      <c r="G2508" s="11" t="n">
        <v>0</v>
      </c>
      <c r="H2508" s="11">
        <f>H2507+G2508</f>
        <v/>
      </c>
    </row>
    <row r="2509">
      <c r="A2509" s="9" t="n">
        <v>2505</v>
      </c>
      <c r="B2509" s="9" t="inlineStr">
        <is>
          <t>Aurelius_M5</t>
        </is>
      </c>
      <c r="C2509" s="9" t="inlineStr">
        <is>
          <t>MA alignment (EMA21&gt;EMA50&gt;SMA250&gt;SMMA500 vs EMA2400 trend filter)</t>
        </is>
      </c>
      <c r="D2509" s="9" t="inlineStr">
        <is>
          <t>Long</t>
        </is>
      </c>
      <c r="E2509" s="10" t="n">
        <v>45372.33680555555</v>
      </c>
      <c r="F2509" s="10" t="n">
        <v>45372.4375</v>
      </c>
      <c r="G2509" s="11" t="n">
        <v>-3.16</v>
      </c>
      <c r="H2509" s="11">
        <f>H2508+G2509</f>
        <v/>
      </c>
    </row>
    <row r="2510">
      <c r="A2510" s="9" t="n">
        <v>2506</v>
      </c>
      <c r="B2510" s="9" t="inlineStr">
        <is>
          <t>Aurelius_M5</t>
        </is>
      </c>
      <c r="C2510" s="9" t="inlineStr">
        <is>
          <t>MA alignment (EMA21&gt;EMA50&gt;SMA250&gt;SMMA500 vs EMA2400 trend filter)</t>
        </is>
      </c>
      <c r="D2510" s="9" t="inlineStr">
        <is>
          <t>Long</t>
        </is>
      </c>
      <c r="E2510" s="10" t="n">
        <v>45372.52430555555</v>
      </c>
      <c r="F2510" s="10" t="n">
        <v>45372.55902777778</v>
      </c>
      <c r="G2510" s="11" t="n">
        <v>-4.47</v>
      </c>
      <c r="H2510" s="11">
        <f>H2509+G2510</f>
        <v/>
      </c>
    </row>
    <row r="2511">
      <c r="A2511" s="9" t="n">
        <v>2507</v>
      </c>
      <c r="B2511" s="9" t="inlineStr">
        <is>
          <t>Ratchet</t>
        </is>
      </c>
      <c r="C2511" s="9" t="inlineStr">
        <is>
          <t>Stochastic scalp with give-back trail exit</t>
        </is>
      </c>
      <c r="D2511" s="9" t="inlineStr">
        <is>
          <t>Long</t>
        </is>
      </c>
      <c r="E2511" s="10" t="n">
        <v>45372.53819444445</v>
      </c>
      <c r="F2511" s="10" t="n">
        <v>45372.59027777778</v>
      </c>
      <c r="G2511" s="11" t="n">
        <v>0</v>
      </c>
      <c r="H2511" s="11">
        <f>H2510+G2511</f>
        <v/>
      </c>
    </row>
    <row r="2512">
      <c r="A2512" s="9" t="n">
        <v>2508</v>
      </c>
      <c r="B2512" s="9" t="inlineStr">
        <is>
          <t>Meridian</t>
        </is>
      </c>
      <c r="C2512" s="9" t="inlineStr">
        <is>
          <t>21/50 MA cross, 250-period confirm filter, VWAP</t>
        </is>
      </c>
      <c r="D2512" s="9" t="inlineStr">
        <is>
          <t>Long</t>
        </is>
      </c>
      <c r="E2512" s="10" t="n">
        <v>45372.51041666666</v>
      </c>
      <c r="F2512" s="10" t="n">
        <v>45372.60416666666</v>
      </c>
      <c r="G2512" s="11" t="n">
        <v>-4.5</v>
      </c>
      <c r="H2512" s="11">
        <f>H2511+G2512</f>
        <v/>
      </c>
    </row>
    <row r="2513">
      <c r="A2513" s="9" t="n">
        <v>2509</v>
      </c>
      <c r="B2513" s="9" t="inlineStr">
        <is>
          <t>Aurelius_M5</t>
        </is>
      </c>
      <c r="C2513" s="9" t="inlineStr">
        <is>
          <t>MA alignment (EMA21&gt;EMA50&gt;SMA250&gt;SMMA500 vs EMA2400 trend filter)</t>
        </is>
      </c>
      <c r="D2513" s="9" t="inlineStr">
        <is>
          <t>Long</t>
        </is>
      </c>
      <c r="E2513" s="10" t="n">
        <v>45372.58680555555</v>
      </c>
      <c r="F2513" s="10" t="n">
        <v>45372.60763888889</v>
      </c>
      <c r="G2513" s="11" t="n">
        <v>-3.81</v>
      </c>
      <c r="H2513" s="11">
        <f>H2512+G2513</f>
        <v/>
      </c>
    </row>
    <row r="2514">
      <c r="A2514" s="9" t="n">
        <v>2510</v>
      </c>
      <c r="B2514" s="9" t="inlineStr">
        <is>
          <t>Vanguard_M15</t>
        </is>
      </c>
      <c r="C2514" s="9" t="inlineStr">
        <is>
          <t>Trendline breakout (fractal swing line) + VWAP/S-R distance gate - M15 chart</t>
        </is>
      </c>
      <c r="D2514" s="9" t="inlineStr">
        <is>
          <t>Long</t>
        </is>
      </c>
      <c r="E2514" s="10" t="n">
        <v>45371.84375</v>
      </c>
      <c r="F2514" s="10" t="n">
        <v>45372.71875</v>
      </c>
      <c r="G2514" s="11" t="n">
        <v>-0.28</v>
      </c>
      <c r="H2514" s="11">
        <f>H2513+G2514</f>
        <v/>
      </c>
    </row>
    <row r="2515">
      <c r="A2515" s="9" t="n">
        <v>2511</v>
      </c>
      <c r="B2515" s="9" t="inlineStr">
        <is>
          <t>Vanguard_M5</t>
        </is>
      </c>
      <c r="C2515" s="9" t="inlineStr">
        <is>
          <t>Trendline breakout (fractal swing line) + VWAP/S-R distance gate</t>
        </is>
      </c>
      <c r="D2515" s="9" t="inlineStr">
        <is>
          <t>Long</t>
        </is>
      </c>
      <c r="E2515" s="10" t="n">
        <v>45371.82986111111</v>
      </c>
      <c r="F2515" s="10" t="n">
        <v>45373.19097222222</v>
      </c>
      <c r="G2515" s="11" t="n">
        <v>13.15</v>
      </c>
      <c r="H2515" s="11">
        <f>H2514+G2515</f>
        <v/>
      </c>
    </row>
    <row r="2516">
      <c r="A2516" s="9" t="n">
        <v>2512</v>
      </c>
      <c r="B2516" s="9" t="inlineStr">
        <is>
          <t>Vanguard_M15</t>
        </is>
      </c>
      <c r="C2516" s="9" t="inlineStr">
        <is>
          <t>Trendline breakout (fractal swing line) + VWAP/S-R distance gate - M15 chart</t>
        </is>
      </c>
      <c r="D2516" s="9" t="inlineStr">
        <is>
          <t>Short</t>
        </is>
      </c>
      <c r="E2516" s="10" t="n">
        <v>45373.20833333334</v>
      </c>
      <c r="F2516" s="10" t="n">
        <v>45373.52083333334</v>
      </c>
      <c r="G2516" s="11" t="n">
        <v>5</v>
      </c>
      <c r="H2516" s="11">
        <f>H2515+G2516</f>
        <v/>
      </c>
    </row>
    <row r="2517">
      <c r="A2517" s="9" t="n">
        <v>2513</v>
      </c>
      <c r="B2517" s="9" t="inlineStr">
        <is>
          <t>Vanguard_M5</t>
        </is>
      </c>
      <c r="C2517" s="9" t="inlineStr">
        <is>
          <t>Trendline breakout (fractal swing line) + VWAP/S-R distance gate</t>
        </is>
      </c>
      <c r="D2517" s="9" t="inlineStr">
        <is>
          <t>Short</t>
        </is>
      </c>
      <c r="E2517" s="10" t="n">
        <v>45373.19444444445</v>
      </c>
      <c r="F2517" s="10" t="n">
        <v>45373.52430555555</v>
      </c>
      <c r="G2517" s="11" t="n">
        <v>5.33</v>
      </c>
      <c r="H2517" s="11">
        <f>H2516+G2517</f>
        <v/>
      </c>
    </row>
    <row r="2518">
      <c r="A2518" s="9" t="n">
        <v>2514</v>
      </c>
      <c r="B2518" s="9" t="inlineStr">
        <is>
          <t>Meridian</t>
        </is>
      </c>
      <c r="C2518" s="9" t="inlineStr">
        <is>
          <t>21/50 MA cross, 250-period confirm filter, VWAP</t>
        </is>
      </c>
      <c r="D2518" s="9" t="inlineStr">
        <is>
          <t>Short</t>
        </is>
      </c>
      <c r="E2518" s="10" t="n">
        <v>45373.16319444445</v>
      </c>
      <c r="F2518" s="10" t="n">
        <v>45373.60069444445</v>
      </c>
      <c r="G2518" s="11" t="n">
        <v>3.44</v>
      </c>
      <c r="H2518" s="11">
        <f>H2517+G2518</f>
        <v/>
      </c>
    </row>
    <row r="2519">
      <c r="A2519" s="9" t="n">
        <v>2515</v>
      </c>
      <c r="B2519" s="9" t="inlineStr">
        <is>
          <t>Meridian</t>
        </is>
      </c>
      <c r="C2519" s="9" t="inlineStr">
        <is>
          <t>21/50 MA cross, 250-period confirm filter, VWAP</t>
        </is>
      </c>
      <c r="D2519" s="9" t="inlineStr">
        <is>
          <t>Short</t>
        </is>
      </c>
      <c r="E2519" s="10" t="n">
        <v>45373.73263888889</v>
      </c>
      <c r="F2519" s="10" t="n">
        <v>45373.91666666666</v>
      </c>
      <c r="G2519" s="11" t="n">
        <v>4.21</v>
      </c>
      <c r="H2519" s="11">
        <f>H2518+G2519</f>
        <v/>
      </c>
    </row>
    <row r="2520">
      <c r="A2520" s="9" t="n">
        <v>2516</v>
      </c>
      <c r="B2520" s="9" t="inlineStr">
        <is>
          <t>Meridian</t>
        </is>
      </c>
      <c r="C2520" s="9" t="inlineStr">
        <is>
          <t>21/50 MA cross, 250-period confirm filter, VWAP</t>
        </is>
      </c>
      <c r="D2520" s="9" t="inlineStr">
        <is>
          <t>Short</t>
        </is>
      </c>
      <c r="E2520" s="10" t="n">
        <v>45376.13194444445</v>
      </c>
      <c r="F2520" s="10" t="n">
        <v>45376.13541666666</v>
      </c>
      <c r="G2520" s="11" t="n">
        <v>-2.96</v>
      </c>
      <c r="H2520" s="11">
        <f>H2519+G2520</f>
        <v/>
      </c>
    </row>
    <row r="2521">
      <c r="A2521" s="9" t="n">
        <v>2517</v>
      </c>
      <c r="B2521" s="9" t="inlineStr">
        <is>
          <t>Vanguard_M5</t>
        </is>
      </c>
      <c r="C2521" s="9" t="inlineStr">
        <is>
          <t>Trendline breakout (fractal swing line) + VWAP/S-R distance gate</t>
        </is>
      </c>
      <c r="D2521" s="9" t="inlineStr">
        <is>
          <t>Long</t>
        </is>
      </c>
      <c r="E2521" s="10" t="n">
        <v>45376.15277777778</v>
      </c>
      <c r="F2521" s="10" t="n">
        <v>45376.28819444445</v>
      </c>
      <c r="G2521" s="11" t="n">
        <v>-7.48</v>
      </c>
      <c r="H2521" s="11">
        <f>H2520+G2521</f>
        <v/>
      </c>
    </row>
    <row r="2522">
      <c r="A2522" s="9" t="n">
        <v>2518</v>
      </c>
      <c r="B2522" s="9" t="inlineStr">
        <is>
          <t>Vanguard_M15</t>
        </is>
      </c>
      <c r="C2522" s="9" t="inlineStr">
        <is>
          <t>Trendline breakout (fractal swing line) + VWAP/S-R distance gate - M15 chart</t>
        </is>
      </c>
      <c r="D2522" s="9" t="inlineStr">
        <is>
          <t>Long</t>
        </is>
      </c>
      <c r="E2522" s="10" t="n">
        <v>45376.15625</v>
      </c>
      <c r="F2522" s="10" t="n">
        <v>45376.33333333334</v>
      </c>
      <c r="G2522" s="11" t="n">
        <v>-8.18</v>
      </c>
      <c r="H2522" s="11">
        <f>H2521+G2522</f>
        <v/>
      </c>
    </row>
    <row r="2523">
      <c r="A2523" s="9" t="n">
        <v>2519</v>
      </c>
      <c r="B2523" s="9" t="inlineStr">
        <is>
          <t>Meridian</t>
        </is>
      </c>
      <c r="C2523" s="9" t="inlineStr">
        <is>
          <t>21/50 MA cross, 250-period confirm filter, VWAP</t>
        </is>
      </c>
      <c r="D2523" s="9" t="inlineStr">
        <is>
          <t>Long</t>
        </is>
      </c>
      <c r="E2523" s="10" t="n">
        <v>45376.51388888889</v>
      </c>
      <c r="F2523" s="10" t="n">
        <v>45376.83680555555</v>
      </c>
      <c r="G2523" s="11" t="n">
        <v>2.63</v>
      </c>
      <c r="H2523" s="11">
        <f>H2522+G2523</f>
        <v/>
      </c>
    </row>
    <row r="2524">
      <c r="A2524" s="9" t="n">
        <v>2520</v>
      </c>
      <c r="B2524" s="9" t="inlineStr">
        <is>
          <t>Vanguard_M5</t>
        </is>
      </c>
      <c r="C2524" s="9" t="inlineStr">
        <is>
          <t>Trendline breakout (fractal swing line) + VWAP/S-R distance gate</t>
        </is>
      </c>
      <c r="D2524" s="9" t="inlineStr">
        <is>
          <t>Long</t>
        </is>
      </c>
      <c r="E2524" s="10" t="n">
        <v>45376.64930555555</v>
      </c>
      <c r="F2524" s="10" t="n">
        <v>45376.88194444445</v>
      </c>
      <c r="G2524" s="11" t="n">
        <v>-6.96</v>
      </c>
      <c r="H2524" s="11">
        <f>H2523+G2524</f>
        <v/>
      </c>
    </row>
    <row r="2525">
      <c r="A2525" s="9" t="n">
        <v>2521</v>
      </c>
      <c r="B2525" s="9" t="inlineStr">
        <is>
          <t>Meridian</t>
        </is>
      </c>
      <c r="C2525" s="9" t="inlineStr">
        <is>
          <t>21/50 MA cross, 250-period confirm filter, VWAP</t>
        </is>
      </c>
      <c r="D2525" s="9" t="inlineStr">
        <is>
          <t>Long</t>
        </is>
      </c>
      <c r="E2525" s="10" t="n">
        <v>45377.10763888889</v>
      </c>
      <c r="F2525" s="10" t="n">
        <v>45377.125</v>
      </c>
      <c r="G2525" s="11" t="n">
        <v>-1.85</v>
      </c>
      <c r="H2525" s="11">
        <f>H2524+G2525</f>
        <v/>
      </c>
    </row>
    <row r="2526">
      <c r="A2526" s="9" t="n">
        <v>2522</v>
      </c>
      <c r="B2526" s="9" t="inlineStr">
        <is>
          <t>Vanguard_M15</t>
        </is>
      </c>
      <c r="C2526" s="9" t="inlineStr">
        <is>
          <t>Trendline breakout (fractal swing line) + VWAP/S-R distance gate - M15 chart</t>
        </is>
      </c>
      <c r="D2526" s="9" t="inlineStr">
        <is>
          <t>Long</t>
        </is>
      </c>
      <c r="E2526" s="10" t="n">
        <v>45376.65625</v>
      </c>
      <c r="F2526" s="10" t="n">
        <v>45377.13541666666</v>
      </c>
      <c r="G2526" s="11" t="n">
        <v>-7.32</v>
      </c>
      <c r="H2526" s="11">
        <f>H2525+G2526</f>
        <v/>
      </c>
    </row>
    <row r="2527">
      <c r="A2527" s="9" t="n">
        <v>2523</v>
      </c>
      <c r="B2527" s="9" t="inlineStr">
        <is>
          <t>Meridian</t>
        </is>
      </c>
      <c r="C2527" s="9" t="inlineStr">
        <is>
          <t>21/50 MA cross, 250-period confirm filter, VWAP</t>
        </is>
      </c>
      <c r="D2527" s="9" t="inlineStr">
        <is>
          <t>Short</t>
        </is>
      </c>
      <c r="E2527" s="10" t="n">
        <v>45377.14583333334</v>
      </c>
      <c r="F2527" s="10" t="n">
        <v>45377.29861111111</v>
      </c>
      <c r="G2527" s="11" t="n">
        <v>-1.55</v>
      </c>
      <c r="H2527" s="11">
        <f>H2526+G2527</f>
        <v/>
      </c>
    </row>
    <row r="2528">
      <c r="A2528" s="9" t="n">
        <v>2524</v>
      </c>
      <c r="B2528" s="9" t="inlineStr">
        <is>
          <t>Meridian</t>
        </is>
      </c>
      <c r="C2528" s="9" t="inlineStr">
        <is>
          <t>21/50 MA cross, 250-period confirm filter, VWAP</t>
        </is>
      </c>
      <c r="D2528" s="9" t="inlineStr">
        <is>
          <t>Short</t>
        </is>
      </c>
      <c r="E2528" s="10" t="n">
        <v>45377.38888888889</v>
      </c>
      <c r="F2528" s="10" t="n">
        <v>45377.39583333334</v>
      </c>
      <c r="G2528" s="11" t="n">
        <v>-2.24</v>
      </c>
      <c r="H2528" s="11">
        <f>H2527+G2528</f>
        <v/>
      </c>
    </row>
    <row r="2529">
      <c r="A2529" s="9" t="n">
        <v>2525</v>
      </c>
      <c r="B2529" s="9" t="inlineStr">
        <is>
          <t>Vanguard_M5</t>
        </is>
      </c>
      <c r="C2529" s="9" t="inlineStr">
        <is>
          <t>Trendline breakout (fractal swing line) + VWAP/S-R distance gate</t>
        </is>
      </c>
      <c r="D2529" s="9" t="inlineStr">
        <is>
          <t>Short</t>
        </is>
      </c>
      <c r="E2529" s="10" t="n">
        <v>45377.12847222222</v>
      </c>
      <c r="F2529" s="10" t="n">
        <v>45377.42708333334</v>
      </c>
      <c r="G2529" s="11" t="n">
        <v>-3.52</v>
      </c>
      <c r="H2529" s="11">
        <f>H2528+G2529</f>
        <v/>
      </c>
    </row>
    <row r="2530">
      <c r="A2530" s="9" t="n">
        <v>2526</v>
      </c>
      <c r="B2530" s="9" t="inlineStr">
        <is>
          <t>Vanguard_M15</t>
        </is>
      </c>
      <c r="C2530" s="9" t="inlineStr">
        <is>
          <t>Trendline breakout (fractal swing line) + VWAP/S-R distance gate - M15 chart</t>
        </is>
      </c>
      <c r="D2530" s="9" t="inlineStr">
        <is>
          <t>Short</t>
        </is>
      </c>
      <c r="E2530" s="10" t="n">
        <v>45377.14583333334</v>
      </c>
      <c r="F2530" s="10" t="n">
        <v>45377.42708333334</v>
      </c>
      <c r="G2530" s="11" t="n">
        <v>-4.96</v>
      </c>
      <c r="H2530" s="11">
        <f>H2529+G2530</f>
        <v/>
      </c>
    </row>
    <row r="2531">
      <c r="A2531" s="9" t="n">
        <v>2527</v>
      </c>
      <c r="B2531" s="9" t="inlineStr">
        <is>
          <t>Meridian</t>
        </is>
      </c>
      <c r="C2531" s="9" t="inlineStr">
        <is>
          <t>21/50 MA cross, 250-period confirm filter, VWAP</t>
        </is>
      </c>
      <c r="D2531" s="9" t="inlineStr">
        <is>
          <t>Long</t>
        </is>
      </c>
      <c r="E2531" s="10" t="n">
        <v>45377.40625</v>
      </c>
      <c r="F2531" s="10" t="n">
        <v>45377.65972222222</v>
      </c>
      <c r="G2531" s="11" t="n">
        <v>8.720000000000001</v>
      </c>
      <c r="H2531" s="11">
        <f>H2530+G2531</f>
        <v/>
      </c>
    </row>
    <row r="2532">
      <c r="A2532" s="9" t="n">
        <v>2528</v>
      </c>
      <c r="B2532" s="9" t="inlineStr">
        <is>
          <t>Aurelius_M15</t>
        </is>
      </c>
      <c r="C2532" s="9" t="inlineStr">
        <is>
          <t>MA alignment (EMA21&gt;EMA50&gt;SMA250&gt;SMMA500 vs EMA2400 trend filter) - M15 chart</t>
        </is>
      </c>
      <c r="D2532" s="9" t="inlineStr">
        <is>
          <t>Long</t>
        </is>
      </c>
      <c r="E2532" s="10" t="n">
        <v>45377.44791666666</v>
      </c>
      <c r="F2532" s="10" t="n">
        <v>45377.72916666666</v>
      </c>
      <c r="G2532" s="11" t="n">
        <v>-4.65</v>
      </c>
      <c r="H2532" s="11">
        <f>H2531+G2532</f>
        <v/>
      </c>
    </row>
    <row r="2533">
      <c r="A2533" s="9" t="n">
        <v>2529</v>
      </c>
      <c r="B2533" s="9" t="inlineStr">
        <is>
          <t>Meridian</t>
        </is>
      </c>
      <c r="C2533" s="9" t="inlineStr">
        <is>
          <t>21/50 MA cross, 250-period confirm filter, VWAP</t>
        </is>
      </c>
      <c r="D2533" s="9" t="inlineStr">
        <is>
          <t>Short</t>
        </is>
      </c>
      <c r="E2533" s="10" t="n">
        <v>45378.11458333334</v>
      </c>
      <c r="F2533" s="10" t="n">
        <v>45378.125</v>
      </c>
      <c r="G2533" s="11" t="n">
        <v>-1.81</v>
      </c>
      <c r="H2533" s="11">
        <f>H2532+G2533</f>
        <v/>
      </c>
    </row>
    <row r="2534">
      <c r="A2534" s="9" t="n">
        <v>2530</v>
      </c>
      <c r="B2534" s="9" t="inlineStr">
        <is>
          <t>Meridian</t>
        </is>
      </c>
      <c r="C2534" s="9" t="inlineStr">
        <is>
          <t>21/50 MA cross, 250-period confirm filter, VWAP</t>
        </is>
      </c>
      <c r="D2534" s="9" t="inlineStr">
        <is>
          <t>Short</t>
        </is>
      </c>
      <c r="E2534" s="10" t="n">
        <v>45378.15625</v>
      </c>
      <c r="F2534" s="10" t="n">
        <v>45378.21527777778</v>
      </c>
      <c r="G2534" s="11" t="n">
        <v>-2.99</v>
      </c>
      <c r="H2534" s="11">
        <f>H2533+G2534</f>
        <v/>
      </c>
    </row>
    <row r="2535">
      <c r="A2535" s="9" t="n">
        <v>2531</v>
      </c>
      <c r="B2535" s="9" t="inlineStr">
        <is>
          <t>Meridian</t>
        </is>
      </c>
      <c r="C2535" s="9" t="inlineStr">
        <is>
          <t>21/50 MA cross, 250-period confirm filter, VWAP</t>
        </is>
      </c>
      <c r="D2535" s="9" t="inlineStr">
        <is>
          <t>Short</t>
        </is>
      </c>
      <c r="E2535" s="10" t="n">
        <v>45378.31597222222</v>
      </c>
      <c r="F2535" s="10" t="n">
        <v>45378.33680555555</v>
      </c>
      <c r="G2535" s="11" t="n">
        <v>-2.12</v>
      </c>
      <c r="H2535" s="11">
        <f>H2534+G2535</f>
        <v/>
      </c>
    </row>
    <row r="2536">
      <c r="A2536" s="9" t="n">
        <v>2532</v>
      </c>
      <c r="B2536" s="9" t="inlineStr">
        <is>
          <t>Ratchet</t>
        </is>
      </c>
      <c r="C2536" s="9" t="inlineStr">
        <is>
          <t>Stochastic scalp with give-back trail exit</t>
        </is>
      </c>
      <c r="D2536" s="9" t="inlineStr">
        <is>
          <t>Long</t>
        </is>
      </c>
      <c r="E2536" s="10" t="n">
        <v>45378.41319444445</v>
      </c>
      <c r="F2536" s="10" t="n">
        <v>45378.43402777778</v>
      </c>
      <c r="G2536" s="11" t="n">
        <v>0.53</v>
      </c>
      <c r="H2536" s="11">
        <f>H2535+G2536</f>
        <v/>
      </c>
    </row>
    <row r="2537">
      <c r="A2537" s="9" t="n">
        <v>2533</v>
      </c>
      <c r="B2537" s="9" t="inlineStr">
        <is>
          <t>Aurelius_M5</t>
        </is>
      </c>
      <c r="C2537" s="9" t="inlineStr">
        <is>
          <t>MA alignment (EMA21&gt;EMA50&gt;SMA250&gt;SMMA500 vs EMA2400 trend filter)</t>
        </is>
      </c>
      <c r="D2537" s="9" t="inlineStr">
        <is>
          <t>Long</t>
        </is>
      </c>
      <c r="E2537" s="10" t="n">
        <v>45378.48958333334</v>
      </c>
      <c r="F2537" s="10" t="n">
        <v>45378.59722222222</v>
      </c>
      <c r="G2537" s="11" t="n">
        <v>-3.02</v>
      </c>
      <c r="H2537" s="11">
        <f>H2536+G2537</f>
        <v/>
      </c>
    </row>
    <row r="2538">
      <c r="A2538" s="9" t="n">
        <v>2534</v>
      </c>
      <c r="B2538" s="9" t="inlineStr">
        <is>
          <t>Ratchet</t>
        </is>
      </c>
      <c r="C2538" s="9" t="inlineStr">
        <is>
          <t>Stochastic scalp with give-back trail exit</t>
        </is>
      </c>
      <c r="D2538" s="9" t="inlineStr">
        <is>
          <t>Long</t>
        </is>
      </c>
      <c r="E2538" s="10" t="n">
        <v>45378.67708333334</v>
      </c>
      <c r="F2538" s="10" t="n">
        <v>45378.69097222222</v>
      </c>
      <c r="G2538" s="11" t="n">
        <v>0</v>
      </c>
      <c r="H2538" s="11">
        <f>H2537+G2538</f>
        <v/>
      </c>
    </row>
    <row r="2539">
      <c r="A2539" s="9" t="n">
        <v>2535</v>
      </c>
      <c r="B2539" s="9" t="inlineStr">
        <is>
          <t>Ratchet</t>
        </is>
      </c>
      <c r="C2539" s="9" t="inlineStr">
        <is>
          <t>Stochastic scalp with give-back trail exit</t>
        </is>
      </c>
      <c r="D2539" s="9" t="inlineStr">
        <is>
          <t>Long</t>
        </is>
      </c>
      <c r="E2539" s="10" t="n">
        <v>45378.69791666666</v>
      </c>
      <c r="F2539" s="10" t="n">
        <v>45378.70486111111</v>
      </c>
      <c r="G2539" s="11" t="n">
        <v>0.71</v>
      </c>
      <c r="H2539" s="11">
        <f>H2538+G2539</f>
        <v/>
      </c>
    </row>
    <row r="2540">
      <c r="A2540" s="9" t="n">
        <v>2536</v>
      </c>
      <c r="B2540" s="9" t="inlineStr">
        <is>
          <t>Meridian</t>
        </is>
      </c>
      <c r="C2540" s="9" t="inlineStr">
        <is>
          <t>21/50 MA cross, 250-period confirm filter, VWAP</t>
        </is>
      </c>
      <c r="D2540" s="9" t="inlineStr">
        <is>
          <t>Long</t>
        </is>
      </c>
      <c r="E2540" s="10" t="n">
        <v>45378.64930555555</v>
      </c>
      <c r="F2540" s="10" t="n">
        <v>45378.85416666666</v>
      </c>
      <c r="G2540" s="11" t="n">
        <v>2.16</v>
      </c>
      <c r="H2540" s="11">
        <f>H2539+G2540</f>
        <v/>
      </c>
    </row>
    <row r="2541">
      <c r="A2541" s="9" t="n">
        <v>2537</v>
      </c>
      <c r="B2541" s="9" t="inlineStr">
        <is>
          <t>Meridian</t>
        </is>
      </c>
      <c r="C2541" s="9" t="inlineStr">
        <is>
          <t>21/50 MA cross, 250-period confirm filter, VWAP</t>
        </is>
      </c>
      <c r="D2541" s="9" t="inlineStr">
        <is>
          <t>Long</t>
        </is>
      </c>
      <c r="E2541" s="10" t="n">
        <v>45378.87152777778</v>
      </c>
      <c r="F2541" s="10" t="n">
        <v>45379.05902777778</v>
      </c>
      <c r="G2541" s="11" t="n">
        <v>-0.38</v>
      </c>
      <c r="H2541" s="11">
        <f>H2540+G2541</f>
        <v/>
      </c>
    </row>
    <row r="2542">
      <c r="A2542" s="9" t="n">
        <v>2538</v>
      </c>
      <c r="B2542" s="9" t="inlineStr">
        <is>
          <t>Ratchet</t>
        </is>
      </c>
      <c r="C2542" s="9" t="inlineStr">
        <is>
          <t>Stochastic scalp with give-back trail exit</t>
        </is>
      </c>
      <c r="D2542" s="9" t="inlineStr">
        <is>
          <t>Long</t>
        </is>
      </c>
      <c r="E2542" s="10" t="n">
        <v>45379.20138888889</v>
      </c>
      <c r="F2542" s="10" t="n">
        <v>45379.20833333334</v>
      </c>
      <c r="G2542" s="11" t="n">
        <v>0</v>
      </c>
      <c r="H2542" s="11">
        <f>H2541+G2542</f>
        <v/>
      </c>
    </row>
    <row r="2543">
      <c r="A2543" s="9" t="n">
        <v>2539</v>
      </c>
      <c r="B2543" s="9" t="inlineStr">
        <is>
          <t>Ratchet</t>
        </is>
      </c>
      <c r="C2543" s="9" t="inlineStr">
        <is>
          <t>Stochastic scalp with give-back trail exit</t>
        </is>
      </c>
      <c r="D2543" s="9" t="inlineStr">
        <is>
          <t>Long</t>
        </is>
      </c>
      <c r="E2543" s="10" t="n">
        <v>45379.31597222222</v>
      </c>
      <c r="F2543" s="10" t="n">
        <v>45379.32986111111</v>
      </c>
      <c r="G2543" s="11" t="n">
        <v>1.06</v>
      </c>
      <c r="H2543" s="11">
        <f>H2542+G2543</f>
        <v/>
      </c>
    </row>
    <row r="2544">
      <c r="A2544" s="9" t="n">
        <v>2540</v>
      </c>
      <c r="B2544" s="9" t="inlineStr">
        <is>
          <t>Meridian</t>
        </is>
      </c>
      <c r="C2544" s="9" t="inlineStr">
        <is>
          <t>21/50 MA cross, 250-period confirm filter, VWAP</t>
        </is>
      </c>
      <c r="D2544" s="9" t="inlineStr">
        <is>
          <t>Long</t>
        </is>
      </c>
      <c r="E2544" s="10" t="n">
        <v>45379.19097222222</v>
      </c>
      <c r="F2544" s="10" t="n">
        <v>45379.41319444445</v>
      </c>
      <c r="G2544" s="11" t="n">
        <v>-1.74</v>
      </c>
      <c r="H2544" s="11">
        <f>H2543+G2544</f>
        <v/>
      </c>
    </row>
    <row r="2545">
      <c r="A2545" s="9" t="n">
        <v>2541</v>
      </c>
      <c r="B2545" s="9" t="inlineStr">
        <is>
          <t>Aurelius_M5</t>
        </is>
      </c>
      <c r="C2545" s="9" t="inlineStr">
        <is>
          <t>MA alignment (EMA21&gt;EMA50&gt;SMA250&gt;SMMA500 vs EMA2400 trend filter)</t>
        </is>
      </c>
      <c r="D2545" s="9" t="inlineStr">
        <is>
          <t>Long</t>
        </is>
      </c>
      <c r="E2545" s="10" t="n">
        <v>45379.20486111111</v>
      </c>
      <c r="F2545" s="10" t="n">
        <v>45379.41319444445</v>
      </c>
      <c r="G2545" s="11" t="n">
        <v>-2.1</v>
      </c>
      <c r="H2545" s="11">
        <f>H2544+G2545</f>
        <v/>
      </c>
    </row>
    <row r="2546">
      <c r="A2546" s="9" t="n">
        <v>2542</v>
      </c>
      <c r="B2546" s="9" t="inlineStr">
        <is>
          <t>Vanguard_M5</t>
        </is>
      </c>
      <c r="C2546" s="9" t="inlineStr">
        <is>
          <t>Trendline breakout (fractal swing line) + VWAP/S-R distance gate</t>
        </is>
      </c>
      <c r="D2546" s="9" t="inlineStr">
        <is>
          <t>Long</t>
        </is>
      </c>
      <c r="E2546" s="10" t="n">
        <v>45379.26041666666</v>
      </c>
      <c r="F2546" s="10" t="n">
        <v>45379.41666666666</v>
      </c>
      <c r="G2546" s="11" t="n">
        <v>-3.97</v>
      </c>
      <c r="H2546" s="11">
        <f>H2545+G2546</f>
        <v/>
      </c>
    </row>
    <row r="2547">
      <c r="A2547" s="9" t="n">
        <v>2543</v>
      </c>
      <c r="B2547" s="9" t="inlineStr">
        <is>
          <t>Vanguard_M5</t>
        </is>
      </c>
      <c r="C2547" s="9" t="inlineStr">
        <is>
          <t>Trendline breakout (fractal swing line) + VWAP/S-R distance gate</t>
        </is>
      </c>
      <c r="D2547" s="9" t="inlineStr">
        <is>
          <t>Long</t>
        </is>
      </c>
      <c r="E2547" s="10" t="n">
        <v>45379.44444444445</v>
      </c>
      <c r="F2547" s="10" t="n">
        <v>45379.46180555555</v>
      </c>
      <c r="G2547" s="11" t="n">
        <v>-3.37</v>
      </c>
      <c r="H2547" s="11">
        <f>H2546+G2547</f>
        <v/>
      </c>
    </row>
    <row r="2548">
      <c r="A2548" s="9" t="n">
        <v>2544</v>
      </c>
      <c r="B2548" s="9" t="inlineStr">
        <is>
          <t>Vanguard_M5</t>
        </is>
      </c>
      <c r="C2548" s="9" t="inlineStr">
        <is>
          <t>Trendline breakout (fractal swing line) + VWAP/S-R distance gate</t>
        </is>
      </c>
      <c r="D2548" s="9" t="inlineStr">
        <is>
          <t>Short</t>
        </is>
      </c>
      <c r="E2548" s="10" t="n">
        <v>45379.46527777778</v>
      </c>
      <c r="F2548" s="10" t="n">
        <v>45379.47222222222</v>
      </c>
      <c r="G2548" s="11" t="n">
        <v>-3.21</v>
      </c>
      <c r="H2548" s="11">
        <f>H2547+G2548</f>
        <v/>
      </c>
    </row>
    <row r="2549">
      <c r="A2549" s="9" t="n">
        <v>2545</v>
      </c>
      <c r="B2549" s="9" t="inlineStr">
        <is>
          <t>Ratchet</t>
        </is>
      </c>
      <c r="C2549" s="9" t="inlineStr">
        <is>
          <t>Stochastic scalp with give-back trail exit</t>
        </is>
      </c>
      <c r="D2549" s="9" t="inlineStr">
        <is>
          <t>Long</t>
        </is>
      </c>
      <c r="E2549" s="10" t="n">
        <v>45379.50347222222</v>
      </c>
      <c r="F2549" s="10" t="n">
        <v>45379.66319444445</v>
      </c>
      <c r="G2549" s="11" t="n">
        <v>5.25</v>
      </c>
      <c r="H2549" s="11">
        <f>H2548+G2549</f>
        <v/>
      </c>
    </row>
    <row r="2550">
      <c r="A2550" s="9" t="n">
        <v>2546</v>
      </c>
      <c r="B2550" s="9" t="inlineStr">
        <is>
          <t>Ratchet</t>
        </is>
      </c>
      <c r="C2550" s="9" t="inlineStr">
        <is>
          <t>Stochastic scalp with give-back trail exit</t>
        </is>
      </c>
      <c r="D2550" s="9" t="inlineStr">
        <is>
          <t>Long</t>
        </is>
      </c>
      <c r="E2550" s="10" t="n">
        <v>45379.82986111111</v>
      </c>
      <c r="F2550" s="10" t="n">
        <v>45379.84027777778</v>
      </c>
      <c r="G2550" s="11" t="n">
        <v>0</v>
      </c>
      <c r="H2550" s="11">
        <f>H2549+G2550</f>
        <v/>
      </c>
    </row>
    <row r="2551">
      <c r="A2551" s="9" t="n">
        <v>2547</v>
      </c>
      <c r="B2551" s="9" t="inlineStr">
        <is>
          <t>Ratchet</t>
        </is>
      </c>
      <c r="C2551" s="9" t="inlineStr">
        <is>
          <t>Stochastic scalp with give-back trail exit</t>
        </is>
      </c>
      <c r="D2551" s="9" t="inlineStr">
        <is>
          <t>Long</t>
        </is>
      </c>
      <c r="E2551" s="10" t="n">
        <v>45379.92361111111</v>
      </c>
      <c r="F2551" s="10" t="n">
        <v>45383.04166666666</v>
      </c>
      <c r="G2551" s="11" t="n">
        <v>19.38</v>
      </c>
      <c r="H2551" s="11">
        <f>H2550+G2551</f>
        <v/>
      </c>
    </row>
    <row r="2552">
      <c r="A2552" s="9" t="n">
        <v>2548</v>
      </c>
      <c r="B2552" s="9" t="inlineStr">
        <is>
          <t>Aurelius_M5</t>
        </is>
      </c>
      <c r="C2552" s="9" t="inlineStr">
        <is>
          <t>MA alignment (EMA21&gt;EMA50&gt;SMA250&gt;SMMA500 vs EMA2400 trend filter)</t>
        </is>
      </c>
      <c r="D2552" s="9" t="inlineStr">
        <is>
          <t>Long</t>
        </is>
      </c>
      <c r="E2552" s="10" t="n">
        <v>45379.51736111111</v>
      </c>
      <c r="F2552" s="10" t="n">
        <v>45383.09027777778</v>
      </c>
      <c r="G2552" s="11" t="n">
        <v>31.8</v>
      </c>
      <c r="H2552" s="11">
        <f>H2551+G2552</f>
        <v/>
      </c>
    </row>
    <row r="2553">
      <c r="A2553" s="9" t="n">
        <v>2549</v>
      </c>
      <c r="B2553" s="9" t="inlineStr">
        <is>
          <t>Ratchet</t>
        </is>
      </c>
      <c r="C2553" s="9" t="inlineStr">
        <is>
          <t>Stochastic scalp with give-back trail exit</t>
        </is>
      </c>
      <c r="D2553" s="9" t="inlineStr">
        <is>
          <t>Long</t>
        </is>
      </c>
      <c r="E2553" s="10" t="n">
        <v>45383.21180555555</v>
      </c>
      <c r="F2553" s="10" t="n">
        <v>45383.22916666666</v>
      </c>
      <c r="G2553" s="11" t="n">
        <v>0</v>
      </c>
      <c r="H2553" s="11">
        <f>H2552+G2553</f>
        <v/>
      </c>
    </row>
    <row r="2554">
      <c r="A2554" s="9" t="n">
        <v>2550</v>
      </c>
      <c r="B2554" s="9" t="inlineStr">
        <is>
          <t>Ratchet</t>
        </is>
      </c>
      <c r="C2554" s="9" t="inlineStr">
        <is>
          <t>Stochastic scalp with give-back trail exit</t>
        </is>
      </c>
      <c r="D2554" s="9" t="inlineStr">
        <is>
          <t>Long</t>
        </is>
      </c>
      <c r="E2554" s="10" t="n">
        <v>45383.24305555555</v>
      </c>
      <c r="F2554" s="10" t="n">
        <v>45383.25347222222</v>
      </c>
      <c r="G2554" s="11" t="n">
        <v>0.66</v>
      </c>
      <c r="H2554" s="11">
        <f>H2553+G2554</f>
        <v/>
      </c>
    </row>
    <row r="2555">
      <c r="A2555" s="9" t="n">
        <v>2551</v>
      </c>
      <c r="B2555" s="9" t="inlineStr">
        <is>
          <t>Ratchet</t>
        </is>
      </c>
      <c r="C2555" s="9" t="inlineStr">
        <is>
          <t>Stochastic scalp with give-back trail exit</t>
        </is>
      </c>
      <c r="D2555" s="9" t="inlineStr">
        <is>
          <t>Long</t>
        </is>
      </c>
      <c r="E2555" s="10" t="n">
        <v>45383.26041666666</v>
      </c>
      <c r="F2555" s="10" t="n">
        <v>45383.26388888889</v>
      </c>
      <c r="G2555" s="11" t="n">
        <v>0.46</v>
      </c>
      <c r="H2555" s="11">
        <f>H2554+G2555</f>
        <v/>
      </c>
    </row>
    <row r="2556">
      <c r="A2556" s="9" t="n">
        <v>2552</v>
      </c>
      <c r="B2556" s="9" t="inlineStr">
        <is>
          <t>Ratchet</t>
        </is>
      </c>
      <c r="C2556" s="9" t="inlineStr">
        <is>
          <t>Stochastic scalp with give-back trail exit</t>
        </is>
      </c>
      <c r="D2556" s="9" t="inlineStr">
        <is>
          <t>Long</t>
        </is>
      </c>
      <c r="E2556" s="10" t="n">
        <v>45383.38888888889</v>
      </c>
      <c r="F2556" s="10" t="n">
        <v>45383.39236111111</v>
      </c>
      <c r="G2556" s="11" t="n">
        <v>0.26</v>
      </c>
      <c r="H2556" s="11">
        <f>H2555+G2556</f>
        <v/>
      </c>
    </row>
    <row r="2557">
      <c r="A2557" s="9" t="n">
        <v>2553</v>
      </c>
      <c r="B2557" s="9" t="inlineStr">
        <is>
          <t>Ratchet</t>
        </is>
      </c>
      <c r="C2557" s="9" t="inlineStr">
        <is>
          <t>Stochastic scalp with give-back trail exit</t>
        </is>
      </c>
      <c r="D2557" s="9" t="inlineStr">
        <is>
          <t>Long</t>
        </is>
      </c>
      <c r="E2557" s="10" t="n">
        <v>45383.4375</v>
      </c>
      <c r="F2557" s="10" t="n">
        <v>45383.44097222222</v>
      </c>
      <c r="G2557" s="11" t="n">
        <v>0.24</v>
      </c>
      <c r="H2557" s="11">
        <f>H2556+G2557</f>
        <v/>
      </c>
    </row>
    <row r="2558">
      <c r="A2558" s="9" t="n">
        <v>2554</v>
      </c>
      <c r="B2558" s="9" t="inlineStr">
        <is>
          <t>Meridian</t>
        </is>
      </c>
      <c r="C2558" s="9" t="inlineStr">
        <is>
          <t>21/50 MA cross, 250-period confirm filter, VWAP</t>
        </is>
      </c>
      <c r="D2558" s="9" t="inlineStr">
        <is>
          <t>Long</t>
        </is>
      </c>
      <c r="E2558" s="10" t="n">
        <v>45379.48958333334</v>
      </c>
      <c r="F2558" s="10" t="n">
        <v>45383.48958333334</v>
      </c>
      <c r="G2558" s="11" t="n">
        <v>60.36</v>
      </c>
      <c r="H2558" s="11">
        <f>H2557+G2558</f>
        <v/>
      </c>
    </row>
    <row r="2559">
      <c r="A2559" s="9" t="n">
        <v>2555</v>
      </c>
      <c r="B2559" s="9" t="inlineStr">
        <is>
          <t>Aurelius_M15</t>
        </is>
      </c>
      <c r="C2559" s="9" t="inlineStr">
        <is>
          <t>MA alignment (EMA21&gt;EMA50&gt;SMA250&gt;SMMA500 vs EMA2400 trend filter) - M15 chart</t>
        </is>
      </c>
      <c r="D2559" s="9" t="inlineStr">
        <is>
          <t>Long</t>
        </is>
      </c>
      <c r="E2559" s="10" t="n">
        <v>45379.52083333334</v>
      </c>
      <c r="F2559" s="10" t="n">
        <v>45383.59375</v>
      </c>
      <c r="G2559" s="11" t="n">
        <v>44.38</v>
      </c>
      <c r="H2559" s="11">
        <f>H2558+G2559</f>
        <v/>
      </c>
    </row>
    <row r="2560">
      <c r="A2560" s="9" t="n">
        <v>2556</v>
      </c>
      <c r="B2560" s="9" t="inlineStr">
        <is>
          <t>Meridian</t>
        </is>
      </c>
      <c r="C2560" s="9" t="inlineStr">
        <is>
          <t>21/50 MA cross, 250-period confirm filter, VWAP</t>
        </is>
      </c>
      <c r="D2560" s="9" t="inlineStr">
        <is>
          <t>Long</t>
        </is>
      </c>
      <c r="E2560" s="10" t="n">
        <v>45383.68402777778</v>
      </c>
      <c r="F2560" s="10" t="n">
        <v>45383.6875</v>
      </c>
      <c r="G2560" s="11" t="n">
        <v>-5.47</v>
      </c>
      <c r="H2560" s="11">
        <f>H2559+G2560</f>
        <v/>
      </c>
    </row>
    <row r="2561">
      <c r="A2561" s="9" t="n">
        <v>2557</v>
      </c>
      <c r="B2561" s="9" t="inlineStr">
        <is>
          <t>Aurelius_M15</t>
        </is>
      </c>
      <c r="C2561" s="9" t="inlineStr">
        <is>
          <t>MA alignment (EMA21&gt;EMA50&gt;SMA250&gt;SMMA500 vs EMA2400 trend filter) - M15 chart</t>
        </is>
      </c>
      <c r="D2561" s="9" t="inlineStr">
        <is>
          <t>Long</t>
        </is>
      </c>
      <c r="E2561" s="10" t="n">
        <v>45383.65625</v>
      </c>
      <c r="F2561" s="10" t="n">
        <v>45383.69791666666</v>
      </c>
      <c r="G2561" s="11" t="n">
        <v>-8.119999999999999</v>
      </c>
      <c r="H2561" s="11">
        <f>H2560+G2561</f>
        <v/>
      </c>
    </row>
    <row r="2562">
      <c r="A2562" s="9" t="n">
        <v>2558</v>
      </c>
      <c r="B2562" s="9" t="inlineStr">
        <is>
          <t>Ratchet</t>
        </is>
      </c>
      <c r="C2562" s="9" t="inlineStr">
        <is>
          <t>Stochastic scalp with give-back trail exit</t>
        </is>
      </c>
      <c r="D2562" s="9" t="inlineStr">
        <is>
          <t>Long</t>
        </is>
      </c>
      <c r="E2562" s="10" t="n">
        <v>45384.06944444445</v>
      </c>
      <c r="F2562" s="10" t="n">
        <v>45384.08333333334</v>
      </c>
      <c r="G2562" s="11" t="n">
        <v>-2.53</v>
      </c>
      <c r="H2562" s="11">
        <f>H2561+G2562</f>
        <v/>
      </c>
    </row>
    <row r="2563">
      <c r="A2563" s="9" t="n">
        <v>2559</v>
      </c>
      <c r="B2563" s="9" t="inlineStr">
        <is>
          <t>Ratchet</t>
        </is>
      </c>
      <c r="C2563" s="9" t="inlineStr">
        <is>
          <t>Stochastic scalp with give-back trail exit</t>
        </is>
      </c>
      <c r="D2563" s="9" t="inlineStr">
        <is>
          <t>Long</t>
        </is>
      </c>
      <c r="E2563" s="10" t="n">
        <v>45384.09375</v>
      </c>
      <c r="F2563" s="10" t="n">
        <v>45384.11805555555</v>
      </c>
      <c r="G2563" s="11" t="n">
        <v>-2.55</v>
      </c>
      <c r="H2563" s="11">
        <f>H2562+G2563</f>
        <v/>
      </c>
    </row>
    <row r="2564">
      <c r="A2564" s="9" t="n">
        <v>2560</v>
      </c>
      <c r="B2564" s="9" t="inlineStr">
        <is>
          <t>Ratchet</t>
        </is>
      </c>
      <c r="C2564" s="9" t="inlineStr">
        <is>
          <t>Stochastic scalp with give-back trail exit</t>
        </is>
      </c>
      <c r="D2564" s="9" t="inlineStr">
        <is>
          <t>Long</t>
        </is>
      </c>
      <c r="E2564" s="10" t="n">
        <v>45384.14583333334</v>
      </c>
      <c r="F2564" s="10" t="n">
        <v>45384.15625</v>
      </c>
      <c r="G2564" s="11" t="n">
        <v>0.57</v>
      </c>
      <c r="H2564" s="11">
        <f>H2563+G2564</f>
        <v/>
      </c>
    </row>
    <row r="2565">
      <c r="A2565" s="9" t="n">
        <v>2561</v>
      </c>
      <c r="B2565" s="9" t="inlineStr">
        <is>
          <t>Aurelius_M5</t>
        </is>
      </c>
      <c r="C2565" s="9" t="inlineStr">
        <is>
          <t>MA alignment (EMA21&gt;EMA50&gt;SMA250&gt;SMMA500 vs EMA2400 trend filter)</t>
        </is>
      </c>
      <c r="D2565" s="9" t="inlineStr">
        <is>
          <t>Long</t>
        </is>
      </c>
      <c r="E2565" s="10" t="n">
        <v>45384.25347222222</v>
      </c>
      <c r="F2565" s="10" t="n">
        <v>45384.30208333334</v>
      </c>
      <c r="G2565" s="11" t="n">
        <v>-3.5</v>
      </c>
      <c r="H2565" s="11">
        <f>H2564+G2565</f>
        <v/>
      </c>
    </row>
    <row r="2566">
      <c r="A2566" s="9" t="n">
        <v>2562</v>
      </c>
      <c r="B2566" s="9" t="inlineStr">
        <is>
          <t>Ratchet</t>
        </is>
      </c>
      <c r="C2566" s="9" t="inlineStr">
        <is>
          <t>Stochastic scalp with give-back trail exit</t>
        </is>
      </c>
      <c r="D2566" s="9" t="inlineStr">
        <is>
          <t>Long</t>
        </is>
      </c>
      <c r="E2566" s="10" t="n">
        <v>45384.44791666666</v>
      </c>
      <c r="F2566" s="10" t="n">
        <v>45384.45486111111</v>
      </c>
      <c r="G2566" s="11" t="n">
        <v>0.46</v>
      </c>
      <c r="H2566" s="11">
        <f>H2565+G2566</f>
        <v/>
      </c>
    </row>
    <row r="2567">
      <c r="A2567" s="9" t="n">
        <v>2563</v>
      </c>
      <c r="B2567" s="9" t="inlineStr">
        <is>
          <t>Aurelius_M5</t>
        </is>
      </c>
      <c r="C2567" s="9" t="inlineStr">
        <is>
          <t>MA alignment (EMA21&gt;EMA50&gt;SMA250&gt;SMMA500 vs EMA2400 trend filter)</t>
        </is>
      </c>
      <c r="D2567" s="9" t="inlineStr">
        <is>
          <t>Long</t>
        </is>
      </c>
      <c r="E2567" s="10" t="n">
        <v>45384.40625</v>
      </c>
      <c r="F2567" s="10" t="n">
        <v>45384.63888888889</v>
      </c>
      <c r="G2567" s="11" t="n">
        <v>0.58</v>
      </c>
      <c r="H2567" s="11">
        <f>H2566+G2567</f>
        <v/>
      </c>
    </row>
    <row r="2568">
      <c r="A2568" s="9" t="n">
        <v>2564</v>
      </c>
      <c r="B2568" s="9" t="inlineStr">
        <is>
          <t>Ratchet</t>
        </is>
      </c>
      <c r="C2568" s="9" t="inlineStr">
        <is>
          <t>Stochastic scalp with give-back trail exit</t>
        </is>
      </c>
      <c r="D2568" s="9" t="inlineStr">
        <is>
          <t>Long</t>
        </is>
      </c>
      <c r="E2568" s="10" t="n">
        <v>45384.70833333334</v>
      </c>
      <c r="F2568" s="10" t="n">
        <v>45384.71180555555</v>
      </c>
      <c r="G2568" s="11" t="n">
        <v>2.26</v>
      </c>
      <c r="H2568" s="11">
        <f>H2567+G2568</f>
        <v/>
      </c>
    </row>
    <row r="2569">
      <c r="A2569" s="9" t="n">
        <v>2565</v>
      </c>
      <c r="B2569" s="9" t="inlineStr">
        <is>
          <t>Aurelius_M5</t>
        </is>
      </c>
      <c r="C2569" s="9" t="inlineStr">
        <is>
          <t>MA alignment (EMA21&gt;EMA50&gt;SMA250&gt;SMMA500 vs EMA2400 trend filter)</t>
        </is>
      </c>
      <c r="D2569" s="9" t="inlineStr">
        <is>
          <t>Long</t>
        </is>
      </c>
      <c r="E2569" s="10" t="n">
        <v>45384.72222222222</v>
      </c>
      <c r="F2569" s="10" t="n">
        <v>45384.73958333334</v>
      </c>
      <c r="G2569" s="11" t="n">
        <v>-9.470000000000001</v>
      </c>
      <c r="H2569" s="11">
        <f>H2568+G2569</f>
        <v/>
      </c>
    </row>
    <row r="2570">
      <c r="A2570" s="9" t="n">
        <v>2566</v>
      </c>
      <c r="B2570" s="9" t="inlineStr">
        <is>
          <t>Meridian</t>
        </is>
      </c>
      <c r="C2570" s="9" t="inlineStr">
        <is>
          <t>21/50 MA cross, 250-period confirm filter, VWAP</t>
        </is>
      </c>
      <c r="D2570" s="9" t="inlineStr">
        <is>
          <t>Long</t>
        </is>
      </c>
      <c r="E2570" s="10" t="n">
        <v>45384.69791666666</v>
      </c>
      <c r="F2570" s="10" t="n">
        <v>45384.76736111111</v>
      </c>
      <c r="G2570" s="11" t="n">
        <v>-7.14</v>
      </c>
      <c r="H2570" s="11">
        <f>H2569+G2570</f>
        <v/>
      </c>
    </row>
    <row r="2571">
      <c r="A2571" s="9" t="n">
        <v>2567</v>
      </c>
      <c r="B2571" s="9" t="inlineStr">
        <is>
          <t>Vanguard_M5</t>
        </is>
      </c>
      <c r="C2571" s="9" t="inlineStr">
        <is>
          <t>Trendline breakout (fractal swing line) + VWAP/S-R distance gate</t>
        </is>
      </c>
      <c r="D2571" s="9" t="inlineStr">
        <is>
          <t>Long</t>
        </is>
      </c>
      <c r="E2571" s="10" t="n">
        <v>45379.47569444445</v>
      </c>
      <c r="F2571" s="10" t="n">
        <v>45384.77083333334</v>
      </c>
      <c r="G2571" s="11" t="n">
        <v>55.72</v>
      </c>
      <c r="H2571" s="11">
        <f>H2570+G2571</f>
        <v/>
      </c>
    </row>
    <row r="2572">
      <c r="A2572" s="9" t="n">
        <v>2568</v>
      </c>
      <c r="B2572" s="9" t="inlineStr">
        <is>
          <t>Vanguard_M15</t>
        </is>
      </c>
      <c r="C2572" s="9" t="inlineStr">
        <is>
          <t>Trendline breakout (fractal swing line) + VWAP/S-R distance gate - M15 chart</t>
        </is>
      </c>
      <c r="D2572" s="9" t="inlineStr">
        <is>
          <t>Long</t>
        </is>
      </c>
      <c r="E2572" s="10" t="n">
        <v>45379.26041666666</v>
      </c>
      <c r="F2572" s="10" t="n">
        <v>45384.79166666666</v>
      </c>
      <c r="G2572" s="11" t="n">
        <v>58.63</v>
      </c>
      <c r="H2572" s="11">
        <f>H2571+G2572</f>
        <v/>
      </c>
    </row>
    <row r="2573">
      <c r="A2573" s="9" t="n">
        <v>2569</v>
      </c>
      <c r="B2573" s="9" t="inlineStr">
        <is>
          <t>Meridian</t>
        </is>
      </c>
      <c r="C2573" s="9" t="inlineStr">
        <is>
          <t>21/50 MA cross, 250-period confirm filter, VWAP</t>
        </is>
      </c>
      <c r="D2573" s="9" t="inlineStr">
        <is>
          <t>Short</t>
        </is>
      </c>
      <c r="E2573" s="10" t="n">
        <v>45384.77430555555</v>
      </c>
      <c r="F2573" s="10" t="n">
        <v>45384.83680555555</v>
      </c>
      <c r="G2573" s="11" t="n">
        <v>-9.880000000000001</v>
      </c>
      <c r="H2573" s="11">
        <f>H2572+G2573</f>
        <v/>
      </c>
    </row>
    <row r="2574">
      <c r="A2574" s="9" t="n">
        <v>2570</v>
      </c>
      <c r="B2574" s="9" t="inlineStr">
        <is>
          <t>Vanguard_M5</t>
        </is>
      </c>
      <c r="C2574" s="9" t="inlineStr">
        <is>
          <t>Trendline breakout (fractal swing line) + VWAP/S-R distance gate</t>
        </is>
      </c>
      <c r="D2574" s="9" t="inlineStr">
        <is>
          <t>Short</t>
        </is>
      </c>
      <c r="E2574" s="10" t="n">
        <v>45384.77430555555</v>
      </c>
      <c r="F2574" s="10" t="n">
        <v>45384.875</v>
      </c>
      <c r="G2574" s="11" t="n">
        <v>-15.8</v>
      </c>
      <c r="H2574" s="11">
        <f>H2573+G2574</f>
        <v/>
      </c>
    </row>
    <row r="2575">
      <c r="A2575" s="9" t="n">
        <v>2571</v>
      </c>
      <c r="B2575" s="9" t="inlineStr">
        <is>
          <t>Vanguard_M15</t>
        </is>
      </c>
      <c r="C2575" s="9" t="inlineStr">
        <is>
          <t>Trendline breakout (fractal swing line) + VWAP/S-R distance gate - M15 chart</t>
        </is>
      </c>
      <c r="D2575" s="9" t="inlineStr">
        <is>
          <t>Short</t>
        </is>
      </c>
      <c r="E2575" s="10" t="n">
        <v>45384.80208333334</v>
      </c>
      <c r="F2575" s="10" t="n">
        <v>45384.875</v>
      </c>
      <c r="G2575" s="11" t="n">
        <v>-16.43</v>
      </c>
      <c r="H2575" s="11">
        <f>H2574+G2575</f>
        <v/>
      </c>
    </row>
    <row r="2576">
      <c r="A2576" s="9" t="n">
        <v>2572</v>
      </c>
      <c r="B2576" s="9" t="inlineStr">
        <is>
          <t>Ratchet</t>
        </is>
      </c>
      <c r="C2576" s="9" t="inlineStr">
        <is>
          <t>Stochastic scalp with give-back trail exit</t>
        </is>
      </c>
      <c r="D2576" s="9" t="inlineStr">
        <is>
          <t>Long</t>
        </is>
      </c>
      <c r="E2576" s="10" t="n">
        <v>45385.14236111111</v>
      </c>
      <c r="F2576" s="10" t="n">
        <v>45385.15277777778</v>
      </c>
      <c r="G2576" s="11" t="n">
        <v>0.76</v>
      </c>
      <c r="H2576" s="11">
        <f>H2575+G2576</f>
        <v/>
      </c>
    </row>
    <row r="2577">
      <c r="A2577" s="9" t="n">
        <v>2573</v>
      </c>
      <c r="B2577" s="9" t="inlineStr">
        <is>
          <t>Ratchet</t>
        </is>
      </c>
      <c r="C2577" s="9" t="inlineStr">
        <is>
          <t>Stochastic scalp with give-back trail exit</t>
        </is>
      </c>
      <c r="D2577" s="9" t="inlineStr">
        <is>
          <t>Long</t>
        </is>
      </c>
      <c r="E2577" s="10" t="n">
        <v>45385.21180555555</v>
      </c>
      <c r="F2577" s="10" t="n">
        <v>45385.22222222222</v>
      </c>
      <c r="G2577" s="11" t="n">
        <v>0.47</v>
      </c>
      <c r="H2577" s="11">
        <f>H2576+G2577</f>
        <v/>
      </c>
    </row>
    <row r="2578">
      <c r="A2578" s="9" t="n">
        <v>2574</v>
      </c>
      <c r="B2578" s="9" t="inlineStr">
        <is>
          <t>Ratchet</t>
        </is>
      </c>
      <c r="C2578" s="9" t="inlineStr">
        <is>
          <t>Stochastic scalp with give-back trail exit</t>
        </is>
      </c>
      <c r="D2578" s="9" t="inlineStr">
        <is>
          <t>Long</t>
        </is>
      </c>
      <c r="E2578" s="10" t="n">
        <v>45385.25694444445</v>
      </c>
      <c r="F2578" s="10" t="n">
        <v>45385.26736111111</v>
      </c>
      <c r="G2578" s="11" t="n">
        <v>1.08</v>
      </c>
      <c r="H2578" s="11">
        <f>H2577+G2578</f>
        <v/>
      </c>
    </row>
    <row r="2579">
      <c r="A2579" s="9" t="n">
        <v>2575</v>
      </c>
      <c r="B2579" s="9" t="inlineStr">
        <is>
          <t>Aurelius_M5</t>
        </is>
      </c>
      <c r="C2579" s="9" t="inlineStr">
        <is>
          <t>MA alignment (EMA21&gt;EMA50&gt;SMA250&gt;SMMA500 vs EMA2400 trend filter)</t>
        </is>
      </c>
      <c r="D2579" s="9" t="inlineStr">
        <is>
          <t>Long</t>
        </is>
      </c>
      <c r="E2579" s="10" t="n">
        <v>45385.35763888889</v>
      </c>
      <c r="F2579" s="10" t="n">
        <v>45385.39236111111</v>
      </c>
      <c r="G2579" s="11" t="n">
        <v>-2.82</v>
      </c>
      <c r="H2579" s="11">
        <f>H2578+G2579</f>
        <v/>
      </c>
    </row>
    <row r="2580">
      <c r="A2580" s="9" t="n">
        <v>2576</v>
      </c>
      <c r="B2580" s="9" t="inlineStr">
        <is>
          <t>Meridian</t>
        </is>
      </c>
      <c r="C2580" s="9" t="inlineStr">
        <is>
          <t>21/50 MA cross, 250-period confirm filter, VWAP</t>
        </is>
      </c>
      <c r="D2580" s="9" t="inlineStr">
        <is>
          <t>Long</t>
        </is>
      </c>
      <c r="E2580" s="10" t="n">
        <v>45384.86111111111</v>
      </c>
      <c r="F2580" s="10" t="n">
        <v>45385.39583333334</v>
      </c>
      <c r="G2580" s="11" t="n">
        <v>19.09</v>
      </c>
      <c r="H2580" s="11">
        <f>H2579+G2580</f>
        <v/>
      </c>
    </row>
    <row r="2581">
      <c r="A2581" s="9" t="n">
        <v>2577</v>
      </c>
      <c r="B2581" s="9" t="inlineStr">
        <is>
          <t>Aurelius_M15</t>
        </is>
      </c>
      <c r="C2581" s="9" t="inlineStr">
        <is>
          <t>MA alignment (EMA21&gt;EMA50&gt;SMA250&gt;SMMA500 vs EMA2400 trend filter) - M15 chart</t>
        </is>
      </c>
      <c r="D2581" s="9" t="inlineStr">
        <is>
          <t>Long</t>
        </is>
      </c>
      <c r="E2581" s="10" t="n">
        <v>45384.17708333334</v>
      </c>
      <c r="F2581" s="10" t="n">
        <v>45385.46875</v>
      </c>
      <c r="G2581" s="11" t="n">
        <v>20.98</v>
      </c>
      <c r="H2581" s="11">
        <f>H2580+G2581</f>
        <v/>
      </c>
    </row>
    <row r="2582">
      <c r="A2582" s="9" t="n">
        <v>2578</v>
      </c>
      <c r="B2582" s="9" t="inlineStr">
        <is>
          <t>Vanguard_M15</t>
        </is>
      </c>
      <c r="C2582" s="9" t="inlineStr">
        <is>
          <t>Trendline breakout (fractal swing line) + VWAP/S-R distance gate - M15 chart</t>
        </is>
      </c>
      <c r="D2582" s="9" t="inlineStr">
        <is>
          <t>Short</t>
        </is>
      </c>
      <c r="E2582" s="10" t="n">
        <v>45385.64583333334</v>
      </c>
      <c r="F2582" s="10" t="n">
        <v>45385.66666666666</v>
      </c>
      <c r="G2582" s="11" t="n">
        <v>-10.23</v>
      </c>
      <c r="H2582" s="11">
        <f>H2581+G2582</f>
        <v/>
      </c>
    </row>
    <row r="2583">
      <c r="A2583" s="9" t="n">
        <v>2579</v>
      </c>
      <c r="B2583" s="9" t="inlineStr">
        <is>
          <t>Vanguard_M5</t>
        </is>
      </c>
      <c r="C2583" s="9" t="inlineStr">
        <is>
          <t>Trendline breakout (fractal swing line) + VWAP/S-R distance gate</t>
        </is>
      </c>
      <c r="D2583" s="9" t="inlineStr">
        <is>
          <t>Short</t>
        </is>
      </c>
      <c r="E2583" s="10" t="n">
        <v>45385.64236111111</v>
      </c>
      <c r="F2583" s="10" t="n">
        <v>45385.67013888889</v>
      </c>
      <c r="G2583" s="11" t="n">
        <v>-8.32</v>
      </c>
      <c r="H2583" s="11">
        <f>H2582+G2583</f>
        <v/>
      </c>
    </row>
    <row r="2584">
      <c r="A2584" s="9" t="n">
        <v>2580</v>
      </c>
      <c r="B2584" s="9" t="inlineStr">
        <is>
          <t>Ratchet</t>
        </is>
      </c>
      <c r="C2584" s="9" t="inlineStr">
        <is>
          <t>Stochastic scalp with give-back trail exit</t>
        </is>
      </c>
      <c r="D2584" s="9" t="inlineStr">
        <is>
          <t>Long</t>
        </is>
      </c>
      <c r="E2584" s="10" t="n">
        <v>45385.74652777778</v>
      </c>
      <c r="F2584" s="10" t="n">
        <v>45385.77083333334</v>
      </c>
      <c r="G2584" s="11" t="n">
        <v>0.97</v>
      </c>
      <c r="H2584" s="11">
        <f>H2583+G2584</f>
        <v/>
      </c>
    </row>
    <row r="2585">
      <c r="A2585" s="9" t="n">
        <v>2581</v>
      </c>
      <c r="B2585" s="9" t="inlineStr">
        <is>
          <t>Ratchet</t>
        </is>
      </c>
      <c r="C2585" s="9" t="inlineStr">
        <is>
          <t>Stochastic scalp with give-back trail exit</t>
        </is>
      </c>
      <c r="D2585" s="9" t="inlineStr">
        <is>
          <t>Long</t>
        </is>
      </c>
      <c r="E2585" s="10" t="n">
        <v>45385.85069444445</v>
      </c>
      <c r="F2585" s="10" t="n">
        <v>45385.85416666666</v>
      </c>
      <c r="G2585" s="11" t="n">
        <v>0.66</v>
      </c>
      <c r="H2585" s="11">
        <f>H2584+G2585</f>
        <v/>
      </c>
    </row>
    <row r="2586">
      <c r="A2586" s="9" t="n">
        <v>2582</v>
      </c>
      <c r="B2586" s="9" t="inlineStr">
        <is>
          <t>Ratchet</t>
        </is>
      </c>
      <c r="C2586" s="9" t="inlineStr">
        <is>
          <t>Stochastic scalp with give-back trail exit</t>
        </is>
      </c>
      <c r="D2586" s="9" t="inlineStr">
        <is>
          <t>Long</t>
        </is>
      </c>
      <c r="E2586" s="10" t="n">
        <v>45385.96180555555</v>
      </c>
      <c r="F2586" s="10" t="n">
        <v>45385.97916666666</v>
      </c>
      <c r="G2586" s="11" t="n">
        <v>0.31</v>
      </c>
      <c r="H2586" s="11">
        <f>H2585+G2586</f>
        <v/>
      </c>
    </row>
    <row r="2587">
      <c r="A2587" s="9" t="n">
        <v>2583</v>
      </c>
      <c r="B2587" s="9" t="inlineStr">
        <is>
          <t>Ratchet</t>
        </is>
      </c>
      <c r="C2587" s="9" t="inlineStr">
        <is>
          <t>Stochastic scalp with give-back trail exit</t>
        </is>
      </c>
      <c r="D2587" s="9" t="inlineStr">
        <is>
          <t>Long</t>
        </is>
      </c>
      <c r="E2587" s="10" t="n">
        <v>45386.08333333334</v>
      </c>
      <c r="F2587" s="10" t="n">
        <v>45386.10416666666</v>
      </c>
      <c r="G2587" s="11" t="n">
        <v>-2.55</v>
      </c>
      <c r="H2587" s="11">
        <f>H2586+G2587</f>
        <v/>
      </c>
    </row>
    <row r="2588">
      <c r="A2588" s="9" t="n">
        <v>2584</v>
      </c>
      <c r="B2588" s="9" t="inlineStr">
        <is>
          <t>Aurelius_M15</t>
        </is>
      </c>
      <c r="C2588" s="9" t="inlineStr">
        <is>
          <t>MA alignment (EMA21&gt;EMA50&gt;SMA250&gt;SMMA500 vs EMA2400 trend filter) - M15 chart</t>
        </is>
      </c>
      <c r="D2588" s="9" t="inlineStr">
        <is>
          <t>Long</t>
        </is>
      </c>
      <c r="E2588" s="10" t="n">
        <v>45385.8125</v>
      </c>
      <c r="F2588" s="10" t="n">
        <v>45386.42708333334</v>
      </c>
      <c r="G2588" s="11" t="n">
        <v>2.93</v>
      </c>
      <c r="H2588" s="11">
        <f>H2587+G2588</f>
        <v/>
      </c>
    </row>
    <row r="2589">
      <c r="A2589" s="9" t="n">
        <v>2585</v>
      </c>
      <c r="B2589" s="9" t="inlineStr">
        <is>
          <t>Meridian</t>
        </is>
      </c>
      <c r="C2589" s="9" t="inlineStr">
        <is>
          <t>21/50 MA cross, 250-period confirm filter, VWAP</t>
        </is>
      </c>
      <c r="D2589" s="9" t="inlineStr">
        <is>
          <t>Long</t>
        </is>
      </c>
      <c r="E2589" s="10" t="n">
        <v>45386.72916666666</v>
      </c>
      <c r="F2589" s="10" t="n">
        <v>45386.78472222222</v>
      </c>
      <c r="G2589" s="11" t="n">
        <v>-7.35</v>
      </c>
      <c r="H2589" s="11">
        <f>H2588+G2589</f>
        <v/>
      </c>
    </row>
    <row r="2590">
      <c r="A2590" s="9" t="n">
        <v>2586</v>
      </c>
      <c r="B2590" s="9" t="inlineStr">
        <is>
          <t>Meridian</t>
        </is>
      </c>
      <c r="C2590" s="9" t="inlineStr">
        <is>
          <t>21/50 MA cross, 250-period confirm filter, VWAP</t>
        </is>
      </c>
      <c r="D2590" s="9" t="inlineStr">
        <is>
          <t>Short</t>
        </is>
      </c>
      <c r="E2590" s="10" t="n">
        <v>45386.81944444445</v>
      </c>
      <c r="F2590" s="10" t="n">
        <v>45386.86805555555</v>
      </c>
      <c r="G2590" s="11" t="n">
        <v>-5.09</v>
      </c>
      <c r="H2590" s="11">
        <f>H2589+G2590</f>
        <v/>
      </c>
    </row>
    <row r="2591">
      <c r="A2591" s="9" t="n">
        <v>2587</v>
      </c>
      <c r="B2591" s="9" t="inlineStr">
        <is>
          <t>Meridian</t>
        </is>
      </c>
      <c r="C2591" s="9" t="inlineStr">
        <is>
          <t>21/50 MA cross, 250-period confirm filter, VWAP</t>
        </is>
      </c>
      <c r="D2591" s="9" t="inlineStr">
        <is>
          <t>Short</t>
        </is>
      </c>
      <c r="E2591" s="10" t="n">
        <v>45386.95138888889</v>
      </c>
      <c r="F2591" s="10" t="n">
        <v>45386.97222222222</v>
      </c>
      <c r="G2591" s="11" t="n">
        <v>-10.33</v>
      </c>
      <c r="H2591" s="11">
        <f>H2590+G2591</f>
        <v/>
      </c>
    </row>
    <row r="2592">
      <c r="A2592" s="9" t="n">
        <v>2588</v>
      </c>
      <c r="B2592" s="9" t="inlineStr">
        <is>
          <t>Vanguard_M15</t>
        </is>
      </c>
      <c r="C2592" s="9" t="inlineStr">
        <is>
          <t>Trendline breakout (fractal swing line) + VWAP/S-R distance gate - M15 chart</t>
        </is>
      </c>
      <c r="D2592" s="9" t="inlineStr">
        <is>
          <t>Short</t>
        </is>
      </c>
      <c r="E2592" s="10" t="n">
        <v>45386.94791666666</v>
      </c>
      <c r="F2592" s="10" t="n">
        <v>45387.69791666666</v>
      </c>
      <c r="G2592" s="11" t="n">
        <v>-15.72</v>
      </c>
      <c r="H2592" s="11">
        <f>H2591+G2592</f>
        <v/>
      </c>
    </row>
    <row r="2593">
      <c r="A2593" s="9" t="n">
        <v>2589</v>
      </c>
      <c r="B2593" s="9" t="inlineStr">
        <is>
          <t>Vanguard_M5</t>
        </is>
      </c>
      <c r="C2593" s="9" t="inlineStr">
        <is>
          <t>Trendline breakout (fractal swing line) + VWAP/S-R distance gate</t>
        </is>
      </c>
      <c r="D2593" s="9" t="inlineStr">
        <is>
          <t>Short</t>
        </is>
      </c>
      <c r="E2593" s="10" t="n">
        <v>45386.94444444445</v>
      </c>
      <c r="F2593" s="10" t="n">
        <v>45387.70138888889</v>
      </c>
      <c r="G2593" s="11" t="n">
        <v>-15.76</v>
      </c>
      <c r="H2593" s="11">
        <f>H2592+G2593</f>
        <v/>
      </c>
    </row>
    <row r="2594">
      <c r="A2594" s="9" t="n">
        <v>2590</v>
      </c>
      <c r="B2594" s="9" t="inlineStr">
        <is>
          <t>Aurelius_M15</t>
        </is>
      </c>
      <c r="C2594" s="9" t="inlineStr">
        <is>
          <t>MA alignment (EMA21&gt;EMA50&gt;SMA250&gt;SMMA500 vs EMA2400 trend filter) - M15 chart</t>
        </is>
      </c>
      <c r="D2594" s="9" t="inlineStr">
        <is>
          <t>Long</t>
        </is>
      </c>
      <c r="E2594" s="10" t="n">
        <v>45387.65625</v>
      </c>
      <c r="F2594" s="10" t="n">
        <v>45387.92708333334</v>
      </c>
      <c r="G2594" s="11" t="n">
        <v>32.48</v>
      </c>
      <c r="H2594" s="11">
        <f>H2593+G2594</f>
        <v/>
      </c>
    </row>
    <row r="2595">
      <c r="A2595" s="9" t="n">
        <v>2591</v>
      </c>
      <c r="B2595" s="9" t="inlineStr">
        <is>
          <t>Ratchet</t>
        </is>
      </c>
      <c r="C2595" s="9" t="inlineStr">
        <is>
          <t>Stochastic scalp with give-back trail exit</t>
        </is>
      </c>
      <c r="D2595" s="9" t="inlineStr">
        <is>
          <t>Long</t>
        </is>
      </c>
      <c r="E2595" s="10" t="n">
        <v>45390.22569444445</v>
      </c>
      <c r="F2595" s="10" t="n">
        <v>45390.35763888889</v>
      </c>
      <c r="G2595" s="11" t="n">
        <v>5.87</v>
      </c>
      <c r="H2595" s="11">
        <f>H2594+G2595</f>
        <v/>
      </c>
    </row>
    <row r="2596">
      <c r="A2596" s="9" t="n">
        <v>2592</v>
      </c>
      <c r="B2596" s="9" t="inlineStr">
        <is>
          <t>Meridian</t>
        </is>
      </c>
      <c r="C2596" s="9" t="inlineStr">
        <is>
          <t>21/50 MA cross, 250-period confirm filter, VWAP</t>
        </is>
      </c>
      <c r="D2596" s="9" t="inlineStr">
        <is>
          <t>Long</t>
        </is>
      </c>
      <c r="E2596" s="10" t="n">
        <v>45390.21180555555</v>
      </c>
      <c r="F2596" s="10" t="n">
        <v>45390.52083333334</v>
      </c>
      <c r="G2596" s="11" t="n">
        <v>11.39</v>
      </c>
      <c r="H2596" s="11">
        <f>H2595+G2596</f>
        <v/>
      </c>
    </row>
    <row r="2597">
      <c r="A2597" s="9" t="n">
        <v>2593</v>
      </c>
      <c r="B2597" s="9" t="inlineStr">
        <is>
          <t>Ratchet</t>
        </is>
      </c>
      <c r="C2597" s="9" t="inlineStr">
        <is>
          <t>Stochastic scalp with give-back trail exit</t>
        </is>
      </c>
      <c r="D2597" s="9" t="inlineStr">
        <is>
          <t>Long</t>
        </is>
      </c>
      <c r="E2597" s="10" t="n">
        <v>45390.54166666666</v>
      </c>
      <c r="F2597" s="10" t="n">
        <v>45390.58333333334</v>
      </c>
      <c r="G2597" s="11" t="n">
        <v>1.69</v>
      </c>
      <c r="H2597" s="11">
        <f>H2596+G2597</f>
        <v/>
      </c>
    </row>
    <row r="2598">
      <c r="A2598" s="9" t="n">
        <v>2594</v>
      </c>
      <c r="B2598" s="9" t="inlineStr">
        <is>
          <t>Meridian</t>
        </is>
      </c>
      <c r="C2598" s="9" t="inlineStr">
        <is>
          <t>21/50 MA cross, 250-period confirm filter, VWAP</t>
        </is>
      </c>
      <c r="D2598" s="9" t="inlineStr">
        <is>
          <t>Long</t>
        </is>
      </c>
      <c r="E2598" s="10" t="n">
        <v>45390.52430555555</v>
      </c>
      <c r="F2598" s="10" t="n">
        <v>45390.625</v>
      </c>
      <c r="G2598" s="11" t="n">
        <v>-5.1</v>
      </c>
      <c r="H2598" s="11">
        <f>H2597+G2598</f>
        <v/>
      </c>
    </row>
    <row r="2599">
      <c r="A2599" s="9" t="n">
        <v>2595</v>
      </c>
      <c r="B2599" s="9" t="inlineStr">
        <is>
          <t>Aurelius_M5</t>
        </is>
      </c>
      <c r="C2599" s="9" t="inlineStr">
        <is>
          <t>MA alignment (EMA21&gt;EMA50&gt;SMA250&gt;SMMA500 vs EMA2400 trend filter)</t>
        </is>
      </c>
      <c r="D2599" s="9" t="inlineStr">
        <is>
          <t>Long</t>
        </is>
      </c>
      <c r="E2599" s="10" t="n">
        <v>45390.58680555555</v>
      </c>
      <c r="F2599" s="10" t="n">
        <v>45390.625</v>
      </c>
      <c r="G2599" s="11" t="n">
        <v>-5.04</v>
      </c>
      <c r="H2599" s="11">
        <f>H2598+G2599</f>
        <v/>
      </c>
    </row>
    <row r="2600">
      <c r="A2600" s="9" t="n">
        <v>2596</v>
      </c>
      <c r="B2600" s="9" t="inlineStr">
        <is>
          <t>Aurelius_M15</t>
        </is>
      </c>
      <c r="C2600" s="9" t="inlineStr">
        <is>
          <t>MA alignment (EMA21&gt;EMA50&gt;SMA250&gt;SMMA500 vs EMA2400 trend filter) - M15 chart</t>
        </is>
      </c>
      <c r="D2600" s="9" t="inlineStr">
        <is>
          <t>Long</t>
        </is>
      </c>
      <c r="E2600" s="10" t="n">
        <v>45390.19791666666</v>
      </c>
      <c r="F2600" s="10" t="n">
        <v>45390.83333333334</v>
      </c>
      <c r="G2600" s="11" t="n">
        <v>10.75</v>
      </c>
      <c r="H2600" s="11">
        <f>H2599+G2600</f>
        <v/>
      </c>
    </row>
    <row r="2601">
      <c r="A2601" s="9" t="n">
        <v>2597</v>
      </c>
      <c r="B2601" s="9" t="inlineStr">
        <is>
          <t>Vanguard_M5</t>
        </is>
      </c>
      <c r="C2601" s="9" t="inlineStr">
        <is>
          <t>Trendline breakout (fractal swing line) + VWAP/S-R distance gate</t>
        </is>
      </c>
      <c r="D2601" s="9" t="inlineStr">
        <is>
          <t>Short</t>
        </is>
      </c>
      <c r="E2601" s="10" t="n">
        <v>45390.71180555555</v>
      </c>
      <c r="F2601" s="10" t="n">
        <v>45390.85416666666</v>
      </c>
      <c r="G2601" s="11" t="n">
        <v>-16.61</v>
      </c>
      <c r="H2601" s="11">
        <f>H2600+G2601</f>
        <v/>
      </c>
    </row>
    <row r="2602">
      <c r="A2602" s="9" t="n">
        <v>2598</v>
      </c>
      <c r="B2602" s="9" t="inlineStr">
        <is>
          <t>Vanguard_M15</t>
        </is>
      </c>
      <c r="C2602" s="9" t="inlineStr">
        <is>
          <t>Trendline breakout (fractal swing line) + VWAP/S-R distance gate - M15 chart</t>
        </is>
      </c>
      <c r="D2602" s="9" t="inlineStr">
        <is>
          <t>Short</t>
        </is>
      </c>
      <c r="E2602" s="10" t="n">
        <v>45390.71875</v>
      </c>
      <c r="F2602" s="10" t="n">
        <v>45390.85416666666</v>
      </c>
      <c r="G2602" s="11" t="n">
        <v>-17.73</v>
      </c>
      <c r="H2602" s="11">
        <f>H2601+G2602</f>
        <v/>
      </c>
    </row>
    <row r="2603">
      <c r="A2603" s="9" t="n">
        <v>2599</v>
      </c>
      <c r="B2603" s="9" t="inlineStr">
        <is>
          <t>Ratchet</t>
        </is>
      </c>
      <c r="C2603" s="9" t="inlineStr">
        <is>
          <t>Stochastic scalp with give-back trail exit</t>
        </is>
      </c>
      <c r="D2603" s="9" t="inlineStr">
        <is>
          <t>Long</t>
        </is>
      </c>
      <c r="E2603" s="10" t="n">
        <v>45390.91666666666</v>
      </c>
      <c r="F2603" s="10" t="n">
        <v>45390.9375</v>
      </c>
      <c r="G2603" s="11" t="n">
        <v>0</v>
      </c>
      <c r="H2603" s="11">
        <f>H2602+G2603</f>
        <v/>
      </c>
    </row>
    <row r="2604">
      <c r="A2604" s="9" t="n">
        <v>2600</v>
      </c>
      <c r="B2604" s="9" t="inlineStr">
        <is>
          <t>Ratchet</t>
        </is>
      </c>
      <c r="C2604" s="9" t="inlineStr">
        <is>
          <t>Stochastic scalp with give-back trail exit</t>
        </is>
      </c>
      <c r="D2604" s="9" t="inlineStr">
        <is>
          <t>Long</t>
        </is>
      </c>
      <c r="E2604" s="10" t="n">
        <v>45390.95138888889</v>
      </c>
      <c r="F2604" s="10" t="n">
        <v>45390.99652777778</v>
      </c>
      <c r="G2604" s="11" t="n">
        <v>-0.54</v>
      </c>
      <c r="H2604" s="11">
        <f>H2603+G2604</f>
        <v/>
      </c>
    </row>
    <row r="2605">
      <c r="A2605" s="9" t="n">
        <v>2601</v>
      </c>
      <c r="B2605" s="9" t="inlineStr">
        <is>
          <t>Ratchet</t>
        </is>
      </c>
      <c r="C2605" s="9" t="inlineStr">
        <is>
          <t>Stochastic scalp with give-back trail exit</t>
        </is>
      </c>
      <c r="D2605" s="9" t="inlineStr">
        <is>
          <t>Long</t>
        </is>
      </c>
      <c r="E2605" s="10" t="n">
        <v>45391.08333333334</v>
      </c>
      <c r="F2605" s="10" t="n">
        <v>45391.09375</v>
      </c>
      <c r="G2605" s="11" t="n">
        <v>0.27</v>
      </c>
      <c r="H2605" s="11">
        <f>H2604+G2605</f>
        <v/>
      </c>
    </row>
    <row r="2606">
      <c r="A2606" s="9" t="n">
        <v>2602</v>
      </c>
      <c r="B2606" s="9" t="inlineStr">
        <is>
          <t>Ratchet</t>
        </is>
      </c>
      <c r="C2606" s="9" t="inlineStr">
        <is>
          <t>Stochastic scalp with give-back trail exit</t>
        </is>
      </c>
      <c r="D2606" s="9" t="inlineStr">
        <is>
          <t>Long</t>
        </is>
      </c>
      <c r="E2606" s="10" t="n">
        <v>45391.11111111111</v>
      </c>
      <c r="F2606" s="10" t="n">
        <v>45391.11805555555</v>
      </c>
      <c r="G2606" s="11" t="n">
        <v>-1.59</v>
      </c>
      <c r="H2606" s="11">
        <f>H2605+G2606</f>
        <v/>
      </c>
    </row>
    <row r="2607">
      <c r="A2607" s="9" t="n">
        <v>2603</v>
      </c>
      <c r="B2607" s="9" t="inlineStr">
        <is>
          <t>Ratchet</t>
        </is>
      </c>
      <c r="C2607" s="9" t="inlineStr">
        <is>
          <t>Stochastic scalp with give-back trail exit</t>
        </is>
      </c>
      <c r="D2607" s="9" t="inlineStr">
        <is>
          <t>Long</t>
        </is>
      </c>
      <c r="E2607" s="10" t="n">
        <v>45391.15277777778</v>
      </c>
      <c r="F2607" s="10" t="n">
        <v>45391.16666666666</v>
      </c>
      <c r="G2607" s="11" t="n">
        <v>-2.09</v>
      </c>
      <c r="H2607" s="11">
        <f>H2606+G2607</f>
        <v/>
      </c>
    </row>
    <row r="2608">
      <c r="A2608" s="9" t="n">
        <v>2604</v>
      </c>
      <c r="B2608" s="9" t="inlineStr">
        <is>
          <t>Ratchet</t>
        </is>
      </c>
      <c r="C2608" s="9" t="inlineStr">
        <is>
          <t>Stochastic scalp with give-back trail exit</t>
        </is>
      </c>
      <c r="D2608" s="9" t="inlineStr">
        <is>
          <t>Long</t>
        </is>
      </c>
      <c r="E2608" s="10" t="n">
        <v>45391.24652777778</v>
      </c>
      <c r="F2608" s="10" t="n">
        <v>45391.25694444445</v>
      </c>
      <c r="G2608" s="11" t="n">
        <v>0.51</v>
      </c>
      <c r="H2608" s="11">
        <f>H2607+G2608</f>
        <v/>
      </c>
    </row>
    <row r="2609">
      <c r="A2609" s="9" t="n">
        <v>2605</v>
      </c>
      <c r="B2609" s="9" t="inlineStr">
        <is>
          <t>Ratchet</t>
        </is>
      </c>
      <c r="C2609" s="9" t="inlineStr">
        <is>
          <t>Stochastic scalp with give-back trail exit</t>
        </is>
      </c>
      <c r="D2609" s="9" t="inlineStr">
        <is>
          <t>Long</t>
        </is>
      </c>
      <c r="E2609" s="10" t="n">
        <v>45391.26388888889</v>
      </c>
      <c r="F2609" s="10" t="n">
        <v>45391.3125</v>
      </c>
      <c r="G2609" s="11" t="n">
        <v>-0</v>
      </c>
      <c r="H2609" s="11">
        <f>H2608+G2609</f>
        <v/>
      </c>
    </row>
    <row r="2610">
      <c r="A2610" s="9" t="n">
        <v>2606</v>
      </c>
      <c r="B2610" s="9" t="inlineStr">
        <is>
          <t>Aurelius_M5</t>
        </is>
      </c>
      <c r="C2610" s="9" t="inlineStr">
        <is>
          <t>MA alignment (EMA21&gt;EMA50&gt;SMA250&gt;SMMA500 vs EMA2400 trend filter)</t>
        </is>
      </c>
      <c r="D2610" s="9" t="inlineStr">
        <is>
          <t>Long</t>
        </is>
      </c>
      <c r="E2610" s="10" t="n">
        <v>45391.17361111111</v>
      </c>
      <c r="F2610" s="10" t="n">
        <v>45391.59722222222</v>
      </c>
      <c r="G2610" s="11" t="n">
        <v>12.51</v>
      </c>
      <c r="H2610" s="11">
        <f>H2609+G2610</f>
        <v/>
      </c>
    </row>
    <row r="2611">
      <c r="A2611" s="9" t="n">
        <v>2607</v>
      </c>
      <c r="B2611" s="9" t="inlineStr">
        <is>
          <t>Meridian</t>
        </is>
      </c>
      <c r="C2611" s="9" t="inlineStr">
        <is>
          <t>21/50 MA cross, 250-period confirm filter, VWAP</t>
        </is>
      </c>
      <c r="D2611" s="9" t="inlineStr">
        <is>
          <t>Long</t>
        </is>
      </c>
      <c r="E2611" s="10" t="n">
        <v>45390.85763888889</v>
      </c>
      <c r="F2611" s="10" t="n">
        <v>45391.61805555555</v>
      </c>
      <c r="G2611" s="11" t="n">
        <v>14.1</v>
      </c>
      <c r="H2611" s="11">
        <f>H2610+G2611</f>
        <v/>
      </c>
    </row>
    <row r="2612">
      <c r="A2612" s="9" t="n">
        <v>2608</v>
      </c>
      <c r="B2612" s="9" t="inlineStr">
        <is>
          <t>Aurelius_M5</t>
        </is>
      </c>
      <c r="C2612" s="9" t="inlineStr">
        <is>
          <t>MA alignment (EMA21&gt;EMA50&gt;SMA250&gt;SMMA500 vs EMA2400 trend filter)</t>
        </is>
      </c>
      <c r="D2612" s="9" t="inlineStr">
        <is>
          <t>Long</t>
        </is>
      </c>
      <c r="E2612" s="10" t="n">
        <v>45391.72916666666</v>
      </c>
      <c r="F2612" s="10" t="n">
        <v>45391.73263888889</v>
      </c>
      <c r="G2612" s="11" t="n">
        <v>-7.87</v>
      </c>
      <c r="H2612" s="11">
        <f>H2611+G2612</f>
        <v/>
      </c>
    </row>
    <row r="2613">
      <c r="A2613" s="9" t="n">
        <v>2609</v>
      </c>
      <c r="B2613" s="9" t="inlineStr">
        <is>
          <t>Ratchet</t>
        </is>
      </c>
      <c r="C2613" s="9" t="inlineStr">
        <is>
          <t>Stochastic scalp with give-back trail exit</t>
        </is>
      </c>
      <c r="D2613" s="9" t="inlineStr">
        <is>
          <t>Long</t>
        </is>
      </c>
      <c r="E2613" s="10" t="n">
        <v>45391.73263888889</v>
      </c>
      <c r="F2613" s="10" t="n">
        <v>45391.73263888889</v>
      </c>
      <c r="G2613" s="11" t="n">
        <v>-6.15</v>
      </c>
      <c r="H2613" s="11">
        <f>H2612+G2613</f>
        <v/>
      </c>
    </row>
    <row r="2614">
      <c r="A2614" s="9" t="n">
        <v>2610</v>
      </c>
      <c r="B2614" s="9" t="inlineStr">
        <is>
          <t>Meridian</t>
        </is>
      </c>
      <c r="C2614" s="9" t="inlineStr">
        <is>
          <t>21/50 MA cross, 250-period confirm filter, VWAP</t>
        </is>
      </c>
      <c r="D2614" s="9" t="inlineStr">
        <is>
          <t>Long</t>
        </is>
      </c>
      <c r="E2614" s="10" t="n">
        <v>45391.71180555555</v>
      </c>
      <c r="F2614" s="10" t="n">
        <v>45391.73611111111</v>
      </c>
      <c r="G2614" s="11" t="n">
        <v>-8.44</v>
      </c>
      <c r="H2614" s="11">
        <f>H2613+G2614</f>
        <v/>
      </c>
    </row>
    <row r="2615">
      <c r="A2615" s="9" t="n">
        <v>2611</v>
      </c>
      <c r="B2615" s="9" t="inlineStr">
        <is>
          <t>Aurelius_M15</t>
        </is>
      </c>
      <c r="C2615" s="9" t="inlineStr">
        <is>
          <t>MA alignment (EMA21&gt;EMA50&gt;SMA250&gt;SMMA500 vs EMA2400 trend filter) - M15 chart</t>
        </is>
      </c>
      <c r="D2615" s="9" t="inlineStr">
        <is>
          <t>Long</t>
        </is>
      </c>
      <c r="E2615" s="10" t="n">
        <v>45391.19791666666</v>
      </c>
      <c r="F2615" s="10" t="n">
        <v>45391.83333333334</v>
      </c>
      <c r="G2615" s="11" t="n">
        <v>2.63</v>
      </c>
      <c r="H2615" s="11">
        <f>H2614+G2615</f>
        <v/>
      </c>
    </row>
    <row r="2616">
      <c r="A2616" s="9" t="n">
        <v>2612</v>
      </c>
      <c r="B2616" s="9" t="inlineStr">
        <is>
          <t>Meridian</t>
        </is>
      </c>
      <c r="C2616" s="9" t="inlineStr">
        <is>
          <t>21/50 MA cross, 250-period confirm filter, VWAP</t>
        </is>
      </c>
      <c r="D2616" s="9" t="inlineStr">
        <is>
          <t>Long</t>
        </is>
      </c>
      <c r="E2616" s="10" t="n">
        <v>45391.95486111111</v>
      </c>
      <c r="F2616" s="10" t="n">
        <v>45392.17013888889</v>
      </c>
      <c r="G2616" s="11" t="n">
        <v>-3.79</v>
      </c>
      <c r="H2616" s="11">
        <f>H2615+G2616</f>
        <v/>
      </c>
    </row>
    <row r="2617">
      <c r="A2617" s="9" t="n">
        <v>2613</v>
      </c>
      <c r="B2617" s="9" t="inlineStr">
        <is>
          <t>Ratchet</t>
        </is>
      </c>
      <c r="C2617" s="9" t="inlineStr">
        <is>
          <t>Stochastic scalp with give-back trail exit</t>
        </is>
      </c>
      <c r="D2617" s="9" t="inlineStr">
        <is>
          <t>Long</t>
        </is>
      </c>
      <c r="E2617" s="10" t="n">
        <v>45392.25347222222</v>
      </c>
      <c r="F2617" s="10" t="n">
        <v>45392.26041666666</v>
      </c>
      <c r="G2617" s="11" t="n">
        <v>-0</v>
      </c>
      <c r="H2617" s="11">
        <f>H2616+G2617</f>
        <v/>
      </c>
    </row>
    <row r="2618">
      <c r="A2618" s="9" t="n">
        <v>2614</v>
      </c>
      <c r="B2618" s="9" t="inlineStr">
        <is>
          <t>Ratchet</t>
        </is>
      </c>
      <c r="C2618" s="9" t="inlineStr">
        <is>
          <t>Stochastic scalp with give-back trail exit</t>
        </is>
      </c>
      <c r="D2618" s="9" t="inlineStr">
        <is>
          <t>Long</t>
        </is>
      </c>
      <c r="E2618" s="10" t="n">
        <v>45392.39930555555</v>
      </c>
      <c r="F2618" s="10" t="n">
        <v>45392.39930555555</v>
      </c>
      <c r="G2618" s="11" t="n">
        <v>-2.96</v>
      </c>
      <c r="H2618" s="11">
        <f>H2617+G2618</f>
        <v/>
      </c>
    </row>
    <row r="2619">
      <c r="A2619" s="9" t="n">
        <v>2615</v>
      </c>
      <c r="B2619" s="9" t="inlineStr">
        <is>
          <t>Aurelius_M5</t>
        </is>
      </c>
      <c r="C2619" s="9" t="inlineStr">
        <is>
          <t>MA alignment (EMA21&gt;EMA50&gt;SMA250&gt;SMMA500 vs EMA2400 trend filter)</t>
        </is>
      </c>
      <c r="D2619" s="9" t="inlineStr">
        <is>
          <t>Long</t>
        </is>
      </c>
      <c r="E2619" s="10" t="n">
        <v>45392.4375</v>
      </c>
      <c r="F2619" s="10" t="n">
        <v>45392.44791666666</v>
      </c>
      <c r="G2619" s="11" t="n">
        <v>-4.21</v>
      </c>
      <c r="H2619" s="11">
        <f>H2618+G2619</f>
        <v/>
      </c>
    </row>
    <row r="2620">
      <c r="A2620" s="9" t="n">
        <v>2616</v>
      </c>
      <c r="B2620" s="9" t="inlineStr">
        <is>
          <t>Meridian</t>
        </is>
      </c>
      <c r="C2620" s="9" t="inlineStr">
        <is>
          <t>21/50 MA cross, 250-period confirm filter, VWAP</t>
        </is>
      </c>
      <c r="D2620" s="9" t="inlineStr">
        <is>
          <t>Long</t>
        </is>
      </c>
      <c r="E2620" s="10" t="n">
        <v>45392.25347222222</v>
      </c>
      <c r="F2620" s="10" t="n">
        <v>45392.46180555555</v>
      </c>
      <c r="G2620" s="11" t="n">
        <v>1.26</v>
      </c>
      <c r="H2620" s="11">
        <f>H2619+G2620</f>
        <v/>
      </c>
    </row>
    <row r="2621">
      <c r="A2621" s="9" t="n">
        <v>2617</v>
      </c>
      <c r="B2621" s="9" t="inlineStr">
        <is>
          <t>Vanguard_M15</t>
        </is>
      </c>
      <c r="C2621" s="9" t="inlineStr">
        <is>
          <t>Trendline breakout (fractal swing line) + VWAP/S-R distance gate - M15 chart</t>
        </is>
      </c>
      <c r="D2621" s="9" t="inlineStr">
        <is>
          <t>Short</t>
        </is>
      </c>
      <c r="E2621" s="10" t="n">
        <v>45391.73958333334</v>
      </c>
      <c r="F2621" s="10" t="n">
        <v>45392.5625</v>
      </c>
      <c r="G2621" s="11" t="n">
        <v>-1.93</v>
      </c>
      <c r="H2621" s="11">
        <f>H2620+G2621</f>
        <v/>
      </c>
    </row>
    <row r="2622">
      <c r="A2622" s="9" t="n">
        <v>2618</v>
      </c>
      <c r="B2622" s="9" t="inlineStr">
        <is>
          <t>Vanguard_M5</t>
        </is>
      </c>
      <c r="C2622" s="9" t="inlineStr">
        <is>
          <t>Trendline breakout (fractal swing line) + VWAP/S-R distance gate</t>
        </is>
      </c>
      <c r="D2622" s="9" t="inlineStr">
        <is>
          <t>Short</t>
        </is>
      </c>
      <c r="E2622" s="10" t="n">
        <v>45391.73958333334</v>
      </c>
      <c r="F2622" s="10" t="n">
        <v>45392.5625</v>
      </c>
      <c r="G2622" s="11" t="n">
        <v>-3.08</v>
      </c>
      <c r="H2622" s="11">
        <f>H2621+G2622</f>
        <v/>
      </c>
    </row>
    <row r="2623">
      <c r="A2623" s="9" t="n">
        <v>2619</v>
      </c>
      <c r="B2623" s="9" t="inlineStr">
        <is>
          <t>Meridian</t>
        </is>
      </c>
      <c r="C2623" s="9" t="inlineStr">
        <is>
          <t>21/50 MA cross, 250-period confirm filter, VWAP</t>
        </is>
      </c>
      <c r="D2623" s="9" t="inlineStr">
        <is>
          <t>Short</t>
        </is>
      </c>
      <c r="E2623" s="10" t="n">
        <v>45392.75694444445</v>
      </c>
      <c r="F2623" s="10" t="n">
        <v>45393.07986111111</v>
      </c>
      <c r="G2623" s="11" t="n">
        <v>0.82</v>
      </c>
      <c r="H2623" s="11">
        <f>H2622+G2623</f>
        <v/>
      </c>
    </row>
    <row r="2624">
      <c r="A2624" s="9" t="n">
        <v>2620</v>
      </c>
      <c r="B2624" s="9" t="inlineStr">
        <is>
          <t>Meridian</t>
        </is>
      </c>
      <c r="C2624" s="9" t="inlineStr">
        <is>
          <t>21/50 MA cross, 250-period confirm filter, VWAP</t>
        </is>
      </c>
      <c r="D2624" s="9" t="inlineStr">
        <is>
          <t>Short</t>
        </is>
      </c>
      <c r="E2624" s="10" t="n">
        <v>45393.38194444445</v>
      </c>
      <c r="F2624" s="10" t="n">
        <v>45393.58680555555</v>
      </c>
      <c r="G2624" s="11" t="n">
        <v>-0.12</v>
      </c>
      <c r="H2624" s="11">
        <f>H2623+G2624</f>
        <v/>
      </c>
    </row>
    <row r="2625">
      <c r="A2625" s="9" t="n">
        <v>2621</v>
      </c>
      <c r="B2625" s="9" t="inlineStr">
        <is>
          <t>Aurelius_M5</t>
        </is>
      </c>
      <c r="C2625" s="9" t="inlineStr">
        <is>
          <t>MA alignment (EMA21&gt;EMA50&gt;SMA250&gt;SMMA500 vs EMA2400 trend filter)</t>
        </is>
      </c>
      <c r="D2625" s="9" t="inlineStr">
        <is>
          <t>Long</t>
        </is>
      </c>
      <c r="E2625" s="10" t="n">
        <v>45393.66666666666</v>
      </c>
      <c r="F2625" s="10" t="n">
        <v>45393.72916666666</v>
      </c>
      <c r="G2625" s="11" t="n">
        <v>-7.03</v>
      </c>
      <c r="H2625" s="11">
        <f>H2624+G2625</f>
        <v/>
      </c>
    </row>
    <row r="2626">
      <c r="A2626" s="9" t="n">
        <v>2622</v>
      </c>
      <c r="B2626" s="9" t="inlineStr">
        <is>
          <t>Ratchet</t>
        </is>
      </c>
      <c r="C2626" s="9" t="inlineStr">
        <is>
          <t>Stochastic scalp with give-back trail exit</t>
        </is>
      </c>
      <c r="D2626" s="9" t="inlineStr">
        <is>
          <t>Long</t>
        </is>
      </c>
      <c r="E2626" s="10" t="n">
        <v>45393.92708333334</v>
      </c>
      <c r="F2626" s="10" t="n">
        <v>45393.99652777778</v>
      </c>
      <c r="G2626" s="11" t="n">
        <v>12.36</v>
      </c>
      <c r="H2626" s="11">
        <f>H2625+G2626</f>
        <v/>
      </c>
    </row>
    <row r="2627">
      <c r="A2627" s="9" t="n">
        <v>2623</v>
      </c>
      <c r="B2627" s="9" t="inlineStr">
        <is>
          <t>Ratchet</t>
        </is>
      </c>
      <c r="C2627" s="9" t="inlineStr">
        <is>
          <t>Stochastic scalp with give-back trail exit</t>
        </is>
      </c>
      <c r="D2627" s="9" t="inlineStr">
        <is>
          <t>Long</t>
        </is>
      </c>
      <c r="E2627" s="10" t="n">
        <v>45394.05208333334</v>
      </c>
      <c r="F2627" s="10" t="n">
        <v>45394.0625</v>
      </c>
      <c r="G2627" s="11" t="n">
        <v>-3.54</v>
      </c>
      <c r="H2627" s="11">
        <f>H2626+G2627</f>
        <v/>
      </c>
    </row>
    <row r="2628">
      <c r="A2628" s="9" t="n">
        <v>2624</v>
      </c>
      <c r="B2628" s="9" t="inlineStr">
        <is>
          <t>Ratchet</t>
        </is>
      </c>
      <c r="C2628" s="9" t="inlineStr">
        <is>
          <t>Stochastic scalp with give-back trail exit</t>
        </is>
      </c>
      <c r="D2628" s="9" t="inlineStr">
        <is>
          <t>Long</t>
        </is>
      </c>
      <c r="E2628" s="10" t="n">
        <v>45394.09375</v>
      </c>
      <c r="F2628" s="10" t="n">
        <v>45394.10416666666</v>
      </c>
      <c r="G2628" s="11" t="n">
        <v>0.32</v>
      </c>
      <c r="H2628" s="11">
        <f>H2627+G2628</f>
        <v/>
      </c>
    </row>
    <row r="2629">
      <c r="A2629" s="9" t="n">
        <v>2625</v>
      </c>
      <c r="B2629" s="9" t="inlineStr">
        <is>
          <t>Ratchet</t>
        </is>
      </c>
      <c r="C2629" s="9" t="inlineStr">
        <is>
          <t>Stochastic scalp with give-back trail exit</t>
        </is>
      </c>
      <c r="D2629" s="9" t="inlineStr">
        <is>
          <t>Long</t>
        </is>
      </c>
      <c r="E2629" s="10" t="n">
        <v>45394.11805555555</v>
      </c>
      <c r="F2629" s="10" t="n">
        <v>45394.16319444445</v>
      </c>
      <c r="G2629" s="11" t="n">
        <v>0.25</v>
      </c>
      <c r="H2629" s="11">
        <f>H2628+G2629</f>
        <v/>
      </c>
    </row>
    <row r="2630">
      <c r="A2630" s="9" t="n">
        <v>2626</v>
      </c>
      <c r="B2630" s="9" t="inlineStr">
        <is>
          <t>Ratchet</t>
        </is>
      </c>
      <c r="C2630" s="9" t="inlineStr">
        <is>
          <t>Stochastic scalp with give-back trail exit</t>
        </is>
      </c>
      <c r="D2630" s="9" t="inlineStr">
        <is>
          <t>Long</t>
        </is>
      </c>
      <c r="E2630" s="10" t="n">
        <v>45394.23611111111</v>
      </c>
      <c r="F2630" s="10" t="n">
        <v>45394.27777777778</v>
      </c>
      <c r="G2630" s="11" t="n">
        <v>-5.88</v>
      </c>
      <c r="H2630" s="11">
        <f>H2629+G2630</f>
        <v/>
      </c>
    </row>
    <row r="2631">
      <c r="A2631" s="9" t="n">
        <v>2627</v>
      </c>
      <c r="B2631" s="9" t="inlineStr">
        <is>
          <t>Ratchet</t>
        </is>
      </c>
      <c r="C2631" s="9" t="inlineStr">
        <is>
          <t>Stochastic scalp with give-back trail exit</t>
        </is>
      </c>
      <c r="D2631" s="9" t="inlineStr">
        <is>
          <t>Long</t>
        </is>
      </c>
      <c r="E2631" s="10" t="n">
        <v>45394.45486111111</v>
      </c>
      <c r="F2631" s="10" t="n">
        <v>45394.45833333334</v>
      </c>
      <c r="G2631" s="11" t="n">
        <v>0.76</v>
      </c>
      <c r="H2631" s="11">
        <f>H2630+G2631</f>
        <v/>
      </c>
    </row>
    <row r="2632">
      <c r="A2632" s="9" t="n">
        <v>2628</v>
      </c>
      <c r="B2632" s="9" t="inlineStr">
        <is>
          <t>Aurelius_M5</t>
        </is>
      </c>
      <c r="C2632" s="9" t="inlineStr">
        <is>
          <t>MA alignment (EMA21&gt;EMA50&gt;SMA250&gt;SMMA500 vs EMA2400 trend filter)</t>
        </is>
      </c>
      <c r="D2632" s="9" t="inlineStr">
        <is>
          <t>Long</t>
        </is>
      </c>
      <c r="E2632" s="10" t="n">
        <v>45394.37847222222</v>
      </c>
      <c r="F2632" s="10" t="n">
        <v>45394.63194444445</v>
      </c>
      <c r="G2632" s="11" t="n">
        <v>5.09</v>
      </c>
      <c r="H2632" s="11">
        <f>H2631+G2632</f>
        <v/>
      </c>
    </row>
    <row r="2633">
      <c r="A2633" s="9" t="n">
        <v>2629</v>
      </c>
      <c r="B2633" s="9" t="inlineStr">
        <is>
          <t>Meridian</t>
        </is>
      </c>
      <c r="C2633" s="9" t="inlineStr">
        <is>
          <t>21/50 MA cross, 250-period confirm filter, VWAP</t>
        </is>
      </c>
      <c r="D2633" s="9" t="inlineStr">
        <is>
          <t>Long</t>
        </is>
      </c>
      <c r="E2633" s="10" t="n">
        <v>45394.65625</v>
      </c>
      <c r="F2633" s="10" t="n">
        <v>45394.65972222222</v>
      </c>
      <c r="G2633" s="11" t="n">
        <v>-4.25</v>
      </c>
      <c r="H2633" s="11">
        <f>H2632+G2633</f>
        <v/>
      </c>
    </row>
    <row r="2634">
      <c r="A2634" s="9" t="n">
        <v>2630</v>
      </c>
      <c r="B2634" s="9" t="inlineStr">
        <is>
          <t>Ratchet</t>
        </is>
      </c>
      <c r="C2634" s="9" t="inlineStr">
        <is>
          <t>Stochastic scalp with give-back trail exit</t>
        </is>
      </c>
      <c r="D2634" s="9" t="inlineStr">
        <is>
          <t>Long</t>
        </is>
      </c>
      <c r="E2634" s="10" t="n">
        <v>45394.69097222222</v>
      </c>
      <c r="F2634" s="10" t="n">
        <v>45394.69791666666</v>
      </c>
      <c r="G2634" s="11" t="n">
        <v>1.22</v>
      </c>
      <c r="H2634" s="11">
        <f>H2633+G2634</f>
        <v/>
      </c>
    </row>
    <row r="2635">
      <c r="A2635" s="9" t="n">
        <v>2631</v>
      </c>
      <c r="B2635" s="9" t="inlineStr">
        <is>
          <t>Ratchet</t>
        </is>
      </c>
      <c r="C2635" s="9" t="inlineStr">
        <is>
          <t>Stochastic scalp with give-back trail exit</t>
        </is>
      </c>
      <c r="D2635" s="9" t="inlineStr">
        <is>
          <t>Long</t>
        </is>
      </c>
      <c r="E2635" s="10" t="n">
        <v>45394.70833333334</v>
      </c>
      <c r="F2635" s="10" t="n">
        <v>45394.75694444445</v>
      </c>
      <c r="G2635" s="11" t="n">
        <v>7.9</v>
      </c>
      <c r="H2635" s="11">
        <f>H2634+G2635</f>
        <v/>
      </c>
    </row>
    <row r="2636">
      <c r="A2636" s="9" t="n">
        <v>2632</v>
      </c>
      <c r="B2636" s="9" t="inlineStr">
        <is>
          <t>Aurelius_M5</t>
        </is>
      </c>
      <c r="C2636" s="9" t="inlineStr">
        <is>
          <t>MA alignment (EMA21&gt;EMA50&gt;SMA250&gt;SMMA500 vs EMA2400 trend filter)</t>
        </is>
      </c>
      <c r="D2636" s="9" t="inlineStr">
        <is>
          <t>Long</t>
        </is>
      </c>
      <c r="E2636" s="10" t="n">
        <v>45394.70833333334</v>
      </c>
      <c r="F2636" s="10" t="n">
        <v>45394.76736111111</v>
      </c>
      <c r="G2636" s="11" t="n">
        <v>-9.15</v>
      </c>
      <c r="H2636" s="11">
        <f>H2635+G2636</f>
        <v/>
      </c>
    </row>
    <row r="2637">
      <c r="A2637" s="9" t="n">
        <v>2633</v>
      </c>
      <c r="B2637" s="9" t="inlineStr">
        <is>
          <t>Meridian</t>
        </is>
      </c>
      <c r="C2637" s="9" t="inlineStr">
        <is>
          <t>21/50 MA cross, 250-period confirm filter, VWAP</t>
        </is>
      </c>
      <c r="D2637" s="9" t="inlineStr">
        <is>
          <t>Long</t>
        </is>
      </c>
      <c r="E2637" s="10" t="n">
        <v>45394.67013888889</v>
      </c>
      <c r="F2637" s="10" t="n">
        <v>45394.77083333334</v>
      </c>
      <c r="G2637" s="11" t="n">
        <v>-6.94</v>
      </c>
      <c r="H2637" s="11">
        <f>H2636+G2637</f>
        <v/>
      </c>
    </row>
    <row r="2638">
      <c r="A2638" s="9" t="n">
        <v>2634</v>
      </c>
      <c r="B2638" s="9" t="inlineStr">
        <is>
          <t>Aurelius_M15</t>
        </is>
      </c>
      <c r="C2638" s="9" t="inlineStr">
        <is>
          <t>MA alignment (EMA21&gt;EMA50&gt;SMA250&gt;SMMA500 vs EMA2400 trend filter) - M15 chart</t>
        </is>
      </c>
      <c r="D2638" s="9" t="inlineStr">
        <is>
          <t>Long</t>
        </is>
      </c>
      <c r="E2638" s="10" t="n">
        <v>45393.85416666666</v>
      </c>
      <c r="F2638" s="10" t="n">
        <v>45394.86458333334</v>
      </c>
      <c r="G2638" s="11" t="n">
        <v>-7.03</v>
      </c>
      <c r="H2638" s="11">
        <f>H2637+G2638</f>
        <v/>
      </c>
    </row>
    <row r="2639">
      <c r="A2639" s="9" t="n">
        <v>2635</v>
      </c>
      <c r="B2639" s="9" t="inlineStr">
        <is>
          <t>Vanguard_M5</t>
        </is>
      </c>
      <c r="C2639" s="9" t="inlineStr">
        <is>
          <t>Trendline breakout (fractal swing line) + VWAP/S-R distance gate</t>
        </is>
      </c>
      <c r="D2639" s="9" t="inlineStr">
        <is>
          <t>Long</t>
        </is>
      </c>
      <c r="E2639" s="10" t="n">
        <v>45393.64930555555</v>
      </c>
      <c r="F2639" s="10" t="n">
        <v>45394.89583333334</v>
      </c>
      <c r="G2639" s="11" t="n">
        <v>-0.97</v>
      </c>
      <c r="H2639" s="11">
        <f>H2638+G2639</f>
        <v/>
      </c>
    </row>
    <row r="2640">
      <c r="A2640" s="9" t="n">
        <v>2636</v>
      </c>
      <c r="B2640" s="9" t="inlineStr">
        <is>
          <t>Vanguard_M15</t>
        </is>
      </c>
      <c r="C2640" s="9" t="inlineStr">
        <is>
          <t>Trendline breakout (fractal swing line) + VWAP/S-R distance gate - M15 chart</t>
        </is>
      </c>
      <c r="D2640" s="9" t="inlineStr">
        <is>
          <t>Long</t>
        </is>
      </c>
      <c r="E2640" s="10" t="n">
        <v>45393.66666666666</v>
      </c>
      <c r="F2640" s="10" t="n">
        <v>45394.89583333334</v>
      </c>
      <c r="G2640" s="11" t="n">
        <v>-4.93</v>
      </c>
      <c r="H2640" s="11">
        <f>H2639+G2640</f>
        <v/>
      </c>
    </row>
    <row r="2641">
      <c r="A2641" s="9" t="n">
        <v>2637</v>
      </c>
      <c r="B2641" s="9" t="inlineStr">
        <is>
          <t>Vanguard_M15</t>
        </is>
      </c>
      <c r="C2641" s="9" t="inlineStr">
        <is>
          <t>Trendline breakout (fractal swing line) + VWAP/S-R distance gate - M15 chart</t>
        </is>
      </c>
      <c r="D2641" s="9" t="inlineStr">
        <is>
          <t>Short</t>
        </is>
      </c>
      <c r="E2641" s="10" t="n">
        <v>45394.90625</v>
      </c>
      <c r="F2641" s="10" t="n">
        <v>45397.04166666666</v>
      </c>
      <c r="G2641" s="11" t="n">
        <v>-29.16</v>
      </c>
      <c r="H2641" s="11">
        <f>H2640+G2641</f>
        <v/>
      </c>
    </row>
    <row r="2642">
      <c r="A2642" s="9" t="n">
        <v>2638</v>
      </c>
      <c r="B2642" s="9" t="inlineStr">
        <is>
          <t>Vanguard_M5</t>
        </is>
      </c>
      <c r="C2642" s="9" t="inlineStr">
        <is>
          <t>Trendline breakout (fractal swing line) + VWAP/S-R distance gate</t>
        </is>
      </c>
      <c r="D2642" s="9" t="inlineStr">
        <is>
          <t>Short</t>
        </is>
      </c>
      <c r="E2642" s="10" t="n">
        <v>45394.90625</v>
      </c>
      <c r="F2642" s="10" t="n">
        <v>45397.04166666666</v>
      </c>
      <c r="G2642" s="11" t="n">
        <v>-21.33</v>
      </c>
      <c r="H2642" s="11">
        <f>H2641+G2642</f>
        <v/>
      </c>
    </row>
    <row r="2643">
      <c r="A2643" s="9" t="n">
        <v>2639</v>
      </c>
      <c r="B2643" s="9" t="inlineStr">
        <is>
          <t>Meridian</t>
        </is>
      </c>
      <c r="C2643" s="9" t="inlineStr">
        <is>
          <t>21/50 MA cross, 250-period confirm filter, VWAP</t>
        </is>
      </c>
      <c r="D2643" s="9" t="inlineStr">
        <is>
          <t>Short</t>
        </is>
      </c>
      <c r="E2643" s="10" t="n">
        <v>45397.18055555555</v>
      </c>
      <c r="F2643" s="10" t="n">
        <v>45397.21527777778</v>
      </c>
      <c r="G2643" s="11" t="n">
        <v>-10.25</v>
      </c>
      <c r="H2643" s="11">
        <f>H2642+G2643</f>
        <v/>
      </c>
    </row>
    <row r="2644">
      <c r="A2644" s="9" t="n">
        <v>2640</v>
      </c>
      <c r="B2644" s="9" t="inlineStr">
        <is>
          <t>Meridian</t>
        </is>
      </c>
      <c r="C2644" s="9" t="inlineStr">
        <is>
          <t>21/50 MA cross, 250-period confirm filter, VWAP</t>
        </is>
      </c>
      <c r="D2644" s="9" t="inlineStr">
        <is>
          <t>Short</t>
        </is>
      </c>
      <c r="E2644" s="10" t="n">
        <v>45397.31944444445</v>
      </c>
      <c r="F2644" s="10" t="n">
        <v>45397.36805555555</v>
      </c>
      <c r="G2644" s="11" t="n">
        <v>-4.79</v>
      </c>
      <c r="H2644" s="11">
        <f>H2643+G2644</f>
        <v/>
      </c>
    </row>
    <row r="2645">
      <c r="A2645" s="9" t="n">
        <v>2641</v>
      </c>
      <c r="B2645" s="9" t="inlineStr">
        <is>
          <t>Meridian</t>
        </is>
      </c>
      <c r="C2645" s="9" t="inlineStr">
        <is>
          <t>21/50 MA cross, 250-period confirm filter, VWAP</t>
        </is>
      </c>
      <c r="D2645" s="9" t="inlineStr">
        <is>
          <t>Short</t>
        </is>
      </c>
      <c r="E2645" s="10" t="n">
        <v>45397.41666666666</v>
      </c>
      <c r="F2645" s="10" t="n">
        <v>45397.58680555555</v>
      </c>
      <c r="G2645" s="11" t="n">
        <v>-5.8</v>
      </c>
      <c r="H2645" s="11">
        <f>H2644+G2645</f>
        <v/>
      </c>
    </row>
    <row r="2646">
      <c r="A2646" s="9" t="n">
        <v>2642</v>
      </c>
      <c r="B2646" s="9" t="inlineStr">
        <is>
          <t>Vanguard_M5</t>
        </is>
      </c>
      <c r="C2646" s="9" t="inlineStr">
        <is>
          <t>Trendline breakout (fractal swing line) + VWAP/S-R distance gate</t>
        </is>
      </c>
      <c r="D2646" s="9" t="inlineStr">
        <is>
          <t>Short</t>
        </is>
      </c>
      <c r="E2646" s="10" t="n">
        <v>45397.71527777778</v>
      </c>
      <c r="F2646" s="10" t="n">
        <v>45397.73263888889</v>
      </c>
      <c r="G2646" s="11" t="n">
        <v>-20.56</v>
      </c>
      <c r="H2646" s="11">
        <f>H2645+G2646</f>
        <v/>
      </c>
    </row>
    <row r="2647">
      <c r="A2647" s="9" t="n">
        <v>2643</v>
      </c>
      <c r="B2647" s="9" t="inlineStr">
        <is>
          <t>Vanguard_M15</t>
        </is>
      </c>
      <c r="C2647" s="9" t="inlineStr">
        <is>
          <t>Trendline breakout (fractal swing line) + VWAP/S-R distance gate - M15 chart</t>
        </is>
      </c>
      <c r="D2647" s="9" t="inlineStr">
        <is>
          <t>Short</t>
        </is>
      </c>
      <c r="E2647" s="10" t="n">
        <v>45397.71875</v>
      </c>
      <c r="F2647" s="10" t="n">
        <v>45397.73958333334</v>
      </c>
      <c r="G2647" s="11" t="n">
        <v>-19.87</v>
      </c>
      <c r="H2647" s="11">
        <f>H2646+G2647</f>
        <v/>
      </c>
    </row>
    <row r="2648">
      <c r="A2648" s="9" t="n">
        <v>2644</v>
      </c>
      <c r="B2648" s="9" t="inlineStr">
        <is>
          <t>Meridian</t>
        </is>
      </c>
      <c r="C2648" s="9" t="inlineStr">
        <is>
          <t>21/50 MA cross, 250-period confirm filter, VWAP</t>
        </is>
      </c>
      <c r="D2648" s="9" t="inlineStr">
        <is>
          <t>Short</t>
        </is>
      </c>
      <c r="E2648" s="10" t="n">
        <v>45397.69791666666</v>
      </c>
      <c r="F2648" s="10" t="n">
        <v>45397.81944444445</v>
      </c>
      <c r="G2648" s="11" t="n">
        <v>-8.48</v>
      </c>
      <c r="H2648" s="11">
        <f>H2647+G2648</f>
        <v/>
      </c>
    </row>
    <row r="2649">
      <c r="A2649" s="9" t="n">
        <v>2645</v>
      </c>
      <c r="B2649" s="9" t="inlineStr">
        <is>
          <t>Ratchet</t>
        </is>
      </c>
      <c r="C2649" s="9" t="inlineStr">
        <is>
          <t>Stochastic scalp with give-back trail exit</t>
        </is>
      </c>
      <c r="D2649" s="9" t="inlineStr">
        <is>
          <t>Long</t>
        </is>
      </c>
      <c r="E2649" s="10" t="n">
        <v>45398.21180555555</v>
      </c>
      <c r="F2649" s="10" t="n">
        <v>45398.22916666666</v>
      </c>
      <c r="G2649" s="11" t="n">
        <v>-3.85</v>
      </c>
      <c r="H2649" s="11">
        <f>H2648+G2649</f>
        <v/>
      </c>
    </row>
    <row r="2650">
      <c r="A2650" s="9" t="n">
        <v>2646</v>
      </c>
      <c r="B2650" s="9" t="inlineStr">
        <is>
          <t>Aurelius_M5</t>
        </is>
      </c>
      <c r="C2650" s="9" t="inlineStr">
        <is>
          <t>MA alignment (EMA21&gt;EMA50&gt;SMA250&gt;SMMA500 vs EMA2400 trend filter)</t>
        </is>
      </c>
      <c r="D2650" s="9" t="inlineStr">
        <is>
          <t>Long</t>
        </is>
      </c>
      <c r="E2650" s="10" t="n">
        <v>45398.18055555555</v>
      </c>
      <c r="F2650" s="10" t="n">
        <v>45398.39583333334</v>
      </c>
      <c r="G2650" s="11" t="n">
        <v>-5.34</v>
      </c>
      <c r="H2650" s="11">
        <f>H2649+G2650</f>
        <v/>
      </c>
    </row>
    <row r="2651">
      <c r="A2651" s="9" t="n">
        <v>2647</v>
      </c>
      <c r="B2651" s="9" t="inlineStr">
        <is>
          <t>Vanguard_M15</t>
        </is>
      </c>
      <c r="C2651" s="9" t="inlineStr">
        <is>
          <t>Trendline breakout (fractal swing line) + VWAP/S-R distance gate - M15 chart</t>
        </is>
      </c>
      <c r="D2651" s="9" t="inlineStr">
        <is>
          <t>Long</t>
        </is>
      </c>
      <c r="E2651" s="10" t="n">
        <v>45398.6875</v>
      </c>
      <c r="F2651" s="10" t="n">
        <v>45398.69791666666</v>
      </c>
      <c r="G2651" s="11" t="n">
        <v>-13.22</v>
      </c>
      <c r="H2651" s="11">
        <f>H2650+G2651</f>
        <v/>
      </c>
    </row>
    <row r="2652">
      <c r="A2652" s="9" t="n">
        <v>2648</v>
      </c>
      <c r="B2652" s="9" t="inlineStr">
        <is>
          <t>Meridian</t>
        </is>
      </c>
      <c r="C2652" s="9" t="inlineStr">
        <is>
          <t>21/50 MA cross, 250-period confirm filter, VWAP</t>
        </is>
      </c>
      <c r="D2652" s="9" t="inlineStr">
        <is>
          <t>Short</t>
        </is>
      </c>
      <c r="E2652" s="10" t="n">
        <v>45398.71180555555</v>
      </c>
      <c r="F2652" s="10" t="n">
        <v>45398.74305555555</v>
      </c>
      <c r="G2652" s="11" t="n">
        <v>-9.380000000000001</v>
      </c>
      <c r="H2652" s="11">
        <f>H2651+G2652</f>
        <v/>
      </c>
    </row>
    <row r="2653">
      <c r="A2653" s="9" t="n">
        <v>2649</v>
      </c>
      <c r="B2653" s="9" t="inlineStr">
        <is>
          <t>Ratchet</t>
        </is>
      </c>
      <c r="C2653" s="9" t="inlineStr">
        <is>
          <t>Stochastic scalp with give-back trail exit</t>
        </is>
      </c>
      <c r="D2653" s="9" t="inlineStr">
        <is>
          <t>Long</t>
        </is>
      </c>
      <c r="E2653" s="10" t="n">
        <v>45398.76388888889</v>
      </c>
      <c r="F2653" s="10" t="n">
        <v>45398.79861111111</v>
      </c>
      <c r="G2653" s="11" t="n">
        <v>1.23</v>
      </c>
      <c r="H2653" s="11">
        <f>H2652+G2653</f>
        <v/>
      </c>
    </row>
    <row r="2654">
      <c r="A2654" s="9" t="n">
        <v>2650</v>
      </c>
      <c r="B2654" s="9" t="inlineStr">
        <is>
          <t>Aurelius_M15</t>
        </is>
      </c>
      <c r="C2654" s="9" t="inlineStr">
        <is>
          <t>MA alignment (EMA21&gt;EMA50&gt;SMA250&gt;SMMA500 vs EMA2400 trend filter) - M15 chart</t>
        </is>
      </c>
      <c r="D2654" s="9" t="inlineStr">
        <is>
          <t>Long</t>
        </is>
      </c>
      <c r="E2654" s="10" t="n">
        <v>45398.83333333334</v>
      </c>
      <c r="F2654" s="10" t="n">
        <v>45398.86458333334</v>
      </c>
      <c r="G2654" s="11" t="n">
        <v>-15.85</v>
      </c>
      <c r="H2654" s="11">
        <f>H2653+G2654</f>
        <v/>
      </c>
    </row>
    <row r="2655">
      <c r="A2655" s="9" t="n">
        <v>2651</v>
      </c>
      <c r="B2655" s="9" t="inlineStr">
        <is>
          <t>Ratchet</t>
        </is>
      </c>
      <c r="C2655" s="9" t="inlineStr">
        <is>
          <t>Stochastic scalp with give-back trail exit</t>
        </is>
      </c>
      <c r="D2655" s="9" t="inlineStr">
        <is>
          <t>Long</t>
        </is>
      </c>
      <c r="E2655" s="10" t="n">
        <v>45398.90625</v>
      </c>
      <c r="F2655" s="10" t="n">
        <v>45398.9375</v>
      </c>
      <c r="G2655" s="11" t="n">
        <v>0</v>
      </c>
      <c r="H2655" s="11">
        <f>H2654+G2655</f>
        <v/>
      </c>
    </row>
    <row r="2656">
      <c r="A2656" s="9" t="n">
        <v>2652</v>
      </c>
      <c r="B2656" s="9" t="inlineStr">
        <is>
          <t>Meridian</t>
        </is>
      </c>
      <c r="C2656" s="9" t="inlineStr">
        <is>
          <t>21/50 MA cross, 250-period confirm filter, VWAP</t>
        </is>
      </c>
      <c r="D2656" s="9" t="inlineStr">
        <is>
          <t>Long</t>
        </is>
      </c>
      <c r="E2656" s="10" t="n">
        <v>45398.75</v>
      </c>
      <c r="F2656" s="10" t="n">
        <v>45398.99305555555</v>
      </c>
      <c r="G2656" s="11" t="n">
        <v>0.17</v>
      </c>
      <c r="H2656" s="11">
        <f>H2655+G2656</f>
        <v/>
      </c>
    </row>
    <row r="2657">
      <c r="A2657" s="9" t="n">
        <v>2653</v>
      </c>
      <c r="B2657" s="9" t="inlineStr">
        <is>
          <t>Ratchet</t>
        </is>
      </c>
      <c r="C2657" s="9" t="inlineStr">
        <is>
          <t>Stochastic scalp with give-back trail exit</t>
        </is>
      </c>
      <c r="D2657" s="9" t="inlineStr">
        <is>
          <t>Long</t>
        </is>
      </c>
      <c r="E2657" s="10" t="n">
        <v>45399.51388888889</v>
      </c>
      <c r="F2657" s="10" t="n">
        <v>45399.54861111111</v>
      </c>
      <c r="G2657" s="11" t="n">
        <v>-3.87</v>
      </c>
      <c r="H2657" s="11">
        <f>H2656+G2657</f>
        <v/>
      </c>
    </row>
    <row r="2658">
      <c r="A2658" s="9" t="n">
        <v>2654</v>
      </c>
      <c r="B2658" s="9" t="inlineStr">
        <is>
          <t>Ratchet</t>
        </is>
      </c>
      <c r="C2658" s="9" t="inlineStr">
        <is>
          <t>Stochastic scalp with give-back trail exit</t>
        </is>
      </c>
      <c r="D2658" s="9" t="inlineStr">
        <is>
          <t>Long</t>
        </is>
      </c>
      <c r="E2658" s="10" t="n">
        <v>45399.59722222222</v>
      </c>
      <c r="F2658" s="10" t="n">
        <v>45399.625</v>
      </c>
      <c r="G2658" s="11" t="n">
        <v>-3.13</v>
      </c>
      <c r="H2658" s="11">
        <f>H2657+G2658</f>
        <v/>
      </c>
    </row>
    <row r="2659">
      <c r="A2659" s="9" t="n">
        <v>2655</v>
      </c>
      <c r="B2659" s="9" t="inlineStr">
        <is>
          <t>Meridian</t>
        </is>
      </c>
      <c r="C2659" s="9" t="inlineStr">
        <is>
          <t>21/50 MA cross, 250-period confirm filter, VWAP</t>
        </is>
      </c>
      <c r="D2659" s="9" t="inlineStr">
        <is>
          <t>Long</t>
        </is>
      </c>
      <c r="E2659" s="10" t="n">
        <v>45399.46180555555</v>
      </c>
      <c r="F2659" s="10" t="n">
        <v>45399.64583333334</v>
      </c>
      <c r="G2659" s="11" t="n">
        <v>-0.77</v>
      </c>
      <c r="H2659" s="11">
        <f>H2658+G2659</f>
        <v/>
      </c>
    </row>
    <row r="2660">
      <c r="A2660" s="9" t="n">
        <v>2656</v>
      </c>
      <c r="B2660" s="9" t="inlineStr">
        <is>
          <t>Ratchet</t>
        </is>
      </c>
      <c r="C2660" s="9" t="inlineStr">
        <is>
          <t>Stochastic scalp with give-back trail exit</t>
        </is>
      </c>
      <c r="D2660" s="9" t="inlineStr">
        <is>
          <t>Long</t>
        </is>
      </c>
      <c r="E2660" s="10" t="n">
        <v>45399.70833333334</v>
      </c>
      <c r="F2660" s="10" t="n">
        <v>45399.70833333334</v>
      </c>
      <c r="G2660" s="11" t="n">
        <v>-5.13</v>
      </c>
      <c r="H2660" s="11">
        <f>H2659+G2660</f>
        <v/>
      </c>
    </row>
    <row r="2661">
      <c r="A2661" s="9" t="n">
        <v>2657</v>
      </c>
      <c r="B2661" s="9" t="inlineStr">
        <is>
          <t>Meridian</t>
        </is>
      </c>
      <c r="C2661" s="9" t="inlineStr">
        <is>
          <t>21/50 MA cross, 250-period confirm filter, VWAP</t>
        </is>
      </c>
      <c r="D2661" s="9" t="inlineStr">
        <is>
          <t>Long</t>
        </is>
      </c>
      <c r="E2661" s="10" t="n">
        <v>45399.69444444445</v>
      </c>
      <c r="F2661" s="10" t="n">
        <v>45399.76041666666</v>
      </c>
      <c r="G2661" s="11" t="n">
        <v>-6.44</v>
      </c>
      <c r="H2661" s="11">
        <f>H2660+G2661</f>
        <v/>
      </c>
    </row>
    <row r="2662">
      <c r="A2662" s="9" t="n">
        <v>2658</v>
      </c>
      <c r="B2662" s="9" t="inlineStr">
        <is>
          <t>Aurelius_M5</t>
        </is>
      </c>
      <c r="C2662" s="9" t="inlineStr">
        <is>
          <t>MA alignment (EMA21&gt;EMA50&gt;SMA250&gt;SMMA500 vs EMA2400 trend filter)</t>
        </is>
      </c>
      <c r="D2662" s="9" t="inlineStr">
        <is>
          <t>Long</t>
        </is>
      </c>
      <c r="E2662" s="10" t="n">
        <v>45399.72569444445</v>
      </c>
      <c r="F2662" s="10" t="n">
        <v>45399.77083333334</v>
      </c>
      <c r="G2662" s="11" t="n">
        <v>-7.44</v>
      </c>
      <c r="H2662" s="11">
        <f>H2661+G2662</f>
        <v/>
      </c>
    </row>
    <row r="2663">
      <c r="A2663" s="9" t="n">
        <v>2659</v>
      </c>
      <c r="B2663" s="9" t="inlineStr">
        <is>
          <t>Aurelius_M15</t>
        </is>
      </c>
      <c r="C2663" s="9" t="inlineStr">
        <is>
          <t>MA alignment (EMA21&gt;EMA50&gt;SMA250&gt;SMMA500 vs EMA2400 trend filter) - M15 chart</t>
        </is>
      </c>
      <c r="D2663" s="9" t="inlineStr">
        <is>
          <t>Long</t>
        </is>
      </c>
      <c r="E2663" s="10" t="n">
        <v>45399.67708333334</v>
      </c>
      <c r="F2663" s="10" t="n">
        <v>45399.8125</v>
      </c>
      <c r="G2663" s="11" t="n">
        <v>-9.02</v>
      </c>
      <c r="H2663" s="11">
        <f>H2662+G2663</f>
        <v/>
      </c>
    </row>
    <row r="2664">
      <c r="A2664" s="9" t="n">
        <v>2660</v>
      </c>
      <c r="B2664" s="9" t="inlineStr">
        <is>
          <t>Vanguard_M15</t>
        </is>
      </c>
      <c r="C2664" s="9" t="inlineStr">
        <is>
          <t>Trendline breakout (fractal swing line) + VWAP/S-R distance gate - M15 chart</t>
        </is>
      </c>
      <c r="D2664" s="9" t="inlineStr">
        <is>
          <t>Short</t>
        </is>
      </c>
      <c r="E2664" s="10" t="n">
        <v>45399.82291666666</v>
      </c>
      <c r="F2664" s="10" t="n">
        <v>45400.55208333334</v>
      </c>
      <c r="G2664" s="11" t="n">
        <v>-16.06</v>
      </c>
      <c r="H2664" s="11">
        <f>H2663+G2664</f>
        <v/>
      </c>
    </row>
    <row r="2665">
      <c r="A2665" s="9" t="n">
        <v>2661</v>
      </c>
      <c r="B2665" s="9" t="inlineStr">
        <is>
          <t>Vanguard_M5</t>
        </is>
      </c>
      <c r="C2665" s="9" t="inlineStr">
        <is>
          <t>Trendline breakout (fractal swing line) + VWAP/S-R distance gate</t>
        </is>
      </c>
      <c r="D2665" s="9" t="inlineStr">
        <is>
          <t>Short</t>
        </is>
      </c>
      <c r="E2665" s="10" t="n">
        <v>45399.81597222222</v>
      </c>
      <c r="F2665" s="10" t="n">
        <v>45400.63888888889</v>
      </c>
      <c r="G2665" s="11" t="n">
        <v>-9.119999999999999</v>
      </c>
      <c r="H2665" s="11">
        <f>H2664+G2665</f>
        <v/>
      </c>
    </row>
    <row r="2666">
      <c r="A2666" s="9" t="n">
        <v>2662</v>
      </c>
      <c r="B2666" s="9" t="inlineStr">
        <is>
          <t>Aurelius_M15</t>
        </is>
      </c>
      <c r="C2666" s="9" t="inlineStr">
        <is>
          <t>MA alignment (EMA21&gt;EMA50&gt;SMA250&gt;SMMA500 vs EMA2400 trend filter) - M15 chart</t>
        </is>
      </c>
      <c r="D2666" s="9" t="inlineStr">
        <is>
          <t>Long</t>
        </is>
      </c>
      <c r="E2666" s="10" t="n">
        <v>45400.63541666666</v>
      </c>
      <c r="F2666" s="10" t="n">
        <v>45400.6875</v>
      </c>
      <c r="G2666" s="11" t="n">
        <v>-7.26</v>
      </c>
      <c r="H2666" s="11">
        <f>H2665+G2666</f>
        <v/>
      </c>
    </row>
    <row r="2667">
      <c r="A2667" s="9" t="n">
        <v>2663</v>
      </c>
      <c r="B2667" s="9" t="inlineStr">
        <is>
          <t>Aurelius_M5</t>
        </is>
      </c>
      <c r="C2667" s="9" t="inlineStr">
        <is>
          <t>MA alignment (EMA21&gt;EMA50&gt;SMA250&gt;SMMA500 vs EMA2400 trend filter)</t>
        </is>
      </c>
      <c r="D2667" s="9" t="inlineStr">
        <is>
          <t>Long</t>
        </is>
      </c>
      <c r="E2667" s="10" t="n">
        <v>45400.5625</v>
      </c>
      <c r="F2667" s="10" t="n">
        <v>45400.69097222222</v>
      </c>
      <c r="G2667" s="11" t="n">
        <v>-3.42</v>
      </c>
      <c r="H2667" s="11">
        <f>H2666+G2667</f>
        <v/>
      </c>
    </row>
    <row r="2668">
      <c r="A2668" s="9" t="n">
        <v>2664</v>
      </c>
      <c r="B2668" s="9" t="inlineStr">
        <is>
          <t>Meridian</t>
        </is>
      </c>
      <c r="C2668" s="9" t="inlineStr">
        <is>
          <t>21/50 MA cross, 250-period confirm filter, VWAP</t>
        </is>
      </c>
      <c r="D2668" s="9" t="inlineStr">
        <is>
          <t>Long</t>
        </is>
      </c>
      <c r="E2668" s="10" t="n">
        <v>45400.77777777778</v>
      </c>
      <c r="F2668" s="10" t="n">
        <v>45400.89930555555</v>
      </c>
      <c r="G2668" s="11" t="n">
        <v>-4.13</v>
      </c>
      <c r="H2668" s="11">
        <f>H2667+G2668</f>
        <v/>
      </c>
    </row>
    <row r="2669">
      <c r="A2669" s="9" t="n">
        <v>2665</v>
      </c>
      <c r="B2669" s="9" t="inlineStr">
        <is>
          <t>Aurelius_M15</t>
        </is>
      </c>
      <c r="C2669" s="9" t="inlineStr">
        <is>
          <t>MA alignment (EMA21&gt;EMA50&gt;SMA250&gt;SMMA500 vs EMA2400 trend filter) - M15 chart</t>
        </is>
      </c>
      <c r="D2669" s="9" t="inlineStr">
        <is>
          <t>Long</t>
        </is>
      </c>
      <c r="E2669" s="10" t="n">
        <v>45400.76041666666</v>
      </c>
      <c r="F2669" s="10" t="n">
        <v>45401.14583333334</v>
      </c>
      <c r="G2669" s="11" t="n">
        <v>-6.1</v>
      </c>
      <c r="H2669" s="11">
        <f>H2668+G2669</f>
        <v/>
      </c>
    </row>
    <row r="2670">
      <c r="A2670" s="9" t="n">
        <v>2666</v>
      </c>
      <c r="B2670" s="9" t="inlineStr">
        <is>
          <t>Vanguard_M5</t>
        </is>
      </c>
      <c r="C2670" s="9" t="inlineStr">
        <is>
          <t>Trendline breakout (fractal swing line) + VWAP/S-R distance gate</t>
        </is>
      </c>
      <c r="D2670" s="9" t="inlineStr">
        <is>
          <t>Short</t>
        </is>
      </c>
      <c r="E2670" s="10" t="n">
        <v>45401.13194444445</v>
      </c>
      <c r="F2670" s="10" t="n">
        <v>45401.16666666666</v>
      </c>
      <c r="G2670" s="11" t="n">
        <v>-3.94</v>
      </c>
      <c r="H2670" s="11">
        <f>H2669+G2670</f>
        <v/>
      </c>
    </row>
    <row r="2671">
      <c r="A2671" s="9" t="n">
        <v>2667</v>
      </c>
      <c r="B2671" s="9" t="inlineStr">
        <is>
          <t>Vanguard_M15</t>
        </is>
      </c>
      <c r="C2671" s="9" t="inlineStr">
        <is>
          <t>Trendline breakout (fractal swing line) + VWAP/S-R distance gate - M15 chart</t>
        </is>
      </c>
      <c r="D2671" s="9" t="inlineStr">
        <is>
          <t>Short</t>
        </is>
      </c>
      <c r="E2671" s="10" t="n">
        <v>45401.13541666666</v>
      </c>
      <c r="F2671" s="10" t="n">
        <v>45401.16666666666</v>
      </c>
      <c r="G2671" s="11" t="n">
        <v>-7.89</v>
      </c>
      <c r="H2671" s="11">
        <f>H2670+G2671</f>
        <v/>
      </c>
    </row>
    <row r="2672">
      <c r="A2672" s="9" t="n">
        <v>2668</v>
      </c>
      <c r="B2672" s="9" t="inlineStr">
        <is>
          <t>Ratchet</t>
        </is>
      </c>
      <c r="C2672" s="9" t="inlineStr">
        <is>
          <t>Stochastic scalp with give-back trail exit</t>
        </is>
      </c>
      <c r="D2672" s="9" t="inlineStr">
        <is>
          <t>Long</t>
        </is>
      </c>
      <c r="E2672" s="10" t="n">
        <v>45401.20138888889</v>
      </c>
      <c r="F2672" s="10" t="n">
        <v>45401.20138888889</v>
      </c>
      <c r="G2672" s="11" t="n">
        <v>-9.33</v>
      </c>
      <c r="H2672" s="11">
        <f>H2671+G2672</f>
        <v/>
      </c>
    </row>
    <row r="2673">
      <c r="A2673" s="9" t="n">
        <v>2669</v>
      </c>
      <c r="B2673" s="9" t="inlineStr">
        <is>
          <t>Aurelius_M5</t>
        </is>
      </c>
      <c r="C2673" s="9" t="inlineStr">
        <is>
          <t>MA alignment (EMA21&gt;EMA50&gt;SMA250&gt;SMMA500 vs EMA2400 trend filter)</t>
        </is>
      </c>
      <c r="D2673" s="9" t="inlineStr">
        <is>
          <t>Long</t>
        </is>
      </c>
      <c r="E2673" s="10" t="n">
        <v>45401.19097222222</v>
      </c>
      <c r="F2673" s="10" t="n">
        <v>45401.23611111111</v>
      </c>
      <c r="G2673" s="11" t="n">
        <v>-9</v>
      </c>
      <c r="H2673" s="11">
        <f>H2672+G2673</f>
        <v/>
      </c>
    </row>
    <row r="2674">
      <c r="A2674" s="9" t="n">
        <v>2670</v>
      </c>
      <c r="B2674" s="9" t="inlineStr">
        <is>
          <t>Meridian</t>
        </is>
      </c>
      <c r="C2674" s="9" t="inlineStr">
        <is>
          <t>21/50 MA cross, 250-period confirm filter, VWAP</t>
        </is>
      </c>
      <c r="D2674" s="9" t="inlineStr">
        <is>
          <t>Long</t>
        </is>
      </c>
      <c r="E2674" s="10" t="n">
        <v>45401.17708333334</v>
      </c>
      <c r="F2674" s="10" t="n">
        <v>45401.26041666666</v>
      </c>
      <c r="G2674" s="11" t="n">
        <v>-5.38</v>
      </c>
      <c r="H2674" s="11">
        <f>H2673+G2674</f>
        <v/>
      </c>
    </row>
    <row r="2675">
      <c r="A2675" s="9" t="n">
        <v>2671</v>
      </c>
      <c r="B2675" s="9" t="inlineStr">
        <is>
          <t>Vanguard_M15</t>
        </is>
      </c>
      <c r="C2675" s="9" t="inlineStr">
        <is>
          <t>Trendline breakout (fractal swing line) + VWAP/S-R distance gate - M15 chart</t>
        </is>
      </c>
      <c r="D2675" s="9" t="inlineStr">
        <is>
          <t>Long</t>
        </is>
      </c>
      <c r="E2675" s="10" t="n">
        <v>45401.1875</v>
      </c>
      <c r="F2675" s="10" t="n">
        <v>45401.26041666666</v>
      </c>
      <c r="G2675" s="11" t="n">
        <v>-11.89</v>
      </c>
      <c r="H2675" s="11">
        <f>H2674+G2675</f>
        <v/>
      </c>
    </row>
    <row r="2676">
      <c r="A2676" s="9" t="n">
        <v>2672</v>
      </c>
      <c r="B2676" s="9" t="inlineStr">
        <is>
          <t>Vanguard_M5</t>
        </is>
      </c>
      <c r="C2676" s="9" t="inlineStr">
        <is>
          <t>Trendline breakout (fractal swing line) + VWAP/S-R distance gate</t>
        </is>
      </c>
      <c r="D2676" s="9" t="inlineStr">
        <is>
          <t>Long</t>
        </is>
      </c>
      <c r="E2676" s="10" t="n">
        <v>45401.18402777778</v>
      </c>
      <c r="F2676" s="10" t="n">
        <v>45401.31944444445</v>
      </c>
      <c r="G2676" s="11" t="n">
        <v>-9.859999999999999</v>
      </c>
      <c r="H2676" s="11">
        <f>H2675+G2676</f>
        <v/>
      </c>
    </row>
    <row r="2677">
      <c r="A2677" s="9" t="n">
        <v>2673</v>
      </c>
      <c r="B2677" s="9" t="inlineStr">
        <is>
          <t>Vanguard_M15</t>
        </is>
      </c>
      <c r="C2677" s="9" t="inlineStr">
        <is>
          <t>Trendline breakout (fractal swing line) + VWAP/S-R distance gate - M15 chart</t>
        </is>
      </c>
      <c r="D2677" s="9" t="inlineStr">
        <is>
          <t>Short</t>
        </is>
      </c>
      <c r="E2677" s="10" t="n">
        <v>45401.32291666666</v>
      </c>
      <c r="F2677" s="10" t="n">
        <v>45401.41666666666</v>
      </c>
      <c r="G2677" s="11" t="n">
        <v>-10.89</v>
      </c>
      <c r="H2677" s="11">
        <f>H2676+G2677</f>
        <v/>
      </c>
    </row>
    <row r="2678">
      <c r="A2678" s="9" t="n">
        <v>2674</v>
      </c>
      <c r="B2678" s="9" t="inlineStr">
        <is>
          <t>Vanguard_M5</t>
        </is>
      </c>
      <c r="C2678" s="9" t="inlineStr">
        <is>
          <t>Trendline breakout (fractal swing line) + VWAP/S-R distance gate</t>
        </is>
      </c>
      <c r="D2678" s="9" t="inlineStr">
        <is>
          <t>Short</t>
        </is>
      </c>
      <c r="E2678" s="10" t="n">
        <v>45401.32291666666</v>
      </c>
      <c r="F2678" s="10" t="n">
        <v>45401.42013888889</v>
      </c>
      <c r="G2678" s="11" t="n">
        <v>-10.08</v>
      </c>
      <c r="H2678" s="11">
        <f>H2677+G2678</f>
        <v/>
      </c>
    </row>
    <row r="2679">
      <c r="A2679" s="9" t="n">
        <v>2675</v>
      </c>
      <c r="B2679" s="9" t="inlineStr">
        <is>
          <t>Meridian</t>
        </is>
      </c>
      <c r="C2679" s="9" t="inlineStr">
        <is>
          <t>21/50 MA cross, 250-period confirm filter, VWAP</t>
        </is>
      </c>
      <c r="D2679" s="9" t="inlineStr">
        <is>
          <t>Short</t>
        </is>
      </c>
      <c r="E2679" s="10" t="n">
        <v>45401.46180555555</v>
      </c>
      <c r="F2679" s="10" t="n">
        <v>45401.69791666666</v>
      </c>
      <c r="G2679" s="11" t="n">
        <v>-1.96</v>
      </c>
      <c r="H2679" s="11">
        <f>H2678+G2679</f>
        <v/>
      </c>
    </row>
    <row r="2680">
      <c r="A2680" s="9" t="n">
        <v>2676</v>
      </c>
      <c r="B2680" s="9" t="inlineStr">
        <is>
          <t>Meridian</t>
        </is>
      </c>
      <c r="C2680" s="9" t="inlineStr">
        <is>
          <t>21/50 MA cross, 250-period confirm filter, VWAP</t>
        </is>
      </c>
      <c r="D2680" s="9" t="inlineStr">
        <is>
          <t>Short</t>
        </is>
      </c>
      <c r="E2680" s="10" t="n">
        <v>45401.70833333334</v>
      </c>
      <c r="F2680" s="10" t="n">
        <v>45401.71527777778</v>
      </c>
      <c r="G2680" s="11" t="n">
        <v>-4.49</v>
      </c>
      <c r="H2680" s="11">
        <f>H2679+G2680</f>
        <v/>
      </c>
    </row>
    <row r="2681">
      <c r="A2681" s="9" t="n">
        <v>2677</v>
      </c>
      <c r="B2681" s="9" t="inlineStr">
        <is>
          <t>Vanguard_M5</t>
        </is>
      </c>
      <c r="C2681" s="9" t="inlineStr">
        <is>
          <t>Trendline breakout (fractal swing line) + VWAP/S-R distance gate</t>
        </is>
      </c>
      <c r="D2681" s="9" t="inlineStr">
        <is>
          <t>Short</t>
        </is>
      </c>
      <c r="E2681" s="10" t="n">
        <v>45401.46180555555</v>
      </c>
      <c r="F2681" s="10" t="n">
        <v>45401.75347222222</v>
      </c>
      <c r="G2681" s="11" t="n">
        <v>-10.99</v>
      </c>
      <c r="H2681" s="11">
        <f>H2680+G2681</f>
        <v/>
      </c>
    </row>
    <row r="2682">
      <c r="A2682" s="9" t="n">
        <v>2678</v>
      </c>
      <c r="B2682" s="9" t="inlineStr">
        <is>
          <t>Ratchet</t>
        </is>
      </c>
      <c r="C2682" s="9" t="inlineStr">
        <is>
          <t>Stochastic scalp with give-back trail exit</t>
        </is>
      </c>
      <c r="D2682" s="9" t="inlineStr">
        <is>
          <t>Long</t>
        </is>
      </c>
      <c r="E2682" s="10" t="n">
        <v>45401.75</v>
      </c>
      <c r="F2682" s="10" t="n">
        <v>45401.76388888889</v>
      </c>
      <c r="G2682" s="11" t="n">
        <v>0.99</v>
      </c>
      <c r="H2682" s="11">
        <f>H2681+G2682</f>
        <v/>
      </c>
    </row>
    <row r="2683">
      <c r="A2683" s="9" t="n">
        <v>2679</v>
      </c>
      <c r="B2683" s="9" t="inlineStr">
        <is>
          <t>Ratchet</t>
        </is>
      </c>
      <c r="C2683" s="9" t="inlineStr">
        <is>
          <t>Stochastic scalp with give-back trail exit</t>
        </is>
      </c>
      <c r="D2683" s="9" t="inlineStr">
        <is>
          <t>Long</t>
        </is>
      </c>
      <c r="E2683" s="10" t="n">
        <v>45401.76736111111</v>
      </c>
      <c r="F2683" s="10" t="n">
        <v>45401.79166666666</v>
      </c>
      <c r="G2683" s="11" t="n">
        <v>0</v>
      </c>
      <c r="H2683" s="11">
        <f>H2682+G2683</f>
        <v/>
      </c>
    </row>
    <row r="2684">
      <c r="A2684" s="9" t="n">
        <v>2680</v>
      </c>
      <c r="B2684" s="9" t="inlineStr">
        <is>
          <t>Vanguard_M15</t>
        </is>
      </c>
      <c r="C2684" s="9" t="inlineStr">
        <is>
          <t>Trendline breakout (fractal swing line) + VWAP/S-R distance gate - M15 chart</t>
        </is>
      </c>
      <c r="D2684" s="9" t="inlineStr">
        <is>
          <t>Short</t>
        </is>
      </c>
      <c r="E2684" s="10" t="n">
        <v>45401.46875</v>
      </c>
      <c r="F2684" s="10" t="n">
        <v>45401.83333333334</v>
      </c>
      <c r="G2684" s="11" t="n">
        <v>-17.66</v>
      </c>
      <c r="H2684" s="11">
        <f>H2683+G2684</f>
        <v/>
      </c>
    </row>
    <row r="2685">
      <c r="A2685" s="9" t="n">
        <v>2681</v>
      </c>
      <c r="B2685" s="9" t="inlineStr">
        <is>
          <t>Ratchet</t>
        </is>
      </c>
      <c r="C2685" s="9" t="inlineStr">
        <is>
          <t>Stochastic scalp with give-back trail exit</t>
        </is>
      </c>
      <c r="D2685" s="9" t="inlineStr">
        <is>
          <t>Short</t>
        </is>
      </c>
      <c r="E2685" s="10" t="n">
        <v>45404.42361111111</v>
      </c>
      <c r="F2685" s="10" t="n">
        <v>45404.45486111111</v>
      </c>
      <c r="G2685" s="11" t="n">
        <v>-5.36</v>
      </c>
      <c r="H2685" s="11">
        <f>H2684+G2685</f>
        <v/>
      </c>
    </row>
    <row r="2686">
      <c r="A2686" s="9" t="n">
        <v>2682</v>
      </c>
      <c r="B2686" s="9" t="inlineStr">
        <is>
          <t>Ratchet</t>
        </is>
      </c>
      <c r="C2686" s="9" t="inlineStr">
        <is>
          <t>Stochastic scalp with give-back trail exit</t>
        </is>
      </c>
      <c r="D2686" s="9" t="inlineStr">
        <is>
          <t>Short</t>
        </is>
      </c>
      <c r="E2686" s="10" t="n">
        <v>45404.55902777778</v>
      </c>
      <c r="F2686" s="10" t="n">
        <v>45404.57986111111</v>
      </c>
      <c r="G2686" s="11" t="n">
        <v>0.84</v>
      </c>
      <c r="H2686" s="11">
        <f>H2685+G2686</f>
        <v/>
      </c>
    </row>
    <row r="2687">
      <c r="A2687" s="9" t="n">
        <v>2683</v>
      </c>
      <c r="B2687" s="9" t="inlineStr">
        <is>
          <t>Ratchet</t>
        </is>
      </c>
      <c r="C2687" s="9" t="inlineStr">
        <is>
          <t>Stochastic scalp with give-back trail exit</t>
        </is>
      </c>
      <c r="D2687" s="9" t="inlineStr">
        <is>
          <t>Short</t>
        </is>
      </c>
      <c r="E2687" s="10" t="n">
        <v>45404.72222222222</v>
      </c>
      <c r="F2687" s="10" t="n">
        <v>45404.73263888889</v>
      </c>
      <c r="G2687" s="11" t="n">
        <v>-6.98</v>
      </c>
      <c r="H2687" s="11">
        <f>H2686+G2687</f>
        <v/>
      </c>
    </row>
    <row r="2688">
      <c r="A2688" s="9" t="n">
        <v>2684</v>
      </c>
      <c r="B2688" s="9" t="inlineStr">
        <is>
          <t>Ratchet</t>
        </is>
      </c>
      <c r="C2688" s="9" t="inlineStr">
        <is>
          <t>Stochastic scalp with give-back trail exit</t>
        </is>
      </c>
      <c r="D2688" s="9" t="inlineStr">
        <is>
          <t>Short</t>
        </is>
      </c>
      <c r="E2688" s="10" t="n">
        <v>45404.76736111111</v>
      </c>
      <c r="F2688" s="10" t="n">
        <v>45404.83333333334</v>
      </c>
      <c r="G2688" s="11" t="n">
        <v>1.4</v>
      </c>
      <c r="H2688" s="11">
        <f>H2687+G2688</f>
        <v/>
      </c>
    </row>
    <row r="2689">
      <c r="A2689" s="9" t="n">
        <v>2685</v>
      </c>
      <c r="B2689" s="9" t="inlineStr">
        <is>
          <t>Ratchet</t>
        </is>
      </c>
      <c r="C2689" s="9" t="inlineStr">
        <is>
          <t>Stochastic scalp with give-back trail exit</t>
        </is>
      </c>
      <c r="D2689" s="9" t="inlineStr">
        <is>
          <t>Short</t>
        </is>
      </c>
      <c r="E2689" s="10" t="n">
        <v>45405.28819444445</v>
      </c>
      <c r="F2689" s="10" t="n">
        <v>45405.3125</v>
      </c>
      <c r="G2689" s="11" t="n">
        <v>-4.91</v>
      </c>
      <c r="H2689" s="11">
        <f>H2688+G2689</f>
        <v/>
      </c>
    </row>
    <row r="2690">
      <c r="A2690" s="9" t="n">
        <v>2686</v>
      </c>
      <c r="B2690" s="9" t="inlineStr">
        <is>
          <t>Ratchet</t>
        </is>
      </c>
      <c r="C2690" s="9" t="inlineStr">
        <is>
          <t>Stochastic scalp with give-back trail exit</t>
        </is>
      </c>
      <c r="D2690" s="9" t="inlineStr">
        <is>
          <t>Short</t>
        </is>
      </c>
      <c r="E2690" s="10" t="n">
        <v>45405.39583333334</v>
      </c>
      <c r="F2690" s="10" t="n">
        <v>45405.40625</v>
      </c>
      <c r="G2690" s="11" t="n">
        <v>0.8100000000000001</v>
      </c>
      <c r="H2690" s="11">
        <f>H2689+G2690</f>
        <v/>
      </c>
    </row>
    <row r="2691">
      <c r="A2691" s="9" t="n">
        <v>2687</v>
      </c>
      <c r="B2691" s="9" t="inlineStr">
        <is>
          <t>Ratchet</t>
        </is>
      </c>
      <c r="C2691" s="9" t="inlineStr">
        <is>
          <t>Stochastic scalp with give-back trail exit</t>
        </is>
      </c>
      <c r="D2691" s="9" t="inlineStr">
        <is>
          <t>Short</t>
        </is>
      </c>
      <c r="E2691" s="10" t="n">
        <v>45405.41666666666</v>
      </c>
      <c r="F2691" s="10" t="n">
        <v>45405.42708333334</v>
      </c>
      <c r="G2691" s="11" t="n">
        <v>-5.12</v>
      </c>
      <c r="H2691" s="11">
        <f>H2690+G2691</f>
        <v/>
      </c>
    </row>
    <row r="2692">
      <c r="A2692" s="9" t="n">
        <v>2688</v>
      </c>
      <c r="B2692" s="9" t="inlineStr">
        <is>
          <t>Aurelius_M5</t>
        </is>
      </c>
      <c r="C2692" s="9" t="inlineStr">
        <is>
          <t>MA alignment (EMA21&gt;EMA50&gt;SMA250&gt;SMMA500 vs EMA2400 trend filter)</t>
        </is>
      </c>
      <c r="D2692" s="9" t="inlineStr">
        <is>
          <t>Short</t>
        </is>
      </c>
      <c r="E2692" s="10" t="n">
        <v>45405.20138888889</v>
      </c>
      <c r="F2692" s="10" t="n">
        <v>45405.45833333334</v>
      </c>
      <c r="G2692" s="11" t="n">
        <v>-2.16</v>
      </c>
      <c r="H2692" s="11">
        <f>H2691+G2692</f>
        <v/>
      </c>
    </row>
    <row r="2693">
      <c r="A2693" s="9" t="n">
        <v>2689</v>
      </c>
      <c r="B2693" s="9" t="inlineStr">
        <is>
          <t>Aurelius_M5</t>
        </is>
      </c>
      <c r="C2693" s="9" t="inlineStr">
        <is>
          <t>MA alignment (EMA21&gt;EMA50&gt;SMA250&gt;SMMA500 vs EMA2400 trend filter)</t>
        </is>
      </c>
      <c r="D2693" s="9" t="inlineStr">
        <is>
          <t>Short</t>
        </is>
      </c>
      <c r="E2693" s="10" t="n">
        <v>45405.51041666666</v>
      </c>
      <c r="F2693" s="10" t="n">
        <v>45405.56597222222</v>
      </c>
      <c r="G2693" s="11" t="n">
        <v>-6.14</v>
      </c>
      <c r="H2693" s="11">
        <f>H2692+G2693</f>
        <v/>
      </c>
    </row>
    <row r="2694">
      <c r="A2694" s="9" t="n">
        <v>2690</v>
      </c>
      <c r="B2694" s="9" t="inlineStr">
        <is>
          <t>Aurelius_M5</t>
        </is>
      </c>
      <c r="C2694" s="9" t="inlineStr">
        <is>
          <t>MA alignment (EMA21&gt;EMA50&gt;SMA250&gt;SMMA500 vs EMA2400 trend filter)</t>
        </is>
      </c>
      <c r="D2694" s="9" t="inlineStr">
        <is>
          <t>Short</t>
        </is>
      </c>
      <c r="E2694" s="10" t="n">
        <v>45405.59722222222</v>
      </c>
      <c r="F2694" s="10" t="n">
        <v>45405.62847222222</v>
      </c>
      <c r="G2694" s="11" t="n">
        <v>-5.63</v>
      </c>
      <c r="H2694" s="11">
        <f>H2693+G2694</f>
        <v/>
      </c>
    </row>
    <row r="2695">
      <c r="A2695" s="9" t="n">
        <v>2691</v>
      </c>
      <c r="B2695" s="9" t="inlineStr">
        <is>
          <t>Meridian</t>
        </is>
      </c>
      <c r="C2695" s="9" t="inlineStr">
        <is>
          <t>21/50 MA cross, 250-period confirm filter, VWAP</t>
        </is>
      </c>
      <c r="D2695" s="9" t="inlineStr">
        <is>
          <t>Short</t>
        </is>
      </c>
      <c r="E2695" s="10" t="n">
        <v>45405.19444444445</v>
      </c>
      <c r="F2695" s="10" t="n">
        <v>45405.63541666666</v>
      </c>
      <c r="G2695" s="11" t="n">
        <v>8.68</v>
      </c>
      <c r="H2695" s="11">
        <f>H2694+G2695</f>
        <v/>
      </c>
    </row>
    <row r="2696">
      <c r="A2696" s="9" t="n">
        <v>2692</v>
      </c>
      <c r="B2696" s="9" t="inlineStr">
        <is>
          <t>Meridian</t>
        </is>
      </c>
      <c r="C2696" s="9" t="inlineStr">
        <is>
          <t>21/50 MA cross, 250-period confirm filter, VWAP</t>
        </is>
      </c>
      <c r="D2696" s="9" t="inlineStr">
        <is>
          <t>Long</t>
        </is>
      </c>
      <c r="E2696" s="10" t="n">
        <v>45406.12152777778</v>
      </c>
      <c r="F2696" s="10" t="n">
        <v>45406.125</v>
      </c>
      <c r="G2696" s="11" t="n">
        <v>-2.12</v>
      </c>
      <c r="H2696" s="11">
        <f>H2695+G2696</f>
        <v/>
      </c>
    </row>
    <row r="2697">
      <c r="A2697" s="9" t="n">
        <v>2693</v>
      </c>
      <c r="B2697" s="9" t="inlineStr">
        <is>
          <t>Vanguard_M15</t>
        </is>
      </c>
      <c r="C2697" s="9" t="inlineStr">
        <is>
          <t>Trendline breakout (fractal swing line) + VWAP/S-R distance gate - M15 chart</t>
        </is>
      </c>
      <c r="D2697" s="9" t="inlineStr">
        <is>
          <t>Long</t>
        </is>
      </c>
      <c r="E2697" s="10" t="n">
        <v>45406.10416666666</v>
      </c>
      <c r="F2697" s="10" t="n">
        <v>45406.16666666666</v>
      </c>
      <c r="G2697" s="11" t="n">
        <v>-7.13</v>
      </c>
      <c r="H2697" s="11">
        <f>H2696+G2697</f>
        <v/>
      </c>
    </row>
    <row r="2698">
      <c r="A2698" s="9" t="n">
        <v>2694</v>
      </c>
      <c r="B2698" s="9" t="inlineStr">
        <is>
          <t>Vanguard_M5</t>
        </is>
      </c>
      <c r="C2698" s="9" t="inlineStr">
        <is>
          <t>Trendline breakout (fractal swing line) + VWAP/S-R distance gate</t>
        </is>
      </c>
      <c r="D2698" s="9" t="inlineStr">
        <is>
          <t>Long</t>
        </is>
      </c>
      <c r="E2698" s="10" t="n">
        <v>45406.10416666666</v>
      </c>
      <c r="F2698" s="10" t="n">
        <v>45406.16666666666</v>
      </c>
      <c r="G2698" s="11" t="n">
        <v>-3.4</v>
      </c>
      <c r="H2698" s="11">
        <f>H2697+G2698</f>
        <v/>
      </c>
    </row>
    <row r="2699">
      <c r="A2699" s="9" t="n">
        <v>2695</v>
      </c>
      <c r="B2699" s="9" t="inlineStr">
        <is>
          <t>Meridian</t>
        </is>
      </c>
      <c r="C2699" s="9" t="inlineStr">
        <is>
          <t>21/50 MA cross, 250-period confirm filter, VWAP</t>
        </is>
      </c>
      <c r="D2699" s="9" t="inlineStr">
        <is>
          <t>Long</t>
        </is>
      </c>
      <c r="E2699" s="10" t="n">
        <v>45406.26736111111</v>
      </c>
      <c r="F2699" s="10" t="n">
        <v>45406.43402777778</v>
      </c>
      <c r="G2699" s="11" t="n">
        <v>-3.11</v>
      </c>
      <c r="H2699" s="11">
        <f>H2698+G2699</f>
        <v/>
      </c>
    </row>
    <row r="2700">
      <c r="A2700" s="9" t="n">
        <v>2696</v>
      </c>
      <c r="B2700" s="9" t="inlineStr">
        <is>
          <t>Ratchet</t>
        </is>
      </c>
      <c r="C2700" s="9" t="inlineStr">
        <is>
          <t>Stochastic scalp with give-back trail exit</t>
        </is>
      </c>
      <c r="D2700" s="9" t="inlineStr">
        <is>
          <t>Short</t>
        </is>
      </c>
      <c r="E2700" s="10" t="n">
        <v>45406.50694444445</v>
      </c>
      <c r="F2700" s="10" t="n">
        <v>45406.54166666666</v>
      </c>
      <c r="G2700" s="11" t="n">
        <v>1.56</v>
      </c>
      <c r="H2700" s="11">
        <f>H2699+G2700</f>
        <v/>
      </c>
    </row>
    <row r="2701">
      <c r="A2701" s="9" t="n">
        <v>2697</v>
      </c>
      <c r="B2701" s="9" t="inlineStr">
        <is>
          <t>Ratchet</t>
        </is>
      </c>
      <c r="C2701" s="9" t="inlineStr">
        <is>
          <t>Stochastic scalp with give-back trail exit</t>
        </is>
      </c>
      <c r="D2701" s="9" t="inlineStr">
        <is>
          <t>Short</t>
        </is>
      </c>
      <c r="E2701" s="10" t="n">
        <v>45406.59375</v>
      </c>
      <c r="F2701" s="10" t="n">
        <v>45406.59722222222</v>
      </c>
      <c r="G2701" s="11" t="n">
        <v>0.27</v>
      </c>
      <c r="H2701" s="11">
        <f>H2700+G2701</f>
        <v/>
      </c>
    </row>
    <row r="2702">
      <c r="A2702" s="9" t="n">
        <v>2698</v>
      </c>
      <c r="B2702" s="9" t="inlineStr">
        <is>
          <t>Meridian</t>
        </is>
      </c>
      <c r="C2702" s="9" t="inlineStr">
        <is>
          <t>21/50 MA cross, 250-period confirm filter, VWAP</t>
        </is>
      </c>
      <c r="D2702" s="9" t="inlineStr">
        <is>
          <t>Long</t>
        </is>
      </c>
      <c r="E2702" s="10" t="n">
        <v>45406.66666666666</v>
      </c>
      <c r="F2702" s="10" t="n">
        <v>45406.67708333334</v>
      </c>
      <c r="G2702" s="11" t="n">
        <v>-5.65</v>
      </c>
      <c r="H2702" s="11">
        <f>H2701+G2702</f>
        <v/>
      </c>
    </row>
    <row r="2703">
      <c r="A2703" s="9" t="n">
        <v>2699</v>
      </c>
      <c r="B2703" s="9" t="inlineStr">
        <is>
          <t>Aurelius_M15</t>
        </is>
      </c>
      <c r="C2703" s="9" t="inlineStr">
        <is>
          <t>MA alignment (EMA21&gt;EMA50&gt;SMA250&gt;SMMA500 vs EMA2400 trend filter) - M15 chart</t>
        </is>
      </c>
      <c r="D2703" s="9" t="inlineStr">
        <is>
          <t>Short</t>
        </is>
      </c>
      <c r="E2703" s="10" t="n">
        <v>45406.71875</v>
      </c>
      <c r="F2703" s="10" t="n">
        <v>45406.73958333334</v>
      </c>
      <c r="G2703" s="11" t="n">
        <v>-10.41</v>
      </c>
      <c r="H2703" s="11">
        <f>H2702+G2703</f>
        <v/>
      </c>
    </row>
    <row r="2704">
      <c r="A2704" s="9" t="n">
        <v>2700</v>
      </c>
      <c r="B2704" s="9" t="inlineStr">
        <is>
          <t>Vanguard_M5</t>
        </is>
      </c>
      <c r="C2704" s="9" t="inlineStr">
        <is>
          <t>Trendline breakout (fractal swing line) + VWAP/S-R distance gate</t>
        </is>
      </c>
      <c r="D2704" s="9" t="inlineStr">
        <is>
          <t>Long</t>
        </is>
      </c>
      <c r="E2704" s="10" t="n">
        <v>45406.75347222222</v>
      </c>
      <c r="F2704" s="10" t="n">
        <v>45406.78819444445</v>
      </c>
      <c r="G2704" s="11" t="n">
        <v>-12.75</v>
      </c>
      <c r="H2704" s="11">
        <f>H2703+G2704</f>
        <v/>
      </c>
    </row>
    <row r="2705">
      <c r="A2705" s="9" t="n">
        <v>2701</v>
      </c>
      <c r="B2705" s="9" t="inlineStr">
        <is>
          <t>Vanguard_M15</t>
        </is>
      </c>
      <c r="C2705" s="9" t="inlineStr">
        <is>
          <t>Trendline breakout (fractal swing line) + VWAP/S-R distance gate - M15 chart</t>
        </is>
      </c>
      <c r="D2705" s="9" t="inlineStr">
        <is>
          <t>Long</t>
        </is>
      </c>
      <c r="E2705" s="10" t="n">
        <v>45406.76041666666</v>
      </c>
      <c r="F2705" s="10" t="n">
        <v>45406.9375</v>
      </c>
      <c r="G2705" s="11" t="n">
        <v>-11.9</v>
      </c>
      <c r="H2705" s="11">
        <f>H2704+G2705</f>
        <v/>
      </c>
    </row>
    <row r="2706">
      <c r="A2706" s="9" t="n">
        <v>2702</v>
      </c>
      <c r="B2706" s="9" t="inlineStr">
        <is>
          <t>Meridian</t>
        </is>
      </c>
      <c r="C2706" s="9" t="inlineStr">
        <is>
          <t>21/50 MA cross, 250-period confirm filter, VWAP</t>
        </is>
      </c>
      <c r="D2706" s="9" t="inlineStr">
        <is>
          <t>Short</t>
        </is>
      </c>
      <c r="E2706" s="10" t="n">
        <v>45407.26041666666</v>
      </c>
      <c r="F2706" s="10" t="n">
        <v>45407.28125</v>
      </c>
      <c r="G2706" s="11" t="n">
        <v>-5.37</v>
      </c>
      <c r="H2706" s="11">
        <f>H2705+G2706</f>
        <v/>
      </c>
    </row>
    <row r="2707">
      <c r="A2707" s="9" t="n">
        <v>2703</v>
      </c>
      <c r="B2707" s="9" t="inlineStr">
        <is>
          <t>Aurelius_M15</t>
        </is>
      </c>
      <c r="C2707" s="9" t="inlineStr">
        <is>
          <t>MA alignment (EMA21&gt;EMA50&gt;SMA250&gt;SMMA500 vs EMA2400 trend filter) - M15 chart</t>
        </is>
      </c>
      <c r="D2707" s="9" t="inlineStr">
        <is>
          <t>Short</t>
        </is>
      </c>
      <c r="E2707" s="10" t="n">
        <v>45407.27083333334</v>
      </c>
      <c r="F2707" s="10" t="n">
        <v>45407.35416666666</v>
      </c>
      <c r="G2707" s="11" t="n">
        <v>-8.4</v>
      </c>
      <c r="H2707" s="11">
        <f>H2706+G2707</f>
        <v/>
      </c>
    </row>
    <row r="2708">
      <c r="A2708" s="9" t="n">
        <v>2704</v>
      </c>
      <c r="B2708" s="9" t="inlineStr">
        <is>
          <t>Vanguard_M5</t>
        </is>
      </c>
      <c r="C2708" s="9" t="inlineStr">
        <is>
          <t>Trendline breakout (fractal swing line) + VWAP/S-R distance gate</t>
        </is>
      </c>
      <c r="D2708" s="9" t="inlineStr">
        <is>
          <t>Short</t>
        </is>
      </c>
      <c r="E2708" s="10" t="n">
        <v>45406.89930555555</v>
      </c>
      <c r="F2708" s="10" t="n">
        <v>45407.45833333334</v>
      </c>
      <c r="G2708" s="11" t="n">
        <v>-8.16</v>
      </c>
      <c r="H2708" s="11">
        <f>H2707+G2708</f>
        <v/>
      </c>
    </row>
    <row r="2709">
      <c r="A2709" s="9" t="n">
        <v>2705</v>
      </c>
      <c r="B2709" s="9" t="inlineStr">
        <is>
          <t>Vanguard_M15</t>
        </is>
      </c>
      <c r="C2709" s="9" t="inlineStr">
        <is>
          <t>Trendline breakout (fractal swing line) + VWAP/S-R distance gate - M15 chart</t>
        </is>
      </c>
      <c r="D2709" s="9" t="inlineStr">
        <is>
          <t>Short</t>
        </is>
      </c>
      <c r="E2709" s="10" t="n">
        <v>45406.94791666666</v>
      </c>
      <c r="F2709" s="10" t="n">
        <v>45407.59375</v>
      </c>
      <c r="G2709" s="11" t="n">
        <v>-10.7</v>
      </c>
      <c r="H2709" s="11">
        <f>H2708+G2709</f>
        <v/>
      </c>
    </row>
    <row r="2710">
      <c r="A2710" s="9" t="n">
        <v>2706</v>
      </c>
      <c r="B2710" s="9" t="inlineStr">
        <is>
          <t>Meridian</t>
        </is>
      </c>
      <c r="C2710" s="9" t="inlineStr">
        <is>
          <t>21/50 MA cross, 250-period confirm filter, VWAP</t>
        </is>
      </c>
      <c r="D2710" s="9" t="inlineStr">
        <is>
          <t>Short</t>
        </is>
      </c>
      <c r="E2710" s="10" t="n">
        <v>45407.68055555555</v>
      </c>
      <c r="F2710" s="10" t="n">
        <v>45407.69444444445</v>
      </c>
      <c r="G2710" s="11" t="n">
        <v>-9.33</v>
      </c>
      <c r="H2710" s="11">
        <f>H2709+G2710</f>
        <v/>
      </c>
    </row>
    <row r="2711">
      <c r="A2711" s="9" t="n">
        <v>2707</v>
      </c>
      <c r="B2711" s="9" t="inlineStr">
        <is>
          <t>Meridian</t>
        </is>
      </c>
      <c r="C2711" s="9" t="inlineStr">
        <is>
          <t>21/50 MA cross, 250-period confirm filter, VWAP</t>
        </is>
      </c>
      <c r="D2711" s="9" t="inlineStr">
        <is>
          <t>Long</t>
        </is>
      </c>
      <c r="E2711" s="10" t="n">
        <v>45407.73611111111</v>
      </c>
      <c r="F2711" s="10" t="n">
        <v>45407.75</v>
      </c>
      <c r="G2711" s="11" t="n">
        <v>-11.6</v>
      </c>
      <c r="H2711" s="11">
        <f>H2710+G2711</f>
        <v/>
      </c>
    </row>
    <row r="2712">
      <c r="A2712" s="9" t="n">
        <v>2708</v>
      </c>
      <c r="B2712" s="9" t="inlineStr">
        <is>
          <t>Ratchet</t>
        </is>
      </c>
      <c r="C2712" s="9" t="inlineStr">
        <is>
          <t>Stochastic scalp with give-back trail exit</t>
        </is>
      </c>
      <c r="D2712" s="9" t="inlineStr">
        <is>
          <t>Long</t>
        </is>
      </c>
      <c r="E2712" s="10" t="n">
        <v>45408.40972222222</v>
      </c>
      <c r="F2712" s="10" t="n">
        <v>45408.42708333334</v>
      </c>
      <c r="G2712" s="11" t="n">
        <v>-3.24</v>
      </c>
      <c r="H2712" s="11">
        <f>H2711+G2712</f>
        <v/>
      </c>
    </row>
    <row r="2713">
      <c r="A2713" s="9" t="n">
        <v>2709</v>
      </c>
      <c r="B2713" s="9" t="inlineStr">
        <is>
          <t>Ratchet</t>
        </is>
      </c>
      <c r="C2713" s="9" t="inlineStr">
        <is>
          <t>Stochastic scalp with give-back trail exit</t>
        </is>
      </c>
      <c r="D2713" s="9" t="inlineStr">
        <is>
          <t>Long</t>
        </is>
      </c>
      <c r="E2713" s="10" t="n">
        <v>45408.45486111111</v>
      </c>
      <c r="F2713" s="10" t="n">
        <v>45408.46180555555</v>
      </c>
      <c r="G2713" s="11" t="n">
        <v>0</v>
      </c>
      <c r="H2713" s="11">
        <f>H2712+G2713</f>
        <v/>
      </c>
    </row>
    <row r="2714">
      <c r="A2714" s="9" t="n">
        <v>2710</v>
      </c>
      <c r="B2714" s="9" t="inlineStr">
        <is>
          <t>Ratchet</t>
        </is>
      </c>
      <c r="C2714" s="9" t="inlineStr">
        <is>
          <t>Stochastic scalp with give-back trail exit</t>
        </is>
      </c>
      <c r="D2714" s="9" t="inlineStr">
        <is>
          <t>Long</t>
        </is>
      </c>
      <c r="E2714" s="10" t="n">
        <v>45408.57986111111</v>
      </c>
      <c r="F2714" s="10" t="n">
        <v>45408.59027777778</v>
      </c>
      <c r="G2714" s="11" t="n">
        <v>-2.07</v>
      </c>
      <c r="H2714" s="11">
        <f>H2713+G2714</f>
        <v/>
      </c>
    </row>
    <row r="2715">
      <c r="A2715" s="9" t="n">
        <v>2711</v>
      </c>
      <c r="B2715" s="9" t="inlineStr">
        <is>
          <t>Meridian</t>
        </is>
      </c>
      <c r="C2715" s="9" t="inlineStr">
        <is>
          <t>21/50 MA cross, 250-period confirm filter, VWAP</t>
        </is>
      </c>
      <c r="D2715" s="9" t="inlineStr">
        <is>
          <t>Long</t>
        </is>
      </c>
      <c r="E2715" s="10" t="n">
        <v>45408.21527777778</v>
      </c>
      <c r="F2715" s="10" t="n">
        <v>45408.63888888889</v>
      </c>
      <c r="G2715" s="11" t="n">
        <v>9.1</v>
      </c>
      <c r="H2715" s="11">
        <f>H2714+G2715</f>
        <v/>
      </c>
    </row>
    <row r="2716">
      <c r="A2716" s="9" t="n">
        <v>2712</v>
      </c>
      <c r="B2716" s="9" t="inlineStr">
        <is>
          <t>Meridian</t>
        </is>
      </c>
      <c r="C2716" s="9" t="inlineStr">
        <is>
          <t>21/50 MA cross, 250-period confirm filter, VWAP</t>
        </is>
      </c>
      <c r="D2716" s="9" t="inlineStr">
        <is>
          <t>Long</t>
        </is>
      </c>
      <c r="E2716" s="10" t="n">
        <v>45408.65277777778</v>
      </c>
      <c r="F2716" s="10" t="n">
        <v>45408.65625</v>
      </c>
      <c r="G2716" s="11" t="n">
        <v>-5.44</v>
      </c>
      <c r="H2716" s="11">
        <f>H2715+G2716</f>
        <v/>
      </c>
    </row>
    <row r="2717">
      <c r="A2717" s="9" t="n">
        <v>2713</v>
      </c>
      <c r="B2717" s="9" t="inlineStr">
        <is>
          <t>Meridian</t>
        </is>
      </c>
      <c r="C2717" s="9" t="inlineStr">
        <is>
          <t>21/50 MA cross, 250-period confirm filter, VWAP</t>
        </is>
      </c>
      <c r="D2717" s="9" t="inlineStr">
        <is>
          <t>Long</t>
        </is>
      </c>
      <c r="E2717" s="10" t="n">
        <v>45408.67013888889</v>
      </c>
      <c r="F2717" s="10" t="n">
        <v>45408.68402777778</v>
      </c>
      <c r="G2717" s="11" t="n">
        <v>-7.09</v>
      </c>
      <c r="H2717" s="11">
        <f>H2716+G2717</f>
        <v/>
      </c>
    </row>
    <row r="2718">
      <c r="A2718" s="9" t="n">
        <v>2714</v>
      </c>
      <c r="B2718" s="9" t="inlineStr">
        <is>
          <t>Meridian</t>
        </is>
      </c>
      <c r="C2718" s="9" t="inlineStr">
        <is>
          <t>21/50 MA cross, 250-period confirm filter, VWAP</t>
        </is>
      </c>
      <c r="D2718" s="9" t="inlineStr">
        <is>
          <t>Long</t>
        </is>
      </c>
      <c r="E2718" s="10" t="n">
        <v>45408.89583333334</v>
      </c>
      <c r="F2718" s="10" t="n">
        <v>45408.91666666666</v>
      </c>
      <c r="G2718" s="11" t="n">
        <v>-0.11</v>
      </c>
      <c r="H2718" s="11">
        <f>H2717+G2718</f>
        <v/>
      </c>
    </row>
    <row r="2719">
      <c r="A2719" s="9" t="n">
        <v>2715</v>
      </c>
      <c r="B2719" s="9" t="inlineStr">
        <is>
          <t>Meridian</t>
        </is>
      </c>
      <c r="C2719" s="9" t="inlineStr">
        <is>
          <t>21/50 MA cross, 250-period confirm filter, VWAP</t>
        </is>
      </c>
      <c r="D2719" s="9" t="inlineStr">
        <is>
          <t>Short</t>
        </is>
      </c>
      <c r="E2719" s="10" t="n">
        <v>45411.41319444445</v>
      </c>
      <c r="F2719" s="10" t="n">
        <v>45411.42361111111</v>
      </c>
      <c r="G2719" s="11" t="n">
        <v>-4.23</v>
      </c>
      <c r="H2719" s="11">
        <f>H2718+G2719</f>
        <v/>
      </c>
    </row>
    <row r="2720">
      <c r="A2720" s="9" t="n">
        <v>2716</v>
      </c>
      <c r="B2720" s="9" t="inlineStr">
        <is>
          <t>Vanguard_M15</t>
        </is>
      </c>
      <c r="C2720" s="9" t="inlineStr">
        <is>
          <t>Trendline breakout (fractal swing line) + VWAP/S-R distance gate - M15 chart</t>
        </is>
      </c>
      <c r="D2720" s="9" t="inlineStr">
        <is>
          <t>Short</t>
        </is>
      </c>
      <c r="E2720" s="10" t="n">
        <v>45411.15625</v>
      </c>
      <c r="F2720" s="10" t="n">
        <v>45411.47916666666</v>
      </c>
      <c r="G2720" s="11" t="n">
        <v>-7.07</v>
      </c>
      <c r="H2720" s="11">
        <f>H2719+G2720</f>
        <v/>
      </c>
    </row>
    <row r="2721">
      <c r="A2721" s="9" t="n">
        <v>2717</v>
      </c>
      <c r="B2721" s="9" t="inlineStr">
        <is>
          <t>Ratchet</t>
        </is>
      </c>
      <c r="C2721" s="9" t="inlineStr">
        <is>
          <t>Stochastic scalp with give-back trail exit</t>
        </is>
      </c>
      <c r="D2721" s="9" t="inlineStr">
        <is>
          <t>Long</t>
        </is>
      </c>
      <c r="E2721" s="10" t="n">
        <v>45411.48611111111</v>
      </c>
      <c r="F2721" s="10" t="n">
        <v>45411.5</v>
      </c>
      <c r="G2721" s="11" t="n">
        <v>-2.83</v>
      </c>
      <c r="H2721" s="11">
        <f>H2720+G2721</f>
        <v/>
      </c>
    </row>
    <row r="2722">
      <c r="A2722" s="9" t="n">
        <v>2718</v>
      </c>
      <c r="B2722" s="9" t="inlineStr">
        <is>
          <t>Vanguard_M5</t>
        </is>
      </c>
      <c r="C2722" s="9" t="inlineStr">
        <is>
          <t>Trendline breakout (fractal swing line) + VWAP/S-R distance gate</t>
        </is>
      </c>
      <c r="D2722" s="9" t="inlineStr">
        <is>
          <t>Short</t>
        </is>
      </c>
      <c r="E2722" s="10" t="n">
        <v>45408.74652777778</v>
      </c>
      <c r="F2722" s="10" t="n">
        <v>45411.53125</v>
      </c>
      <c r="G2722" s="11" t="n">
        <v>-13.76</v>
      </c>
      <c r="H2722" s="11">
        <f>H2721+G2722</f>
        <v/>
      </c>
    </row>
    <row r="2723">
      <c r="A2723" s="9" t="n">
        <v>2719</v>
      </c>
      <c r="B2723" s="9" t="inlineStr">
        <is>
          <t>Meridian</t>
        </is>
      </c>
      <c r="C2723" s="9" t="inlineStr">
        <is>
          <t>21/50 MA cross, 250-period confirm filter, VWAP</t>
        </is>
      </c>
      <c r="D2723" s="9" t="inlineStr">
        <is>
          <t>Long</t>
        </is>
      </c>
      <c r="E2723" s="10" t="n">
        <v>45411.75347222222</v>
      </c>
      <c r="F2723" s="10" t="n">
        <v>45411.76388888889</v>
      </c>
      <c r="G2723" s="11" t="n">
        <v>-2.87</v>
      </c>
      <c r="H2723" s="11">
        <f>H2722+G2723</f>
        <v/>
      </c>
    </row>
    <row r="2724">
      <c r="A2724" s="9" t="n">
        <v>2720</v>
      </c>
      <c r="B2724" s="9" t="inlineStr">
        <is>
          <t>Aurelius_M5</t>
        </is>
      </c>
      <c r="C2724" s="9" t="inlineStr">
        <is>
          <t>MA alignment (EMA21&gt;EMA50&gt;SMA250&gt;SMMA500 vs EMA2400 trend filter)</t>
        </is>
      </c>
      <c r="D2724" s="9" t="inlineStr">
        <is>
          <t>Long</t>
        </is>
      </c>
      <c r="E2724" s="10" t="n">
        <v>45411.80902777778</v>
      </c>
      <c r="F2724" s="10" t="n">
        <v>45411.89236111111</v>
      </c>
      <c r="G2724" s="11" t="n">
        <v>-6.21</v>
      </c>
      <c r="H2724" s="11">
        <f>H2723+G2724</f>
        <v/>
      </c>
    </row>
    <row r="2725">
      <c r="A2725" s="9" t="n">
        <v>2721</v>
      </c>
      <c r="B2725" s="9" t="inlineStr">
        <is>
          <t>Meridian</t>
        </is>
      </c>
      <c r="C2725" s="9" t="inlineStr">
        <is>
          <t>21/50 MA cross, 250-period confirm filter, VWAP</t>
        </is>
      </c>
      <c r="D2725" s="9" t="inlineStr">
        <is>
          <t>Long</t>
        </is>
      </c>
      <c r="E2725" s="10" t="n">
        <v>45411.77083333334</v>
      </c>
      <c r="F2725" s="10" t="n">
        <v>45411.92361111111</v>
      </c>
      <c r="G2725" s="11" t="n">
        <v>-1.75</v>
      </c>
      <c r="H2725" s="11">
        <f>H2724+G2725</f>
        <v/>
      </c>
    </row>
    <row r="2726">
      <c r="A2726" s="9" t="n">
        <v>2722</v>
      </c>
      <c r="B2726" s="9" t="inlineStr">
        <is>
          <t>Ratchet</t>
        </is>
      </c>
      <c r="C2726" s="9" t="inlineStr">
        <is>
          <t>Stochastic scalp with give-back trail exit</t>
        </is>
      </c>
      <c r="D2726" s="9" t="inlineStr">
        <is>
          <t>Short</t>
        </is>
      </c>
      <c r="E2726" s="10" t="n">
        <v>45412.125</v>
      </c>
      <c r="F2726" s="10" t="n">
        <v>45412.12847222222</v>
      </c>
      <c r="G2726" s="11" t="n">
        <v>0.27</v>
      </c>
      <c r="H2726" s="11">
        <f>H2725+G2726</f>
        <v/>
      </c>
    </row>
    <row r="2727">
      <c r="A2727" s="9" t="n">
        <v>2723</v>
      </c>
      <c r="B2727" s="9" t="inlineStr">
        <is>
          <t>Ratchet</t>
        </is>
      </c>
      <c r="C2727" s="9" t="inlineStr">
        <is>
          <t>Stochastic scalp with give-back trail exit</t>
        </is>
      </c>
      <c r="D2727" s="9" t="inlineStr">
        <is>
          <t>Short</t>
        </is>
      </c>
      <c r="E2727" s="10" t="n">
        <v>45412.25694444445</v>
      </c>
      <c r="F2727" s="10" t="n">
        <v>45412.27083333334</v>
      </c>
      <c r="G2727" s="11" t="n">
        <v>0.29</v>
      </c>
      <c r="H2727" s="11">
        <f>H2726+G2727</f>
        <v/>
      </c>
    </row>
    <row r="2728">
      <c r="A2728" s="9" t="n">
        <v>2724</v>
      </c>
      <c r="B2728" s="9" t="inlineStr">
        <is>
          <t>Ratchet</t>
        </is>
      </c>
      <c r="C2728" s="9" t="inlineStr">
        <is>
          <t>Stochastic scalp with give-back trail exit</t>
        </is>
      </c>
      <c r="D2728" s="9" t="inlineStr">
        <is>
          <t>Short</t>
        </is>
      </c>
      <c r="E2728" s="10" t="n">
        <v>45412.81944444445</v>
      </c>
      <c r="F2728" s="10" t="n">
        <v>45412.85763888889</v>
      </c>
      <c r="G2728" s="11" t="n">
        <v>0.85</v>
      </c>
      <c r="H2728" s="11">
        <f>H2727+G2728</f>
        <v/>
      </c>
    </row>
    <row r="2729">
      <c r="A2729" s="9" t="n">
        <v>2725</v>
      </c>
      <c r="B2729" s="9" t="inlineStr">
        <is>
          <t>Aurelius_M5</t>
        </is>
      </c>
      <c r="C2729" s="9" t="inlineStr">
        <is>
          <t>MA alignment (EMA21&gt;EMA50&gt;SMA250&gt;SMMA500 vs EMA2400 trend filter)</t>
        </is>
      </c>
      <c r="D2729" s="9" t="inlineStr">
        <is>
          <t>Short</t>
        </is>
      </c>
      <c r="E2729" s="10" t="n">
        <v>45412.59027777778</v>
      </c>
      <c r="F2729" s="10" t="n">
        <v>45413.04166666666</v>
      </c>
      <c r="G2729" s="11" t="n">
        <v>26.65</v>
      </c>
      <c r="H2729" s="11">
        <f>H2728+G2729</f>
        <v/>
      </c>
    </row>
    <row r="2730">
      <c r="A2730" s="9" t="n">
        <v>2726</v>
      </c>
      <c r="B2730" s="9" t="inlineStr">
        <is>
          <t>Ratchet</t>
        </is>
      </c>
      <c r="C2730" s="9" t="inlineStr">
        <is>
          <t>Stochastic scalp with give-back trail exit</t>
        </is>
      </c>
      <c r="D2730" s="9" t="inlineStr">
        <is>
          <t>Short</t>
        </is>
      </c>
      <c r="E2730" s="10" t="n">
        <v>45413.1875</v>
      </c>
      <c r="F2730" s="10" t="n">
        <v>45413.19444444445</v>
      </c>
      <c r="G2730" s="11" t="n">
        <v>0.3</v>
      </c>
      <c r="H2730" s="11">
        <f>H2729+G2730</f>
        <v/>
      </c>
    </row>
    <row r="2731">
      <c r="A2731" s="9" t="n">
        <v>2727</v>
      </c>
      <c r="B2731" s="9" t="inlineStr">
        <is>
          <t>Ratchet</t>
        </is>
      </c>
      <c r="C2731" s="9" t="inlineStr">
        <is>
          <t>Stochastic scalp with give-back trail exit</t>
        </is>
      </c>
      <c r="D2731" s="9" t="inlineStr">
        <is>
          <t>Short</t>
        </is>
      </c>
      <c r="E2731" s="10" t="n">
        <v>45413.21527777778</v>
      </c>
      <c r="F2731" s="10" t="n">
        <v>45413.26736111111</v>
      </c>
      <c r="G2731" s="11" t="n">
        <v>0.27</v>
      </c>
      <c r="H2731" s="11">
        <f>H2730+G2731</f>
        <v/>
      </c>
    </row>
    <row r="2732">
      <c r="A2732" s="9" t="n">
        <v>2728</v>
      </c>
      <c r="B2732" s="9" t="inlineStr">
        <is>
          <t>Ratchet</t>
        </is>
      </c>
      <c r="C2732" s="9" t="inlineStr">
        <is>
          <t>Stochastic scalp with give-back trail exit</t>
        </is>
      </c>
      <c r="D2732" s="9" t="inlineStr">
        <is>
          <t>Short</t>
        </is>
      </c>
      <c r="E2732" s="10" t="n">
        <v>45413.47569444445</v>
      </c>
      <c r="F2732" s="10" t="n">
        <v>45413.47916666666</v>
      </c>
      <c r="G2732" s="11" t="n">
        <v>-2.48</v>
      </c>
      <c r="H2732" s="11">
        <f>H2731+G2732</f>
        <v/>
      </c>
    </row>
    <row r="2733">
      <c r="A2733" s="9" t="n">
        <v>2729</v>
      </c>
      <c r="B2733" s="9" t="inlineStr">
        <is>
          <t>Meridian</t>
        </is>
      </c>
      <c r="C2733" s="9" t="inlineStr">
        <is>
          <t>21/50 MA cross, 250-period confirm filter, VWAP</t>
        </is>
      </c>
      <c r="D2733" s="9" t="inlineStr">
        <is>
          <t>Short</t>
        </is>
      </c>
      <c r="E2733" s="10" t="n">
        <v>45413.44791666666</v>
      </c>
      <c r="F2733" s="10" t="n">
        <v>45413.5</v>
      </c>
      <c r="G2733" s="11" t="n">
        <v>-3.27</v>
      </c>
      <c r="H2733" s="11">
        <f>H2732+G2733</f>
        <v/>
      </c>
    </row>
    <row r="2734">
      <c r="A2734" s="9" t="n">
        <v>2730</v>
      </c>
      <c r="B2734" s="9" t="inlineStr">
        <is>
          <t>Ratchet</t>
        </is>
      </c>
      <c r="C2734" s="9" t="inlineStr">
        <is>
          <t>Stochastic scalp with give-back trail exit</t>
        </is>
      </c>
      <c r="D2734" s="9" t="inlineStr">
        <is>
          <t>Short</t>
        </is>
      </c>
      <c r="E2734" s="10" t="n">
        <v>45413.49305555555</v>
      </c>
      <c r="F2734" s="10" t="n">
        <v>45413.5</v>
      </c>
      <c r="G2734" s="11" t="n">
        <v>-2.51</v>
      </c>
      <c r="H2734" s="11">
        <f>H2733+G2734</f>
        <v/>
      </c>
    </row>
    <row r="2735">
      <c r="A2735" s="9" t="n">
        <v>2731</v>
      </c>
      <c r="B2735" s="9" t="inlineStr">
        <is>
          <t>Meridian</t>
        </is>
      </c>
      <c r="C2735" s="9" t="inlineStr">
        <is>
          <t>21/50 MA cross, 250-period confirm filter, VWAP</t>
        </is>
      </c>
      <c r="D2735" s="9" t="inlineStr">
        <is>
          <t>Long</t>
        </is>
      </c>
      <c r="E2735" s="10" t="n">
        <v>45413.87847222222</v>
      </c>
      <c r="F2735" s="10" t="n">
        <v>45414.25694444445</v>
      </c>
      <c r="G2735" s="11" t="n">
        <v>11.39</v>
      </c>
      <c r="H2735" s="11">
        <f>H2734+G2735</f>
        <v/>
      </c>
    </row>
    <row r="2736">
      <c r="A2736" s="9" t="n">
        <v>2732</v>
      </c>
      <c r="B2736" s="9" t="inlineStr">
        <is>
          <t>Aurelius_M5</t>
        </is>
      </c>
      <c r="C2736" s="9" t="inlineStr">
        <is>
          <t>MA alignment (EMA21&gt;EMA50&gt;SMA250&gt;SMMA500 vs EMA2400 trend filter)</t>
        </is>
      </c>
      <c r="D2736" s="9" t="inlineStr">
        <is>
          <t>Short</t>
        </is>
      </c>
      <c r="E2736" s="10" t="n">
        <v>45414.66319444445</v>
      </c>
      <c r="F2736" s="10" t="n">
        <v>45414.74652777778</v>
      </c>
      <c r="G2736" s="11" t="n">
        <v>-6.1</v>
      </c>
      <c r="H2736" s="11">
        <f>H2735+G2736</f>
        <v/>
      </c>
    </row>
    <row r="2737">
      <c r="A2737" s="9" t="n">
        <v>2733</v>
      </c>
      <c r="B2737" s="9" t="inlineStr">
        <is>
          <t>Meridian</t>
        </is>
      </c>
      <c r="C2737" s="9" t="inlineStr">
        <is>
          <t>21/50 MA cross, 250-period confirm filter, VWAP</t>
        </is>
      </c>
      <c r="D2737" s="9" t="inlineStr">
        <is>
          <t>Short</t>
        </is>
      </c>
      <c r="E2737" s="10" t="n">
        <v>45414.98611111111</v>
      </c>
      <c r="F2737" s="10" t="n">
        <v>45415.04166666666</v>
      </c>
      <c r="G2737" s="11" t="n">
        <v>-3.59</v>
      </c>
      <c r="H2737" s="11">
        <f>H2736+G2737</f>
        <v/>
      </c>
    </row>
    <row r="2738">
      <c r="A2738" s="9" t="n">
        <v>2734</v>
      </c>
      <c r="B2738" s="9" t="inlineStr">
        <is>
          <t>Meridian</t>
        </is>
      </c>
      <c r="C2738" s="9" t="inlineStr">
        <is>
          <t>21/50 MA cross, 250-period confirm filter, VWAP</t>
        </is>
      </c>
      <c r="D2738" s="9" t="inlineStr">
        <is>
          <t>Short</t>
        </is>
      </c>
      <c r="E2738" s="10" t="n">
        <v>45415.11111111111</v>
      </c>
      <c r="F2738" s="10" t="n">
        <v>45415.17013888889</v>
      </c>
      <c r="G2738" s="11" t="n">
        <v>-2.11</v>
      </c>
      <c r="H2738" s="11">
        <f>H2737+G2738</f>
        <v/>
      </c>
    </row>
    <row r="2739">
      <c r="A2739" s="9" t="n">
        <v>2735</v>
      </c>
      <c r="B2739" s="9" t="inlineStr">
        <is>
          <t>Vanguard_M15</t>
        </is>
      </c>
      <c r="C2739" s="9" t="inlineStr">
        <is>
          <t>Trendline breakout (fractal swing line) + VWAP/S-R distance gate - M15 chart</t>
        </is>
      </c>
      <c r="D2739" s="9" t="inlineStr">
        <is>
          <t>Short</t>
        </is>
      </c>
      <c r="E2739" s="10" t="n">
        <v>45412.21875</v>
      </c>
      <c r="F2739" s="10" t="n">
        <v>45415.28125</v>
      </c>
      <c r="G2739" s="11" t="n">
        <v>27.1</v>
      </c>
      <c r="H2739" s="11">
        <f>H2738+G2739</f>
        <v/>
      </c>
    </row>
    <row r="2740">
      <c r="A2740" s="9" t="n">
        <v>2736</v>
      </c>
      <c r="B2740" s="9" t="inlineStr">
        <is>
          <t>Vanguard_M5</t>
        </is>
      </c>
      <c r="C2740" s="9" t="inlineStr">
        <is>
          <t>Trendline breakout (fractal swing line) + VWAP/S-R distance gate</t>
        </is>
      </c>
      <c r="D2740" s="9" t="inlineStr">
        <is>
          <t>Short</t>
        </is>
      </c>
      <c r="E2740" s="10" t="n">
        <v>45412.21875</v>
      </c>
      <c r="F2740" s="10" t="n">
        <v>45415.28819444445</v>
      </c>
      <c r="G2740" s="11" t="n">
        <v>27.1</v>
      </c>
      <c r="H2740" s="11">
        <f>H2739+G2740</f>
        <v/>
      </c>
    </row>
    <row r="2741">
      <c r="A2741" s="9" t="n">
        <v>2737</v>
      </c>
      <c r="B2741" s="9" t="inlineStr">
        <is>
          <t>Meridian</t>
        </is>
      </c>
      <c r="C2741" s="9" t="inlineStr">
        <is>
          <t>21/50 MA cross, 250-period confirm filter, VWAP</t>
        </is>
      </c>
      <c r="D2741" s="9" t="inlineStr">
        <is>
          <t>Short</t>
        </is>
      </c>
      <c r="E2741" s="10" t="n">
        <v>45415.21180555555</v>
      </c>
      <c r="F2741" s="10" t="n">
        <v>45415.3125</v>
      </c>
      <c r="G2741" s="11" t="n">
        <v>-3.29</v>
      </c>
      <c r="H2741" s="11">
        <f>H2740+G2741</f>
        <v/>
      </c>
    </row>
    <row r="2742">
      <c r="A2742" s="9" t="n">
        <v>2738</v>
      </c>
      <c r="B2742" s="9" t="inlineStr">
        <is>
          <t>Ratchet</t>
        </is>
      </c>
      <c r="C2742" s="9" t="inlineStr">
        <is>
          <t>Stochastic scalp with give-back trail exit</t>
        </is>
      </c>
      <c r="D2742" s="9" t="inlineStr">
        <is>
          <t>Short</t>
        </is>
      </c>
      <c r="E2742" s="10" t="n">
        <v>45415.42013888889</v>
      </c>
      <c r="F2742" s="10" t="n">
        <v>45415.43055555555</v>
      </c>
      <c r="G2742" s="11" t="n">
        <v>-2.66</v>
      </c>
      <c r="H2742" s="11">
        <f>H2741+G2742</f>
        <v/>
      </c>
    </row>
    <row r="2743">
      <c r="A2743" s="9" t="n">
        <v>2739</v>
      </c>
      <c r="B2743" s="9" t="inlineStr">
        <is>
          <t>Ratchet</t>
        </is>
      </c>
      <c r="C2743" s="9" t="inlineStr">
        <is>
          <t>Stochastic scalp with give-back trail exit</t>
        </is>
      </c>
      <c r="D2743" s="9" t="inlineStr">
        <is>
          <t>Short</t>
        </is>
      </c>
      <c r="E2743" s="10" t="n">
        <v>45415.58680555555</v>
      </c>
      <c r="F2743" s="10" t="n">
        <v>45415.59375</v>
      </c>
      <c r="G2743" s="11" t="n">
        <v>0.55</v>
      </c>
      <c r="H2743" s="11">
        <f>H2742+G2743</f>
        <v/>
      </c>
    </row>
    <row r="2744">
      <c r="A2744" s="9" t="n">
        <v>2740</v>
      </c>
      <c r="B2744" s="9" t="inlineStr">
        <is>
          <t>Meridian</t>
        </is>
      </c>
      <c r="C2744" s="9" t="inlineStr">
        <is>
          <t>21/50 MA cross, 250-period confirm filter, VWAP</t>
        </is>
      </c>
      <c r="D2744" s="9" t="inlineStr">
        <is>
          <t>Short</t>
        </is>
      </c>
      <c r="E2744" s="10" t="n">
        <v>45415.40277777778</v>
      </c>
      <c r="F2744" s="10" t="n">
        <v>45415.64583333334</v>
      </c>
      <c r="G2744" s="11" t="n">
        <v>-2.99</v>
      </c>
      <c r="H2744" s="11">
        <f>H2743+G2744</f>
        <v/>
      </c>
    </row>
    <row r="2745">
      <c r="A2745" s="9" t="n">
        <v>2741</v>
      </c>
      <c r="B2745" s="9" t="inlineStr">
        <is>
          <t>Aurelius_M5</t>
        </is>
      </c>
      <c r="C2745" s="9" t="inlineStr">
        <is>
          <t>MA alignment (EMA21&gt;EMA50&gt;SMA250&gt;SMMA500 vs EMA2400 trend filter)</t>
        </is>
      </c>
      <c r="D2745" s="9" t="inlineStr">
        <is>
          <t>Short</t>
        </is>
      </c>
      <c r="E2745" s="10" t="n">
        <v>45415.57986111111</v>
      </c>
      <c r="F2745" s="10" t="n">
        <v>45415.64583333334</v>
      </c>
      <c r="G2745" s="11" t="n">
        <v>-3</v>
      </c>
      <c r="H2745" s="11">
        <f>H2744+G2745</f>
        <v/>
      </c>
    </row>
    <row r="2746">
      <c r="A2746" s="9" t="n">
        <v>2742</v>
      </c>
      <c r="B2746" s="9" t="inlineStr">
        <is>
          <t>Aurelius_M15</t>
        </is>
      </c>
      <c r="C2746" s="9" t="inlineStr">
        <is>
          <t>MA alignment (EMA21&gt;EMA50&gt;SMA250&gt;SMMA500 vs EMA2400 trend filter) - M15 chart</t>
        </is>
      </c>
      <c r="D2746" s="9" t="inlineStr">
        <is>
          <t>Short</t>
        </is>
      </c>
      <c r="E2746" s="10" t="n">
        <v>45415.64583333334</v>
      </c>
      <c r="F2746" s="10" t="n">
        <v>45415.64583333334</v>
      </c>
      <c r="G2746" s="11" t="n">
        <v>-6.52</v>
      </c>
      <c r="H2746" s="11">
        <f>H2745+G2746</f>
        <v/>
      </c>
    </row>
    <row r="2747">
      <c r="A2747" s="9" t="n">
        <v>2743</v>
      </c>
      <c r="B2747" s="9" t="inlineStr">
        <is>
          <t>Meridian</t>
        </is>
      </c>
      <c r="C2747" s="9" t="inlineStr">
        <is>
          <t>21/50 MA cross, 250-period confirm filter, VWAP</t>
        </is>
      </c>
      <c r="D2747" s="9" t="inlineStr">
        <is>
          <t>Long</t>
        </is>
      </c>
      <c r="E2747" s="10" t="n">
        <v>45415.65277777778</v>
      </c>
      <c r="F2747" s="10" t="n">
        <v>45415.65277777778</v>
      </c>
      <c r="G2747" s="11" t="n">
        <v>-9.33</v>
      </c>
      <c r="H2747" s="11">
        <f>H2746+G2747</f>
        <v/>
      </c>
    </row>
    <row r="2748">
      <c r="A2748" s="9" t="n">
        <v>2744</v>
      </c>
      <c r="B2748" s="9" t="inlineStr">
        <is>
          <t>Vanguard_M5</t>
        </is>
      </c>
      <c r="C2748" s="9" t="inlineStr">
        <is>
          <t>Trendline breakout (fractal swing line) + VWAP/S-R distance gate</t>
        </is>
      </c>
      <c r="D2748" s="9" t="inlineStr">
        <is>
          <t>Short</t>
        </is>
      </c>
      <c r="E2748" s="10" t="n">
        <v>45415.72222222222</v>
      </c>
      <c r="F2748" s="10" t="n">
        <v>45415.74305555555</v>
      </c>
      <c r="G2748" s="11" t="n">
        <v>-7.46</v>
      </c>
      <c r="H2748" s="11">
        <f>H2747+G2748</f>
        <v/>
      </c>
    </row>
    <row r="2749">
      <c r="A2749" s="9" t="n">
        <v>2745</v>
      </c>
      <c r="B2749" s="9" t="inlineStr">
        <is>
          <t>Vanguard_M15</t>
        </is>
      </c>
      <c r="C2749" s="9" t="inlineStr">
        <is>
          <t>Trendline breakout (fractal swing line) + VWAP/S-R distance gate - M15 chart</t>
        </is>
      </c>
      <c r="D2749" s="9" t="inlineStr">
        <is>
          <t>Short</t>
        </is>
      </c>
      <c r="E2749" s="10" t="n">
        <v>45415.69791666666</v>
      </c>
      <c r="F2749" s="10" t="n">
        <v>45415.75</v>
      </c>
      <c r="G2749" s="11" t="n">
        <v>-7.23</v>
      </c>
      <c r="H2749" s="11">
        <f>H2748+G2749</f>
        <v/>
      </c>
    </row>
    <row r="2750">
      <c r="A2750" s="9" t="n">
        <v>2746</v>
      </c>
      <c r="B2750" s="9" t="inlineStr">
        <is>
          <t>Aurelius_M5</t>
        </is>
      </c>
      <c r="C2750" s="9" t="inlineStr">
        <is>
          <t>MA alignment (EMA21&gt;EMA50&gt;SMA250&gt;SMMA500 vs EMA2400 trend filter)</t>
        </is>
      </c>
      <c r="D2750" s="9" t="inlineStr">
        <is>
          <t>Short</t>
        </is>
      </c>
      <c r="E2750" s="10" t="n">
        <v>45415.74305555555</v>
      </c>
      <c r="F2750" s="10" t="n">
        <v>45415.82291666666</v>
      </c>
      <c r="G2750" s="11" t="n">
        <v>-5.32</v>
      </c>
      <c r="H2750" s="11">
        <f>H2749+G2750</f>
        <v/>
      </c>
    </row>
    <row r="2751">
      <c r="A2751" s="9" t="n">
        <v>2747</v>
      </c>
      <c r="B2751" s="9" t="inlineStr">
        <is>
          <t>Aurelius_M15</t>
        </is>
      </c>
      <c r="C2751" s="9" t="inlineStr">
        <is>
          <t>MA alignment (EMA21&gt;EMA50&gt;SMA250&gt;SMMA500 vs EMA2400 trend filter) - M15 chart</t>
        </is>
      </c>
      <c r="D2751" s="9" t="inlineStr">
        <is>
          <t>Short</t>
        </is>
      </c>
      <c r="E2751" s="10" t="n">
        <v>45415.76041666666</v>
      </c>
      <c r="F2751" s="10" t="n">
        <v>45415.92708333334</v>
      </c>
      <c r="G2751" s="11" t="n">
        <v>-3.86</v>
      </c>
      <c r="H2751" s="11">
        <f>H2750+G2751</f>
        <v/>
      </c>
    </row>
    <row r="2752">
      <c r="A2752" s="9" t="n">
        <v>2748</v>
      </c>
      <c r="B2752" s="9" t="inlineStr">
        <is>
          <t>Ratchet</t>
        </is>
      </c>
      <c r="C2752" s="9" t="inlineStr">
        <is>
          <t>Stochastic scalp with give-back trail exit</t>
        </is>
      </c>
      <c r="D2752" s="9" t="inlineStr">
        <is>
          <t>Short</t>
        </is>
      </c>
      <c r="E2752" s="10" t="n">
        <v>45418.13194444445</v>
      </c>
      <c r="F2752" s="10" t="n">
        <v>45418.14583333334</v>
      </c>
      <c r="G2752" s="11" t="n">
        <v>0.46</v>
      </c>
      <c r="H2752" s="11">
        <f>H2751+G2752</f>
        <v/>
      </c>
    </row>
    <row r="2753">
      <c r="A2753" s="9" t="n">
        <v>2749</v>
      </c>
      <c r="B2753" s="9" t="inlineStr">
        <is>
          <t>Meridian</t>
        </is>
      </c>
      <c r="C2753" s="9" t="inlineStr">
        <is>
          <t>21/50 MA cross, 250-period confirm filter, VWAP</t>
        </is>
      </c>
      <c r="D2753" s="9" t="inlineStr">
        <is>
          <t>Short</t>
        </is>
      </c>
      <c r="E2753" s="10" t="n">
        <v>45418.11458333334</v>
      </c>
      <c r="F2753" s="10" t="n">
        <v>45418.16666666666</v>
      </c>
      <c r="G2753" s="11" t="n">
        <v>-3.97</v>
      </c>
      <c r="H2753" s="11">
        <f>H2752+G2753</f>
        <v/>
      </c>
    </row>
    <row r="2754">
      <c r="A2754" s="9" t="n">
        <v>2750</v>
      </c>
      <c r="B2754" s="9" t="inlineStr">
        <is>
          <t>Ratchet</t>
        </is>
      </c>
      <c r="C2754" s="9" t="inlineStr">
        <is>
          <t>Stochastic scalp with give-back trail exit</t>
        </is>
      </c>
      <c r="D2754" s="9" t="inlineStr">
        <is>
          <t>Long</t>
        </is>
      </c>
      <c r="E2754" s="10" t="n">
        <v>45418.46527777778</v>
      </c>
      <c r="F2754" s="10" t="n">
        <v>45418.48611111111</v>
      </c>
      <c r="G2754" s="11" t="n">
        <v>-3.86</v>
      </c>
      <c r="H2754" s="11">
        <f>H2753+G2754</f>
        <v/>
      </c>
    </row>
    <row r="2755">
      <c r="A2755" s="9" t="n">
        <v>2751</v>
      </c>
      <c r="B2755" s="9" t="inlineStr">
        <is>
          <t>Meridian</t>
        </is>
      </c>
      <c r="C2755" s="9" t="inlineStr">
        <is>
          <t>21/50 MA cross, 250-period confirm filter, VWAP</t>
        </is>
      </c>
      <c r="D2755" s="9" t="inlineStr">
        <is>
          <t>Long</t>
        </is>
      </c>
      <c r="E2755" s="10" t="n">
        <v>45418.18055555555</v>
      </c>
      <c r="F2755" s="10" t="n">
        <v>45418.64236111111</v>
      </c>
      <c r="G2755" s="11" t="n">
        <v>12.53</v>
      </c>
      <c r="H2755" s="11">
        <f>H2754+G2755</f>
        <v/>
      </c>
    </row>
    <row r="2756">
      <c r="A2756" s="9" t="n">
        <v>2752</v>
      </c>
      <c r="B2756" s="9" t="inlineStr">
        <is>
          <t>Ratchet</t>
        </is>
      </c>
      <c r="C2756" s="9" t="inlineStr">
        <is>
          <t>Stochastic scalp with give-back trail exit</t>
        </is>
      </c>
      <c r="D2756" s="9" t="inlineStr">
        <is>
          <t>Long</t>
        </is>
      </c>
      <c r="E2756" s="10" t="n">
        <v>45418.69097222222</v>
      </c>
      <c r="F2756" s="10" t="n">
        <v>45418.69791666666</v>
      </c>
      <c r="G2756" s="11" t="n">
        <v>1.32</v>
      </c>
      <c r="H2756" s="11">
        <f>H2755+G2756</f>
        <v/>
      </c>
    </row>
    <row r="2757">
      <c r="A2757" s="9" t="n">
        <v>2753</v>
      </c>
      <c r="B2757" s="9" t="inlineStr">
        <is>
          <t>Ratchet</t>
        </is>
      </c>
      <c r="C2757" s="9" t="inlineStr">
        <is>
          <t>Stochastic scalp with give-back trail exit</t>
        </is>
      </c>
      <c r="D2757" s="9" t="inlineStr">
        <is>
          <t>Long</t>
        </is>
      </c>
      <c r="E2757" s="10" t="n">
        <v>45418.70833333334</v>
      </c>
      <c r="F2757" s="10" t="n">
        <v>45418.73263888889</v>
      </c>
      <c r="G2757" s="11" t="n">
        <v>-6.33</v>
      </c>
      <c r="H2757" s="11">
        <f>H2756+G2757</f>
        <v/>
      </c>
    </row>
    <row r="2758">
      <c r="A2758" s="9" t="n">
        <v>2754</v>
      </c>
      <c r="B2758" s="9" t="inlineStr">
        <is>
          <t>Ratchet</t>
        </is>
      </c>
      <c r="C2758" s="9" t="inlineStr">
        <is>
          <t>Stochastic scalp with give-back trail exit</t>
        </is>
      </c>
      <c r="D2758" s="9" t="inlineStr">
        <is>
          <t>Long</t>
        </is>
      </c>
      <c r="E2758" s="10" t="n">
        <v>45418.80208333334</v>
      </c>
      <c r="F2758" s="10" t="n">
        <v>45418.8125</v>
      </c>
      <c r="G2758" s="11" t="n">
        <v>-3.09</v>
      </c>
      <c r="H2758" s="11">
        <f>H2757+G2758</f>
        <v/>
      </c>
    </row>
    <row r="2759">
      <c r="A2759" s="9" t="n">
        <v>2755</v>
      </c>
      <c r="B2759" s="9" t="inlineStr">
        <is>
          <t>Ratchet</t>
        </is>
      </c>
      <c r="C2759" s="9" t="inlineStr">
        <is>
          <t>Stochastic scalp with give-back trail exit</t>
        </is>
      </c>
      <c r="D2759" s="9" t="inlineStr">
        <is>
          <t>Long</t>
        </is>
      </c>
      <c r="E2759" s="10" t="n">
        <v>45418.89583333334</v>
      </c>
      <c r="F2759" s="10" t="n">
        <v>45418.92361111111</v>
      </c>
      <c r="G2759" s="11" t="n">
        <v>0</v>
      </c>
      <c r="H2759" s="11">
        <f>H2758+G2759</f>
        <v/>
      </c>
    </row>
    <row r="2760">
      <c r="A2760" s="9" t="n">
        <v>2756</v>
      </c>
      <c r="B2760" s="9" t="inlineStr">
        <is>
          <t>Ratchet</t>
        </is>
      </c>
      <c r="C2760" s="9" t="inlineStr">
        <is>
          <t>Stochastic scalp with give-back trail exit</t>
        </is>
      </c>
      <c r="D2760" s="9" t="inlineStr">
        <is>
          <t>Long</t>
        </is>
      </c>
      <c r="E2760" s="10" t="n">
        <v>45419.17361111111</v>
      </c>
      <c r="F2760" s="10" t="n">
        <v>45419.18055555555</v>
      </c>
      <c r="G2760" s="11" t="n">
        <v>-2.21</v>
      </c>
      <c r="H2760" s="11">
        <f>H2759+G2760</f>
        <v/>
      </c>
    </row>
    <row r="2761">
      <c r="A2761" s="9" t="n">
        <v>2757</v>
      </c>
      <c r="B2761" s="9" t="inlineStr">
        <is>
          <t>Aurelius_M5</t>
        </is>
      </c>
      <c r="C2761" s="9" t="inlineStr">
        <is>
          <t>MA alignment (EMA21&gt;EMA50&gt;SMA250&gt;SMMA500 vs EMA2400 trend filter)</t>
        </is>
      </c>
      <c r="D2761" s="9" t="inlineStr">
        <is>
          <t>Long</t>
        </is>
      </c>
      <c r="E2761" s="10" t="n">
        <v>45419.19097222222</v>
      </c>
      <c r="F2761" s="10" t="n">
        <v>45419.20138888889</v>
      </c>
      <c r="G2761" s="11" t="n">
        <v>-3.4</v>
      </c>
      <c r="H2761" s="11">
        <f>H2760+G2761</f>
        <v/>
      </c>
    </row>
    <row r="2762">
      <c r="A2762" s="9" t="n">
        <v>2758</v>
      </c>
      <c r="B2762" s="9" t="inlineStr">
        <is>
          <t>Meridian</t>
        </is>
      </c>
      <c r="C2762" s="9" t="inlineStr">
        <is>
          <t>21/50 MA cross, 250-period confirm filter, VWAP</t>
        </is>
      </c>
      <c r="D2762" s="9" t="inlineStr">
        <is>
          <t>Long</t>
        </is>
      </c>
      <c r="E2762" s="10" t="n">
        <v>45418.65277777778</v>
      </c>
      <c r="F2762" s="10" t="n">
        <v>45419.20833333334</v>
      </c>
      <c r="G2762" s="11" t="n">
        <v>1.13</v>
      </c>
      <c r="H2762" s="11">
        <f>H2761+G2762</f>
        <v/>
      </c>
    </row>
    <row r="2763">
      <c r="A2763" s="9" t="n">
        <v>2759</v>
      </c>
      <c r="B2763" s="9" t="inlineStr">
        <is>
          <t>Aurelius_M15</t>
        </is>
      </c>
      <c r="C2763" s="9" t="inlineStr">
        <is>
          <t>MA alignment (EMA21&gt;EMA50&gt;SMA250&gt;SMMA500 vs EMA2400 trend filter) - M15 chart</t>
        </is>
      </c>
      <c r="D2763" s="9" t="inlineStr">
        <is>
          <t>Long</t>
        </is>
      </c>
      <c r="E2763" s="10" t="n">
        <v>45419.17708333334</v>
      </c>
      <c r="F2763" s="10" t="n">
        <v>45419.20833333334</v>
      </c>
      <c r="G2763" s="11" t="n">
        <v>-6.2</v>
      </c>
      <c r="H2763" s="11">
        <f>H2762+G2763</f>
        <v/>
      </c>
    </row>
    <row r="2764">
      <c r="A2764" s="9" t="n">
        <v>2760</v>
      </c>
      <c r="B2764" s="9" t="inlineStr">
        <is>
          <t>Meridian</t>
        </is>
      </c>
      <c r="C2764" s="9" t="inlineStr">
        <is>
          <t>21/50 MA cross, 250-period confirm filter, VWAP</t>
        </is>
      </c>
      <c r="D2764" s="9" t="inlineStr">
        <is>
          <t>Short</t>
        </is>
      </c>
      <c r="E2764" s="10" t="n">
        <v>45419.77777777778</v>
      </c>
      <c r="F2764" s="10" t="n">
        <v>45420.05555555555</v>
      </c>
      <c r="G2764" s="11" t="n">
        <v>-1.74</v>
      </c>
      <c r="H2764" s="11">
        <f>H2763+G2764</f>
        <v/>
      </c>
    </row>
    <row r="2765">
      <c r="A2765" s="9" t="n">
        <v>2761</v>
      </c>
      <c r="B2765" s="9" t="inlineStr">
        <is>
          <t>Ratchet</t>
        </is>
      </c>
      <c r="C2765" s="9" t="inlineStr">
        <is>
          <t>Stochastic scalp with give-back trail exit</t>
        </is>
      </c>
      <c r="D2765" s="9" t="inlineStr">
        <is>
          <t>Short</t>
        </is>
      </c>
      <c r="E2765" s="10" t="n">
        <v>45420.16666666666</v>
      </c>
      <c r="F2765" s="10" t="n">
        <v>45420.17013888889</v>
      </c>
      <c r="G2765" s="11" t="n">
        <v>0.39</v>
      </c>
      <c r="H2765" s="11">
        <f>H2764+G2765</f>
        <v/>
      </c>
    </row>
    <row r="2766">
      <c r="A2766" s="9" t="n">
        <v>2762</v>
      </c>
      <c r="B2766" s="9" t="inlineStr">
        <is>
          <t>Meridian</t>
        </is>
      </c>
      <c r="C2766" s="9" t="inlineStr">
        <is>
          <t>21/50 MA cross, 250-period confirm filter, VWAP</t>
        </is>
      </c>
      <c r="D2766" s="9" t="inlineStr">
        <is>
          <t>Short</t>
        </is>
      </c>
      <c r="E2766" s="10" t="n">
        <v>45420.16666666666</v>
      </c>
      <c r="F2766" s="10" t="n">
        <v>45420.24305555555</v>
      </c>
      <c r="G2766" s="11" t="n">
        <v>-2.05</v>
      </c>
      <c r="H2766" s="11">
        <f>H2765+G2766</f>
        <v/>
      </c>
    </row>
    <row r="2767">
      <c r="A2767" s="9" t="n">
        <v>2763</v>
      </c>
      <c r="B2767" s="9" t="inlineStr">
        <is>
          <t>Meridian</t>
        </is>
      </c>
      <c r="C2767" s="9" t="inlineStr">
        <is>
          <t>21/50 MA cross, 250-period confirm filter, VWAP</t>
        </is>
      </c>
      <c r="D2767" s="9" t="inlineStr">
        <is>
          <t>Long</t>
        </is>
      </c>
      <c r="E2767" s="10" t="n">
        <v>45420.26041666666</v>
      </c>
      <c r="F2767" s="10" t="n">
        <v>45420.42013888889</v>
      </c>
      <c r="G2767" s="11" t="n">
        <v>-1.66</v>
      </c>
      <c r="H2767" s="11">
        <f>H2766+G2767</f>
        <v/>
      </c>
    </row>
    <row r="2768">
      <c r="A2768" s="9" t="n">
        <v>2764</v>
      </c>
      <c r="B2768" s="9" t="inlineStr">
        <is>
          <t>Vanguard_M5</t>
        </is>
      </c>
      <c r="C2768" s="9" t="inlineStr">
        <is>
          <t>Trendline breakout (fractal swing line) + VWAP/S-R distance gate</t>
        </is>
      </c>
      <c r="D2768" s="9" t="inlineStr">
        <is>
          <t>Long</t>
        </is>
      </c>
      <c r="E2768" s="10" t="n">
        <v>45420.27777777778</v>
      </c>
      <c r="F2768" s="10" t="n">
        <v>45420.43402777778</v>
      </c>
      <c r="G2768" s="11" t="n">
        <v>-5.76</v>
      </c>
      <c r="H2768" s="11">
        <f>H2767+G2768</f>
        <v/>
      </c>
    </row>
    <row r="2769">
      <c r="A2769" s="9" t="n">
        <v>2765</v>
      </c>
      <c r="B2769" s="9" t="inlineStr">
        <is>
          <t>Vanguard_M15</t>
        </is>
      </c>
      <c r="C2769" s="9" t="inlineStr">
        <is>
          <t>Trendline breakout (fractal swing line) + VWAP/S-R distance gate - M15 chart</t>
        </is>
      </c>
      <c r="D2769" s="9" t="inlineStr">
        <is>
          <t>Long</t>
        </is>
      </c>
      <c r="E2769" s="10" t="n">
        <v>45420.29166666666</v>
      </c>
      <c r="F2769" s="10" t="n">
        <v>45420.4375</v>
      </c>
      <c r="G2769" s="11" t="n">
        <v>-6.94</v>
      </c>
      <c r="H2769" s="11">
        <f>H2768+G2769</f>
        <v/>
      </c>
    </row>
    <row r="2770">
      <c r="A2770" s="9" t="n">
        <v>2766</v>
      </c>
      <c r="B2770" s="9" t="inlineStr">
        <is>
          <t>Ratchet</t>
        </is>
      </c>
      <c r="C2770" s="9" t="inlineStr">
        <is>
          <t>Stochastic scalp with give-back trail exit</t>
        </is>
      </c>
      <c r="D2770" s="9" t="inlineStr">
        <is>
          <t>Short</t>
        </is>
      </c>
      <c r="E2770" s="10" t="n">
        <v>45420.45486111111</v>
      </c>
      <c r="F2770" s="10" t="n">
        <v>45420.48958333334</v>
      </c>
      <c r="G2770" s="11" t="n">
        <v>1.4</v>
      </c>
      <c r="H2770" s="11">
        <f>H2769+G2770</f>
        <v/>
      </c>
    </row>
    <row r="2771">
      <c r="A2771" s="9" t="n">
        <v>2767</v>
      </c>
      <c r="B2771" s="9" t="inlineStr">
        <is>
          <t>Vanguard_M5</t>
        </is>
      </c>
      <c r="C2771" s="9" t="inlineStr">
        <is>
          <t>Trendline breakout (fractal swing line) + VWAP/S-R distance gate</t>
        </is>
      </c>
      <c r="D2771" s="9" t="inlineStr">
        <is>
          <t>Long</t>
        </is>
      </c>
      <c r="E2771" s="10" t="n">
        <v>45420.55555555555</v>
      </c>
      <c r="F2771" s="10" t="n">
        <v>45420.67708333334</v>
      </c>
      <c r="G2771" s="11" t="n">
        <v>-6.23</v>
      </c>
      <c r="H2771" s="11">
        <f>H2770+G2771</f>
        <v/>
      </c>
    </row>
    <row r="2772">
      <c r="A2772" s="9" t="n">
        <v>2768</v>
      </c>
      <c r="B2772" s="9" t="inlineStr">
        <is>
          <t>Meridian</t>
        </is>
      </c>
      <c r="C2772" s="9" t="inlineStr">
        <is>
          <t>21/50 MA cross, 250-period confirm filter, VWAP</t>
        </is>
      </c>
      <c r="D2772" s="9" t="inlineStr">
        <is>
          <t>Long</t>
        </is>
      </c>
      <c r="E2772" s="10" t="n">
        <v>45420.5625</v>
      </c>
      <c r="F2772" s="10" t="n">
        <v>45420.67708333334</v>
      </c>
      <c r="G2772" s="11" t="n">
        <v>-3.92</v>
      </c>
      <c r="H2772" s="11">
        <f>H2771+G2772</f>
        <v/>
      </c>
    </row>
    <row r="2773">
      <c r="A2773" s="9" t="n">
        <v>2769</v>
      </c>
      <c r="B2773" s="9" t="inlineStr">
        <is>
          <t>Vanguard_M15</t>
        </is>
      </c>
      <c r="C2773" s="9" t="inlineStr">
        <is>
          <t>Trendline breakout (fractal swing line) + VWAP/S-R distance gate - M15 chart</t>
        </is>
      </c>
      <c r="D2773" s="9" t="inlineStr">
        <is>
          <t>Long</t>
        </is>
      </c>
      <c r="E2773" s="10" t="n">
        <v>45420.5625</v>
      </c>
      <c r="F2773" s="10" t="n">
        <v>45420.67708333334</v>
      </c>
      <c r="G2773" s="11" t="n">
        <v>-7.62</v>
      </c>
      <c r="H2773" s="11">
        <f>H2772+G2773</f>
        <v/>
      </c>
    </row>
    <row r="2774">
      <c r="A2774" s="9" t="n">
        <v>2770</v>
      </c>
      <c r="B2774" s="9" t="inlineStr">
        <is>
          <t>Meridian</t>
        </is>
      </c>
      <c r="C2774" s="9" t="inlineStr">
        <is>
          <t>21/50 MA cross, 250-period confirm filter, VWAP</t>
        </is>
      </c>
      <c r="D2774" s="9" t="inlineStr">
        <is>
          <t>Short</t>
        </is>
      </c>
      <c r="E2774" s="10" t="n">
        <v>45420.6875</v>
      </c>
      <c r="F2774" s="10" t="n">
        <v>45420.72222222222</v>
      </c>
      <c r="G2774" s="11" t="n">
        <v>-7.2</v>
      </c>
      <c r="H2774" s="11">
        <f>H2773+G2774</f>
        <v/>
      </c>
    </row>
    <row r="2775">
      <c r="A2775" s="9" t="n">
        <v>2771</v>
      </c>
      <c r="B2775" s="9" t="inlineStr">
        <is>
          <t>Aurelius_M5</t>
        </is>
      </c>
      <c r="C2775" s="9" t="inlineStr">
        <is>
          <t>MA alignment (EMA21&gt;EMA50&gt;SMA250&gt;SMMA500 vs EMA2400 trend filter)</t>
        </is>
      </c>
      <c r="D2775" s="9" t="inlineStr">
        <is>
          <t>Short</t>
        </is>
      </c>
      <c r="E2775" s="10" t="n">
        <v>45420.71180555555</v>
      </c>
      <c r="F2775" s="10" t="n">
        <v>45420.73611111111</v>
      </c>
      <c r="G2775" s="11" t="n">
        <v>-4.72</v>
      </c>
      <c r="H2775" s="11">
        <f>H2774+G2775</f>
        <v/>
      </c>
    </row>
    <row r="2776">
      <c r="A2776" s="9" t="n">
        <v>2772</v>
      </c>
      <c r="B2776" s="9" t="inlineStr">
        <is>
          <t>Meridian</t>
        </is>
      </c>
      <c r="C2776" s="9" t="inlineStr">
        <is>
          <t>21/50 MA cross, 250-period confirm filter, VWAP</t>
        </is>
      </c>
      <c r="D2776" s="9" t="inlineStr">
        <is>
          <t>Long</t>
        </is>
      </c>
      <c r="E2776" s="10" t="n">
        <v>45420.73611111111</v>
      </c>
      <c r="F2776" s="10" t="n">
        <v>45420.87152777778</v>
      </c>
      <c r="G2776" s="11" t="n">
        <v>-1.24</v>
      </c>
      <c r="H2776" s="11">
        <f>H2775+G2776</f>
        <v/>
      </c>
    </row>
    <row r="2777">
      <c r="A2777" s="9" t="n">
        <v>2773</v>
      </c>
      <c r="B2777" s="9" t="inlineStr">
        <is>
          <t>Vanguard_M5</t>
        </is>
      </c>
      <c r="C2777" s="9" t="inlineStr">
        <is>
          <t>Trendline breakout (fractal swing line) + VWAP/S-R distance gate</t>
        </is>
      </c>
      <c r="D2777" s="9" t="inlineStr">
        <is>
          <t>Long</t>
        </is>
      </c>
      <c r="E2777" s="10" t="n">
        <v>45420.79166666666</v>
      </c>
      <c r="F2777" s="10" t="n">
        <v>45420.89236111111</v>
      </c>
      <c r="G2777" s="11" t="n">
        <v>-8.970000000000001</v>
      </c>
      <c r="H2777" s="11">
        <f>H2776+G2777</f>
        <v/>
      </c>
    </row>
    <row r="2778">
      <c r="A2778" s="9" t="n">
        <v>2774</v>
      </c>
      <c r="B2778" s="9" t="inlineStr">
        <is>
          <t>Vanguard_M15</t>
        </is>
      </c>
      <c r="C2778" s="9" t="inlineStr">
        <is>
          <t>Trendline breakout (fractal swing line) + VWAP/S-R distance gate - M15 chart</t>
        </is>
      </c>
      <c r="D2778" s="9" t="inlineStr">
        <is>
          <t>Long</t>
        </is>
      </c>
      <c r="E2778" s="10" t="n">
        <v>45420.79166666666</v>
      </c>
      <c r="F2778" s="10" t="n">
        <v>45420.9375</v>
      </c>
      <c r="G2778" s="11" t="n">
        <v>-10.96</v>
      </c>
      <c r="H2778" s="11">
        <f>H2777+G2778</f>
        <v/>
      </c>
    </row>
    <row r="2779">
      <c r="A2779" s="9" t="n">
        <v>2775</v>
      </c>
      <c r="B2779" s="9" t="inlineStr">
        <is>
          <t>Ratchet</t>
        </is>
      </c>
      <c r="C2779" s="9" t="inlineStr">
        <is>
          <t>Stochastic scalp with give-back trail exit</t>
        </is>
      </c>
      <c r="D2779" s="9" t="inlineStr">
        <is>
          <t>Short</t>
        </is>
      </c>
      <c r="E2779" s="10" t="n">
        <v>45420.93402777778</v>
      </c>
      <c r="F2779" s="10" t="n">
        <v>45420.9375</v>
      </c>
      <c r="G2779" s="11" t="n">
        <v>0.27</v>
      </c>
      <c r="H2779" s="11">
        <f>H2778+G2779</f>
        <v/>
      </c>
    </row>
    <row r="2780">
      <c r="A2780" s="9" t="n">
        <v>2776</v>
      </c>
      <c r="B2780" s="9" t="inlineStr">
        <is>
          <t>Aurelius_M5</t>
        </is>
      </c>
      <c r="C2780" s="9" t="inlineStr">
        <is>
          <t>MA alignment (EMA21&gt;EMA50&gt;SMA250&gt;SMMA500 vs EMA2400 trend filter)</t>
        </is>
      </c>
      <c r="D2780" s="9" t="inlineStr">
        <is>
          <t>Short</t>
        </is>
      </c>
      <c r="E2780" s="10" t="n">
        <v>45421.17013888889</v>
      </c>
      <c r="F2780" s="10" t="n">
        <v>45421.1875</v>
      </c>
      <c r="G2780" s="11" t="n">
        <v>-2.03</v>
      </c>
      <c r="H2780" s="11">
        <f>H2779+G2780</f>
        <v/>
      </c>
    </row>
    <row r="2781">
      <c r="A2781" s="9" t="n">
        <v>2777</v>
      </c>
      <c r="B2781" s="9" t="inlineStr">
        <is>
          <t>Meridian</t>
        </is>
      </c>
      <c r="C2781" s="9" t="inlineStr">
        <is>
          <t>21/50 MA cross, 250-period confirm filter, VWAP</t>
        </is>
      </c>
      <c r="D2781" s="9" t="inlineStr">
        <is>
          <t>Short</t>
        </is>
      </c>
      <c r="E2781" s="10" t="n">
        <v>45421.22222222222</v>
      </c>
      <c r="F2781" s="10" t="n">
        <v>45421.24652777778</v>
      </c>
      <c r="G2781" s="11" t="n">
        <v>-2.41</v>
      </c>
      <c r="H2781" s="11">
        <f>H2780+G2781</f>
        <v/>
      </c>
    </row>
    <row r="2782">
      <c r="A2782" s="9" t="n">
        <v>2778</v>
      </c>
      <c r="B2782" s="9" t="inlineStr">
        <is>
          <t>Ratchet</t>
        </is>
      </c>
      <c r="C2782" s="9" t="inlineStr">
        <is>
          <t>Stochastic scalp with give-back trail exit</t>
        </is>
      </c>
      <c r="D2782" s="9" t="inlineStr">
        <is>
          <t>Short</t>
        </is>
      </c>
      <c r="E2782" s="10" t="n">
        <v>45421.52083333334</v>
      </c>
      <c r="F2782" s="10" t="n">
        <v>45421.54513888889</v>
      </c>
      <c r="G2782" s="11" t="n">
        <v>0.59</v>
      </c>
      <c r="H2782" s="11">
        <f>H2781+G2782</f>
        <v/>
      </c>
    </row>
    <row r="2783">
      <c r="A2783" s="9" t="n">
        <v>2779</v>
      </c>
      <c r="B2783" s="9" t="inlineStr">
        <is>
          <t>Ratchet</t>
        </is>
      </c>
      <c r="C2783" s="9" t="inlineStr">
        <is>
          <t>Stochastic scalp with give-back trail exit</t>
        </is>
      </c>
      <c r="D2783" s="9" t="inlineStr">
        <is>
          <t>Short</t>
        </is>
      </c>
      <c r="E2783" s="10" t="n">
        <v>45421.55208333334</v>
      </c>
      <c r="F2783" s="10" t="n">
        <v>45421.55902777778</v>
      </c>
      <c r="G2783" s="11" t="n">
        <v>-1.99</v>
      </c>
      <c r="H2783" s="11">
        <f>H2782+G2783</f>
        <v/>
      </c>
    </row>
    <row r="2784">
      <c r="A2784" s="9" t="n">
        <v>2780</v>
      </c>
      <c r="B2784" s="9" t="inlineStr">
        <is>
          <t>Meridian</t>
        </is>
      </c>
      <c r="C2784" s="9" t="inlineStr">
        <is>
          <t>21/50 MA cross, 250-period confirm filter, VWAP</t>
        </is>
      </c>
      <c r="D2784" s="9" t="inlineStr">
        <is>
          <t>Short</t>
        </is>
      </c>
      <c r="E2784" s="10" t="n">
        <v>45421.44097222222</v>
      </c>
      <c r="F2784" s="10" t="n">
        <v>45421.60416666666</v>
      </c>
      <c r="G2784" s="11" t="n">
        <v>-1.87</v>
      </c>
      <c r="H2784" s="11">
        <f>H2783+G2784</f>
        <v/>
      </c>
    </row>
    <row r="2785">
      <c r="A2785" s="9" t="n">
        <v>2781</v>
      </c>
      <c r="B2785" s="9" t="inlineStr">
        <is>
          <t>Vanguard_M15</t>
        </is>
      </c>
      <c r="C2785" s="9" t="inlineStr">
        <is>
          <t>Trendline breakout (fractal swing line) + VWAP/S-R distance gate - M15 chart</t>
        </is>
      </c>
      <c r="D2785" s="9" t="inlineStr">
        <is>
          <t>Long</t>
        </is>
      </c>
      <c r="E2785" s="10" t="n">
        <v>45421.65625</v>
      </c>
      <c r="F2785" s="10" t="n">
        <v>45421.66666666666</v>
      </c>
      <c r="G2785" s="11" t="n">
        <v>-9.67</v>
      </c>
      <c r="H2785" s="11">
        <f>H2784+G2785</f>
        <v/>
      </c>
    </row>
    <row r="2786">
      <c r="A2786" s="9" t="n">
        <v>2782</v>
      </c>
      <c r="B2786" s="9" t="inlineStr">
        <is>
          <t>Vanguard_M5</t>
        </is>
      </c>
      <c r="C2786" s="9" t="inlineStr">
        <is>
          <t>Trendline breakout (fractal swing line) + VWAP/S-R distance gate</t>
        </is>
      </c>
      <c r="D2786" s="9" t="inlineStr">
        <is>
          <t>Long</t>
        </is>
      </c>
      <c r="E2786" s="10" t="n">
        <v>45421.64930555555</v>
      </c>
      <c r="F2786" s="10" t="n">
        <v>45421.67361111111</v>
      </c>
      <c r="G2786" s="11" t="n">
        <v>-7.52</v>
      </c>
      <c r="H2786" s="11">
        <f>H2785+G2786</f>
        <v/>
      </c>
    </row>
    <row r="2787">
      <c r="A2787" s="9" t="n">
        <v>2783</v>
      </c>
      <c r="B2787" s="9" t="inlineStr">
        <is>
          <t>Ratchet</t>
        </is>
      </c>
      <c r="C2787" s="9" t="inlineStr">
        <is>
          <t>Stochastic scalp with give-back trail exit</t>
        </is>
      </c>
      <c r="D2787" s="9" t="inlineStr">
        <is>
          <t>Long</t>
        </is>
      </c>
      <c r="E2787" s="10" t="n">
        <v>45421.81597222222</v>
      </c>
      <c r="F2787" s="10" t="n">
        <v>45421.82291666666</v>
      </c>
      <c r="G2787" s="11" t="n">
        <v>-3.11</v>
      </c>
      <c r="H2787" s="11">
        <f>H2786+G2787</f>
        <v/>
      </c>
    </row>
    <row r="2788">
      <c r="A2788" s="9" t="n">
        <v>2784</v>
      </c>
      <c r="B2788" s="9" t="inlineStr">
        <is>
          <t>Ratchet</t>
        </is>
      </c>
      <c r="C2788" s="9" t="inlineStr">
        <is>
          <t>Stochastic scalp with give-back trail exit</t>
        </is>
      </c>
      <c r="D2788" s="9" t="inlineStr">
        <is>
          <t>Long</t>
        </is>
      </c>
      <c r="E2788" s="10" t="n">
        <v>45421.84027777778</v>
      </c>
      <c r="F2788" s="10" t="n">
        <v>45421.85416666666</v>
      </c>
      <c r="G2788" s="11" t="n">
        <v>0.27</v>
      </c>
      <c r="H2788" s="11">
        <f>H2787+G2788</f>
        <v/>
      </c>
    </row>
    <row r="2789">
      <c r="A2789" s="9" t="n">
        <v>2785</v>
      </c>
      <c r="B2789" s="9" t="inlineStr">
        <is>
          <t>Ratchet</t>
        </is>
      </c>
      <c r="C2789" s="9" t="inlineStr">
        <is>
          <t>Stochastic scalp with give-back trail exit</t>
        </is>
      </c>
      <c r="D2789" s="9" t="inlineStr">
        <is>
          <t>Long</t>
        </is>
      </c>
      <c r="E2789" s="10" t="n">
        <v>45421.86111111111</v>
      </c>
      <c r="F2789" s="10" t="n">
        <v>45421.99652777778</v>
      </c>
      <c r="G2789" s="11" t="n">
        <v>12.03</v>
      </c>
      <c r="H2789" s="11">
        <f>H2788+G2789</f>
        <v/>
      </c>
    </row>
    <row r="2790">
      <c r="A2790" s="9" t="n">
        <v>2786</v>
      </c>
      <c r="B2790" s="9" t="inlineStr">
        <is>
          <t>Ratchet</t>
        </is>
      </c>
      <c r="C2790" s="9" t="inlineStr">
        <is>
          <t>Stochastic scalp with give-back trail exit</t>
        </is>
      </c>
      <c r="D2790" s="9" t="inlineStr">
        <is>
          <t>Long</t>
        </is>
      </c>
      <c r="E2790" s="10" t="n">
        <v>45422.17708333334</v>
      </c>
      <c r="F2790" s="10" t="n">
        <v>45422.19097222222</v>
      </c>
      <c r="G2790" s="11" t="n">
        <v>1.07</v>
      </c>
      <c r="H2790" s="11">
        <f>H2789+G2790</f>
        <v/>
      </c>
    </row>
    <row r="2791">
      <c r="A2791" s="9" t="n">
        <v>2787</v>
      </c>
      <c r="B2791" s="9" t="inlineStr">
        <is>
          <t>Ratchet</t>
        </is>
      </c>
      <c r="C2791" s="9" t="inlineStr">
        <is>
          <t>Stochastic scalp with give-back trail exit</t>
        </is>
      </c>
      <c r="D2791" s="9" t="inlineStr">
        <is>
          <t>Long</t>
        </is>
      </c>
      <c r="E2791" s="10" t="n">
        <v>45422.375</v>
      </c>
      <c r="F2791" s="10" t="n">
        <v>45422.65277777778</v>
      </c>
      <c r="G2791" s="11" t="n">
        <v>9.890000000000001</v>
      </c>
      <c r="H2791" s="11">
        <f>H2790+G2791</f>
        <v/>
      </c>
    </row>
    <row r="2792">
      <c r="A2792" s="9" t="n">
        <v>2788</v>
      </c>
      <c r="B2792" s="9" t="inlineStr">
        <is>
          <t>Aurelius_M5</t>
        </is>
      </c>
      <c r="C2792" s="9" t="inlineStr">
        <is>
          <t>MA alignment (EMA21&gt;EMA50&gt;SMA250&gt;SMMA500 vs EMA2400 trend filter)</t>
        </is>
      </c>
      <c r="D2792" s="9" t="inlineStr">
        <is>
          <t>Long</t>
        </is>
      </c>
      <c r="E2792" s="10" t="n">
        <v>45422.27083333334</v>
      </c>
      <c r="F2792" s="10" t="n">
        <v>45422.66319444445</v>
      </c>
      <c r="G2792" s="11" t="n">
        <v>15.09</v>
      </c>
      <c r="H2792" s="11">
        <f>H2791+G2792</f>
        <v/>
      </c>
    </row>
    <row r="2793">
      <c r="A2793" s="9" t="n">
        <v>2789</v>
      </c>
      <c r="B2793" s="9" t="inlineStr">
        <is>
          <t>Meridian</t>
        </is>
      </c>
      <c r="C2793" s="9" t="inlineStr">
        <is>
          <t>21/50 MA cross, 250-period confirm filter, VWAP</t>
        </is>
      </c>
      <c r="D2793" s="9" t="inlineStr">
        <is>
          <t>Long</t>
        </is>
      </c>
      <c r="E2793" s="10" t="n">
        <v>45422.84375</v>
      </c>
      <c r="F2793" s="10" t="n">
        <v>45422.91666666666</v>
      </c>
      <c r="G2793" s="11" t="n">
        <v>-1.74</v>
      </c>
      <c r="H2793" s="11">
        <f>H2792+G2793</f>
        <v/>
      </c>
    </row>
    <row r="2794">
      <c r="A2794" s="9" t="n">
        <v>2790</v>
      </c>
      <c r="B2794" s="9" t="inlineStr">
        <is>
          <t>Aurelius_M15</t>
        </is>
      </c>
      <c r="C2794" s="9" t="inlineStr">
        <is>
          <t>MA alignment (EMA21&gt;EMA50&gt;SMA250&gt;SMMA500 vs EMA2400 trend filter) - M15 chart</t>
        </is>
      </c>
      <c r="D2794" s="9" t="inlineStr">
        <is>
          <t>Long</t>
        </is>
      </c>
      <c r="E2794" s="10" t="n">
        <v>45421.69791666666</v>
      </c>
      <c r="F2794" s="10" t="n">
        <v>45422.92708333334</v>
      </c>
      <c r="G2794" s="11" t="n">
        <v>45.94</v>
      </c>
      <c r="H2794" s="11">
        <f>H2793+G2794</f>
        <v/>
      </c>
    </row>
    <row r="2795">
      <c r="A2795" s="9" t="n">
        <v>2791</v>
      </c>
      <c r="B2795" s="9" t="inlineStr">
        <is>
          <t>Vanguard_M15</t>
        </is>
      </c>
      <c r="C2795" s="9" t="inlineStr">
        <is>
          <t>Trendline breakout (fractal swing line) + VWAP/S-R distance gate - M15 chart</t>
        </is>
      </c>
      <c r="D2795" s="9" t="inlineStr">
        <is>
          <t>Long</t>
        </is>
      </c>
      <c r="E2795" s="10" t="n">
        <v>45421.70833333334</v>
      </c>
      <c r="F2795" s="10" t="n">
        <v>45425.13541666666</v>
      </c>
      <c r="G2795" s="11" t="n">
        <v>37.64</v>
      </c>
      <c r="H2795" s="11">
        <f>H2794+G2795</f>
        <v/>
      </c>
    </row>
    <row r="2796">
      <c r="A2796" s="9" t="n">
        <v>2792</v>
      </c>
      <c r="B2796" s="9" t="inlineStr">
        <is>
          <t>Vanguard_M5</t>
        </is>
      </c>
      <c r="C2796" s="9" t="inlineStr">
        <is>
          <t>Trendline breakout (fractal swing line) + VWAP/S-R distance gate</t>
        </is>
      </c>
      <c r="D2796" s="9" t="inlineStr">
        <is>
          <t>Long</t>
        </is>
      </c>
      <c r="E2796" s="10" t="n">
        <v>45421.70138888889</v>
      </c>
      <c r="F2796" s="10" t="n">
        <v>45425.13888888889</v>
      </c>
      <c r="G2796" s="11" t="n">
        <v>41.36</v>
      </c>
      <c r="H2796" s="11">
        <f>H2795+G2796</f>
        <v/>
      </c>
    </row>
    <row r="2797">
      <c r="A2797" s="9" t="n">
        <v>2793</v>
      </c>
      <c r="B2797" s="9" t="inlineStr">
        <is>
          <t>Meridian</t>
        </is>
      </c>
      <c r="C2797" s="9" t="inlineStr">
        <is>
          <t>21/50 MA cross, 250-period confirm filter, VWAP</t>
        </is>
      </c>
      <c r="D2797" s="9" t="inlineStr">
        <is>
          <t>Short</t>
        </is>
      </c>
      <c r="E2797" s="10" t="n">
        <v>45425.71527777778</v>
      </c>
      <c r="F2797" s="10" t="n">
        <v>45426.07291666666</v>
      </c>
      <c r="G2797" s="11" t="n">
        <v>3.83</v>
      </c>
      <c r="H2797" s="11">
        <f>H2796+G2797</f>
        <v/>
      </c>
    </row>
    <row r="2798">
      <c r="A2798" s="9" t="n">
        <v>2794</v>
      </c>
      <c r="B2798" s="9" t="inlineStr">
        <is>
          <t>Meridian</t>
        </is>
      </c>
      <c r="C2798" s="9" t="inlineStr">
        <is>
          <t>21/50 MA cross, 250-period confirm filter, VWAP</t>
        </is>
      </c>
      <c r="D2798" s="9" t="inlineStr">
        <is>
          <t>Short</t>
        </is>
      </c>
      <c r="E2798" s="10" t="n">
        <v>45426.15972222222</v>
      </c>
      <c r="F2798" s="10" t="n">
        <v>45426.16666666666</v>
      </c>
      <c r="G2798" s="11" t="n">
        <v>-2.16</v>
      </c>
      <c r="H2798" s="11">
        <f>H2797+G2798</f>
        <v/>
      </c>
    </row>
    <row r="2799">
      <c r="A2799" s="9" t="n">
        <v>2795</v>
      </c>
      <c r="B2799" s="9" t="inlineStr">
        <is>
          <t>Meridian</t>
        </is>
      </c>
      <c r="C2799" s="9" t="inlineStr">
        <is>
          <t>21/50 MA cross, 250-period confirm filter, VWAP</t>
        </is>
      </c>
      <c r="D2799" s="9" t="inlineStr">
        <is>
          <t>Short</t>
        </is>
      </c>
      <c r="E2799" s="10" t="n">
        <v>45426.40625</v>
      </c>
      <c r="F2799" s="10" t="n">
        <v>45426.48958333334</v>
      </c>
      <c r="G2799" s="11" t="n">
        <v>-3.42</v>
      </c>
      <c r="H2799" s="11">
        <f>H2798+G2799</f>
        <v/>
      </c>
    </row>
    <row r="2800">
      <c r="A2800" s="9" t="n">
        <v>2796</v>
      </c>
      <c r="B2800" s="9" t="inlineStr">
        <is>
          <t>Meridian</t>
        </is>
      </c>
      <c r="C2800" s="9" t="inlineStr">
        <is>
          <t>21/50 MA cross, 250-period confirm filter, VWAP</t>
        </is>
      </c>
      <c r="D2800" s="9" t="inlineStr">
        <is>
          <t>Long</t>
        </is>
      </c>
      <c r="E2800" s="10" t="n">
        <v>45426.50347222222</v>
      </c>
      <c r="F2800" s="10" t="n">
        <v>45426.64583333334</v>
      </c>
      <c r="G2800" s="11" t="n">
        <v>-3.65</v>
      </c>
      <c r="H2800" s="11">
        <f>H2799+G2800</f>
        <v/>
      </c>
    </row>
    <row r="2801">
      <c r="A2801" s="9" t="n">
        <v>2797</v>
      </c>
      <c r="B2801" s="9" t="inlineStr">
        <is>
          <t>Ratchet</t>
        </is>
      </c>
      <c r="C2801" s="9" t="inlineStr">
        <is>
          <t>Stochastic scalp with give-back trail exit</t>
        </is>
      </c>
      <c r="D2801" s="9" t="inlineStr">
        <is>
          <t>Long</t>
        </is>
      </c>
      <c r="E2801" s="10" t="n">
        <v>45426.90277777778</v>
      </c>
      <c r="F2801" s="10" t="n">
        <v>45426.91666666666</v>
      </c>
      <c r="G2801" s="11" t="n">
        <v>-1.93</v>
      </c>
      <c r="H2801" s="11">
        <f>H2800+G2801</f>
        <v/>
      </c>
    </row>
    <row r="2802">
      <c r="A2802" s="9" t="n">
        <v>2798</v>
      </c>
      <c r="B2802" s="9" t="inlineStr">
        <is>
          <t>Ratchet</t>
        </is>
      </c>
      <c r="C2802" s="9" t="inlineStr">
        <is>
          <t>Stochastic scalp with give-back trail exit</t>
        </is>
      </c>
      <c r="D2802" s="9" t="inlineStr">
        <is>
          <t>Long</t>
        </is>
      </c>
      <c r="E2802" s="10" t="n">
        <v>45427.20833333334</v>
      </c>
      <c r="F2802" s="10" t="n">
        <v>45427.25</v>
      </c>
      <c r="G2802" s="11" t="n">
        <v>0.28</v>
      </c>
      <c r="H2802" s="11">
        <f>H2801+G2802</f>
        <v/>
      </c>
    </row>
    <row r="2803">
      <c r="A2803" s="9" t="n">
        <v>2799</v>
      </c>
      <c r="B2803" s="9" t="inlineStr">
        <is>
          <t>Ratchet</t>
        </is>
      </c>
      <c r="C2803" s="9" t="inlineStr">
        <is>
          <t>Stochastic scalp with give-back trail exit</t>
        </is>
      </c>
      <c r="D2803" s="9" t="inlineStr">
        <is>
          <t>Long</t>
        </is>
      </c>
      <c r="E2803" s="10" t="n">
        <v>45427.25347222222</v>
      </c>
      <c r="F2803" s="10" t="n">
        <v>45427.3125</v>
      </c>
      <c r="G2803" s="11" t="n">
        <v>0.58</v>
      </c>
      <c r="H2803" s="11">
        <f>H2802+G2803</f>
        <v/>
      </c>
    </row>
    <row r="2804">
      <c r="A2804" s="9" t="n">
        <v>2800</v>
      </c>
      <c r="B2804" s="9" t="inlineStr">
        <is>
          <t>Meridian</t>
        </is>
      </c>
      <c r="C2804" s="9" t="inlineStr">
        <is>
          <t>21/50 MA cross, 250-period confirm filter, VWAP</t>
        </is>
      </c>
      <c r="D2804" s="9" t="inlineStr">
        <is>
          <t>Long</t>
        </is>
      </c>
      <c r="E2804" s="10" t="n">
        <v>45427.19097222222</v>
      </c>
      <c r="F2804" s="10" t="n">
        <v>45427.32638888889</v>
      </c>
      <c r="G2804" s="11" t="n">
        <v>-2.62</v>
      </c>
      <c r="H2804" s="11">
        <f>H2803+G2804</f>
        <v/>
      </c>
    </row>
    <row r="2805">
      <c r="A2805" s="9" t="n">
        <v>2801</v>
      </c>
      <c r="B2805" s="9" t="inlineStr">
        <is>
          <t>Aurelius_M5</t>
        </is>
      </c>
      <c r="C2805" s="9" t="inlineStr">
        <is>
          <t>MA alignment (EMA21&gt;EMA50&gt;SMA250&gt;SMMA500 vs EMA2400 trend filter)</t>
        </is>
      </c>
      <c r="D2805" s="9" t="inlineStr">
        <is>
          <t>Long</t>
        </is>
      </c>
      <c r="E2805" s="10" t="n">
        <v>45427.23958333334</v>
      </c>
      <c r="F2805" s="10" t="n">
        <v>45427.34375</v>
      </c>
      <c r="G2805" s="11" t="n">
        <v>-0.95</v>
      </c>
      <c r="H2805" s="11">
        <f>H2804+G2805</f>
        <v/>
      </c>
    </row>
    <row r="2806">
      <c r="A2806" s="9" t="n">
        <v>2802</v>
      </c>
      <c r="B2806" s="9" t="inlineStr">
        <is>
          <t>Aurelius_M5</t>
        </is>
      </c>
      <c r="C2806" s="9" t="inlineStr">
        <is>
          <t>MA alignment (EMA21&gt;EMA50&gt;SMA250&gt;SMMA500 vs EMA2400 trend filter)</t>
        </is>
      </c>
      <c r="D2806" s="9" t="inlineStr">
        <is>
          <t>Long</t>
        </is>
      </c>
      <c r="E2806" s="10" t="n">
        <v>45427.42708333334</v>
      </c>
      <c r="F2806" s="10" t="n">
        <v>45427.59722222222</v>
      </c>
      <c r="G2806" s="11" t="n">
        <v>4.22</v>
      </c>
      <c r="H2806" s="11">
        <f>H2805+G2806</f>
        <v/>
      </c>
    </row>
    <row r="2807">
      <c r="A2807" s="9" t="n">
        <v>2803</v>
      </c>
      <c r="B2807" s="9" t="inlineStr">
        <is>
          <t>Meridian</t>
        </is>
      </c>
      <c r="C2807" s="9" t="inlineStr">
        <is>
          <t>21/50 MA cross, 250-period confirm filter, VWAP</t>
        </is>
      </c>
      <c r="D2807" s="9" t="inlineStr">
        <is>
          <t>Long</t>
        </is>
      </c>
      <c r="E2807" s="10" t="n">
        <v>45427.37847222222</v>
      </c>
      <c r="F2807" s="10" t="n">
        <v>45427.61458333334</v>
      </c>
      <c r="G2807" s="11" t="n">
        <v>5.1</v>
      </c>
      <c r="H2807" s="11">
        <f>H2806+G2807</f>
        <v/>
      </c>
    </row>
    <row r="2808">
      <c r="A2808" s="9" t="n">
        <v>2804</v>
      </c>
      <c r="B2808" s="9" t="inlineStr">
        <is>
          <t>Meridian</t>
        </is>
      </c>
      <c r="C2808" s="9" t="inlineStr">
        <is>
          <t>21/50 MA cross, 250-period confirm filter, VWAP</t>
        </is>
      </c>
      <c r="D2808" s="9" t="inlineStr">
        <is>
          <t>Long</t>
        </is>
      </c>
      <c r="E2808" s="10" t="n">
        <v>45427.65625</v>
      </c>
      <c r="F2808" s="10" t="n">
        <v>45427.67708333334</v>
      </c>
      <c r="G2808" s="11" t="n">
        <v>-9.02</v>
      </c>
      <c r="H2808" s="11">
        <f>H2807+G2808</f>
        <v/>
      </c>
    </row>
    <row r="2809">
      <c r="A2809" s="9" t="n">
        <v>2805</v>
      </c>
      <c r="B2809" s="9" t="inlineStr">
        <is>
          <t>Ratchet</t>
        </is>
      </c>
      <c r="C2809" s="9" t="inlineStr">
        <is>
          <t>Stochastic scalp with give-back trail exit</t>
        </is>
      </c>
      <c r="D2809" s="9" t="inlineStr">
        <is>
          <t>Long</t>
        </is>
      </c>
      <c r="E2809" s="10" t="n">
        <v>45427.67708333334</v>
      </c>
      <c r="F2809" s="10" t="n">
        <v>45427.68055555555</v>
      </c>
      <c r="G2809" s="11" t="n">
        <v>-8.02</v>
      </c>
      <c r="H2809" s="11">
        <f>H2808+G2809</f>
        <v/>
      </c>
    </row>
    <row r="2810">
      <c r="A2810" s="9" t="n">
        <v>2806</v>
      </c>
      <c r="B2810" s="9" t="inlineStr">
        <is>
          <t>Meridian</t>
        </is>
      </c>
      <c r="C2810" s="9" t="inlineStr">
        <is>
          <t>21/50 MA cross, 250-period confirm filter, VWAP</t>
        </is>
      </c>
      <c r="D2810" s="9" t="inlineStr">
        <is>
          <t>Short</t>
        </is>
      </c>
      <c r="E2810" s="10" t="n">
        <v>45427.70486111111</v>
      </c>
      <c r="F2810" s="10" t="n">
        <v>45427.72222222222</v>
      </c>
      <c r="G2810" s="11" t="n">
        <v>-11.1</v>
      </c>
      <c r="H2810" s="11">
        <f>H2809+G2810</f>
        <v/>
      </c>
    </row>
    <row r="2811">
      <c r="A2811" s="9" t="n">
        <v>2807</v>
      </c>
      <c r="B2811" s="9" t="inlineStr">
        <is>
          <t>Aurelius_M5</t>
        </is>
      </c>
      <c r="C2811" s="9" t="inlineStr">
        <is>
          <t>MA alignment (EMA21&gt;EMA50&gt;SMA250&gt;SMMA500 vs EMA2400 trend filter)</t>
        </is>
      </c>
      <c r="D2811" s="9" t="inlineStr">
        <is>
          <t>Long</t>
        </is>
      </c>
      <c r="E2811" s="10" t="n">
        <v>45427.76736111111</v>
      </c>
      <c r="F2811" s="10" t="n">
        <v>45428.04166666666</v>
      </c>
      <c r="G2811" s="11" t="n">
        <v>0.53</v>
      </c>
      <c r="H2811" s="11">
        <f>H2810+G2811</f>
        <v/>
      </c>
    </row>
    <row r="2812">
      <c r="A2812" s="9" t="n">
        <v>2808</v>
      </c>
      <c r="B2812" s="9" t="inlineStr">
        <is>
          <t>Ratchet</t>
        </is>
      </c>
      <c r="C2812" s="9" t="inlineStr">
        <is>
          <t>Stochastic scalp with give-back trail exit</t>
        </is>
      </c>
      <c r="D2812" s="9" t="inlineStr">
        <is>
          <t>Long</t>
        </is>
      </c>
      <c r="E2812" s="10" t="n">
        <v>45428.19097222222</v>
      </c>
      <c r="F2812" s="10" t="n">
        <v>45428.19444444445</v>
      </c>
      <c r="G2812" s="11" t="n">
        <v>0</v>
      </c>
      <c r="H2812" s="11">
        <f>H2811+G2812</f>
        <v/>
      </c>
    </row>
    <row r="2813">
      <c r="A2813" s="9" t="n">
        <v>2809</v>
      </c>
      <c r="B2813" s="9" t="inlineStr">
        <is>
          <t>Meridian</t>
        </is>
      </c>
      <c r="C2813" s="9" t="inlineStr">
        <is>
          <t>21/50 MA cross, 250-period confirm filter, VWAP</t>
        </is>
      </c>
      <c r="D2813" s="9" t="inlineStr">
        <is>
          <t>Long</t>
        </is>
      </c>
      <c r="E2813" s="10" t="n">
        <v>45427.74652777778</v>
      </c>
      <c r="F2813" s="10" t="n">
        <v>45428.25</v>
      </c>
      <c r="G2813" s="11" t="n">
        <v>17.26</v>
      </c>
      <c r="H2813" s="11">
        <f>H2812+G2813</f>
        <v/>
      </c>
    </row>
    <row r="2814">
      <c r="A2814" s="9" t="n">
        <v>2810</v>
      </c>
      <c r="B2814" s="9" t="inlineStr">
        <is>
          <t>Aurelius_M15</t>
        </is>
      </c>
      <c r="C2814" s="9" t="inlineStr">
        <is>
          <t>MA alignment (EMA21&gt;EMA50&gt;SMA250&gt;SMMA500 vs EMA2400 trend filter) - M15 chart</t>
        </is>
      </c>
      <c r="D2814" s="9" t="inlineStr">
        <is>
          <t>Long</t>
        </is>
      </c>
      <c r="E2814" s="10" t="n">
        <v>45426.73958333334</v>
      </c>
      <c r="F2814" s="10" t="n">
        <v>45428.28125</v>
      </c>
      <c r="G2814" s="11" t="n">
        <v>34.79</v>
      </c>
      <c r="H2814" s="11">
        <f>H2813+G2814</f>
        <v/>
      </c>
    </row>
    <row r="2815">
      <c r="A2815" s="9" t="n">
        <v>2811</v>
      </c>
      <c r="B2815" s="9" t="inlineStr">
        <is>
          <t>Meridian</t>
        </is>
      </c>
      <c r="C2815" s="9" t="inlineStr">
        <is>
          <t>21/50 MA cross, 250-period confirm filter, VWAP</t>
        </is>
      </c>
      <c r="D2815" s="9" t="inlineStr">
        <is>
          <t>Short</t>
        </is>
      </c>
      <c r="E2815" s="10" t="n">
        <v>45428.90277777778</v>
      </c>
      <c r="F2815" s="10" t="n">
        <v>45428.92361111111</v>
      </c>
      <c r="G2815" s="11" t="n">
        <v>-3.29</v>
      </c>
      <c r="H2815" s="11">
        <f>H2814+G2815</f>
        <v/>
      </c>
    </row>
    <row r="2816">
      <c r="A2816" s="9" t="n">
        <v>2812</v>
      </c>
      <c r="B2816" s="9" t="inlineStr">
        <is>
          <t>Vanguard_M5</t>
        </is>
      </c>
      <c r="C2816" s="9" t="inlineStr">
        <is>
          <t>Trendline breakout (fractal swing line) + VWAP/S-R distance gate</t>
        </is>
      </c>
      <c r="D2816" s="9" t="inlineStr">
        <is>
          <t>Short</t>
        </is>
      </c>
      <c r="E2816" s="10" t="n">
        <v>45429.15625</v>
      </c>
      <c r="F2816" s="10" t="n">
        <v>45429.22569444445</v>
      </c>
      <c r="G2816" s="11" t="n">
        <v>-3.37</v>
      </c>
      <c r="H2816" s="11">
        <f>H2815+G2816</f>
        <v/>
      </c>
    </row>
    <row r="2817">
      <c r="A2817" s="9" t="n">
        <v>2813</v>
      </c>
      <c r="B2817" s="9" t="inlineStr">
        <is>
          <t>Meridian</t>
        </is>
      </c>
      <c r="C2817" s="9" t="inlineStr">
        <is>
          <t>21/50 MA cross, 250-period confirm filter, VWAP</t>
        </is>
      </c>
      <c r="D2817" s="9" t="inlineStr">
        <is>
          <t>Short</t>
        </is>
      </c>
      <c r="E2817" s="10" t="n">
        <v>45428.9375</v>
      </c>
      <c r="F2817" s="10" t="n">
        <v>45429.22916666666</v>
      </c>
      <c r="G2817" s="11" t="n">
        <v>-1.97</v>
      </c>
      <c r="H2817" s="11">
        <f>H2816+G2817</f>
        <v/>
      </c>
    </row>
    <row r="2818">
      <c r="A2818" s="9" t="n">
        <v>2814</v>
      </c>
      <c r="B2818" s="9" t="inlineStr">
        <is>
          <t>Meridian</t>
        </is>
      </c>
      <c r="C2818" s="9" t="inlineStr">
        <is>
          <t>21/50 MA cross, 250-period confirm filter, VWAP</t>
        </is>
      </c>
      <c r="D2818" s="9" t="inlineStr">
        <is>
          <t>Short</t>
        </is>
      </c>
      <c r="E2818" s="10" t="n">
        <v>45429.24305555555</v>
      </c>
      <c r="F2818" s="10" t="n">
        <v>45429.33333333334</v>
      </c>
      <c r="G2818" s="11" t="n">
        <v>-2.23</v>
      </c>
      <c r="H2818" s="11">
        <f>H2817+G2818</f>
        <v/>
      </c>
    </row>
    <row r="2819">
      <c r="A2819" s="9" t="n">
        <v>2815</v>
      </c>
      <c r="B2819" s="9" t="inlineStr">
        <is>
          <t>Vanguard_M15</t>
        </is>
      </c>
      <c r="C2819" s="9" t="inlineStr">
        <is>
          <t>Trendline breakout (fractal swing line) + VWAP/S-R distance gate - M15 chart</t>
        </is>
      </c>
      <c r="D2819" s="9" t="inlineStr">
        <is>
          <t>Short</t>
        </is>
      </c>
      <c r="E2819" s="10" t="n">
        <v>45429.15625</v>
      </c>
      <c r="F2819" s="10" t="n">
        <v>45429.375</v>
      </c>
      <c r="G2819" s="11" t="n">
        <v>-5.22</v>
      </c>
      <c r="H2819" s="11">
        <f>H2818+G2819</f>
        <v/>
      </c>
    </row>
    <row r="2820">
      <c r="A2820" s="9" t="n">
        <v>2816</v>
      </c>
      <c r="B2820" s="9" t="inlineStr">
        <is>
          <t>Ratchet</t>
        </is>
      </c>
      <c r="C2820" s="9" t="inlineStr">
        <is>
          <t>Stochastic scalp with give-back trail exit</t>
        </is>
      </c>
      <c r="D2820" s="9" t="inlineStr">
        <is>
          <t>Long</t>
        </is>
      </c>
      <c r="E2820" s="10" t="n">
        <v>45429.39583333334</v>
      </c>
      <c r="F2820" s="10" t="n">
        <v>45429.40625</v>
      </c>
      <c r="G2820" s="11" t="n">
        <v>0.33</v>
      </c>
      <c r="H2820" s="11">
        <f>H2819+G2820</f>
        <v/>
      </c>
    </row>
    <row r="2821">
      <c r="A2821" s="9" t="n">
        <v>2817</v>
      </c>
      <c r="B2821" s="9" t="inlineStr">
        <is>
          <t>Aurelius_M15</t>
        </is>
      </c>
      <c r="C2821" s="9" t="inlineStr">
        <is>
          <t>MA alignment (EMA21&gt;EMA50&gt;SMA250&gt;SMMA500 vs EMA2400 trend filter) - M15 chart</t>
        </is>
      </c>
      <c r="D2821" s="9" t="inlineStr">
        <is>
          <t>Long</t>
        </is>
      </c>
      <c r="E2821" s="10" t="n">
        <v>45429.42708333334</v>
      </c>
      <c r="F2821" s="10" t="n">
        <v>45429.45833333334</v>
      </c>
      <c r="G2821" s="11" t="n">
        <v>-5</v>
      </c>
      <c r="H2821" s="11">
        <f>H2820+G2821</f>
        <v/>
      </c>
    </row>
    <row r="2822">
      <c r="A2822" s="9" t="n">
        <v>2818</v>
      </c>
      <c r="B2822" s="9" t="inlineStr">
        <is>
          <t>Ratchet</t>
        </is>
      </c>
      <c r="C2822" s="9" t="inlineStr">
        <is>
          <t>Stochastic scalp with give-back trail exit</t>
        </is>
      </c>
      <c r="D2822" s="9" t="inlineStr">
        <is>
          <t>Long</t>
        </is>
      </c>
      <c r="E2822" s="10" t="n">
        <v>45429.57291666666</v>
      </c>
      <c r="F2822" s="10" t="n">
        <v>45429.58680555555</v>
      </c>
      <c r="G2822" s="11" t="n">
        <v>0.49</v>
      </c>
      <c r="H2822" s="11">
        <f>H2821+G2822</f>
        <v/>
      </c>
    </row>
    <row r="2823">
      <c r="A2823" s="9" t="n">
        <v>2819</v>
      </c>
      <c r="B2823" s="9" t="inlineStr">
        <is>
          <t>Aurelius_M5</t>
        </is>
      </c>
      <c r="C2823" s="9" t="inlineStr">
        <is>
          <t>MA alignment (EMA21&gt;EMA50&gt;SMA250&gt;SMMA500 vs EMA2400 trend filter)</t>
        </is>
      </c>
      <c r="D2823" s="9" t="inlineStr">
        <is>
          <t>Long</t>
        </is>
      </c>
      <c r="E2823" s="10" t="n">
        <v>45429.59027777778</v>
      </c>
      <c r="F2823" s="10" t="n">
        <v>45429.92013888889</v>
      </c>
      <c r="G2823" s="11" t="n">
        <v>26.06</v>
      </c>
      <c r="H2823" s="11">
        <f>H2822+G2823</f>
        <v/>
      </c>
    </row>
    <row r="2824">
      <c r="A2824" s="9" t="n">
        <v>2820</v>
      </c>
      <c r="B2824" s="9" t="inlineStr">
        <is>
          <t>Aurelius_M15</t>
        </is>
      </c>
      <c r="C2824" s="9" t="inlineStr">
        <is>
          <t>MA alignment (EMA21&gt;EMA50&gt;SMA250&gt;SMMA500 vs EMA2400 trend filter) - M15 chart</t>
        </is>
      </c>
      <c r="D2824" s="9" t="inlineStr">
        <is>
          <t>Long</t>
        </is>
      </c>
      <c r="E2824" s="10" t="n">
        <v>45429.65625</v>
      </c>
      <c r="F2824" s="10" t="n">
        <v>45429.92708333334</v>
      </c>
      <c r="G2824" s="11" t="n">
        <v>23.92</v>
      </c>
      <c r="H2824" s="11">
        <f>H2823+G2824</f>
        <v/>
      </c>
    </row>
    <row r="2825">
      <c r="A2825" s="9" t="n">
        <v>2821</v>
      </c>
      <c r="B2825" s="9" t="inlineStr">
        <is>
          <t>Ratchet</t>
        </is>
      </c>
      <c r="C2825" s="9" t="inlineStr">
        <is>
          <t>Stochastic scalp with give-back trail exit</t>
        </is>
      </c>
      <c r="D2825" s="9" t="inlineStr">
        <is>
          <t>Long</t>
        </is>
      </c>
      <c r="E2825" s="10" t="n">
        <v>45432.25347222222</v>
      </c>
      <c r="F2825" s="10" t="n">
        <v>45432.3125</v>
      </c>
      <c r="G2825" s="11" t="n">
        <v>1.42</v>
      </c>
      <c r="H2825" s="11">
        <f>H2824+G2825</f>
        <v/>
      </c>
    </row>
    <row r="2826">
      <c r="A2826" s="9" t="n">
        <v>2822</v>
      </c>
      <c r="B2826" s="9" t="inlineStr">
        <is>
          <t>Aurelius_M5</t>
        </is>
      </c>
      <c r="C2826" s="9" t="inlineStr">
        <is>
          <t>MA alignment (EMA21&gt;EMA50&gt;SMA250&gt;SMMA500 vs EMA2400 trend filter)</t>
        </is>
      </c>
      <c r="D2826" s="9" t="inlineStr">
        <is>
          <t>Long</t>
        </is>
      </c>
      <c r="E2826" s="10" t="n">
        <v>45432.12847222222</v>
      </c>
      <c r="F2826" s="10" t="n">
        <v>45432.57638888889</v>
      </c>
      <c r="G2826" s="11" t="n">
        <v>17.9</v>
      </c>
      <c r="H2826" s="11">
        <f>H2825+G2826</f>
        <v/>
      </c>
    </row>
    <row r="2827">
      <c r="A2827" s="9" t="n">
        <v>2823</v>
      </c>
      <c r="B2827" s="9" t="inlineStr">
        <is>
          <t>Ratchet</t>
        </is>
      </c>
      <c r="C2827" s="9" t="inlineStr">
        <is>
          <t>Stochastic scalp with give-back trail exit</t>
        </is>
      </c>
      <c r="D2827" s="9" t="inlineStr">
        <is>
          <t>Long</t>
        </is>
      </c>
      <c r="E2827" s="10" t="n">
        <v>45432.89236111111</v>
      </c>
      <c r="F2827" s="10" t="n">
        <v>45432.91666666666</v>
      </c>
      <c r="G2827" s="11" t="n">
        <v>-3.55</v>
      </c>
      <c r="H2827" s="11">
        <f>H2826+G2827</f>
        <v/>
      </c>
    </row>
    <row r="2828">
      <c r="A2828" s="9" t="n">
        <v>2824</v>
      </c>
      <c r="B2828" s="9" t="inlineStr">
        <is>
          <t>Meridian</t>
        </is>
      </c>
      <c r="C2828" s="9" t="inlineStr">
        <is>
          <t>21/50 MA cross, 250-period confirm filter, VWAP</t>
        </is>
      </c>
      <c r="D2828" s="9" t="inlineStr">
        <is>
          <t>Short</t>
        </is>
      </c>
      <c r="E2828" s="10" t="n">
        <v>45432.96875</v>
      </c>
      <c r="F2828" s="10" t="n">
        <v>45433.04513888889</v>
      </c>
      <c r="G2828" s="11" t="n">
        <v>-5.11</v>
      </c>
      <c r="H2828" s="11">
        <f>H2827+G2828</f>
        <v/>
      </c>
    </row>
    <row r="2829">
      <c r="A2829" s="9" t="n">
        <v>2825</v>
      </c>
      <c r="B2829" s="9" t="inlineStr">
        <is>
          <t>Meridian</t>
        </is>
      </c>
      <c r="C2829" s="9" t="inlineStr">
        <is>
          <t>21/50 MA cross, 250-period confirm filter, VWAP</t>
        </is>
      </c>
      <c r="D2829" s="9" t="inlineStr">
        <is>
          <t>Short</t>
        </is>
      </c>
      <c r="E2829" s="10" t="n">
        <v>45433.20833333334</v>
      </c>
      <c r="F2829" s="10" t="n">
        <v>45433.45138888889</v>
      </c>
      <c r="G2829" s="11" t="n">
        <v>0.68</v>
      </c>
      <c r="H2829" s="11">
        <f>H2828+G2829</f>
        <v/>
      </c>
    </row>
    <row r="2830">
      <c r="A2830" s="9" t="n">
        <v>2826</v>
      </c>
      <c r="B2830" s="9" t="inlineStr">
        <is>
          <t>Vanguard_M15</t>
        </is>
      </c>
      <c r="C2830" s="9" t="inlineStr">
        <is>
          <t>Trendline breakout (fractal swing line) + VWAP/S-R distance gate - M15 chart</t>
        </is>
      </c>
      <c r="D2830" s="9" t="inlineStr">
        <is>
          <t>Short</t>
        </is>
      </c>
      <c r="E2830" s="10" t="n">
        <v>45433.21875</v>
      </c>
      <c r="F2830" s="10" t="n">
        <v>45433.67708333334</v>
      </c>
      <c r="G2830" s="11" t="n">
        <v>-12.39</v>
      </c>
      <c r="H2830" s="11">
        <f>H2829+G2830</f>
        <v/>
      </c>
    </row>
    <row r="2831">
      <c r="A2831" s="9" t="n">
        <v>2827</v>
      </c>
      <c r="B2831" s="9" t="inlineStr">
        <is>
          <t>Vanguard_M5</t>
        </is>
      </c>
      <c r="C2831" s="9" t="inlineStr">
        <is>
          <t>Trendline breakout (fractal swing line) + VWAP/S-R distance gate</t>
        </is>
      </c>
      <c r="D2831" s="9" t="inlineStr">
        <is>
          <t>Short</t>
        </is>
      </c>
      <c r="E2831" s="10" t="n">
        <v>45433.21180555555</v>
      </c>
      <c r="F2831" s="10" t="n">
        <v>45433.68402777778</v>
      </c>
      <c r="G2831" s="11" t="n">
        <v>-11.46</v>
      </c>
      <c r="H2831" s="11">
        <f>H2830+G2831</f>
        <v/>
      </c>
    </row>
    <row r="2832">
      <c r="A2832" s="9" t="n">
        <v>2828</v>
      </c>
      <c r="B2832" s="9" t="inlineStr">
        <is>
          <t>Ratchet</t>
        </is>
      </c>
      <c r="C2832" s="9" t="inlineStr">
        <is>
          <t>Stochastic scalp with give-back trail exit</t>
        </is>
      </c>
      <c r="D2832" s="9" t="inlineStr">
        <is>
          <t>Long</t>
        </is>
      </c>
      <c r="E2832" s="10" t="n">
        <v>45433.76041666666</v>
      </c>
      <c r="F2832" s="10" t="n">
        <v>45433.76388888889</v>
      </c>
      <c r="G2832" s="11" t="n">
        <v>-4.23</v>
      </c>
      <c r="H2832" s="11">
        <f>H2831+G2832</f>
        <v/>
      </c>
    </row>
    <row r="2833">
      <c r="A2833" s="9" t="n">
        <v>2829</v>
      </c>
      <c r="B2833" s="9" t="inlineStr">
        <is>
          <t>Aurelius_M15</t>
        </is>
      </c>
      <c r="C2833" s="9" t="inlineStr">
        <is>
          <t>MA alignment (EMA21&gt;EMA50&gt;SMA250&gt;SMMA500 vs EMA2400 trend filter) - M15 chart</t>
        </is>
      </c>
      <c r="D2833" s="9" t="inlineStr">
        <is>
          <t>Long</t>
        </is>
      </c>
      <c r="E2833" s="10" t="n">
        <v>45433.6875</v>
      </c>
      <c r="F2833" s="10" t="n">
        <v>45433.79166666666</v>
      </c>
      <c r="G2833" s="11" t="n">
        <v>-10.15</v>
      </c>
      <c r="H2833" s="11">
        <f>H2832+G2833</f>
        <v/>
      </c>
    </row>
    <row r="2834">
      <c r="A2834" s="9" t="n">
        <v>2830</v>
      </c>
      <c r="B2834" s="9" t="inlineStr">
        <is>
          <t>Meridian</t>
        </is>
      </c>
      <c r="C2834" s="9" t="inlineStr">
        <is>
          <t>21/50 MA cross, 250-period confirm filter, VWAP</t>
        </is>
      </c>
      <c r="D2834" s="9" t="inlineStr">
        <is>
          <t>Short</t>
        </is>
      </c>
      <c r="E2834" s="10" t="n">
        <v>45433.80208333334</v>
      </c>
      <c r="F2834" s="10" t="n">
        <v>45433.95138888889</v>
      </c>
      <c r="G2834" s="11" t="n">
        <v>-3.05</v>
      </c>
      <c r="H2834" s="11">
        <f>H2833+G2834</f>
        <v/>
      </c>
    </row>
    <row r="2835">
      <c r="A2835" s="9" t="n">
        <v>2831</v>
      </c>
      <c r="B2835" s="9" t="inlineStr">
        <is>
          <t>Meridian</t>
        </is>
      </c>
      <c r="C2835" s="9" t="inlineStr">
        <is>
          <t>21/50 MA cross, 250-period confirm filter, VWAP</t>
        </is>
      </c>
      <c r="D2835" s="9" t="inlineStr">
        <is>
          <t>Long</t>
        </is>
      </c>
      <c r="E2835" s="10" t="n">
        <v>45434.13888888889</v>
      </c>
      <c r="F2835" s="10" t="n">
        <v>45434.14930555555</v>
      </c>
      <c r="G2835" s="11" t="n">
        <v>-1.74</v>
      </c>
      <c r="H2835" s="11">
        <f>H2834+G2835</f>
        <v/>
      </c>
    </row>
    <row r="2836">
      <c r="A2836" s="9" t="n">
        <v>2832</v>
      </c>
      <c r="B2836" s="9" t="inlineStr">
        <is>
          <t>Meridian</t>
        </is>
      </c>
      <c r="C2836" s="9" t="inlineStr">
        <is>
          <t>21/50 MA cross, 250-period confirm filter, VWAP</t>
        </is>
      </c>
      <c r="D2836" s="9" t="inlineStr">
        <is>
          <t>Long</t>
        </is>
      </c>
      <c r="E2836" s="10" t="n">
        <v>45434.21527777778</v>
      </c>
      <c r="F2836" s="10" t="n">
        <v>45434.23611111111</v>
      </c>
      <c r="G2836" s="11" t="n">
        <v>-3.6</v>
      </c>
      <c r="H2836" s="11">
        <f>H2835+G2836</f>
        <v/>
      </c>
    </row>
    <row r="2837">
      <c r="A2837" s="9" t="n">
        <v>2833</v>
      </c>
      <c r="B2837" s="9" t="inlineStr">
        <is>
          <t>Meridian</t>
        </is>
      </c>
      <c r="C2837" s="9" t="inlineStr">
        <is>
          <t>21/50 MA cross, 250-period confirm filter, VWAP</t>
        </is>
      </c>
      <c r="D2837" s="9" t="inlineStr">
        <is>
          <t>Short</t>
        </is>
      </c>
      <c r="E2837" s="10" t="n">
        <v>45434.24652777778</v>
      </c>
      <c r="F2837" s="10" t="n">
        <v>45434.54166666666</v>
      </c>
      <c r="G2837" s="11" t="n">
        <v>0.23</v>
      </c>
      <c r="H2837" s="11">
        <f>H2836+G2837</f>
        <v/>
      </c>
    </row>
    <row r="2838">
      <c r="A2838" s="9" t="n">
        <v>2834</v>
      </c>
      <c r="B2838" s="9" t="inlineStr">
        <is>
          <t>Ratchet</t>
        </is>
      </c>
      <c r="C2838" s="9" t="inlineStr">
        <is>
          <t>Stochastic scalp with give-back trail exit</t>
        </is>
      </c>
      <c r="D2838" s="9" t="inlineStr">
        <is>
          <t>Short</t>
        </is>
      </c>
      <c r="E2838" s="10" t="n">
        <v>45434.87152777778</v>
      </c>
      <c r="F2838" s="10" t="n">
        <v>45434.99652777778</v>
      </c>
      <c r="G2838" s="11" t="n">
        <v>9.800000000000001</v>
      </c>
      <c r="H2838" s="11">
        <f>H2837+G2838</f>
        <v/>
      </c>
    </row>
    <row r="2839">
      <c r="A2839" s="9" t="n">
        <v>2835</v>
      </c>
      <c r="B2839" s="9" t="inlineStr">
        <is>
          <t>Ratchet</t>
        </is>
      </c>
      <c r="C2839" s="9" t="inlineStr">
        <is>
          <t>Stochastic scalp with give-back trail exit</t>
        </is>
      </c>
      <c r="D2839" s="9" t="inlineStr">
        <is>
          <t>Short</t>
        </is>
      </c>
      <c r="E2839" s="10" t="n">
        <v>45435.22222222222</v>
      </c>
      <c r="F2839" s="10" t="n">
        <v>45435.25347222222</v>
      </c>
      <c r="G2839" s="11" t="n">
        <v>0.62</v>
      </c>
      <c r="H2839" s="11">
        <f>H2838+G2839</f>
        <v/>
      </c>
    </row>
    <row r="2840">
      <c r="A2840" s="9" t="n">
        <v>2836</v>
      </c>
      <c r="B2840" s="9" t="inlineStr">
        <is>
          <t>Meridian</t>
        </is>
      </c>
      <c r="C2840" s="9" t="inlineStr">
        <is>
          <t>21/50 MA cross, 250-period confirm filter, VWAP</t>
        </is>
      </c>
      <c r="D2840" s="9" t="inlineStr">
        <is>
          <t>Short</t>
        </is>
      </c>
      <c r="E2840" s="10" t="n">
        <v>45434.58333333334</v>
      </c>
      <c r="F2840" s="10" t="n">
        <v>45435.5625</v>
      </c>
      <c r="G2840" s="11" t="n">
        <v>49.04</v>
      </c>
      <c r="H2840" s="11">
        <f>H2839+G2840</f>
        <v/>
      </c>
    </row>
    <row r="2841">
      <c r="A2841" s="9" t="n">
        <v>2837</v>
      </c>
      <c r="B2841" s="9" t="inlineStr">
        <is>
          <t>Aurelius_M5</t>
        </is>
      </c>
      <c r="C2841" s="9" t="inlineStr">
        <is>
          <t>MA alignment (EMA21&gt;EMA50&gt;SMA250&gt;SMMA500 vs EMA2400 trend filter)</t>
        </is>
      </c>
      <c r="D2841" s="9" t="inlineStr">
        <is>
          <t>Short</t>
        </is>
      </c>
      <c r="E2841" s="10" t="n">
        <v>45435.1875</v>
      </c>
      <c r="F2841" s="10" t="n">
        <v>45435.5625</v>
      </c>
      <c r="G2841" s="11" t="n">
        <v>5.69</v>
      </c>
      <c r="H2841" s="11">
        <f>H2840+G2841</f>
        <v/>
      </c>
    </row>
    <row r="2842">
      <c r="A2842" s="9" t="n">
        <v>2838</v>
      </c>
      <c r="B2842" s="9" t="inlineStr">
        <is>
          <t>Meridian</t>
        </is>
      </c>
      <c r="C2842" s="9" t="inlineStr">
        <is>
          <t>21/50 MA cross, 250-period confirm filter, VWAP</t>
        </is>
      </c>
      <c r="D2842" s="9" t="inlineStr">
        <is>
          <t>Short</t>
        </is>
      </c>
      <c r="E2842" s="10" t="n">
        <v>45435.66666666666</v>
      </c>
      <c r="F2842" s="10" t="n">
        <v>45435.67361111111</v>
      </c>
      <c r="G2842" s="11" t="n">
        <v>-5.57</v>
      </c>
      <c r="H2842" s="11">
        <f>H2841+G2842</f>
        <v/>
      </c>
    </row>
    <row r="2843">
      <c r="A2843" s="9" t="n">
        <v>2839</v>
      </c>
      <c r="B2843" s="9" t="inlineStr">
        <is>
          <t>Ratchet</t>
        </is>
      </c>
      <c r="C2843" s="9" t="inlineStr">
        <is>
          <t>Stochastic scalp with give-back trail exit</t>
        </is>
      </c>
      <c r="D2843" s="9" t="inlineStr">
        <is>
          <t>Short</t>
        </is>
      </c>
      <c r="E2843" s="10" t="n">
        <v>45435.71180555555</v>
      </c>
      <c r="F2843" s="10" t="n">
        <v>45435.72222222222</v>
      </c>
      <c r="G2843" s="11" t="n">
        <v>2.49</v>
      </c>
      <c r="H2843" s="11">
        <f>H2842+G2843</f>
        <v/>
      </c>
    </row>
    <row r="2844">
      <c r="A2844" s="9" t="n">
        <v>2840</v>
      </c>
      <c r="B2844" s="9" t="inlineStr">
        <is>
          <t>Ratchet</t>
        </is>
      </c>
      <c r="C2844" s="9" t="inlineStr">
        <is>
          <t>Stochastic scalp with give-back trail exit</t>
        </is>
      </c>
      <c r="D2844" s="9" t="inlineStr">
        <is>
          <t>Short</t>
        </is>
      </c>
      <c r="E2844" s="10" t="n">
        <v>45435.90625</v>
      </c>
      <c r="F2844" s="10" t="n">
        <v>45435.92013888889</v>
      </c>
      <c r="G2844" s="11" t="n">
        <v>-0</v>
      </c>
      <c r="H2844" s="11">
        <f>H2843+G2844</f>
        <v/>
      </c>
    </row>
    <row r="2845">
      <c r="A2845" s="9" t="n">
        <v>2841</v>
      </c>
      <c r="B2845" s="9" t="inlineStr">
        <is>
          <t>Aurelius_M5</t>
        </is>
      </c>
      <c r="C2845" s="9" t="inlineStr">
        <is>
          <t>MA alignment (EMA21&gt;EMA50&gt;SMA250&gt;SMMA500 vs EMA2400 trend filter)</t>
        </is>
      </c>
      <c r="D2845" s="9" t="inlineStr">
        <is>
          <t>Short</t>
        </is>
      </c>
      <c r="E2845" s="10" t="n">
        <v>45435.71527777778</v>
      </c>
      <c r="F2845" s="10" t="n">
        <v>45436.04166666666</v>
      </c>
      <c r="G2845" s="11" t="n">
        <v>28.42</v>
      </c>
      <c r="H2845" s="11">
        <f>H2844+G2845</f>
        <v/>
      </c>
    </row>
    <row r="2846">
      <c r="A2846" s="9" t="n">
        <v>2842</v>
      </c>
      <c r="B2846" s="9" t="inlineStr">
        <is>
          <t>Meridian</t>
        </is>
      </c>
      <c r="C2846" s="9" t="inlineStr">
        <is>
          <t>21/50 MA cross, 250-period confirm filter, VWAP</t>
        </is>
      </c>
      <c r="D2846" s="9" t="inlineStr">
        <is>
          <t>Short</t>
        </is>
      </c>
      <c r="E2846" s="10" t="n">
        <v>45435.70138888889</v>
      </c>
      <c r="F2846" s="10" t="n">
        <v>45436.20833333334</v>
      </c>
      <c r="G2846" s="11" t="n">
        <v>22.05</v>
      </c>
      <c r="H2846" s="11">
        <f>H2845+G2846</f>
        <v/>
      </c>
    </row>
    <row r="2847">
      <c r="A2847" s="9" t="n">
        <v>2843</v>
      </c>
      <c r="B2847" s="9" t="inlineStr">
        <is>
          <t>Meridian</t>
        </is>
      </c>
      <c r="C2847" s="9" t="inlineStr">
        <is>
          <t>21/50 MA cross, 250-period confirm filter, VWAP</t>
        </is>
      </c>
      <c r="D2847" s="9" t="inlineStr">
        <is>
          <t>Short</t>
        </is>
      </c>
      <c r="E2847" s="10" t="n">
        <v>45436.22569444445</v>
      </c>
      <c r="F2847" s="10" t="n">
        <v>45436.30902777778</v>
      </c>
      <c r="G2847" s="11" t="n">
        <v>-3.06</v>
      </c>
      <c r="H2847" s="11">
        <f>H2846+G2847</f>
        <v/>
      </c>
    </row>
    <row r="2848">
      <c r="A2848" s="9" t="n">
        <v>2844</v>
      </c>
      <c r="B2848" s="9" t="inlineStr">
        <is>
          <t>Aurelius_M15</t>
        </is>
      </c>
      <c r="C2848" s="9" t="inlineStr">
        <is>
          <t>MA alignment (EMA21&gt;EMA50&gt;SMA250&gt;SMMA500 vs EMA2400 trend filter) - M15 chart</t>
        </is>
      </c>
      <c r="D2848" s="9" t="inlineStr">
        <is>
          <t>Short</t>
        </is>
      </c>
      <c r="E2848" s="10" t="n">
        <v>45435.6875</v>
      </c>
      <c r="F2848" s="10" t="n">
        <v>45436.375</v>
      </c>
      <c r="G2848" s="11" t="n">
        <v>25.6</v>
      </c>
      <c r="H2848" s="11">
        <f>H2847+G2848</f>
        <v/>
      </c>
    </row>
    <row r="2849">
      <c r="A2849" s="9" t="n">
        <v>2845</v>
      </c>
      <c r="B2849" s="9" t="inlineStr">
        <is>
          <t>Meridian</t>
        </is>
      </c>
      <c r="C2849" s="9" t="inlineStr">
        <is>
          <t>21/50 MA cross, 250-period confirm filter, VWAP</t>
        </is>
      </c>
      <c r="D2849" s="9" t="inlineStr">
        <is>
          <t>Long</t>
        </is>
      </c>
      <c r="E2849" s="10" t="n">
        <v>45439.0625</v>
      </c>
      <c r="F2849" s="10" t="n">
        <v>45439.43055555555</v>
      </c>
      <c r="G2849" s="11" t="n">
        <v>4.78</v>
      </c>
      <c r="H2849" s="11">
        <f>H2848+G2849</f>
        <v/>
      </c>
    </row>
    <row r="2850">
      <c r="A2850" s="9" t="n">
        <v>2846</v>
      </c>
      <c r="B2850" s="9" t="inlineStr">
        <is>
          <t>Meridian</t>
        </is>
      </c>
      <c r="C2850" s="9" t="inlineStr">
        <is>
          <t>21/50 MA cross, 250-period confirm filter, VWAP</t>
        </is>
      </c>
      <c r="D2850" s="9" t="inlineStr">
        <is>
          <t>Long</t>
        </is>
      </c>
      <c r="E2850" s="10" t="n">
        <v>45439.49305555555</v>
      </c>
      <c r="F2850" s="10" t="n">
        <v>45440.07638888889</v>
      </c>
      <c r="G2850" s="11" t="n">
        <v>6.73</v>
      </c>
      <c r="H2850" s="11">
        <f>H2849+G2850</f>
        <v/>
      </c>
    </row>
    <row r="2851">
      <c r="A2851" s="9" t="n">
        <v>2847</v>
      </c>
      <c r="B2851" s="9" t="inlineStr">
        <is>
          <t>Meridian</t>
        </is>
      </c>
      <c r="C2851" s="9" t="inlineStr">
        <is>
          <t>21/50 MA cross, 250-period confirm filter, VWAP</t>
        </is>
      </c>
      <c r="D2851" s="9" t="inlineStr">
        <is>
          <t>Long</t>
        </is>
      </c>
      <c r="E2851" s="10" t="n">
        <v>45440.20138888889</v>
      </c>
      <c r="F2851" s="10" t="n">
        <v>45440.22916666666</v>
      </c>
      <c r="G2851" s="11" t="n">
        <v>-3.57</v>
      </c>
      <c r="H2851" s="11">
        <f>H2850+G2851</f>
        <v/>
      </c>
    </row>
    <row r="2852">
      <c r="A2852" s="9" t="n">
        <v>2848</v>
      </c>
      <c r="B2852" s="9" t="inlineStr">
        <is>
          <t>Vanguard_M15</t>
        </is>
      </c>
      <c r="C2852" s="9" t="inlineStr">
        <is>
          <t>Trendline breakout (fractal swing line) + VWAP/S-R distance gate - M15 chart</t>
        </is>
      </c>
      <c r="D2852" s="9" t="inlineStr">
        <is>
          <t>Long</t>
        </is>
      </c>
      <c r="E2852" s="10" t="n">
        <v>45439.08333333334</v>
      </c>
      <c r="F2852" s="10" t="n">
        <v>45440.38541666666</v>
      </c>
      <c r="G2852" s="11" t="n">
        <v>2.15</v>
      </c>
      <c r="H2852" s="11">
        <f>H2851+G2852</f>
        <v/>
      </c>
    </row>
    <row r="2853">
      <c r="A2853" s="9" t="n">
        <v>2849</v>
      </c>
      <c r="B2853" s="9" t="inlineStr">
        <is>
          <t>Vanguard_M5</t>
        </is>
      </c>
      <c r="C2853" s="9" t="inlineStr">
        <is>
          <t>Trendline breakout (fractal swing line) + VWAP/S-R distance gate</t>
        </is>
      </c>
      <c r="D2853" s="9" t="inlineStr">
        <is>
          <t>Long</t>
        </is>
      </c>
      <c r="E2853" s="10" t="n">
        <v>45439.07986111111</v>
      </c>
      <c r="F2853" s="10" t="n">
        <v>45440.39236111111</v>
      </c>
      <c r="G2853" s="11" t="n">
        <v>3.45</v>
      </c>
      <c r="H2853" s="11">
        <f>H2852+G2853</f>
        <v/>
      </c>
    </row>
    <row r="2854">
      <c r="A2854" s="9" t="n">
        <v>2850</v>
      </c>
      <c r="B2854" s="9" t="inlineStr">
        <is>
          <t>Vanguard_M15</t>
        </is>
      </c>
      <c r="C2854" s="9" t="inlineStr">
        <is>
          <t>Trendline breakout (fractal swing line) + VWAP/S-R distance gate - M15 chart</t>
        </is>
      </c>
      <c r="D2854" s="9" t="inlineStr">
        <is>
          <t>Short</t>
        </is>
      </c>
      <c r="E2854" s="10" t="n">
        <v>45440.39583333334</v>
      </c>
      <c r="F2854" s="10" t="n">
        <v>45440.625</v>
      </c>
      <c r="G2854" s="11" t="n">
        <v>-7.07</v>
      </c>
      <c r="H2854" s="11">
        <f>H2853+G2854</f>
        <v/>
      </c>
    </row>
    <row r="2855">
      <c r="A2855" s="9" t="n">
        <v>2851</v>
      </c>
      <c r="B2855" s="9" t="inlineStr">
        <is>
          <t>Vanguard_M5</t>
        </is>
      </c>
      <c r="C2855" s="9" t="inlineStr">
        <is>
          <t>Trendline breakout (fractal swing line) + VWAP/S-R distance gate</t>
        </is>
      </c>
      <c r="D2855" s="9" t="inlineStr">
        <is>
          <t>Short</t>
        </is>
      </c>
      <c r="E2855" s="10" t="n">
        <v>45440.39583333334</v>
      </c>
      <c r="F2855" s="10" t="n">
        <v>45440.62847222222</v>
      </c>
      <c r="G2855" s="11" t="n">
        <v>-6.7</v>
      </c>
      <c r="H2855" s="11">
        <f>H2854+G2855</f>
        <v/>
      </c>
    </row>
    <row r="2856">
      <c r="A2856" s="9" t="n">
        <v>2852</v>
      </c>
      <c r="B2856" s="9" t="inlineStr">
        <is>
          <t>Meridian</t>
        </is>
      </c>
      <c r="C2856" s="9" t="inlineStr">
        <is>
          <t>21/50 MA cross, 250-period confirm filter, VWAP</t>
        </is>
      </c>
      <c r="D2856" s="9" t="inlineStr">
        <is>
          <t>Long</t>
        </is>
      </c>
      <c r="E2856" s="10" t="n">
        <v>45440.92013888889</v>
      </c>
      <c r="F2856" s="10" t="n">
        <v>45441.17361111111</v>
      </c>
      <c r="G2856" s="11" t="n">
        <v>0.55</v>
      </c>
      <c r="H2856" s="11">
        <f>H2855+G2856</f>
        <v/>
      </c>
    </row>
    <row r="2857">
      <c r="A2857" s="9" t="n">
        <v>2853</v>
      </c>
      <c r="B2857" s="9" t="inlineStr">
        <is>
          <t>Meridian</t>
        </is>
      </c>
      <c r="C2857" s="9" t="inlineStr">
        <is>
          <t>21/50 MA cross, 250-period confirm filter, VWAP</t>
        </is>
      </c>
      <c r="D2857" s="9" t="inlineStr">
        <is>
          <t>Long</t>
        </is>
      </c>
      <c r="E2857" s="10" t="n">
        <v>45441.35069444445</v>
      </c>
      <c r="F2857" s="10" t="n">
        <v>45441.375</v>
      </c>
      <c r="G2857" s="11" t="n">
        <v>-2.63</v>
      </c>
      <c r="H2857" s="11">
        <f>H2856+G2857</f>
        <v/>
      </c>
    </row>
    <row r="2858">
      <c r="A2858" s="9" t="n">
        <v>2854</v>
      </c>
      <c r="B2858" s="9" t="inlineStr">
        <is>
          <t>Ratchet</t>
        </is>
      </c>
      <c r="C2858" s="9" t="inlineStr">
        <is>
          <t>Stochastic scalp with give-back trail exit</t>
        </is>
      </c>
      <c r="D2858" s="9" t="inlineStr">
        <is>
          <t>Short</t>
        </is>
      </c>
      <c r="E2858" s="10" t="n">
        <v>45441.62847222222</v>
      </c>
      <c r="F2858" s="10" t="n">
        <v>45441.66666666666</v>
      </c>
      <c r="G2858" s="11" t="n">
        <v>1.46</v>
      </c>
      <c r="H2858" s="11">
        <f>H2857+G2858</f>
        <v/>
      </c>
    </row>
    <row r="2859">
      <c r="A2859" s="9" t="n">
        <v>2855</v>
      </c>
      <c r="B2859" s="9" t="inlineStr">
        <is>
          <t>Ratchet</t>
        </is>
      </c>
      <c r="C2859" s="9" t="inlineStr">
        <is>
          <t>Stochastic scalp with give-back trail exit</t>
        </is>
      </c>
      <c r="D2859" s="9" t="inlineStr">
        <is>
          <t>Short</t>
        </is>
      </c>
      <c r="E2859" s="10" t="n">
        <v>45441.76041666666</v>
      </c>
      <c r="F2859" s="10" t="n">
        <v>45441.77777777778</v>
      </c>
      <c r="G2859" s="11" t="n">
        <v>0.8100000000000001</v>
      </c>
      <c r="H2859" s="11">
        <f>H2858+G2859</f>
        <v/>
      </c>
    </row>
    <row r="2860">
      <c r="A2860" s="9" t="n">
        <v>2856</v>
      </c>
      <c r="B2860" s="9" t="inlineStr">
        <is>
          <t>Ratchet</t>
        </is>
      </c>
      <c r="C2860" s="9" t="inlineStr">
        <is>
          <t>Stochastic scalp with give-back trail exit</t>
        </is>
      </c>
      <c r="D2860" s="9" t="inlineStr">
        <is>
          <t>Short</t>
        </is>
      </c>
      <c r="E2860" s="10" t="n">
        <v>45441.79861111111</v>
      </c>
      <c r="F2860" s="10" t="n">
        <v>45441.80555555555</v>
      </c>
      <c r="G2860" s="11" t="n">
        <v>0.71</v>
      </c>
      <c r="H2860" s="11">
        <f>H2859+G2860</f>
        <v/>
      </c>
    </row>
    <row r="2861">
      <c r="A2861" s="9" t="n">
        <v>2857</v>
      </c>
      <c r="B2861" s="9" t="inlineStr">
        <is>
          <t>Aurelius_M5</t>
        </is>
      </c>
      <c r="C2861" s="9" t="inlineStr">
        <is>
          <t>MA alignment (EMA21&gt;EMA50&gt;SMA250&gt;SMMA500 vs EMA2400 trend filter)</t>
        </is>
      </c>
      <c r="D2861" s="9" t="inlineStr">
        <is>
          <t>Short</t>
        </is>
      </c>
      <c r="E2861" s="10" t="n">
        <v>45441.69791666666</v>
      </c>
      <c r="F2861" s="10" t="n">
        <v>45441.875</v>
      </c>
      <c r="G2861" s="11" t="n">
        <v>-3.17</v>
      </c>
      <c r="H2861" s="11">
        <f>H2860+G2861</f>
        <v/>
      </c>
    </row>
    <row r="2862">
      <c r="A2862" s="9" t="n">
        <v>2858</v>
      </c>
      <c r="B2862" s="9" t="inlineStr">
        <is>
          <t>Ratchet</t>
        </is>
      </c>
      <c r="C2862" s="9" t="inlineStr">
        <is>
          <t>Stochastic scalp with give-back trail exit</t>
        </is>
      </c>
      <c r="D2862" s="9" t="inlineStr">
        <is>
          <t>Short</t>
        </is>
      </c>
      <c r="E2862" s="10" t="n">
        <v>45442.07638888889</v>
      </c>
      <c r="F2862" s="10" t="n">
        <v>45442.09375</v>
      </c>
      <c r="G2862" s="11" t="n">
        <v>-1.66</v>
      </c>
      <c r="H2862" s="11">
        <f>H2861+G2862</f>
        <v/>
      </c>
    </row>
    <row r="2863">
      <c r="A2863" s="9" t="n">
        <v>2859</v>
      </c>
      <c r="B2863" s="9" t="inlineStr">
        <is>
          <t>Ratchet</t>
        </is>
      </c>
      <c r="C2863" s="9" t="inlineStr">
        <is>
          <t>Stochastic scalp with give-back trail exit</t>
        </is>
      </c>
      <c r="D2863" s="9" t="inlineStr">
        <is>
          <t>Short</t>
        </is>
      </c>
      <c r="E2863" s="10" t="n">
        <v>45442.13888888889</v>
      </c>
      <c r="F2863" s="10" t="n">
        <v>45442.15625</v>
      </c>
      <c r="G2863" s="11" t="n">
        <v>0.39</v>
      </c>
      <c r="H2863" s="11">
        <f>H2862+G2863</f>
        <v/>
      </c>
    </row>
    <row r="2864">
      <c r="A2864" s="9" t="n">
        <v>2860</v>
      </c>
      <c r="B2864" s="9" t="inlineStr">
        <is>
          <t>Aurelius_M5</t>
        </is>
      </c>
      <c r="C2864" s="9" t="inlineStr">
        <is>
          <t>MA alignment (EMA21&gt;EMA50&gt;SMA250&gt;SMMA500 vs EMA2400 trend filter)</t>
        </is>
      </c>
      <c r="D2864" s="9" t="inlineStr">
        <is>
          <t>Short</t>
        </is>
      </c>
      <c r="E2864" s="10" t="n">
        <v>45442.12847222222</v>
      </c>
      <c r="F2864" s="10" t="n">
        <v>45442.17361111111</v>
      </c>
      <c r="G2864" s="11" t="n">
        <v>-2.17</v>
      </c>
      <c r="H2864" s="11">
        <f>H2863+G2864</f>
        <v/>
      </c>
    </row>
    <row r="2865">
      <c r="A2865" s="9" t="n">
        <v>2861</v>
      </c>
      <c r="B2865" s="9" t="inlineStr">
        <is>
          <t>Meridian</t>
        </is>
      </c>
      <c r="C2865" s="9" t="inlineStr">
        <is>
          <t>21/50 MA cross, 250-period confirm filter, VWAP</t>
        </is>
      </c>
      <c r="D2865" s="9" t="inlineStr">
        <is>
          <t>Short</t>
        </is>
      </c>
      <c r="E2865" s="10" t="n">
        <v>45441.90625</v>
      </c>
      <c r="F2865" s="10" t="n">
        <v>45442.34375</v>
      </c>
      <c r="G2865" s="11" t="n">
        <v>4.01</v>
      </c>
      <c r="H2865" s="11">
        <f>H2864+G2865</f>
        <v/>
      </c>
    </row>
    <row r="2866">
      <c r="A2866" s="9" t="n">
        <v>2862</v>
      </c>
      <c r="B2866" s="9" t="inlineStr">
        <is>
          <t>Aurelius_M5</t>
        </is>
      </c>
      <c r="C2866" s="9" t="inlineStr">
        <is>
          <t>MA alignment (EMA21&gt;EMA50&gt;SMA250&gt;SMMA500 vs EMA2400 trend filter)</t>
        </is>
      </c>
      <c r="D2866" s="9" t="inlineStr">
        <is>
          <t>Short</t>
        </is>
      </c>
      <c r="E2866" s="10" t="n">
        <v>45442.19097222222</v>
      </c>
      <c r="F2866" s="10" t="n">
        <v>45442.34375</v>
      </c>
      <c r="G2866" s="11" t="n">
        <v>1.5</v>
      </c>
      <c r="H2866" s="11">
        <f>H2865+G2866</f>
        <v/>
      </c>
    </row>
    <row r="2867">
      <c r="A2867" s="9" t="n">
        <v>2863</v>
      </c>
      <c r="B2867" s="9" t="inlineStr">
        <is>
          <t>Meridian</t>
        </is>
      </c>
      <c r="C2867" s="9" t="inlineStr">
        <is>
          <t>21/50 MA cross, 250-period confirm filter, VWAP</t>
        </is>
      </c>
      <c r="D2867" s="9" t="inlineStr">
        <is>
          <t>Short</t>
        </is>
      </c>
      <c r="E2867" s="10" t="n">
        <v>45442.34722222222</v>
      </c>
      <c r="F2867" s="10" t="n">
        <v>45442.42708333334</v>
      </c>
      <c r="G2867" s="11" t="n">
        <v>-3.18</v>
      </c>
      <c r="H2867" s="11">
        <f>H2866+G2867</f>
        <v/>
      </c>
    </row>
    <row r="2868">
      <c r="A2868" s="9" t="n">
        <v>2864</v>
      </c>
      <c r="B2868" s="9" t="inlineStr">
        <is>
          <t>Vanguard_M15</t>
        </is>
      </c>
      <c r="C2868" s="9" t="inlineStr">
        <is>
          <t>Trendline breakout (fractal swing line) + VWAP/S-R distance gate - M15 chart</t>
        </is>
      </c>
      <c r="D2868" s="9" t="inlineStr">
        <is>
          <t>Short</t>
        </is>
      </c>
      <c r="E2868" s="10" t="n">
        <v>45441.5</v>
      </c>
      <c r="F2868" s="10" t="n">
        <v>45442.6875</v>
      </c>
      <c r="G2868" s="11" t="n">
        <v>-0.86</v>
      </c>
      <c r="H2868" s="11">
        <f>H2867+G2868</f>
        <v/>
      </c>
    </row>
    <row r="2869">
      <c r="A2869" s="9" t="n">
        <v>2865</v>
      </c>
      <c r="B2869" s="9" t="inlineStr">
        <is>
          <t>Vanguard_M5</t>
        </is>
      </c>
      <c r="C2869" s="9" t="inlineStr">
        <is>
          <t>Trendline breakout (fractal swing line) + VWAP/S-R distance gate</t>
        </is>
      </c>
      <c r="D2869" s="9" t="inlineStr">
        <is>
          <t>Short</t>
        </is>
      </c>
      <c r="E2869" s="10" t="n">
        <v>45441.49652777778</v>
      </c>
      <c r="F2869" s="10" t="n">
        <v>45442.69444444445</v>
      </c>
      <c r="G2869" s="11" t="n">
        <v>-0.65</v>
      </c>
      <c r="H2869" s="11">
        <f>H2868+G2869</f>
        <v/>
      </c>
    </row>
    <row r="2870">
      <c r="A2870" s="9" t="n">
        <v>2866</v>
      </c>
      <c r="B2870" s="9" t="inlineStr">
        <is>
          <t>Meridian</t>
        </is>
      </c>
      <c r="C2870" s="9" t="inlineStr">
        <is>
          <t>21/50 MA cross, 250-period confirm filter, VWAP</t>
        </is>
      </c>
      <c r="D2870" s="9" t="inlineStr">
        <is>
          <t>Long</t>
        </is>
      </c>
      <c r="E2870" s="10" t="n">
        <v>45443.0625</v>
      </c>
      <c r="F2870" s="10" t="n">
        <v>45443.25</v>
      </c>
      <c r="G2870" s="11" t="n">
        <v>-2.63</v>
      </c>
      <c r="H2870" s="11">
        <f>H2869+G2870</f>
        <v/>
      </c>
    </row>
    <row r="2871">
      <c r="A2871" s="9" t="n">
        <v>2867</v>
      </c>
      <c r="B2871" s="9" t="inlineStr">
        <is>
          <t>Meridian</t>
        </is>
      </c>
      <c r="C2871" s="9" t="inlineStr">
        <is>
          <t>21/50 MA cross, 250-period confirm filter, VWAP</t>
        </is>
      </c>
      <c r="D2871" s="9" t="inlineStr">
        <is>
          <t>Long</t>
        </is>
      </c>
      <c r="E2871" s="10" t="n">
        <v>45443.38888888889</v>
      </c>
      <c r="F2871" s="10" t="n">
        <v>45443.44791666666</v>
      </c>
      <c r="G2871" s="11" t="n">
        <v>-3.62</v>
      </c>
      <c r="H2871" s="11">
        <f>H2870+G2871</f>
        <v/>
      </c>
    </row>
    <row r="2872">
      <c r="A2872" s="9" t="n">
        <v>2868</v>
      </c>
      <c r="B2872" s="9" t="inlineStr">
        <is>
          <t>Vanguard_M5</t>
        </is>
      </c>
      <c r="C2872" s="9" t="inlineStr">
        <is>
          <t>Trendline breakout (fractal swing line) + VWAP/S-R distance gate</t>
        </is>
      </c>
      <c r="D2872" s="9" t="inlineStr">
        <is>
          <t>Short</t>
        </is>
      </c>
      <c r="E2872" s="10" t="n">
        <v>45443.62847222222</v>
      </c>
      <c r="F2872" s="10" t="n">
        <v>45443.64583333334</v>
      </c>
      <c r="G2872" s="11" t="n">
        <v>-4.54</v>
      </c>
      <c r="H2872" s="11">
        <f>H2871+G2872</f>
        <v/>
      </c>
    </row>
    <row r="2873">
      <c r="A2873" s="9" t="n">
        <v>2869</v>
      </c>
      <c r="B2873" s="9" t="inlineStr">
        <is>
          <t>Vanguard_M15</t>
        </is>
      </c>
      <c r="C2873" s="9" t="inlineStr">
        <is>
          <t>Trendline breakout (fractal swing line) + VWAP/S-R distance gate - M15 chart</t>
        </is>
      </c>
      <c r="D2873" s="9" t="inlineStr">
        <is>
          <t>Long</t>
        </is>
      </c>
      <c r="E2873" s="10" t="n">
        <v>45443.65625</v>
      </c>
      <c r="F2873" s="10" t="n">
        <v>45443.69791666666</v>
      </c>
      <c r="G2873" s="11" t="n">
        <v>-7.55</v>
      </c>
      <c r="H2873" s="11">
        <f>H2872+G2873</f>
        <v/>
      </c>
    </row>
    <row r="2874">
      <c r="A2874" s="9" t="n">
        <v>2870</v>
      </c>
      <c r="B2874" s="9" t="inlineStr">
        <is>
          <t>Ratchet</t>
        </is>
      </c>
      <c r="C2874" s="9" t="inlineStr">
        <is>
          <t>Stochastic scalp with give-back trail exit</t>
        </is>
      </c>
      <c r="D2874" s="9" t="inlineStr">
        <is>
          <t>Long</t>
        </is>
      </c>
      <c r="E2874" s="10" t="n">
        <v>45443.67708333334</v>
      </c>
      <c r="F2874" s="10" t="n">
        <v>45443.70138888889</v>
      </c>
      <c r="G2874" s="11" t="n">
        <v>-5.73</v>
      </c>
      <c r="H2874" s="11">
        <f>H2873+G2874</f>
        <v/>
      </c>
    </row>
    <row r="2875">
      <c r="A2875" s="9" t="n">
        <v>2871</v>
      </c>
      <c r="B2875" s="9" t="inlineStr">
        <is>
          <t>Vanguard_M5</t>
        </is>
      </c>
      <c r="C2875" s="9" t="inlineStr">
        <is>
          <t>Trendline breakout (fractal swing line) + VWAP/S-R distance gate</t>
        </is>
      </c>
      <c r="D2875" s="9" t="inlineStr">
        <is>
          <t>Long</t>
        </is>
      </c>
      <c r="E2875" s="10" t="n">
        <v>45443.64930555555</v>
      </c>
      <c r="F2875" s="10" t="n">
        <v>45443.71527777778</v>
      </c>
      <c r="G2875" s="11" t="n">
        <v>-6.41</v>
      </c>
      <c r="H2875" s="11">
        <f>H2874+G2875</f>
        <v/>
      </c>
    </row>
    <row r="2876">
      <c r="A2876" s="9" t="n">
        <v>2872</v>
      </c>
      <c r="B2876" s="9" t="inlineStr">
        <is>
          <t>Meridian</t>
        </is>
      </c>
      <c r="C2876" s="9" t="inlineStr">
        <is>
          <t>21/50 MA cross, 250-period confirm filter, VWAP</t>
        </is>
      </c>
      <c r="D2876" s="9" t="inlineStr">
        <is>
          <t>Short</t>
        </is>
      </c>
      <c r="E2876" s="10" t="n">
        <v>45443.73263888889</v>
      </c>
      <c r="F2876" s="10" t="n">
        <v>45443.91666666666</v>
      </c>
      <c r="G2876" s="11" t="n">
        <v>16.14</v>
      </c>
      <c r="H2876" s="11">
        <f>H2875+G2876</f>
        <v/>
      </c>
    </row>
    <row r="2877">
      <c r="A2877" s="9" t="n">
        <v>2873</v>
      </c>
      <c r="B2877" s="9" t="inlineStr">
        <is>
          <t>Aurelius_M15</t>
        </is>
      </c>
      <c r="C2877" s="9" t="inlineStr">
        <is>
          <t>MA alignment (EMA21&gt;EMA50&gt;SMA250&gt;SMMA500 vs EMA2400 trend filter) - M15 chart</t>
        </is>
      </c>
      <c r="D2877" s="9" t="inlineStr">
        <is>
          <t>Short</t>
        </is>
      </c>
      <c r="E2877" s="10" t="n">
        <v>45443.80208333334</v>
      </c>
      <c r="F2877" s="10" t="n">
        <v>45443.92708333334</v>
      </c>
      <c r="G2877" s="11" t="n">
        <v>11.59</v>
      </c>
      <c r="H2877" s="11">
        <f>H2876+G2877</f>
        <v/>
      </c>
    </row>
    <row r="2878">
      <c r="A2878" s="9" t="n">
        <v>2874</v>
      </c>
      <c r="B2878" s="9" t="inlineStr">
        <is>
          <t>Ratchet</t>
        </is>
      </c>
      <c r="C2878" s="9" t="inlineStr">
        <is>
          <t>Stochastic scalp with give-back trail exit</t>
        </is>
      </c>
      <c r="D2878" s="9" t="inlineStr">
        <is>
          <t>Short</t>
        </is>
      </c>
      <c r="E2878" s="10" t="n">
        <v>45446.29166666666</v>
      </c>
      <c r="F2878" s="10" t="n">
        <v>45446.32638888889</v>
      </c>
      <c r="G2878" s="11" t="n">
        <v>-0</v>
      </c>
      <c r="H2878" s="11">
        <f>H2877+G2878</f>
        <v/>
      </c>
    </row>
    <row r="2879">
      <c r="A2879" s="9" t="n">
        <v>2875</v>
      </c>
      <c r="B2879" s="9" t="inlineStr">
        <is>
          <t>Ratchet</t>
        </is>
      </c>
      <c r="C2879" s="9" t="inlineStr">
        <is>
          <t>Stochastic scalp with give-back trail exit</t>
        </is>
      </c>
      <c r="D2879" s="9" t="inlineStr">
        <is>
          <t>Short</t>
        </is>
      </c>
      <c r="E2879" s="10" t="n">
        <v>45446.34027777778</v>
      </c>
      <c r="F2879" s="10" t="n">
        <v>45446.34722222222</v>
      </c>
      <c r="G2879" s="11" t="n">
        <v>-2.14</v>
      </c>
      <c r="H2879" s="11">
        <f>H2878+G2879</f>
        <v/>
      </c>
    </row>
    <row r="2880">
      <c r="A2880" s="9" t="n">
        <v>2876</v>
      </c>
      <c r="B2880" s="9" t="inlineStr">
        <is>
          <t>Ratchet</t>
        </is>
      </c>
      <c r="C2880" s="9" t="inlineStr">
        <is>
          <t>Stochastic scalp with give-back trail exit</t>
        </is>
      </c>
      <c r="D2880" s="9" t="inlineStr">
        <is>
          <t>Short</t>
        </is>
      </c>
      <c r="E2880" s="10" t="n">
        <v>45446.38194444445</v>
      </c>
      <c r="F2880" s="10" t="n">
        <v>45446.39930555555</v>
      </c>
      <c r="G2880" s="11" t="n">
        <v>0.9399999999999999</v>
      </c>
      <c r="H2880" s="11">
        <f>H2879+G2880</f>
        <v/>
      </c>
    </row>
    <row r="2881">
      <c r="A2881" s="9" t="n">
        <v>2877</v>
      </c>
      <c r="B2881" s="9" t="inlineStr">
        <is>
          <t>Meridian</t>
        </is>
      </c>
      <c r="C2881" s="9" t="inlineStr">
        <is>
          <t>21/50 MA cross, 250-period confirm filter, VWAP</t>
        </is>
      </c>
      <c r="D2881" s="9" t="inlineStr">
        <is>
          <t>Short</t>
        </is>
      </c>
      <c r="E2881" s="10" t="n">
        <v>45446.26736111111</v>
      </c>
      <c r="F2881" s="10" t="n">
        <v>45446.43055555555</v>
      </c>
      <c r="G2881" s="11" t="n">
        <v>-3.58</v>
      </c>
      <c r="H2881" s="11">
        <f>H2880+G2881</f>
        <v/>
      </c>
    </row>
    <row r="2882">
      <c r="A2882" s="9" t="n">
        <v>2878</v>
      </c>
      <c r="B2882" s="9" t="inlineStr">
        <is>
          <t>Vanguard_M15</t>
        </is>
      </c>
      <c r="C2882" s="9" t="inlineStr">
        <is>
          <t>Trendline breakout (fractal swing line) + VWAP/S-R distance gate - M15 chart</t>
        </is>
      </c>
      <c r="D2882" s="9" t="inlineStr">
        <is>
          <t>Short</t>
        </is>
      </c>
      <c r="E2882" s="10" t="n">
        <v>45443.71875</v>
      </c>
      <c r="F2882" s="10" t="n">
        <v>45446.70833333334</v>
      </c>
      <c r="G2882" s="11" t="n">
        <v>-1.61</v>
      </c>
      <c r="H2882" s="11">
        <f>H2881+G2882</f>
        <v/>
      </c>
    </row>
    <row r="2883">
      <c r="A2883" s="9" t="n">
        <v>2879</v>
      </c>
      <c r="B2883" s="9" t="inlineStr">
        <is>
          <t>Vanguard_M5</t>
        </is>
      </c>
      <c r="C2883" s="9" t="inlineStr">
        <is>
          <t>Trendline breakout (fractal swing line) + VWAP/S-R distance gate</t>
        </is>
      </c>
      <c r="D2883" s="9" t="inlineStr">
        <is>
          <t>Short</t>
        </is>
      </c>
      <c r="E2883" s="10" t="n">
        <v>45443.71875</v>
      </c>
      <c r="F2883" s="10" t="n">
        <v>45446.70833333334</v>
      </c>
      <c r="G2883" s="11" t="n">
        <v>-1.83</v>
      </c>
      <c r="H2883" s="11">
        <f>H2882+G2883</f>
        <v/>
      </c>
    </row>
    <row r="2884">
      <c r="A2884" s="9" t="n">
        <v>2880</v>
      </c>
      <c r="B2884" s="9" t="inlineStr">
        <is>
          <t>Ratchet</t>
        </is>
      </c>
      <c r="C2884" s="9" t="inlineStr">
        <is>
          <t>Stochastic scalp with give-back trail exit</t>
        </is>
      </c>
      <c r="D2884" s="9" t="inlineStr">
        <is>
          <t>Long</t>
        </is>
      </c>
      <c r="E2884" s="10" t="n">
        <v>45447.13541666666</v>
      </c>
      <c r="F2884" s="10" t="n">
        <v>45447.14236111111</v>
      </c>
      <c r="G2884" s="11" t="n">
        <v>0.1</v>
      </c>
      <c r="H2884" s="11">
        <f>H2883+G2884</f>
        <v/>
      </c>
    </row>
    <row r="2885">
      <c r="A2885" s="9" t="n">
        <v>2881</v>
      </c>
      <c r="B2885" s="9" t="inlineStr">
        <is>
          <t>Ratchet</t>
        </is>
      </c>
      <c r="C2885" s="9" t="inlineStr">
        <is>
          <t>Stochastic scalp with give-back trail exit</t>
        </is>
      </c>
      <c r="D2885" s="9" t="inlineStr">
        <is>
          <t>Long</t>
        </is>
      </c>
      <c r="E2885" s="10" t="n">
        <v>45447.38888888889</v>
      </c>
      <c r="F2885" s="10" t="n">
        <v>45447.39236111111</v>
      </c>
      <c r="G2885" s="11" t="n">
        <v>-2.39</v>
      </c>
      <c r="H2885" s="11">
        <f>H2884+G2885</f>
        <v/>
      </c>
    </row>
    <row r="2886">
      <c r="A2886" s="9" t="n">
        <v>2882</v>
      </c>
      <c r="B2886" s="9" t="inlineStr">
        <is>
          <t>Aurelius_M5</t>
        </is>
      </c>
      <c r="C2886" s="9" t="inlineStr">
        <is>
          <t>MA alignment (EMA21&gt;EMA50&gt;SMA250&gt;SMMA500 vs EMA2400 trend filter)</t>
        </is>
      </c>
      <c r="D2886" s="9" t="inlineStr">
        <is>
          <t>Long</t>
        </is>
      </c>
      <c r="E2886" s="10" t="n">
        <v>45447.37847222222</v>
      </c>
      <c r="F2886" s="10" t="n">
        <v>45447.39583333334</v>
      </c>
      <c r="G2886" s="11" t="n">
        <v>-3.17</v>
      </c>
      <c r="H2886" s="11">
        <f>H2885+G2886</f>
        <v/>
      </c>
    </row>
    <row r="2887">
      <c r="A2887" s="9" t="n">
        <v>2883</v>
      </c>
      <c r="B2887" s="9" t="inlineStr">
        <is>
          <t>Meridian</t>
        </is>
      </c>
      <c r="C2887" s="9" t="inlineStr">
        <is>
          <t>21/50 MA cross, 250-period confirm filter, VWAP</t>
        </is>
      </c>
      <c r="D2887" s="9" t="inlineStr">
        <is>
          <t>Long</t>
        </is>
      </c>
      <c r="E2887" s="10" t="n">
        <v>45447.33333333334</v>
      </c>
      <c r="F2887" s="10" t="n">
        <v>45447.39930555555</v>
      </c>
      <c r="G2887" s="11" t="n">
        <v>-2.66</v>
      </c>
      <c r="H2887" s="11">
        <f>H2886+G2887</f>
        <v/>
      </c>
    </row>
    <row r="2888">
      <c r="A2888" s="9" t="n">
        <v>2884</v>
      </c>
      <c r="B2888" s="9" t="inlineStr">
        <is>
          <t>Ratchet</t>
        </is>
      </c>
      <c r="C2888" s="9" t="inlineStr">
        <is>
          <t>Stochastic scalp with give-back trail exit</t>
        </is>
      </c>
      <c r="D2888" s="9" t="inlineStr">
        <is>
          <t>Short</t>
        </is>
      </c>
      <c r="E2888" s="10" t="n">
        <v>45447.73263888889</v>
      </c>
      <c r="F2888" s="10" t="n">
        <v>45447.74305555555</v>
      </c>
      <c r="G2888" s="11" t="n">
        <v>-0</v>
      </c>
      <c r="H2888" s="11">
        <f>H2887+G2888</f>
        <v/>
      </c>
    </row>
    <row r="2889">
      <c r="A2889" s="9" t="n">
        <v>2885</v>
      </c>
      <c r="B2889" s="9" t="inlineStr">
        <is>
          <t>Meridian</t>
        </is>
      </c>
      <c r="C2889" s="9" t="inlineStr">
        <is>
          <t>21/50 MA cross, 250-period confirm filter, VWAP</t>
        </is>
      </c>
      <c r="D2889" s="9" t="inlineStr">
        <is>
          <t>Short</t>
        </is>
      </c>
      <c r="E2889" s="10" t="n">
        <v>45447.69791666666</v>
      </c>
      <c r="F2889" s="10" t="n">
        <v>45447.86805555555</v>
      </c>
      <c r="G2889" s="11" t="n">
        <v>-2.23</v>
      </c>
      <c r="H2889" s="11">
        <f>H2888+G2889</f>
        <v/>
      </c>
    </row>
    <row r="2890">
      <c r="A2890" s="9" t="n">
        <v>2886</v>
      </c>
      <c r="B2890" s="9" t="inlineStr">
        <is>
          <t>Meridian</t>
        </is>
      </c>
      <c r="C2890" s="9" t="inlineStr">
        <is>
          <t>21/50 MA cross, 250-period confirm filter, VWAP</t>
        </is>
      </c>
      <c r="D2890" s="9" t="inlineStr">
        <is>
          <t>Short</t>
        </is>
      </c>
      <c r="E2890" s="10" t="n">
        <v>45447.98263888889</v>
      </c>
      <c r="F2890" s="10" t="n">
        <v>45448.04861111111</v>
      </c>
      <c r="G2890" s="11" t="n">
        <v>-2.02</v>
      </c>
      <c r="H2890" s="11">
        <f>H2889+G2890</f>
        <v/>
      </c>
    </row>
    <row r="2891">
      <c r="A2891" s="9" t="n">
        <v>2887</v>
      </c>
      <c r="B2891" s="9" t="inlineStr">
        <is>
          <t>Aurelius_M15</t>
        </is>
      </c>
      <c r="C2891" s="9" t="inlineStr">
        <is>
          <t>MA alignment (EMA21&gt;EMA50&gt;SMA250&gt;SMMA500 vs EMA2400 trend filter) - M15 chart</t>
        </is>
      </c>
      <c r="D2891" s="9" t="inlineStr">
        <is>
          <t>Short</t>
        </is>
      </c>
      <c r="E2891" s="10" t="n">
        <v>45448.17708333334</v>
      </c>
      <c r="F2891" s="10" t="n">
        <v>45448.20833333334</v>
      </c>
      <c r="G2891" s="11" t="n">
        <v>-4.36</v>
      </c>
      <c r="H2891" s="11">
        <f>H2890+G2891</f>
        <v/>
      </c>
    </row>
    <row r="2892">
      <c r="A2892" s="9" t="n">
        <v>2888</v>
      </c>
      <c r="B2892" s="9" t="inlineStr">
        <is>
          <t>Ratchet</t>
        </is>
      </c>
      <c r="C2892" s="9" t="inlineStr">
        <is>
          <t>Stochastic scalp with give-back trail exit</t>
        </is>
      </c>
      <c r="D2892" s="9" t="inlineStr">
        <is>
          <t>Long</t>
        </is>
      </c>
      <c r="E2892" s="10" t="n">
        <v>45448.76736111111</v>
      </c>
      <c r="F2892" s="10" t="n">
        <v>45448.78472222222</v>
      </c>
      <c r="G2892" s="11" t="n">
        <v>1.52</v>
      </c>
      <c r="H2892" s="11">
        <f>H2891+G2892</f>
        <v/>
      </c>
    </row>
    <row r="2893">
      <c r="A2893" s="9" t="n">
        <v>2889</v>
      </c>
      <c r="B2893" s="9" t="inlineStr">
        <is>
          <t>Ratchet</t>
        </is>
      </c>
      <c r="C2893" s="9" t="inlineStr">
        <is>
          <t>Stochastic scalp with give-back trail exit</t>
        </is>
      </c>
      <c r="D2893" s="9" t="inlineStr">
        <is>
          <t>Long</t>
        </is>
      </c>
      <c r="E2893" s="10" t="n">
        <v>45448.84722222222</v>
      </c>
      <c r="F2893" s="10" t="n">
        <v>45448.85416666666</v>
      </c>
      <c r="G2893" s="11" t="n">
        <v>0.41</v>
      </c>
      <c r="H2893" s="11">
        <f>H2892+G2893</f>
        <v/>
      </c>
    </row>
    <row r="2894">
      <c r="A2894" s="9" t="n">
        <v>2890</v>
      </c>
      <c r="B2894" s="9" t="inlineStr">
        <is>
          <t>Ratchet</t>
        </is>
      </c>
      <c r="C2894" s="9" t="inlineStr">
        <is>
          <t>Stochastic scalp with give-back trail exit</t>
        </is>
      </c>
      <c r="D2894" s="9" t="inlineStr">
        <is>
          <t>Long</t>
        </is>
      </c>
      <c r="E2894" s="10" t="n">
        <v>45448.875</v>
      </c>
      <c r="F2894" s="10" t="n">
        <v>45448.90625</v>
      </c>
      <c r="G2894" s="11" t="n">
        <v>0.32</v>
      </c>
      <c r="H2894" s="11">
        <f>H2893+G2894</f>
        <v/>
      </c>
    </row>
    <row r="2895">
      <c r="A2895" s="9" t="n">
        <v>2891</v>
      </c>
      <c r="B2895" s="9" t="inlineStr">
        <is>
          <t>Meridian</t>
        </is>
      </c>
      <c r="C2895" s="9" t="inlineStr">
        <is>
          <t>21/50 MA cross, 250-period confirm filter, VWAP</t>
        </is>
      </c>
      <c r="D2895" s="9" t="inlineStr">
        <is>
          <t>Long</t>
        </is>
      </c>
      <c r="E2895" s="10" t="n">
        <v>45448.58680555555</v>
      </c>
      <c r="F2895" s="10" t="n">
        <v>45449.40277777778</v>
      </c>
      <c r="G2895" s="11" t="n">
        <v>29.99</v>
      </c>
      <c r="H2895" s="11">
        <f>H2894+G2895</f>
        <v/>
      </c>
    </row>
    <row r="2896">
      <c r="A2896" s="9" t="n">
        <v>2892</v>
      </c>
      <c r="B2896" s="9" t="inlineStr">
        <is>
          <t>Aurelius_M5</t>
        </is>
      </c>
      <c r="C2896" s="9" t="inlineStr">
        <is>
          <t>MA alignment (EMA21&gt;EMA50&gt;SMA250&gt;SMMA500 vs EMA2400 trend filter)</t>
        </is>
      </c>
      <c r="D2896" s="9" t="inlineStr">
        <is>
          <t>Long</t>
        </is>
      </c>
      <c r="E2896" s="10" t="n">
        <v>45449.17708333334</v>
      </c>
      <c r="F2896" s="10" t="n">
        <v>45449.40277777778</v>
      </c>
      <c r="G2896" s="11" t="n">
        <v>0</v>
      </c>
      <c r="H2896" s="11">
        <f>H2895+G2896</f>
        <v/>
      </c>
    </row>
    <row r="2897">
      <c r="A2897" s="9" t="n">
        <v>2893</v>
      </c>
      <c r="B2897" s="9" t="inlineStr">
        <is>
          <t>Meridian</t>
        </is>
      </c>
      <c r="C2897" s="9" t="inlineStr">
        <is>
          <t>21/50 MA cross, 250-period confirm filter, VWAP</t>
        </is>
      </c>
      <c r="D2897" s="9" t="inlineStr">
        <is>
          <t>Long</t>
        </is>
      </c>
      <c r="E2897" s="10" t="n">
        <v>45449.42361111111</v>
      </c>
      <c r="F2897" s="10" t="n">
        <v>45449.4375</v>
      </c>
      <c r="G2897" s="11" t="n">
        <v>-2.07</v>
      </c>
      <c r="H2897" s="11">
        <f>H2896+G2897</f>
        <v/>
      </c>
    </row>
    <row r="2898">
      <c r="A2898" s="9" t="n">
        <v>2894</v>
      </c>
      <c r="B2898" s="9" t="inlineStr">
        <is>
          <t>Ratchet</t>
        </is>
      </c>
      <c r="C2898" s="9" t="inlineStr">
        <is>
          <t>Stochastic scalp with give-back trail exit</t>
        </is>
      </c>
      <c r="D2898" s="9" t="inlineStr">
        <is>
          <t>Long</t>
        </is>
      </c>
      <c r="E2898" s="10" t="n">
        <v>45449.73958333334</v>
      </c>
      <c r="F2898" s="10" t="n">
        <v>45449.99652777778</v>
      </c>
      <c r="G2898" s="11" t="n">
        <v>11.43</v>
      </c>
      <c r="H2898" s="11">
        <f>H2897+G2898</f>
        <v/>
      </c>
    </row>
    <row r="2899">
      <c r="A2899" s="9" t="n">
        <v>2895</v>
      </c>
      <c r="B2899" s="9" t="inlineStr">
        <is>
          <t>Aurelius_M5</t>
        </is>
      </c>
      <c r="C2899" s="9" t="inlineStr">
        <is>
          <t>MA alignment (EMA21&gt;EMA50&gt;SMA250&gt;SMMA500 vs EMA2400 trend filter)</t>
        </is>
      </c>
      <c r="D2899" s="9" t="inlineStr">
        <is>
          <t>Long</t>
        </is>
      </c>
      <c r="E2899" s="10" t="n">
        <v>45449.74305555555</v>
      </c>
      <c r="F2899" s="10" t="n">
        <v>45450.04166666666</v>
      </c>
      <c r="G2899" s="11" t="n">
        <v>10.22</v>
      </c>
      <c r="H2899" s="11">
        <f>H2898+G2899</f>
        <v/>
      </c>
    </row>
    <row r="2900">
      <c r="A2900" s="9" t="n">
        <v>2896</v>
      </c>
      <c r="B2900" s="9" t="inlineStr">
        <is>
          <t>Ratchet</t>
        </is>
      </c>
      <c r="C2900" s="9" t="inlineStr">
        <is>
          <t>Stochastic scalp with give-back trail exit</t>
        </is>
      </c>
      <c r="D2900" s="9" t="inlineStr">
        <is>
          <t>Long</t>
        </is>
      </c>
      <c r="E2900" s="10" t="n">
        <v>45450.11805555555</v>
      </c>
      <c r="F2900" s="10" t="n">
        <v>45450.125</v>
      </c>
      <c r="G2900" s="11" t="n">
        <v>-1</v>
      </c>
      <c r="H2900" s="11">
        <f>H2899+G2900</f>
        <v/>
      </c>
    </row>
    <row r="2901">
      <c r="A2901" s="9" t="n">
        <v>2897</v>
      </c>
      <c r="B2901" s="9" t="inlineStr">
        <is>
          <t>Ratchet</t>
        </is>
      </c>
      <c r="C2901" s="9" t="inlineStr">
        <is>
          <t>Stochastic scalp with give-back trail exit</t>
        </is>
      </c>
      <c r="D2901" s="9" t="inlineStr">
        <is>
          <t>Long</t>
        </is>
      </c>
      <c r="E2901" s="10" t="n">
        <v>45450.15625</v>
      </c>
      <c r="F2901" s="10" t="n">
        <v>45450.15972222222</v>
      </c>
      <c r="G2901" s="11" t="n">
        <v>0.15</v>
      </c>
      <c r="H2901" s="11">
        <f>H2900+G2901</f>
        <v/>
      </c>
    </row>
    <row r="2902">
      <c r="A2902" s="9" t="n">
        <v>2898</v>
      </c>
      <c r="B2902" s="9" t="inlineStr">
        <is>
          <t>Meridian</t>
        </is>
      </c>
      <c r="C2902" s="9" t="inlineStr">
        <is>
          <t>21/50 MA cross, 250-period confirm filter, VWAP</t>
        </is>
      </c>
      <c r="D2902" s="9" t="inlineStr">
        <is>
          <t>Long</t>
        </is>
      </c>
      <c r="E2902" s="10" t="n">
        <v>45450.26041666666</v>
      </c>
      <c r="F2902" s="10" t="n">
        <v>45450.39236111111</v>
      </c>
      <c r="G2902" s="11" t="n">
        <v>-0.21</v>
      </c>
      <c r="H2902" s="11">
        <f>H2901+G2902</f>
        <v/>
      </c>
    </row>
    <row r="2903">
      <c r="A2903" s="9" t="n">
        <v>2899</v>
      </c>
      <c r="B2903" s="9" t="inlineStr">
        <is>
          <t>Vanguard_M5</t>
        </is>
      </c>
      <c r="C2903" s="9" t="inlineStr">
        <is>
          <t>Trendline breakout (fractal swing line) + VWAP/S-R distance gate</t>
        </is>
      </c>
      <c r="D2903" s="9" t="inlineStr">
        <is>
          <t>Long</t>
        </is>
      </c>
      <c r="E2903" s="10" t="n">
        <v>45448.73263888889</v>
      </c>
      <c r="F2903" s="10" t="n">
        <v>45450.45833333334</v>
      </c>
      <c r="G2903" s="11" t="n">
        <v>10.96</v>
      </c>
      <c r="H2903" s="11">
        <f>H2902+G2903</f>
        <v/>
      </c>
    </row>
    <row r="2904">
      <c r="A2904" s="9" t="n">
        <v>2900</v>
      </c>
      <c r="B2904" s="9" t="inlineStr">
        <is>
          <t>Vanguard_M15</t>
        </is>
      </c>
      <c r="C2904" s="9" t="inlineStr">
        <is>
          <t>Trendline breakout (fractal swing line) + VWAP/S-R distance gate - M15 chart</t>
        </is>
      </c>
      <c r="D2904" s="9" t="inlineStr">
        <is>
          <t>Long</t>
        </is>
      </c>
      <c r="E2904" s="10" t="n">
        <v>45448.73958333334</v>
      </c>
      <c r="F2904" s="10" t="n">
        <v>45450.45833333334</v>
      </c>
      <c r="G2904" s="11" t="n">
        <v>1.56</v>
      </c>
      <c r="H2904" s="11">
        <f>H2903+G2904</f>
        <v/>
      </c>
    </row>
    <row r="2905">
      <c r="A2905" s="9" t="n">
        <v>2901</v>
      </c>
      <c r="B2905" s="9" t="inlineStr">
        <is>
          <t>Aurelius_M15</t>
        </is>
      </c>
      <c r="C2905" s="9" t="inlineStr">
        <is>
          <t>MA alignment (EMA21&gt;EMA50&gt;SMA250&gt;SMMA500 vs EMA2400 trend filter) - M15 chart</t>
        </is>
      </c>
      <c r="D2905" s="9" t="inlineStr">
        <is>
          <t>Long</t>
        </is>
      </c>
      <c r="E2905" s="10" t="n">
        <v>45449.78125</v>
      </c>
      <c r="F2905" s="10" t="n">
        <v>45450.45833333334</v>
      </c>
      <c r="G2905" s="11" t="n">
        <v>-10.85</v>
      </c>
      <c r="H2905" s="11">
        <f>H2904+G2905</f>
        <v/>
      </c>
    </row>
    <row r="2906">
      <c r="A2906" s="9" t="n">
        <v>2902</v>
      </c>
      <c r="B2906" s="9" t="inlineStr">
        <is>
          <t>Ratchet</t>
        </is>
      </c>
      <c r="C2906" s="9" t="inlineStr">
        <is>
          <t>Stochastic scalp with give-back trail exit</t>
        </is>
      </c>
      <c r="D2906" s="9" t="inlineStr">
        <is>
          <t>Short</t>
        </is>
      </c>
      <c r="E2906" s="10" t="n">
        <v>45453.28819444445</v>
      </c>
      <c r="F2906" s="10" t="n">
        <v>45453.30208333334</v>
      </c>
      <c r="G2906" s="11" t="n">
        <v>0.55</v>
      </c>
      <c r="H2906" s="11">
        <f>H2905+G2906</f>
        <v/>
      </c>
    </row>
    <row r="2907">
      <c r="A2907" s="9" t="n">
        <v>2903</v>
      </c>
      <c r="B2907" s="9" t="inlineStr">
        <is>
          <t>Aurelius_M5</t>
        </is>
      </c>
      <c r="C2907" s="9" t="inlineStr">
        <is>
          <t>MA alignment (EMA21&gt;EMA50&gt;SMA250&gt;SMMA500 vs EMA2400 trend filter)</t>
        </is>
      </c>
      <c r="D2907" s="9" t="inlineStr">
        <is>
          <t>Short</t>
        </is>
      </c>
      <c r="E2907" s="10" t="n">
        <v>45453.39583333334</v>
      </c>
      <c r="F2907" s="10" t="n">
        <v>45453.43055555555</v>
      </c>
      <c r="G2907" s="11" t="n">
        <v>-4.21</v>
      </c>
      <c r="H2907" s="11">
        <f>H2906+G2907</f>
        <v/>
      </c>
    </row>
    <row r="2908">
      <c r="A2908" s="9" t="n">
        <v>2904</v>
      </c>
      <c r="B2908" s="9" t="inlineStr">
        <is>
          <t>Meridian</t>
        </is>
      </c>
      <c r="C2908" s="9" t="inlineStr">
        <is>
          <t>21/50 MA cross, 250-period confirm filter, VWAP</t>
        </is>
      </c>
      <c r="D2908" s="9" t="inlineStr">
        <is>
          <t>Short</t>
        </is>
      </c>
      <c r="E2908" s="10" t="n">
        <v>45453.26041666666</v>
      </c>
      <c r="F2908" s="10" t="n">
        <v>45453.46527777778</v>
      </c>
      <c r="G2908" s="11" t="n">
        <v>-0.64</v>
      </c>
      <c r="H2908" s="11">
        <f>H2907+G2908</f>
        <v/>
      </c>
    </row>
    <row r="2909">
      <c r="A2909" s="9" t="n">
        <v>2905</v>
      </c>
      <c r="B2909" s="9" t="inlineStr">
        <is>
          <t>Meridian</t>
        </is>
      </c>
      <c r="C2909" s="9" t="inlineStr">
        <is>
          <t>21/50 MA cross, 250-period confirm filter, VWAP</t>
        </is>
      </c>
      <c r="D2909" s="9" t="inlineStr">
        <is>
          <t>Short</t>
        </is>
      </c>
      <c r="E2909" s="10" t="n">
        <v>45453.51041666666</v>
      </c>
      <c r="F2909" s="10" t="n">
        <v>45453.51388888889</v>
      </c>
      <c r="G2909" s="11" t="n">
        <v>-1.94</v>
      </c>
      <c r="H2909" s="11">
        <f>H2908+G2909</f>
        <v/>
      </c>
    </row>
    <row r="2910">
      <c r="A2910" s="9" t="n">
        <v>2906</v>
      </c>
      <c r="B2910" s="9" t="inlineStr">
        <is>
          <t>Meridian</t>
        </is>
      </c>
      <c r="C2910" s="9" t="inlineStr">
        <is>
          <t>21/50 MA cross, 250-period confirm filter, VWAP</t>
        </is>
      </c>
      <c r="D2910" s="9" t="inlineStr">
        <is>
          <t>Long</t>
        </is>
      </c>
      <c r="E2910" s="10" t="n">
        <v>45454.16319444445</v>
      </c>
      <c r="F2910" s="10" t="n">
        <v>45454.16666666666</v>
      </c>
      <c r="G2910" s="11" t="n">
        <v>-1.66</v>
      </c>
      <c r="H2910" s="11">
        <f>H2909+G2910</f>
        <v/>
      </c>
    </row>
    <row r="2911">
      <c r="A2911" s="9" t="n">
        <v>2907</v>
      </c>
      <c r="B2911" s="9" t="inlineStr">
        <is>
          <t>Meridian</t>
        </is>
      </c>
      <c r="C2911" s="9" t="inlineStr">
        <is>
          <t>21/50 MA cross, 250-period confirm filter, VWAP</t>
        </is>
      </c>
      <c r="D2911" s="9" t="inlineStr">
        <is>
          <t>Long</t>
        </is>
      </c>
      <c r="E2911" s="10" t="n">
        <v>45454.88541666666</v>
      </c>
      <c r="F2911" s="10" t="n">
        <v>45455.16666666666</v>
      </c>
      <c r="G2911" s="11" t="n">
        <v>0.15</v>
      </c>
      <c r="H2911" s="11">
        <f>H2910+G2911</f>
        <v/>
      </c>
    </row>
    <row r="2912">
      <c r="A2912" s="9" t="n">
        <v>2908</v>
      </c>
      <c r="B2912" s="9" t="inlineStr">
        <is>
          <t>Meridian</t>
        </is>
      </c>
      <c r="C2912" s="9" t="inlineStr">
        <is>
          <t>21/50 MA cross, 250-period confirm filter, VWAP</t>
        </is>
      </c>
      <c r="D2912" s="9" t="inlineStr">
        <is>
          <t>Long</t>
        </is>
      </c>
      <c r="E2912" s="10" t="n">
        <v>45455.26736111111</v>
      </c>
      <c r="F2912" s="10" t="n">
        <v>45455.31597222222</v>
      </c>
      <c r="G2912" s="11" t="n">
        <v>-2.2</v>
      </c>
      <c r="H2912" s="11">
        <f>H2911+G2912</f>
        <v/>
      </c>
    </row>
    <row r="2913">
      <c r="A2913" s="9" t="n">
        <v>2909</v>
      </c>
      <c r="B2913" s="9" t="inlineStr">
        <is>
          <t>Meridian</t>
        </is>
      </c>
      <c r="C2913" s="9" t="inlineStr">
        <is>
          <t>21/50 MA cross, 250-period confirm filter, VWAP</t>
        </is>
      </c>
      <c r="D2913" s="9" t="inlineStr">
        <is>
          <t>Long</t>
        </is>
      </c>
      <c r="E2913" s="10" t="n">
        <v>45455.38888888889</v>
      </c>
      <c r="F2913" s="10" t="n">
        <v>45455.42013888889</v>
      </c>
      <c r="G2913" s="11" t="n">
        <v>-2.46</v>
      </c>
      <c r="H2913" s="11">
        <f>H2912+G2913</f>
        <v/>
      </c>
    </row>
    <row r="2914">
      <c r="A2914" s="9" t="n">
        <v>2910</v>
      </c>
      <c r="B2914" s="9" t="inlineStr">
        <is>
          <t>Meridian</t>
        </is>
      </c>
      <c r="C2914" s="9" t="inlineStr">
        <is>
          <t>21/50 MA cross, 250-period confirm filter, VWAP</t>
        </is>
      </c>
      <c r="D2914" s="9" t="inlineStr">
        <is>
          <t>Short</t>
        </is>
      </c>
      <c r="E2914" s="10" t="n">
        <v>45455.44097222222</v>
      </c>
      <c r="F2914" s="10" t="n">
        <v>45455.45833333334</v>
      </c>
      <c r="G2914" s="11" t="n">
        <v>-2.93</v>
      </c>
      <c r="H2914" s="11">
        <f>H2913+G2914</f>
        <v/>
      </c>
    </row>
    <row r="2915">
      <c r="A2915" s="9" t="n">
        <v>2911</v>
      </c>
      <c r="B2915" s="9" t="inlineStr">
        <is>
          <t>Ratchet</t>
        </is>
      </c>
      <c r="C2915" s="9" t="inlineStr">
        <is>
          <t>Stochastic scalp with give-back trail exit</t>
        </is>
      </c>
      <c r="D2915" s="9" t="inlineStr">
        <is>
          <t>Long</t>
        </is>
      </c>
      <c r="E2915" s="10" t="n">
        <v>45455.67708333334</v>
      </c>
      <c r="F2915" s="10" t="n">
        <v>45455.6875</v>
      </c>
      <c r="G2915" s="11" t="n">
        <v>-7.41</v>
      </c>
      <c r="H2915" s="11">
        <f>H2914+G2915</f>
        <v/>
      </c>
    </row>
    <row r="2916">
      <c r="A2916" s="9" t="n">
        <v>2912</v>
      </c>
      <c r="B2916" s="9" t="inlineStr">
        <is>
          <t>Ratchet</t>
        </is>
      </c>
      <c r="C2916" s="9" t="inlineStr">
        <is>
          <t>Stochastic scalp with give-back trail exit</t>
        </is>
      </c>
      <c r="D2916" s="9" t="inlineStr">
        <is>
          <t>Long</t>
        </is>
      </c>
      <c r="E2916" s="10" t="n">
        <v>45455.77430555555</v>
      </c>
      <c r="F2916" s="10" t="n">
        <v>45455.78125</v>
      </c>
      <c r="G2916" s="11" t="n">
        <v>1.82</v>
      </c>
      <c r="H2916" s="11">
        <f>H2915+G2916</f>
        <v/>
      </c>
    </row>
    <row r="2917">
      <c r="A2917" s="9" t="n">
        <v>2913</v>
      </c>
      <c r="B2917" s="9" t="inlineStr">
        <is>
          <t>Ratchet</t>
        </is>
      </c>
      <c r="C2917" s="9" t="inlineStr">
        <is>
          <t>Stochastic scalp with give-back trail exit</t>
        </is>
      </c>
      <c r="D2917" s="9" t="inlineStr">
        <is>
          <t>Long</t>
        </is>
      </c>
      <c r="E2917" s="10" t="n">
        <v>45455.78819444445</v>
      </c>
      <c r="F2917" s="10" t="n">
        <v>45455.79166666666</v>
      </c>
      <c r="G2917" s="11" t="n">
        <v>0</v>
      </c>
      <c r="H2917" s="11">
        <f>H2916+G2917</f>
        <v/>
      </c>
    </row>
    <row r="2918">
      <c r="A2918" s="9" t="n">
        <v>2914</v>
      </c>
      <c r="B2918" s="9" t="inlineStr">
        <is>
          <t>Meridian</t>
        </is>
      </c>
      <c r="C2918" s="9" t="inlineStr">
        <is>
          <t>21/50 MA cross, 250-period confirm filter, VWAP</t>
        </is>
      </c>
      <c r="D2918" s="9" t="inlineStr">
        <is>
          <t>Long</t>
        </is>
      </c>
      <c r="E2918" s="10" t="n">
        <v>45455.64930555555</v>
      </c>
      <c r="F2918" s="10" t="n">
        <v>45455.90972222222</v>
      </c>
      <c r="G2918" s="11" t="n">
        <v>-3.93</v>
      </c>
      <c r="H2918" s="11">
        <f>H2917+G2918</f>
        <v/>
      </c>
    </row>
    <row r="2919">
      <c r="A2919" s="9" t="n">
        <v>2915</v>
      </c>
      <c r="B2919" s="9" t="inlineStr">
        <is>
          <t>Ratchet</t>
        </is>
      </c>
      <c r="C2919" s="9" t="inlineStr">
        <is>
          <t>Stochastic scalp with give-back trail exit</t>
        </is>
      </c>
      <c r="D2919" s="9" t="inlineStr">
        <is>
          <t>Short</t>
        </is>
      </c>
      <c r="E2919" s="10" t="n">
        <v>45456.625</v>
      </c>
      <c r="F2919" s="10" t="n">
        <v>45456.64236111111</v>
      </c>
      <c r="G2919" s="11" t="n">
        <v>-0</v>
      </c>
      <c r="H2919" s="11">
        <f>H2918+G2919</f>
        <v/>
      </c>
    </row>
    <row r="2920">
      <c r="A2920" s="9" t="n">
        <v>2916</v>
      </c>
      <c r="B2920" s="9" t="inlineStr">
        <is>
          <t>Meridian</t>
        </is>
      </c>
      <c r="C2920" s="9" t="inlineStr">
        <is>
          <t>21/50 MA cross, 250-period confirm filter, VWAP</t>
        </is>
      </c>
      <c r="D2920" s="9" t="inlineStr">
        <is>
          <t>Short</t>
        </is>
      </c>
      <c r="E2920" s="10" t="n">
        <v>45456.60069444445</v>
      </c>
      <c r="F2920" s="10" t="n">
        <v>45456.64583333334</v>
      </c>
      <c r="G2920" s="11" t="n">
        <v>-3.84</v>
      </c>
      <c r="H2920" s="11">
        <f>H2919+G2920</f>
        <v/>
      </c>
    </row>
    <row r="2921">
      <c r="A2921" s="9" t="n">
        <v>2917</v>
      </c>
      <c r="B2921" s="9" t="inlineStr">
        <is>
          <t>Meridian</t>
        </is>
      </c>
      <c r="C2921" s="9" t="inlineStr">
        <is>
          <t>21/50 MA cross, 250-period confirm filter, VWAP</t>
        </is>
      </c>
      <c r="D2921" s="9" t="inlineStr">
        <is>
          <t>Long</t>
        </is>
      </c>
      <c r="E2921" s="10" t="n">
        <v>45456.66666666666</v>
      </c>
      <c r="F2921" s="10" t="n">
        <v>45456.70138888889</v>
      </c>
      <c r="G2921" s="11" t="n">
        <v>-8.68</v>
      </c>
      <c r="H2921" s="11">
        <f>H2920+G2921</f>
        <v/>
      </c>
    </row>
    <row r="2922">
      <c r="A2922" s="9" t="n">
        <v>2918</v>
      </c>
      <c r="B2922" s="9" t="inlineStr">
        <is>
          <t>Meridian</t>
        </is>
      </c>
      <c r="C2922" s="9" t="inlineStr">
        <is>
          <t>21/50 MA cross, 250-period confirm filter, VWAP</t>
        </is>
      </c>
      <c r="D2922" s="9" t="inlineStr">
        <is>
          <t>Short</t>
        </is>
      </c>
      <c r="E2922" s="10" t="n">
        <v>45456.71875</v>
      </c>
      <c r="F2922" s="10" t="n">
        <v>45456.75</v>
      </c>
      <c r="G2922" s="11" t="n">
        <v>-9.859999999999999</v>
      </c>
      <c r="H2922" s="11">
        <f>H2921+G2922</f>
        <v/>
      </c>
    </row>
    <row r="2923">
      <c r="A2923" s="9" t="n">
        <v>2919</v>
      </c>
      <c r="B2923" s="9" t="inlineStr">
        <is>
          <t>Aurelius_M5</t>
        </is>
      </c>
      <c r="C2923" s="9" t="inlineStr">
        <is>
          <t>MA alignment (EMA21&gt;EMA50&gt;SMA250&gt;SMMA500 vs EMA2400 trend filter)</t>
        </is>
      </c>
      <c r="D2923" s="9" t="inlineStr">
        <is>
          <t>Short</t>
        </is>
      </c>
      <c r="E2923" s="10" t="n">
        <v>45456.76041666666</v>
      </c>
      <c r="F2923" s="10" t="n">
        <v>45457.04166666666</v>
      </c>
      <c r="G2923" s="11" t="n">
        <v>5.53</v>
      </c>
      <c r="H2923" s="11">
        <f>H2922+G2923</f>
        <v/>
      </c>
    </row>
    <row r="2924">
      <c r="A2924" s="9" t="n">
        <v>2920</v>
      </c>
      <c r="B2924" s="9" t="inlineStr">
        <is>
          <t>Ratchet</t>
        </is>
      </c>
      <c r="C2924" s="9" t="inlineStr">
        <is>
          <t>Stochastic scalp with give-back trail exit</t>
        </is>
      </c>
      <c r="D2924" s="9" t="inlineStr">
        <is>
          <t>Short</t>
        </is>
      </c>
      <c r="E2924" s="10" t="n">
        <v>45457.07986111111</v>
      </c>
      <c r="F2924" s="10" t="n">
        <v>45457.11805555555</v>
      </c>
      <c r="G2924" s="11" t="n">
        <v>0.3</v>
      </c>
      <c r="H2924" s="11">
        <f>H2923+G2924</f>
        <v/>
      </c>
    </row>
    <row r="2925">
      <c r="A2925" s="9" t="n">
        <v>2921</v>
      </c>
      <c r="B2925" s="9" t="inlineStr">
        <is>
          <t>Aurelius_M15</t>
        </is>
      </c>
      <c r="C2925" s="9" t="inlineStr">
        <is>
          <t>MA alignment (EMA21&gt;EMA50&gt;SMA250&gt;SMMA500 vs EMA2400 trend filter) - M15 chart</t>
        </is>
      </c>
      <c r="D2925" s="9" t="inlineStr">
        <is>
          <t>Short</t>
        </is>
      </c>
      <c r="E2925" s="10" t="n">
        <v>45456.71875</v>
      </c>
      <c r="F2925" s="10" t="n">
        <v>45457.40625</v>
      </c>
      <c r="G2925" s="11" t="n">
        <v>-5.25</v>
      </c>
      <c r="H2925" s="11">
        <f>H2924+G2925</f>
        <v/>
      </c>
    </row>
    <row r="2926">
      <c r="A2926" s="9" t="n">
        <v>2922</v>
      </c>
      <c r="B2926" s="9" t="inlineStr">
        <is>
          <t>Vanguard_M5</t>
        </is>
      </c>
      <c r="C2926" s="9" t="inlineStr">
        <is>
          <t>Trendline breakout (fractal swing line) + VWAP/S-R distance gate</t>
        </is>
      </c>
      <c r="D2926" s="9" t="inlineStr">
        <is>
          <t>Short</t>
        </is>
      </c>
      <c r="E2926" s="10" t="n">
        <v>45450.46180555555</v>
      </c>
      <c r="F2926" s="10" t="n">
        <v>45457.44791666666</v>
      </c>
      <c r="G2926" s="11" t="n">
        <v>43.09</v>
      </c>
      <c r="H2926" s="11">
        <f>H2925+G2926</f>
        <v/>
      </c>
    </row>
    <row r="2927">
      <c r="A2927" s="9" t="n">
        <v>2923</v>
      </c>
      <c r="B2927" s="9" t="inlineStr">
        <is>
          <t>Vanguard_M15</t>
        </is>
      </c>
      <c r="C2927" s="9" t="inlineStr">
        <is>
          <t>Trendline breakout (fractal swing line) + VWAP/S-R distance gate - M15 chart</t>
        </is>
      </c>
      <c r="D2927" s="9" t="inlineStr">
        <is>
          <t>Short</t>
        </is>
      </c>
      <c r="E2927" s="10" t="n">
        <v>45450.46875</v>
      </c>
      <c r="F2927" s="10" t="n">
        <v>45457.44791666666</v>
      </c>
      <c r="G2927" s="11" t="n">
        <v>35.7</v>
      </c>
      <c r="H2927" s="11">
        <f>H2926+G2927</f>
        <v/>
      </c>
    </row>
    <row r="2928">
      <c r="A2928" s="9" t="n">
        <v>2924</v>
      </c>
      <c r="B2928" s="9" t="inlineStr">
        <is>
          <t>Ratchet</t>
        </is>
      </c>
      <c r="C2928" s="9" t="inlineStr">
        <is>
          <t>Stochastic scalp with give-back trail exit</t>
        </is>
      </c>
      <c r="D2928" s="9" t="inlineStr">
        <is>
          <t>Long</t>
        </is>
      </c>
      <c r="E2928" s="10" t="n">
        <v>45457.61111111111</v>
      </c>
      <c r="F2928" s="10" t="n">
        <v>45457.61805555555</v>
      </c>
      <c r="G2928" s="11" t="n">
        <v>0.99</v>
      </c>
      <c r="H2928" s="11">
        <f>H2927+G2928</f>
        <v/>
      </c>
    </row>
    <row r="2929">
      <c r="A2929" s="9" t="n">
        <v>2925</v>
      </c>
      <c r="B2929" s="9" t="inlineStr">
        <is>
          <t>Ratchet</t>
        </is>
      </c>
      <c r="C2929" s="9" t="inlineStr">
        <is>
          <t>Stochastic scalp with give-back trail exit</t>
        </is>
      </c>
      <c r="D2929" s="9" t="inlineStr">
        <is>
          <t>Long</t>
        </is>
      </c>
      <c r="E2929" s="10" t="n">
        <v>45457.62847222222</v>
      </c>
      <c r="F2929" s="10" t="n">
        <v>45457.64236111111</v>
      </c>
      <c r="G2929" s="11" t="n">
        <v>-4.14</v>
      </c>
      <c r="H2929" s="11">
        <f>H2928+G2929</f>
        <v/>
      </c>
    </row>
    <row r="2930">
      <c r="A2930" s="9" t="n">
        <v>2926</v>
      </c>
      <c r="B2930" s="9" t="inlineStr">
        <is>
          <t>Ratchet</t>
        </is>
      </c>
      <c r="C2930" s="9" t="inlineStr">
        <is>
          <t>Stochastic scalp with give-back trail exit</t>
        </is>
      </c>
      <c r="D2930" s="9" t="inlineStr">
        <is>
          <t>Long</t>
        </is>
      </c>
      <c r="E2930" s="10" t="n">
        <v>45457.72569444445</v>
      </c>
      <c r="F2930" s="10" t="n">
        <v>45457.73611111111</v>
      </c>
      <c r="G2930" s="11" t="n">
        <v>-5.1</v>
      </c>
      <c r="H2930" s="11">
        <f>H2929+G2930</f>
        <v/>
      </c>
    </row>
    <row r="2931">
      <c r="A2931" s="9" t="n">
        <v>2927</v>
      </c>
      <c r="B2931" s="9" t="inlineStr">
        <is>
          <t>Meridian</t>
        </is>
      </c>
      <c r="C2931" s="9" t="inlineStr">
        <is>
          <t>21/50 MA cross, 250-period confirm filter, VWAP</t>
        </is>
      </c>
      <c r="D2931" s="9" t="inlineStr">
        <is>
          <t>Long</t>
        </is>
      </c>
      <c r="E2931" s="10" t="n">
        <v>45457.79861111111</v>
      </c>
      <c r="F2931" s="10" t="n">
        <v>45457.91666666666</v>
      </c>
      <c r="G2931" s="11" t="n">
        <v>4.47</v>
      </c>
      <c r="H2931" s="11">
        <f>H2930+G2931</f>
        <v/>
      </c>
    </row>
    <row r="2932">
      <c r="A2932" s="9" t="n">
        <v>2928</v>
      </c>
      <c r="B2932" s="9" t="inlineStr">
        <is>
          <t>Meridian</t>
        </is>
      </c>
      <c r="C2932" s="9" t="inlineStr">
        <is>
          <t>21/50 MA cross, 250-period confirm filter, VWAP</t>
        </is>
      </c>
      <c r="D2932" s="9" t="inlineStr">
        <is>
          <t>Short</t>
        </is>
      </c>
      <c r="E2932" s="10" t="n">
        <v>45460.60763888889</v>
      </c>
      <c r="F2932" s="10" t="n">
        <v>45460.66666666666</v>
      </c>
      <c r="G2932" s="11" t="n">
        <v>-3.27</v>
      </c>
      <c r="H2932" s="11">
        <f>H2931+G2932</f>
        <v/>
      </c>
    </row>
    <row r="2933">
      <c r="A2933" s="9" t="n">
        <v>2929</v>
      </c>
      <c r="B2933" s="9" t="inlineStr">
        <is>
          <t>Meridian</t>
        </is>
      </c>
      <c r="C2933" s="9" t="inlineStr">
        <is>
          <t>21/50 MA cross, 250-period confirm filter, VWAP</t>
        </is>
      </c>
      <c r="D2933" s="9" t="inlineStr">
        <is>
          <t>Long</t>
        </is>
      </c>
      <c r="E2933" s="10" t="n">
        <v>45460.68055555555</v>
      </c>
      <c r="F2933" s="10" t="n">
        <v>45460.69444444445</v>
      </c>
      <c r="G2933" s="11" t="n">
        <v>-4.59</v>
      </c>
      <c r="H2933" s="11">
        <f>H2932+G2933</f>
        <v/>
      </c>
    </row>
    <row r="2934">
      <c r="A2934" s="9" t="n">
        <v>2930</v>
      </c>
      <c r="B2934" s="9" t="inlineStr">
        <is>
          <t>Vanguard_M15</t>
        </is>
      </c>
      <c r="C2934" s="9" t="inlineStr">
        <is>
          <t>Trendline breakout (fractal swing line) + VWAP/S-R distance gate - M15 chart</t>
        </is>
      </c>
      <c r="D2934" s="9" t="inlineStr">
        <is>
          <t>Long</t>
        </is>
      </c>
      <c r="E2934" s="10" t="n">
        <v>45457.45833333334</v>
      </c>
      <c r="F2934" s="10" t="n">
        <v>45460.76041666666</v>
      </c>
      <c r="G2934" s="11" t="n">
        <v>4.08</v>
      </c>
      <c r="H2934" s="11">
        <f>H2933+G2934</f>
        <v/>
      </c>
    </row>
    <row r="2935">
      <c r="A2935" s="9" t="n">
        <v>2931</v>
      </c>
      <c r="B2935" s="9" t="inlineStr">
        <is>
          <t>Vanguard_M5</t>
        </is>
      </c>
      <c r="C2935" s="9" t="inlineStr">
        <is>
          <t>Trendline breakout (fractal swing line) + VWAP/S-R distance gate</t>
        </is>
      </c>
      <c r="D2935" s="9" t="inlineStr">
        <is>
          <t>Long</t>
        </is>
      </c>
      <c r="E2935" s="10" t="n">
        <v>45457.45138888889</v>
      </c>
      <c r="F2935" s="10" t="n">
        <v>45460.76736111111</v>
      </c>
      <c r="G2935" s="11" t="n">
        <v>4.37</v>
      </c>
      <c r="H2935" s="11">
        <f>H2934+G2935</f>
        <v/>
      </c>
    </row>
    <row r="2936">
      <c r="A2936" s="9" t="n">
        <v>2932</v>
      </c>
      <c r="B2936" s="9" t="inlineStr">
        <is>
          <t>Meridian</t>
        </is>
      </c>
      <c r="C2936" s="9" t="inlineStr">
        <is>
          <t>21/50 MA cross, 250-period confirm filter, VWAP</t>
        </is>
      </c>
      <c r="D2936" s="9" t="inlineStr">
        <is>
          <t>Short</t>
        </is>
      </c>
      <c r="E2936" s="10" t="n">
        <v>45460.77777777778</v>
      </c>
      <c r="F2936" s="10" t="n">
        <v>45460.83333333334</v>
      </c>
      <c r="G2936" s="11" t="n">
        <v>-6.02</v>
      </c>
      <c r="H2936" s="11">
        <f>H2935+G2936</f>
        <v/>
      </c>
    </row>
    <row r="2937">
      <c r="A2937" s="9" t="n">
        <v>2933</v>
      </c>
      <c r="B2937" s="9" t="inlineStr">
        <is>
          <t>Vanguard_M15</t>
        </is>
      </c>
      <c r="C2937" s="9" t="inlineStr">
        <is>
          <t>Trendline breakout (fractal swing line) + VWAP/S-R distance gate - M15 chart</t>
        </is>
      </c>
      <c r="D2937" s="9" t="inlineStr">
        <is>
          <t>Short</t>
        </is>
      </c>
      <c r="E2937" s="10" t="n">
        <v>45460.77083333334</v>
      </c>
      <c r="F2937" s="10" t="n">
        <v>45461.14583333334</v>
      </c>
      <c r="G2937" s="11" t="n">
        <v>-5.88</v>
      </c>
      <c r="H2937" s="11">
        <f>H2936+G2937</f>
        <v/>
      </c>
    </row>
    <row r="2938">
      <c r="A2938" s="9" t="n">
        <v>2934</v>
      </c>
      <c r="B2938" s="9" t="inlineStr">
        <is>
          <t>Vanguard_M5</t>
        </is>
      </c>
      <c r="C2938" s="9" t="inlineStr">
        <is>
          <t>Trendline breakout (fractal swing line) + VWAP/S-R distance gate</t>
        </is>
      </c>
      <c r="D2938" s="9" t="inlineStr">
        <is>
          <t>Short</t>
        </is>
      </c>
      <c r="E2938" s="10" t="n">
        <v>45460.77083333334</v>
      </c>
      <c r="F2938" s="10" t="n">
        <v>45461.14583333334</v>
      </c>
      <c r="G2938" s="11" t="n">
        <v>-5.25</v>
      </c>
      <c r="H2938" s="11">
        <f>H2937+G2938</f>
        <v/>
      </c>
    </row>
    <row r="2939">
      <c r="A2939" s="9" t="n">
        <v>2935</v>
      </c>
      <c r="B2939" s="9" t="inlineStr">
        <is>
          <t>Vanguard_M15</t>
        </is>
      </c>
      <c r="C2939" s="9" t="inlineStr">
        <is>
          <t>Trendline breakout (fractal swing line) + VWAP/S-R distance gate - M15 chart</t>
        </is>
      </c>
      <c r="D2939" s="9" t="inlineStr">
        <is>
          <t>Long</t>
        </is>
      </c>
      <c r="E2939" s="10" t="n">
        <v>45461.15625</v>
      </c>
      <c r="F2939" s="10" t="n">
        <v>45461.15625</v>
      </c>
      <c r="G2939" s="11" t="n">
        <v>-1.34</v>
      </c>
      <c r="H2939" s="11">
        <f>H2938+G2939</f>
        <v/>
      </c>
    </row>
    <row r="2940">
      <c r="A2940" s="9" t="n">
        <v>2936</v>
      </c>
      <c r="B2940" s="9" t="inlineStr">
        <is>
          <t>Vanguard_M5</t>
        </is>
      </c>
      <c r="C2940" s="9" t="inlineStr">
        <is>
          <t>Trendline breakout (fractal swing line) + VWAP/S-R distance gate</t>
        </is>
      </c>
      <c r="D2940" s="9" t="inlineStr">
        <is>
          <t>Long</t>
        </is>
      </c>
      <c r="E2940" s="10" t="n">
        <v>45461.14930555555</v>
      </c>
      <c r="F2940" s="10" t="n">
        <v>45461.15972222222</v>
      </c>
      <c r="G2940" s="11" t="n">
        <v>-0.39</v>
      </c>
      <c r="H2940" s="11">
        <f>H2939+G2940</f>
        <v/>
      </c>
    </row>
    <row r="2941">
      <c r="A2941" s="9" t="n">
        <v>2937</v>
      </c>
      <c r="B2941" s="9" t="inlineStr">
        <is>
          <t>Aurelius_M5</t>
        </is>
      </c>
      <c r="C2941" s="9" t="inlineStr">
        <is>
          <t>MA alignment (EMA21&gt;EMA50&gt;SMA250&gt;SMMA500 vs EMA2400 trend filter)</t>
        </is>
      </c>
      <c r="D2941" s="9" t="inlineStr">
        <is>
          <t>Long</t>
        </is>
      </c>
      <c r="E2941" s="10" t="n">
        <v>45461.23611111111</v>
      </c>
      <c r="F2941" s="10" t="n">
        <v>45461.25347222222</v>
      </c>
      <c r="G2941" s="11" t="n">
        <v>-1.43</v>
      </c>
      <c r="H2941" s="11">
        <f>H2940+G2941</f>
        <v/>
      </c>
    </row>
    <row r="2942">
      <c r="A2942" s="9" t="n">
        <v>2938</v>
      </c>
      <c r="B2942" s="9" t="inlineStr">
        <is>
          <t>Vanguard_M5</t>
        </is>
      </c>
      <c r="C2942" s="9" t="inlineStr">
        <is>
          <t>Trendline breakout (fractal swing line) + VWAP/S-R distance gate</t>
        </is>
      </c>
      <c r="D2942" s="9" t="inlineStr">
        <is>
          <t>Long</t>
        </is>
      </c>
      <c r="E2942" s="10" t="n">
        <v>45461.23611111111</v>
      </c>
      <c r="F2942" s="10" t="n">
        <v>45461.33680555555</v>
      </c>
      <c r="G2942" s="11" t="n">
        <v>-4.6</v>
      </c>
      <c r="H2942" s="11">
        <f>H2941+G2942</f>
        <v/>
      </c>
    </row>
    <row r="2943">
      <c r="A2943" s="9" t="n">
        <v>2939</v>
      </c>
      <c r="B2943" s="9" t="inlineStr">
        <is>
          <t>Meridian</t>
        </is>
      </c>
      <c r="C2943" s="9" t="inlineStr">
        <is>
          <t>21/50 MA cross, 250-period confirm filter, VWAP</t>
        </is>
      </c>
      <c r="D2943" s="9" t="inlineStr">
        <is>
          <t>Short</t>
        </is>
      </c>
      <c r="E2943" s="10" t="n">
        <v>45461.34375</v>
      </c>
      <c r="F2943" s="10" t="n">
        <v>45461.35416666666</v>
      </c>
      <c r="G2943" s="11" t="n">
        <v>-2.33</v>
      </c>
      <c r="H2943" s="11">
        <f>H2942+G2943</f>
        <v/>
      </c>
    </row>
    <row r="2944">
      <c r="A2944" s="9" t="n">
        <v>2940</v>
      </c>
      <c r="B2944" s="9" t="inlineStr">
        <is>
          <t>Vanguard_M5</t>
        </is>
      </c>
      <c r="C2944" s="9" t="inlineStr">
        <is>
          <t>Trendline breakout (fractal swing line) + VWAP/S-R distance gate</t>
        </is>
      </c>
      <c r="D2944" s="9" t="inlineStr">
        <is>
          <t>Long</t>
        </is>
      </c>
      <c r="E2944" s="10" t="n">
        <v>45461.36111111111</v>
      </c>
      <c r="F2944" s="10" t="n">
        <v>45461.40972222222</v>
      </c>
      <c r="G2944" s="11" t="n">
        <v>-4.41</v>
      </c>
      <c r="H2944" s="11">
        <f>H2943+G2944</f>
        <v/>
      </c>
    </row>
    <row r="2945">
      <c r="A2945" s="9" t="n">
        <v>2941</v>
      </c>
      <c r="B2945" s="9" t="inlineStr">
        <is>
          <t>Vanguard_M15</t>
        </is>
      </c>
      <c r="C2945" s="9" t="inlineStr">
        <is>
          <t>Trendline breakout (fractal swing line) + VWAP/S-R distance gate - M15 chart</t>
        </is>
      </c>
      <c r="D2945" s="9" t="inlineStr">
        <is>
          <t>Long</t>
        </is>
      </c>
      <c r="E2945" s="10" t="n">
        <v>45461.23958333334</v>
      </c>
      <c r="F2945" s="10" t="n">
        <v>45461.41666666666</v>
      </c>
      <c r="G2945" s="11" t="n">
        <v>-6.32</v>
      </c>
      <c r="H2945" s="11">
        <f>H2944+G2945</f>
        <v/>
      </c>
    </row>
    <row r="2946">
      <c r="A2946" s="9" t="n">
        <v>2942</v>
      </c>
      <c r="B2946" s="9" t="inlineStr">
        <is>
          <t>Ratchet</t>
        </is>
      </c>
      <c r="C2946" s="9" t="inlineStr">
        <is>
          <t>Stochastic scalp with give-back trail exit</t>
        </is>
      </c>
      <c r="D2946" s="9" t="inlineStr">
        <is>
          <t>Short</t>
        </is>
      </c>
      <c r="E2946" s="10" t="n">
        <v>45461.43055555555</v>
      </c>
      <c r="F2946" s="10" t="n">
        <v>45461.63888888889</v>
      </c>
      <c r="G2946" s="11" t="n">
        <v>3.29</v>
      </c>
      <c r="H2946" s="11">
        <f>H2945+G2946</f>
        <v/>
      </c>
    </row>
    <row r="2947">
      <c r="A2947" s="9" t="n">
        <v>2943</v>
      </c>
      <c r="B2947" s="9" t="inlineStr">
        <is>
          <t>Meridian</t>
        </is>
      </c>
      <c r="C2947" s="9" t="inlineStr">
        <is>
          <t>21/50 MA cross, 250-period confirm filter, VWAP</t>
        </is>
      </c>
      <c r="D2947" s="9" t="inlineStr">
        <is>
          <t>Long</t>
        </is>
      </c>
      <c r="E2947" s="10" t="n">
        <v>45461.65277777778</v>
      </c>
      <c r="F2947" s="10" t="n">
        <v>45461.66319444445</v>
      </c>
      <c r="G2947" s="11" t="n">
        <v>-5.34</v>
      </c>
      <c r="H2947" s="11">
        <f>H2946+G2947</f>
        <v/>
      </c>
    </row>
    <row r="2948">
      <c r="A2948" s="9" t="n">
        <v>2944</v>
      </c>
      <c r="B2948" s="9" t="inlineStr">
        <is>
          <t>Ratchet</t>
        </is>
      </c>
      <c r="C2948" s="9" t="inlineStr">
        <is>
          <t>Stochastic scalp with give-back trail exit</t>
        </is>
      </c>
      <c r="D2948" s="9" t="inlineStr">
        <is>
          <t>Long</t>
        </is>
      </c>
      <c r="E2948" s="10" t="n">
        <v>45461.89583333334</v>
      </c>
      <c r="F2948" s="10" t="n">
        <v>45461.89930555555</v>
      </c>
      <c r="G2948" s="11" t="n">
        <v>0</v>
      </c>
      <c r="H2948" s="11">
        <f>H2947+G2948</f>
        <v/>
      </c>
    </row>
    <row r="2949">
      <c r="A2949" s="9" t="n">
        <v>2945</v>
      </c>
      <c r="B2949" s="9" t="inlineStr">
        <is>
          <t>Aurelius_M15</t>
        </is>
      </c>
      <c r="C2949" s="9" t="inlineStr">
        <is>
          <t>MA alignment (EMA21&gt;EMA50&gt;SMA250&gt;SMMA500 vs EMA2400 trend filter) - M15 chart</t>
        </is>
      </c>
      <c r="D2949" s="9" t="inlineStr">
        <is>
          <t>Long</t>
        </is>
      </c>
      <c r="E2949" s="10" t="n">
        <v>45461.8125</v>
      </c>
      <c r="F2949" s="10" t="n">
        <v>45462.17708333334</v>
      </c>
      <c r="G2949" s="11" t="n">
        <v>-1.95</v>
      </c>
      <c r="H2949" s="11">
        <f>H2948+G2949</f>
        <v/>
      </c>
    </row>
    <row r="2950">
      <c r="A2950" s="9" t="n">
        <v>2946</v>
      </c>
      <c r="B2950" s="9" t="inlineStr">
        <is>
          <t>Meridian</t>
        </is>
      </c>
      <c r="C2950" s="9" t="inlineStr">
        <is>
          <t>21/50 MA cross, 250-period confirm filter, VWAP</t>
        </is>
      </c>
      <c r="D2950" s="9" t="inlineStr">
        <is>
          <t>Long</t>
        </is>
      </c>
      <c r="E2950" s="10" t="n">
        <v>45462.20138888889</v>
      </c>
      <c r="F2950" s="10" t="n">
        <v>45462.29166666666</v>
      </c>
      <c r="G2950" s="11" t="n">
        <v>-2.31</v>
      </c>
      <c r="H2950" s="11">
        <f>H2949+G2950</f>
        <v/>
      </c>
    </row>
    <row r="2951">
      <c r="A2951" s="9" t="n">
        <v>2947</v>
      </c>
      <c r="B2951" s="9" t="inlineStr">
        <is>
          <t>Meridian</t>
        </is>
      </c>
      <c r="C2951" s="9" t="inlineStr">
        <is>
          <t>21/50 MA cross, 250-period confirm filter, VWAP</t>
        </is>
      </c>
      <c r="D2951" s="9" t="inlineStr">
        <is>
          <t>Long</t>
        </is>
      </c>
      <c r="E2951" s="10" t="n">
        <v>45462.38888888889</v>
      </c>
      <c r="F2951" s="10" t="n">
        <v>45462.52430555555</v>
      </c>
      <c r="G2951" s="11" t="n">
        <v>-1.85</v>
      </c>
      <c r="H2951" s="11">
        <f>H2950+G2951</f>
        <v/>
      </c>
    </row>
    <row r="2952">
      <c r="A2952" s="9" t="n">
        <v>2948</v>
      </c>
      <c r="B2952" s="9" t="inlineStr">
        <is>
          <t>Vanguard_M15</t>
        </is>
      </c>
      <c r="C2952" s="9" t="inlineStr">
        <is>
          <t>Trendline breakout (fractal swing line) + VWAP/S-R distance gate - M15 chart</t>
        </is>
      </c>
      <c r="D2952" s="9" t="inlineStr">
        <is>
          <t>Long</t>
        </is>
      </c>
      <c r="E2952" s="10" t="n">
        <v>45461.70833333334</v>
      </c>
      <c r="F2952" s="10" t="n">
        <v>45462.58333333334</v>
      </c>
      <c r="G2952" s="11" t="n">
        <v>-0.5</v>
      </c>
      <c r="H2952" s="11">
        <f>H2951+G2952</f>
        <v/>
      </c>
    </row>
    <row r="2953">
      <c r="A2953" s="9" t="n">
        <v>2949</v>
      </c>
      <c r="B2953" s="9" t="inlineStr">
        <is>
          <t>Meridian</t>
        </is>
      </c>
      <c r="C2953" s="9" t="inlineStr">
        <is>
          <t>21/50 MA cross, 250-period confirm filter, VWAP</t>
        </is>
      </c>
      <c r="D2953" s="9" t="inlineStr">
        <is>
          <t>Short</t>
        </is>
      </c>
      <c r="E2953" s="10" t="n">
        <v>45462.53125</v>
      </c>
      <c r="F2953" s="10" t="n">
        <v>45462.61111111111</v>
      </c>
      <c r="G2953" s="11" t="n">
        <v>-2.49</v>
      </c>
      <c r="H2953" s="11">
        <f>H2952+G2953</f>
        <v/>
      </c>
    </row>
    <row r="2954">
      <c r="A2954" s="9" t="n">
        <v>2950</v>
      </c>
      <c r="B2954" s="9" t="inlineStr">
        <is>
          <t>Meridian</t>
        </is>
      </c>
      <c r="C2954" s="9" t="inlineStr">
        <is>
          <t>21/50 MA cross, 250-period confirm filter, VWAP</t>
        </is>
      </c>
      <c r="D2954" s="9" t="inlineStr">
        <is>
          <t>Long</t>
        </is>
      </c>
      <c r="E2954" s="10" t="n">
        <v>45462.63541666666</v>
      </c>
      <c r="F2954" s="10" t="n">
        <v>45462.64236111111</v>
      </c>
      <c r="G2954" s="11" t="n">
        <v>-3.09</v>
      </c>
      <c r="H2954" s="11">
        <f>H2953+G2954</f>
        <v/>
      </c>
    </row>
    <row r="2955">
      <c r="A2955" s="9" t="n">
        <v>2951</v>
      </c>
      <c r="B2955" s="9" t="inlineStr">
        <is>
          <t>Vanguard_M5</t>
        </is>
      </c>
      <c r="C2955" s="9" t="inlineStr">
        <is>
          <t>Trendline breakout (fractal swing line) + VWAP/S-R distance gate</t>
        </is>
      </c>
      <c r="D2955" s="9" t="inlineStr">
        <is>
          <t>Long</t>
        </is>
      </c>
      <c r="E2955" s="10" t="n">
        <v>45461.70486111111</v>
      </c>
      <c r="F2955" s="10" t="n">
        <v>45462.70833333334</v>
      </c>
      <c r="G2955" s="11" t="n">
        <v>-0.17</v>
      </c>
      <c r="H2955" s="11">
        <f>H2954+G2955</f>
        <v/>
      </c>
    </row>
    <row r="2956">
      <c r="A2956" s="9" t="n">
        <v>2952</v>
      </c>
      <c r="B2956" s="9" t="inlineStr">
        <is>
          <t>Meridian</t>
        </is>
      </c>
      <c r="C2956" s="9" t="inlineStr">
        <is>
          <t>21/50 MA cross, 250-period confirm filter, VWAP</t>
        </is>
      </c>
      <c r="D2956" s="9" t="inlineStr">
        <is>
          <t>Long</t>
        </is>
      </c>
      <c r="E2956" s="10" t="n">
        <v>45462.79861111111</v>
      </c>
      <c r="F2956" s="10" t="n">
        <v>45463.13541666666</v>
      </c>
      <c r="G2956" s="11" t="n">
        <v>-1.6</v>
      </c>
      <c r="H2956" s="11">
        <f>H2955+G2956</f>
        <v/>
      </c>
    </row>
    <row r="2957">
      <c r="A2957" s="9" t="n">
        <v>2953</v>
      </c>
      <c r="B2957" s="9" t="inlineStr">
        <is>
          <t>Meridian</t>
        </is>
      </c>
      <c r="C2957" s="9" t="inlineStr">
        <is>
          <t>21/50 MA cross, 250-period confirm filter, VWAP</t>
        </is>
      </c>
      <c r="D2957" s="9" t="inlineStr">
        <is>
          <t>Long</t>
        </is>
      </c>
      <c r="E2957" s="10" t="n">
        <v>45463.17013888889</v>
      </c>
      <c r="F2957" s="10" t="n">
        <v>45463.17708333334</v>
      </c>
      <c r="G2957" s="11" t="n">
        <v>-2.22</v>
      </c>
      <c r="H2957" s="11">
        <f>H2956+G2957</f>
        <v/>
      </c>
    </row>
    <row r="2958">
      <c r="A2958" s="9" t="n">
        <v>2954</v>
      </c>
      <c r="B2958" s="9" t="inlineStr">
        <is>
          <t>Ratchet</t>
        </is>
      </c>
      <c r="C2958" s="9" t="inlineStr">
        <is>
          <t>Stochastic scalp with give-back trail exit</t>
        </is>
      </c>
      <c r="D2958" s="9" t="inlineStr">
        <is>
          <t>Long</t>
        </is>
      </c>
      <c r="E2958" s="10" t="n">
        <v>45463.44097222222</v>
      </c>
      <c r="F2958" s="10" t="n">
        <v>45463.44097222222</v>
      </c>
      <c r="G2958" s="11" t="n">
        <v>-2.15</v>
      </c>
      <c r="H2958" s="11">
        <f>H2957+G2958</f>
        <v/>
      </c>
    </row>
    <row r="2959">
      <c r="A2959" s="9" t="n">
        <v>2955</v>
      </c>
      <c r="B2959" s="9" t="inlineStr">
        <is>
          <t>Aurelius_M5</t>
        </is>
      </c>
      <c r="C2959" s="9" t="inlineStr">
        <is>
          <t>MA alignment (EMA21&gt;EMA50&gt;SMA250&gt;SMMA500 vs EMA2400 trend filter)</t>
        </is>
      </c>
      <c r="D2959" s="9" t="inlineStr">
        <is>
          <t>Long</t>
        </is>
      </c>
      <c r="E2959" s="10" t="n">
        <v>45463.1875</v>
      </c>
      <c r="F2959" s="10" t="n">
        <v>45463.47222222222</v>
      </c>
      <c r="G2959" s="11" t="n">
        <v>1.18</v>
      </c>
      <c r="H2959" s="11">
        <f>H2958+G2959</f>
        <v/>
      </c>
    </row>
    <row r="2960">
      <c r="A2960" s="9" t="n">
        <v>2956</v>
      </c>
      <c r="B2960" s="9" t="inlineStr">
        <is>
          <t>Aurelius_M15</t>
        </is>
      </c>
      <c r="C2960" s="9" t="inlineStr">
        <is>
          <t>MA alignment (EMA21&gt;EMA50&gt;SMA250&gt;SMMA500 vs EMA2400 trend filter) - M15 chart</t>
        </is>
      </c>
      <c r="D2960" s="9" t="inlineStr">
        <is>
          <t>Long</t>
        </is>
      </c>
      <c r="E2960" s="10" t="n">
        <v>45463.1875</v>
      </c>
      <c r="F2960" s="10" t="n">
        <v>45463.54166666666</v>
      </c>
      <c r="G2960" s="11" t="n">
        <v>2.17</v>
      </c>
      <c r="H2960" s="11">
        <f>H2959+G2960</f>
        <v/>
      </c>
    </row>
    <row r="2961">
      <c r="A2961" s="9" t="n">
        <v>2957</v>
      </c>
      <c r="B2961" s="9" t="inlineStr">
        <is>
          <t>Vanguard_M5</t>
        </is>
      </c>
      <c r="C2961" s="9" t="inlineStr">
        <is>
          <t>Trendline breakout (fractal swing line) + VWAP/S-R distance gate</t>
        </is>
      </c>
      <c r="D2961" s="9" t="inlineStr">
        <is>
          <t>Short</t>
        </is>
      </c>
      <c r="E2961" s="10" t="n">
        <v>45463.48958333334</v>
      </c>
      <c r="F2961" s="10" t="n">
        <v>45463.57291666666</v>
      </c>
      <c r="G2961" s="11" t="n">
        <v>-5.92</v>
      </c>
      <c r="H2961" s="11">
        <f>H2960+G2961</f>
        <v/>
      </c>
    </row>
    <row r="2962">
      <c r="A2962" s="9" t="n">
        <v>2958</v>
      </c>
      <c r="B2962" s="9" t="inlineStr">
        <is>
          <t>Vanguard_M15</t>
        </is>
      </c>
      <c r="C2962" s="9" t="inlineStr">
        <is>
          <t>Trendline breakout (fractal swing line) + VWAP/S-R distance gate - M15 chart</t>
        </is>
      </c>
      <c r="D2962" s="9" t="inlineStr">
        <is>
          <t>Short</t>
        </is>
      </c>
      <c r="E2962" s="10" t="n">
        <v>45463.5</v>
      </c>
      <c r="F2962" s="10" t="n">
        <v>45463.57291666666</v>
      </c>
      <c r="G2962" s="11" t="n">
        <v>-7.41</v>
      </c>
      <c r="H2962" s="11">
        <f>H2961+G2962</f>
        <v/>
      </c>
    </row>
    <row r="2963">
      <c r="A2963" s="9" t="n">
        <v>2959</v>
      </c>
      <c r="B2963" s="9" t="inlineStr">
        <is>
          <t>Ratchet</t>
        </is>
      </c>
      <c r="C2963" s="9" t="inlineStr">
        <is>
          <t>Stochastic scalp with give-back trail exit</t>
        </is>
      </c>
      <c r="D2963" s="9" t="inlineStr">
        <is>
          <t>Long</t>
        </is>
      </c>
      <c r="E2963" s="10" t="n">
        <v>45463.61111111111</v>
      </c>
      <c r="F2963" s="10" t="n">
        <v>45463.61805555555</v>
      </c>
      <c r="G2963" s="11" t="n">
        <v>-2.07</v>
      </c>
      <c r="H2963" s="11">
        <f>H2962+G2963</f>
        <v/>
      </c>
    </row>
    <row r="2964">
      <c r="A2964" s="9" t="n">
        <v>2960</v>
      </c>
      <c r="B2964" s="9" t="inlineStr">
        <is>
          <t>Meridian</t>
        </is>
      </c>
      <c r="C2964" s="9" t="inlineStr">
        <is>
          <t>21/50 MA cross, 250-period confirm filter, VWAP</t>
        </is>
      </c>
      <c r="D2964" s="9" t="inlineStr">
        <is>
          <t>Long</t>
        </is>
      </c>
      <c r="E2964" s="10" t="n">
        <v>45463.58333333334</v>
      </c>
      <c r="F2964" s="10" t="n">
        <v>45463.65277777778</v>
      </c>
      <c r="G2964" s="11" t="n">
        <v>-3.08</v>
      </c>
      <c r="H2964" s="11">
        <f>H2963+G2964</f>
        <v/>
      </c>
    </row>
    <row r="2965">
      <c r="A2965" s="9" t="n">
        <v>2961</v>
      </c>
      <c r="B2965" s="9" t="inlineStr">
        <is>
          <t>Aurelius_M5</t>
        </is>
      </c>
      <c r="C2965" s="9" t="inlineStr">
        <is>
          <t>MA alignment (EMA21&gt;EMA50&gt;SMA250&gt;SMMA500 vs EMA2400 trend filter)</t>
        </is>
      </c>
      <c r="D2965" s="9" t="inlineStr">
        <is>
          <t>Long</t>
        </is>
      </c>
      <c r="E2965" s="10" t="n">
        <v>45463.64930555555</v>
      </c>
      <c r="F2965" s="10" t="n">
        <v>45463.65277777778</v>
      </c>
      <c r="G2965" s="11" t="n">
        <v>-4.25</v>
      </c>
      <c r="H2965" s="11">
        <f>H2964+G2965</f>
        <v/>
      </c>
    </row>
    <row r="2966">
      <c r="A2966" s="9" t="n">
        <v>2962</v>
      </c>
      <c r="B2966" s="9" t="inlineStr">
        <is>
          <t>Ratchet</t>
        </is>
      </c>
      <c r="C2966" s="9" t="inlineStr">
        <is>
          <t>Stochastic scalp with give-back trail exit</t>
        </is>
      </c>
      <c r="D2966" s="9" t="inlineStr">
        <is>
          <t>Long</t>
        </is>
      </c>
      <c r="E2966" s="10" t="n">
        <v>45463.93055555555</v>
      </c>
      <c r="F2966" s="10" t="n">
        <v>45463.96180555555</v>
      </c>
      <c r="G2966" s="11" t="n">
        <v>-1.77</v>
      </c>
      <c r="H2966" s="11">
        <f>H2965+G2966</f>
        <v/>
      </c>
    </row>
    <row r="2967">
      <c r="A2967" s="9" t="n">
        <v>2963</v>
      </c>
      <c r="B2967" s="9" t="inlineStr">
        <is>
          <t>Aurelius_M5</t>
        </is>
      </c>
      <c r="C2967" s="9" t="inlineStr">
        <is>
          <t>MA alignment (EMA21&gt;EMA50&gt;SMA250&gt;SMMA500 vs EMA2400 trend filter)</t>
        </is>
      </c>
      <c r="D2967" s="9" t="inlineStr">
        <is>
          <t>Long</t>
        </is>
      </c>
      <c r="E2967" s="10" t="n">
        <v>45463.67013888889</v>
      </c>
      <c r="F2967" s="10" t="n">
        <v>45464.04166666666</v>
      </c>
      <c r="G2967" s="11" t="n">
        <v>21.24</v>
      </c>
      <c r="H2967" s="11">
        <f>H2966+G2967</f>
        <v/>
      </c>
    </row>
    <row r="2968">
      <c r="A2968" s="9" t="n">
        <v>2964</v>
      </c>
      <c r="B2968" s="9" t="inlineStr">
        <is>
          <t>Ratchet</t>
        </is>
      </c>
      <c r="C2968" s="9" t="inlineStr">
        <is>
          <t>Stochastic scalp with give-back trail exit</t>
        </is>
      </c>
      <c r="D2968" s="9" t="inlineStr">
        <is>
          <t>Long</t>
        </is>
      </c>
      <c r="E2968" s="10" t="n">
        <v>45464.11805555555</v>
      </c>
      <c r="F2968" s="10" t="n">
        <v>45464.17361111111</v>
      </c>
      <c r="G2968" s="11" t="n">
        <v>1.21</v>
      </c>
      <c r="H2968" s="11">
        <f>H2967+G2968</f>
        <v/>
      </c>
    </row>
    <row r="2969">
      <c r="A2969" s="9" t="n">
        <v>2965</v>
      </c>
      <c r="B2969" s="9" t="inlineStr">
        <is>
          <t>Aurelius_M5</t>
        </is>
      </c>
      <c r="C2969" s="9" t="inlineStr">
        <is>
          <t>MA alignment (EMA21&gt;EMA50&gt;SMA250&gt;SMMA500 vs EMA2400 trend filter)</t>
        </is>
      </c>
      <c r="D2969" s="9" t="inlineStr">
        <is>
          <t>Long</t>
        </is>
      </c>
      <c r="E2969" s="10" t="n">
        <v>45464.21875</v>
      </c>
      <c r="F2969" s="10" t="n">
        <v>45464.23958333334</v>
      </c>
      <c r="G2969" s="11" t="n">
        <v>-3.37</v>
      </c>
      <c r="H2969" s="11">
        <f>H2968+G2969</f>
        <v/>
      </c>
    </row>
    <row r="2970">
      <c r="A2970" s="9" t="n">
        <v>2966</v>
      </c>
      <c r="B2970" s="9" t="inlineStr">
        <is>
          <t>Ratchet</t>
        </is>
      </c>
      <c r="C2970" s="9" t="inlineStr">
        <is>
          <t>Stochastic scalp with give-back trail exit</t>
        </is>
      </c>
      <c r="D2970" s="9" t="inlineStr">
        <is>
          <t>Long</t>
        </is>
      </c>
      <c r="E2970" s="10" t="n">
        <v>45464.28125</v>
      </c>
      <c r="F2970" s="10" t="n">
        <v>45464.29166666666</v>
      </c>
      <c r="G2970" s="11" t="n">
        <v>0.26</v>
      </c>
      <c r="H2970" s="11">
        <f>H2969+G2970</f>
        <v/>
      </c>
    </row>
    <row r="2971">
      <c r="A2971" s="9" t="n">
        <v>2967</v>
      </c>
      <c r="B2971" s="9" t="inlineStr">
        <is>
          <t>Ratchet</t>
        </is>
      </c>
      <c r="C2971" s="9" t="inlineStr">
        <is>
          <t>Stochastic scalp with give-back trail exit</t>
        </is>
      </c>
      <c r="D2971" s="9" t="inlineStr">
        <is>
          <t>Long</t>
        </is>
      </c>
      <c r="E2971" s="10" t="n">
        <v>45464.30555555555</v>
      </c>
      <c r="F2971" s="10" t="n">
        <v>45464.33680555555</v>
      </c>
      <c r="G2971" s="11" t="n">
        <v>0.3</v>
      </c>
      <c r="H2971" s="11">
        <f>H2970+G2971</f>
        <v/>
      </c>
    </row>
    <row r="2972">
      <c r="A2972" s="9" t="n">
        <v>2968</v>
      </c>
      <c r="B2972" s="9" t="inlineStr">
        <is>
          <t>Meridian</t>
        </is>
      </c>
      <c r="C2972" s="9" t="inlineStr">
        <is>
          <t>21/50 MA cross, 250-period confirm filter, VWAP</t>
        </is>
      </c>
      <c r="D2972" s="9" t="inlineStr">
        <is>
          <t>Long</t>
        </is>
      </c>
      <c r="E2972" s="10" t="n">
        <v>45464.28125</v>
      </c>
      <c r="F2972" s="10" t="n">
        <v>45464.40277777778</v>
      </c>
      <c r="G2972" s="11" t="n">
        <v>-2.42</v>
      </c>
      <c r="H2972" s="11">
        <f>H2971+G2972</f>
        <v/>
      </c>
    </row>
    <row r="2973">
      <c r="A2973" s="9" t="n">
        <v>2969</v>
      </c>
      <c r="B2973" s="9" t="inlineStr">
        <is>
          <t>Ratchet</t>
        </is>
      </c>
      <c r="C2973" s="9" t="inlineStr">
        <is>
          <t>Stochastic scalp with give-back trail exit</t>
        </is>
      </c>
      <c r="D2973" s="9" t="inlineStr">
        <is>
          <t>Long</t>
        </is>
      </c>
      <c r="E2973" s="10" t="n">
        <v>45464.60416666666</v>
      </c>
      <c r="F2973" s="10" t="n">
        <v>45464.61111111111</v>
      </c>
      <c r="G2973" s="11" t="n">
        <v>0.73</v>
      </c>
      <c r="H2973" s="11">
        <f>H2972+G2973</f>
        <v/>
      </c>
    </row>
    <row r="2974">
      <c r="A2974" s="9" t="n">
        <v>2970</v>
      </c>
      <c r="B2974" s="9" t="inlineStr">
        <is>
          <t>Ratchet</t>
        </is>
      </c>
      <c r="C2974" s="9" t="inlineStr">
        <is>
          <t>Stochastic scalp with give-back trail exit</t>
        </is>
      </c>
      <c r="D2974" s="9" t="inlineStr">
        <is>
          <t>Long</t>
        </is>
      </c>
      <c r="E2974" s="10" t="n">
        <v>45464.61805555555</v>
      </c>
      <c r="F2974" s="10" t="n">
        <v>45464.63194444445</v>
      </c>
      <c r="G2974" s="11" t="n">
        <v>0.52</v>
      </c>
      <c r="H2974" s="11">
        <f>H2973+G2974</f>
        <v/>
      </c>
    </row>
    <row r="2975">
      <c r="A2975" s="9" t="n">
        <v>2971</v>
      </c>
      <c r="B2975" s="9" t="inlineStr">
        <is>
          <t>Aurelius_M15</t>
        </is>
      </c>
      <c r="C2975" s="9" t="inlineStr">
        <is>
          <t>MA alignment (EMA21&gt;EMA50&gt;SMA250&gt;SMMA500 vs EMA2400 trend filter) - M15 chart</t>
        </is>
      </c>
      <c r="D2975" s="9" t="inlineStr">
        <is>
          <t>Long</t>
        </is>
      </c>
      <c r="E2975" s="10" t="n">
        <v>45463.59375</v>
      </c>
      <c r="F2975" s="10" t="n">
        <v>45464.70833333334</v>
      </c>
      <c r="G2975" s="11" t="n">
        <v>-5.78</v>
      </c>
      <c r="H2975" s="11">
        <f>H2974+G2975</f>
        <v/>
      </c>
    </row>
    <row r="2976">
      <c r="A2976" s="9" t="n">
        <v>2972</v>
      </c>
      <c r="B2976" s="9" t="inlineStr">
        <is>
          <t>Ratchet</t>
        </is>
      </c>
      <c r="C2976" s="9" t="inlineStr">
        <is>
          <t>Stochastic scalp with give-back trail exit</t>
        </is>
      </c>
      <c r="D2976" s="9" t="inlineStr">
        <is>
          <t>Short</t>
        </is>
      </c>
      <c r="E2976" s="10" t="n">
        <v>45467.04513888889</v>
      </c>
      <c r="F2976" s="10" t="n">
        <v>45467.125</v>
      </c>
      <c r="G2976" s="11" t="n">
        <v>0.9</v>
      </c>
      <c r="H2976" s="11">
        <f>H2975+G2976</f>
        <v/>
      </c>
    </row>
    <row r="2977">
      <c r="A2977" s="9" t="n">
        <v>2973</v>
      </c>
      <c r="B2977" s="9" t="inlineStr">
        <is>
          <t>Ratchet</t>
        </is>
      </c>
      <c r="C2977" s="9" t="inlineStr">
        <is>
          <t>Stochastic scalp with give-back trail exit</t>
        </is>
      </c>
      <c r="D2977" s="9" t="inlineStr">
        <is>
          <t>Short</t>
        </is>
      </c>
      <c r="E2977" s="10" t="n">
        <v>45467.13541666666</v>
      </c>
      <c r="F2977" s="10" t="n">
        <v>45467.14583333334</v>
      </c>
      <c r="G2977" s="11" t="n">
        <v>-0</v>
      </c>
      <c r="H2977" s="11">
        <f>H2976+G2977</f>
        <v/>
      </c>
    </row>
    <row r="2978">
      <c r="A2978" s="9" t="n">
        <v>2974</v>
      </c>
      <c r="B2978" s="9" t="inlineStr">
        <is>
          <t>Ratchet</t>
        </is>
      </c>
      <c r="C2978" s="9" t="inlineStr">
        <is>
          <t>Stochastic scalp with give-back trail exit</t>
        </is>
      </c>
      <c r="D2978" s="9" t="inlineStr">
        <is>
          <t>Short</t>
        </is>
      </c>
      <c r="E2978" s="10" t="n">
        <v>45467.39583333334</v>
      </c>
      <c r="F2978" s="10" t="n">
        <v>45467.40972222222</v>
      </c>
      <c r="G2978" s="11" t="n">
        <v>-0</v>
      </c>
      <c r="H2978" s="11">
        <f>H2977+G2978</f>
        <v/>
      </c>
    </row>
    <row r="2979">
      <c r="A2979" s="9" t="n">
        <v>2975</v>
      </c>
      <c r="B2979" s="9" t="inlineStr">
        <is>
          <t>Ratchet</t>
        </is>
      </c>
      <c r="C2979" s="9" t="inlineStr">
        <is>
          <t>Stochastic scalp with give-back trail exit</t>
        </is>
      </c>
      <c r="D2979" s="9" t="inlineStr">
        <is>
          <t>Short</t>
        </is>
      </c>
      <c r="E2979" s="10" t="n">
        <v>45467.58680555555</v>
      </c>
      <c r="F2979" s="10" t="n">
        <v>45467.61111111111</v>
      </c>
      <c r="G2979" s="11" t="n">
        <v>-2.26</v>
      </c>
      <c r="H2979" s="11">
        <f>H2978+G2979</f>
        <v/>
      </c>
    </row>
    <row r="2980">
      <c r="A2980" s="9" t="n">
        <v>2976</v>
      </c>
      <c r="B2980" s="9" t="inlineStr">
        <is>
          <t>Meridian</t>
        </is>
      </c>
      <c r="C2980" s="9" t="inlineStr">
        <is>
          <t>21/50 MA cross, 250-period confirm filter, VWAP</t>
        </is>
      </c>
      <c r="D2980" s="9" t="inlineStr">
        <is>
          <t>Long</t>
        </is>
      </c>
      <c r="E2980" s="10" t="n">
        <v>45467.67708333334</v>
      </c>
      <c r="F2980" s="10" t="n">
        <v>45468.09375</v>
      </c>
      <c r="G2980" s="11" t="n">
        <v>2.1</v>
      </c>
      <c r="H2980" s="11">
        <f>H2979+G2980</f>
        <v/>
      </c>
    </row>
    <row r="2981">
      <c r="A2981" s="9" t="n">
        <v>2977</v>
      </c>
      <c r="B2981" s="9" t="inlineStr">
        <is>
          <t>Aurelius_M5</t>
        </is>
      </c>
      <c r="C2981" s="9" t="inlineStr">
        <is>
          <t>MA alignment (EMA21&gt;EMA50&gt;SMA250&gt;SMMA500 vs EMA2400 trend filter)</t>
        </is>
      </c>
      <c r="D2981" s="9" t="inlineStr">
        <is>
          <t>Short</t>
        </is>
      </c>
      <c r="E2981" s="10" t="n">
        <v>45468.29861111111</v>
      </c>
      <c r="F2981" s="10" t="n">
        <v>45468.35069444445</v>
      </c>
      <c r="G2981" s="11" t="n">
        <v>-3.37</v>
      </c>
      <c r="H2981" s="11">
        <f>H2980+G2981</f>
        <v/>
      </c>
    </row>
    <row r="2982">
      <c r="A2982" s="9" t="n">
        <v>2978</v>
      </c>
      <c r="B2982" s="9" t="inlineStr">
        <is>
          <t>Aurelius_M5</t>
        </is>
      </c>
      <c r="C2982" s="9" t="inlineStr">
        <is>
          <t>MA alignment (EMA21&gt;EMA50&gt;SMA250&gt;SMMA500 vs EMA2400 trend filter)</t>
        </is>
      </c>
      <c r="D2982" s="9" t="inlineStr">
        <is>
          <t>Short</t>
        </is>
      </c>
      <c r="E2982" s="10" t="n">
        <v>45468.39236111111</v>
      </c>
      <c r="F2982" s="10" t="n">
        <v>45468.41319444445</v>
      </c>
      <c r="G2982" s="11" t="n">
        <v>-2.87</v>
      </c>
      <c r="H2982" s="11">
        <f>H2981+G2982</f>
        <v/>
      </c>
    </row>
    <row r="2983">
      <c r="A2983" s="9" t="n">
        <v>2979</v>
      </c>
      <c r="B2983" s="9" t="inlineStr">
        <is>
          <t>Meridian</t>
        </is>
      </c>
      <c r="C2983" s="9" t="inlineStr">
        <is>
          <t>21/50 MA cross, 250-period confirm filter, VWAP</t>
        </is>
      </c>
      <c r="D2983" s="9" t="inlineStr">
        <is>
          <t>Short</t>
        </is>
      </c>
      <c r="E2983" s="10" t="n">
        <v>45468.36111111111</v>
      </c>
      <c r="F2983" s="10" t="n">
        <v>45468.49305555555</v>
      </c>
      <c r="G2983" s="11" t="n">
        <v>-2.96</v>
      </c>
      <c r="H2983" s="11">
        <f>H2982+G2983</f>
        <v/>
      </c>
    </row>
    <row r="2984">
      <c r="A2984" s="9" t="n">
        <v>2980</v>
      </c>
      <c r="B2984" s="9" t="inlineStr">
        <is>
          <t>Aurelius_M15</t>
        </is>
      </c>
      <c r="C2984" s="9" t="inlineStr">
        <is>
          <t>MA alignment (EMA21&gt;EMA50&gt;SMA250&gt;SMMA500 vs EMA2400 trend filter) - M15 chart</t>
        </is>
      </c>
      <c r="D2984" s="9" t="inlineStr">
        <is>
          <t>Short</t>
        </is>
      </c>
      <c r="E2984" s="10" t="n">
        <v>45468.30208333334</v>
      </c>
      <c r="F2984" s="10" t="n">
        <v>45468.5</v>
      </c>
      <c r="G2984" s="11" t="n">
        <v>-5.06</v>
      </c>
      <c r="H2984" s="11">
        <f>H2983+G2984</f>
        <v/>
      </c>
    </row>
    <row r="2985">
      <c r="A2985" s="9" t="n">
        <v>2981</v>
      </c>
      <c r="B2985" s="9" t="inlineStr">
        <is>
          <t>Ratchet</t>
        </is>
      </c>
      <c r="C2985" s="9" t="inlineStr">
        <is>
          <t>Stochastic scalp with give-back trail exit</t>
        </is>
      </c>
      <c r="D2985" s="9" t="inlineStr">
        <is>
          <t>Short</t>
        </is>
      </c>
      <c r="E2985" s="10" t="n">
        <v>45468.68402777778</v>
      </c>
      <c r="F2985" s="10" t="n">
        <v>45468.70138888889</v>
      </c>
      <c r="G2985" s="11" t="n">
        <v>1.39</v>
      </c>
      <c r="H2985" s="11">
        <f>H2984+G2985</f>
        <v/>
      </c>
    </row>
    <row r="2986">
      <c r="A2986" s="9" t="n">
        <v>2982</v>
      </c>
      <c r="B2986" s="9" t="inlineStr">
        <is>
          <t>Aurelius_M5</t>
        </is>
      </c>
      <c r="C2986" s="9" t="inlineStr">
        <is>
          <t>MA alignment (EMA21&gt;EMA50&gt;SMA250&gt;SMMA500 vs EMA2400 trend filter)</t>
        </is>
      </c>
      <c r="D2986" s="9" t="inlineStr">
        <is>
          <t>Short</t>
        </is>
      </c>
      <c r="E2986" s="10" t="n">
        <v>45468.74652777778</v>
      </c>
      <c r="F2986" s="10" t="n">
        <v>45469.04166666666</v>
      </c>
      <c r="G2986" s="11" t="n">
        <v>6.28</v>
      </c>
      <c r="H2986" s="11">
        <f>H2985+G2986</f>
        <v/>
      </c>
    </row>
    <row r="2987">
      <c r="A2987" s="9" t="n">
        <v>2983</v>
      </c>
      <c r="B2987" s="9" t="inlineStr">
        <is>
          <t>Meridian</t>
        </is>
      </c>
      <c r="C2987" s="9" t="inlineStr">
        <is>
          <t>21/50 MA cross, 250-period confirm filter, VWAP</t>
        </is>
      </c>
      <c r="D2987" s="9" t="inlineStr">
        <is>
          <t>Short</t>
        </is>
      </c>
      <c r="E2987" s="10" t="n">
        <v>45468.64236111111</v>
      </c>
      <c r="F2987" s="10" t="n">
        <v>45469.08680555555</v>
      </c>
      <c r="G2987" s="11" t="n">
        <v>6.73</v>
      </c>
      <c r="H2987" s="11">
        <f>H2986+G2987</f>
        <v/>
      </c>
    </row>
    <row r="2988">
      <c r="A2988" s="9" t="n">
        <v>2984</v>
      </c>
      <c r="B2988" s="9" t="inlineStr">
        <is>
          <t>Meridian</t>
        </is>
      </c>
      <c r="C2988" s="9" t="inlineStr">
        <is>
          <t>21/50 MA cross, 250-period confirm filter, VWAP</t>
        </is>
      </c>
      <c r="D2988" s="9" t="inlineStr">
        <is>
          <t>Short</t>
        </is>
      </c>
      <c r="E2988" s="10" t="n">
        <v>45469.10416666666</v>
      </c>
      <c r="F2988" s="10" t="n">
        <v>45469.13194444445</v>
      </c>
      <c r="G2988" s="11" t="n">
        <v>-2.12</v>
      </c>
      <c r="H2988" s="11">
        <f>H2987+G2988</f>
        <v/>
      </c>
    </row>
    <row r="2989">
      <c r="A2989" s="9" t="n">
        <v>2985</v>
      </c>
      <c r="B2989" s="9" t="inlineStr">
        <is>
          <t>Ratchet</t>
        </is>
      </c>
      <c r="C2989" s="9" t="inlineStr">
        <is>
          <t>Stochastic scalp with give-back trail exit</t>
        </is>
      </c>
      <c r="D2989" s="9" t="inlineStr">
        <is>
          <t>Short</t>
        </is>
      </c>
      <c r="E2989" s="10" t="n">
        <v>45469.13194444445</v>
      </c>
      <c r="F2989" s="10" t="n">
        <v>45469.13194444445</v>
      </c>
      <c r="G2989" s="11" t="n">
        <v>-1.2</v>
      </c>
      <c r="H2989" s="11">
        <f>H2988+G2989</f>
        <v/>
      </c>
    </row>
    <row r="2990">
      <c r="A2990" s="9" t="n">
        <v>2986</v>
      </c>
      <c r="B2990" s="9" t="inlineStr">
        <is>
          <t>Ratchet</t>
        </is>
      </c>
      <c r="C2990" s="9" t="inlineStr">
        <is>
          <t>Stochastic scalp with give-back trail exit</t>
        </is>
      </c>
      <c r="D2990" s="9" t="inlineStr">
        <is>
          <t>Short</t>
        </is>
      </c>
      <c r="E2990" s="10" t="n">
        <v>45469.15625</v>
      </c>
      <c r="F2990" s="10" t="n">
        <v>45469.16666666666</v>
      </c>
      <c r="G2990" s="11" t="n">
        <v>-0</v>
      </c>
      <c r="H2990" s="11">
        <f>H2989+G2990</f>
        <v/>
      </c>
    </row>
    <row r="2991">
      <c r="A2991" s="9" t="n">
        <v>2987</v>
      </c>
      <c r="B2991" s="9" t="inlineStr">
        <is>
          <t>Ratchet</t>
        </is>
      </c>
      <c r="C2991" s="9" t="inlineStr">
        <is>
          <t>Stochastic scalp with give-back trail exit</t>
        </is>
      </c>
      <c r="D2991" s="9" t="inlineStr">
        <is>
          <t>Short</t>
        </is>
      </c>
      <c r="E2991" s="10" t="n">
        <v>45469.17361111111</v>
      </c>
      <c r="F2991" s="10" t="n">
        <v>45469.17361111111</v>
      </c>
      <c r="G2991" s="11" t="n">
        <v>-2.5</v>
      </c>
      <c r="H2991" s="11">
        <f>H2990+G2991</f>
        <v/>
      </c>
    </row>
    <row r="2992">
      <c r="A2992" s="9" t="n">
        <v>2988</v>
      </c>
      <c r="B2992" s="9" t="inlineStr">
        <is>
          <t>Aurelius_M5</t>
        </is>
      </c>
      <c r="C2992" s="9" t="inlineStr">
        <is>
          <t>MA alignment (EMA21&gt;EMA50&gt;SMA250&gt;SMMA500 vs EMA2400 trend filter)</t>
        </is>
      </c>
      <c r="D2992" s="9" t="inlineStr">
        <is>
          <t>Short</t>
        </is>
      </c>
      <c r="E2992" s="10" t="n">
        <v>45469.20486111111</v>
      </c>
      <c r="F2992" s="10" t="n">
        <v>45469.21875</v>
      </c>
      <c r="G2992" s="11" t="n">
        <v>-4.95</v>
      </c>
      <c r="H2992" s="11">
        <f>H2991+G2992</f>
        <v/>
      </c>
    </row>
    <row r="2993">
      <c r="A2993" s="9" t="n">
        <v>2989</v>
      </c>
      <c r="B2993" s="9" t="inlineStr">
        <is>
          <t>Meridian</t>
        </is>
      </c>
      <c r="C2993" s="9" t="inlineStr">
        <is>
          <t>21/50 MA cross, 250-period confirm filter, VWAP</t>
        </is>
      </c>
      <c r="D2993" s="9" t="inlineStr">
        <is>
          <t>Short</t>
        </is>
      </c>
      <c r="E2993" s="10" t="n">
        <v>45469.15625</v>
      </c>
      <c r="F2993" s="10" t="n">
        <v>45469.23263888889</v>
      </c>
      <c r="G2993" s="11" t="n">
        <v>-2.7</v>
      </c>
      <c r="H2993" s="11">
        <f>H2992+G2993</f>
        <v/>
      </c>
    </row>
    <row r="2994">
      <c r="A2994" s="9" t="n">
        <v>2990</v>
      </c>
      <c r="B2994" s="9" t="inlineStr">
        <is>
          <t>Ratchet</t>
        </is>
      </c>
      <c r="C2994" s="9" t="inlineStr">
        <is>
          <t>Stochastic scalp with give-back trail exit</t>
        </is>
      </c>
      <c r="D2994" s="9" t="inlineStr">
        <is>
          <t>Short</t>
        </is>
      </c>
      <c r="E2994" s="10" t="n">
        <v>45469.30555555555</v>
      </c>
      <c r="F2994" s="10" t="n">
        <v>45469.31597222222</v>
      </c>
      <c r="G2994" s="11" t="n">
        <v>-0</v>
      </c>
      <c r="H2994" s="11">
        <f>H2993+G2994</f>
        <v/>
      </c>
    </row>
    <row r="2995">
      <c r="A2995" s="9" t="n">
        <v>2991</v>
      </c>
      <c r="B2995" s="9" t="inlineStr">
        <is>
          <t>Ratchet</t>
        </is>
      </c>
      <c r="C2995" s="9" t="inlineStr">
        <is>
          <t>Stochastic scalp with give-back trail exit</t>
        </is>
      </c>
      <c r="D2995" s="9" t="inlineStr">
        <is>
          <t>Short</t>
        </is>
      </c>
      <c r="E2995" s="10" t="n">
        <v>45469.35416666666</v>
      </c>
      <c r="F2995" s="10" t="n">
        <v>45469.35416666666</v>
      </c>
      <c r="G2995" s="11" t="n">
        <v>-1.54</v>
      </c>
      <c r="H2995" s="11">
        <f>H2994+G2995</f>
        <v/>
      </c>
    </row>
    <row r="2996">
      <c r="A2996" s="9" t="n">
        <v>2992</v>
      </c>
      <c r="B2996" s="9" t="inlineStr">
        <is>
          <t>Meridian</t>
        </is>
      </c>
      <c r="C2996" s="9" t="inlineStr">
        <is>
          <t>21/50 MA cross, 250-period confirm filter, VWAP</t>
        </is>
      </c>
      <c r="D2996" s="9" t="inlineStr">
        <is>
          <t>Short</t>
        </is>
      </c>
      <c r="E2996" s="10" t="n">
        <v>45469.29166666666</v>
      </c>
      <c r="F2996" s="10" t="n">
        <v>45469.49652777778</v>
      </c>
      <c r="G2996" s="11" t="n">
        <v>-0.1</v>
      </c>
      <c r="H2996" s="11">
        <f>H2995+G2996</f>
        <v/>
      </c>
    </row>
    <row r="2997">
      <c r="A2997" s="9" t="n">
        <v>2993</v>
      </c>
      <c r="B2997" s="9" t="inlineStr">
        <is>
          <t>Meridian</t>
        </is>
      </c>
      <c r="C2997" s="9" t="inlineStr">
        <is>
          <t>21/50 MA cross, 250-period confirm filter, VWAP</t>
        </is>
      </c>
      <c r="D2997" s="9" t="inlineStr">
        <is>
          <t>Short</t>
        </is>
      </c>
      <c r="E2997" s="10" t="n">
        <v>45469.55555555555</v>
      </c>
      <c r="F2997" s="10" t="n">
        <v>45469.625</v>
      </c>
      <c r="G2997" s="11" t="n">
        <v>-3.78</v>
      </c>
      <c r="H2997" s="11">
        <f>H2996+G2997</f>
        <v/>
      </c>
    </row>
    <row r="2998">
      <c r="A2998" s="9" t="n">
        <v>2994</v>
      </c>
      <c r="B2998" s="9" t="inlineStr">
        <is>
          <t>Aurelius_M5</t>
        </is>
      </c>
      <c r="C2998" s="9" t="inlineStr">
        <is>
          <t>MA alignment (EMA21&gt;EMA50&gt;SMA250&gt;SMMA500 vs EMA2400 trend filter)</t>
        </is>
      </c>
      <c r="D2998" s="9" t="inlineStr">
        <is>
          <t>Short</t>
        </is>
      </c>
      <c r="E2998" s="10" t="n">
        <v>45469.56944444445</v>
      </c>
      <c r="F2998" s="10" t="n">
        <v>45469.625</v>
      </c>
      <c r="G2998" s="11" t="n">
        <v>-4.19</v>
      </c>
      <c r="H2998" s="11">
        <f>H2997+G2998</f>
        <v/>
      </c>
    </row>
    <row r="2999">
      <c r="A2999" s="9" t="n">
        <v>2995</v>
      </c>
      <c r="B2999" s="9" t="inlineStr">
        <is>
          <t>Aurelius_M5</t>
        </is>
      </c>
      <c r="C2999" s="9" t="inlineStr">
        <is>
          <t>MA alignment (EMA21&gt;EMA50&gt;SMA250&gt;SMMA500 vs EMA2400 trend filter)</t>
        </is>
      </c>
      <c r="D2999" s="9" t="inlineStr">
        <is>
          <t>Short</t>
        </is>
      </c>
      <c r="E2999" s="10" t="n">
        <v>45469.6875</v>
      </c>
      <c r="F2999" s="10" t="n">
        <v>45469.76041666666</v>
      </c>
      <c r="G2999" s="11" t="n">
        <v>-6.42</v>
      </c>
      <c r="H2999" s="11">
        <f>H2998+G2999</f>
        <v/>
      </c>
    </row>
    <row r="3000">
      <c r="A3000" s="9" t="n">
        <v>2996</v>
      </c>
      <c r="B3000" s="9" t="inlineStr">
        <is>
          <t>Ratchet</t>
        </is>
      </c>
      <c r="C3000" s="9" t="inlineStr">
        <is>
          <t>Stochastic scalp with give-back trail exit</t>
        </is>
      </c>
      <c r="D3000" s="9" t="inlineStr">
        <is>
          <t>Short</t>
        </is>
      </c>
      <c r="E3000" s="10" t="n">
        <v>45469.82638888889</v>
      </c>
      <c r="F3000" s="10" t="n">
        <v>45469.84375</v>
      </c>
      <c r="G3000" s="11" t="n">
        <v>-2.84</v>
      </c>
      <c r="H3000" s="11">
        <f>H2999+G3000</f>
        <v/>
      </c>
    </row>
    <row r="3001">
      <c r="A3001" s="9" t="n">
        <v>2997</v>
      </c>
      <c r="B3001" s="9" t="inlineStr">
        <is>
          <t>Ratchet</t>
        </is>
      </c>
      <c r="C3001" s="9" t="inlineStr">
        <is>
          <t>Stochastic scalp with give-back trail exit</t>
        </is>
      </c>
      <c r="D3001" s="9" t="inlineStr">
        <is>
          <t>Short</t>
        </is>
      </c>
      <c r="E3001" s="10" t="n">
        <v>45469.91319444445</v>
      </c>
      <c r="F3001" s="10" t="n">
        <v>45469.94097222222</v>
      </c>
      <c r="G3001" s="11" t="n">
        <v>0.43</v>
      </c>
      <c r="H3001" s="11">
        <f>H3000+G3001</f>
        <v/>
      </c>
    </row>
    <row r="3002">
      <c r="A3002" s="9" t="n">
        <v>2998</v>
      </c>
      <c r="B3002" s="9" t="inlineStr">
        <is>
          <t>Ratchet</t>
        </is>
      </c>
      <c r="C3002" s="9" t="inlineStr">
        <is>
          <t>Stochastic scalp with give-back trail exit</t>
        </is>
      </c>
      <c r="D3002" s="9" t="inlineStr">
        <is>
          <t>Short</t>
        </is>
      </c>
      <c r="E3002" s="10" t="n">
        <v>45469.97569444445</v>
      </c>
      <c r="F3002" s="10" t="n">
        <v>45469.99652777778</v>
      </c>
      <c r="G3002" s="11" t="n">
        <v>-0.23</v>
      </c>
      <c r="H3002" s="11">
        <f>H3001+G3002</f>
        <v/>
      </c>
    </row>
    <row r="3003">
      <c r="A3003" s="9" t="n">
        <v>2999</v>
      </c>
      <c r="B3003" s="9" t="inlineStr">
        <is>
          <t>Meridian</t>
        </is>
      </c>
      <c r="C3003" s="9" t="inlineStr">
        <is>
          <t>21/50 MA cross, 250-period confirm filter, VWAP</t>
        </is>
      </c>
      <c r="D3003" s="9" t="inlineStr">
        <is>
          <t>Short</t>
        </is>
      </c>
      <c r="E3003" s="10" t="n">
        <v>45469.67013888889</v>
      </c>
      <c r="F3003" s="10" t="n">
        <v>45470.15625</v>
      </c>
      <c r="G3003" s="11" t="n">
        <v>9.66</v>
      </c>
      <c r="H3003" s="11">
        <f>H3002+G3003</f>
        <v/>
      </c>
    </row>
    <row r="3004">
      <c r="A3004" s="9" t="n">
        <v>3000</v>
      </c>
      <c r="B3004" s="9" t="inlineStr">
        <is>
          <t>Meridian</t>
        </is>
      </c>
      <c r="C3004" s="9" t="inlineStr">
        <is>
          <t>21/50 MA cross, 250-period confirm filter, VWAP</t>
        </is>
      </c>
      <c r="D3004" s="9" t="inlineStr">
        <is>
          <t>Short</t>
        </is>
      </c>
      <c r="E3004" s="10" t="n">
        <v>45470.15972222222</v>
      </c>
      <c r="F3004" s="10" t="n">
        <v>45470.16319444445</v>
      </c>
      <c r="G3004" s="11" t="n">
        <v>-1.07</v>
      </c>
      <c r="H3004" s="11">
        <f>H3003+G3004</f>
        <v/>
      </c>
    </row>
    <row r="3005">
      <c r="A3005" s="9" t="n">
        <v>3001</v>
      </c>
      <c r="B3005" s="9" t="inlineStr">
        <is>
          <t>Meridian</t>
        </is>
      </c>
      <c r="C3005" s="9" t="inlineStr">
        <is>
          <t>21/50 MA cross, 250-period confirm filter, VWAP</t>
        </is>
      </c>
      <c r="D3005" s="9" t="inlineStr">
        <is>
          <t>Short</t>
        </is>
      </c>
      <c r="E3005" s="10" t="n">
        <v>45470.19791666666</v>
      </c>
      <c r="F3005" s="10" t="n">
        <v>45470.23958333334</v>
      </c>
      <c r="G3005" s="11" t="n">
        <v>-2.58</v>
      </c>
      <c r="H3005" s="11">
        <f>H3004+G3005</f>
        <v/>
      </c>
    </row>
    <row r="3006">
      <c r="A3006" s="9" t="n">
        <v>3002</v>
      </c>
      <c r="B3006" s="9" t="inlineStr">
        <is>
          <t>Ratchet</t>
        </is>
      </c>
      <c r="C3006" s="9" t="inlineStr">
        <is>
          <t>Stochastic scalp with give-back trail exit</t>
        </is>
      </c>
      <c r="D3006" s="9" t="inlineStr">
        <is>
          <t>Short</t>
        </is>
      </c>
      <c r="E3006" s="10" t="n">
        <v>45470.20833333334</v>
      </c>
      <c r="F3006" s="10" t="n">
        <v>45470.23958333334</v>
      </c>
      <c r="G3006" s="11" t="n">
        <v>-1.85</v>
      </c>
      <c r="H3006" s="11">
        <f>H3005+G3006</f>
        <v/>
      </c>
    </row>
    <row r="3007">
      <c r="A3007" s="9" t="n">
        <v>3003</v>
      </c>
      <c r="B3007" s="9" t="inlineStr">
        <is>
          <t>Meridian</t>
        </is>
      </c>
      <c r="C3007" s="9" t="inlineStr">
        <is>
          <t>21/50 MA cross, 250-period confirm filter, VWAP</t>
        </is>
      </c>
      <c r="D3007" s="9" t="inlineStr">
        <is>
          <t>Short</t>
        </is>
      </c>
      <c r="E3007" s="10" t="n">
        <v>45470.375</v>
      </c>
      <c r="F3007" s="10" t="n">
        <v>45470.38541666666</v>
      </c>
      <c r="G3007" s="11" t="n">
        <v>-2.4</v>
      </c>
      <c r="H3007" s="11">
        <f>H3006+G3007</f>
        <v/>
      </c>
    </row>
    <row r="3008">
      <c r="A3008" s="9" t="n">
        <v>3004</v>
      </c>
      <c r="B3008" s="9" t="inlineStr">
        <is>
          <t>Aurelius_M15</t>
        </is>
      </c>
      <c r="C3008" s="9" t="inlineStr">
        <is>
          <t>MA alignment (EMA21&gt;EMA50&gt;SMA250&gt;SMMA500 vs EMA2400 trend filter) - M15 chart</t>
        </is>
      </c>
      <c r="D3008" s="9" t="inlineStr">
        <is>
          <t>Short</t>
        </is>
      </c>
      <c r="E3008" s="10" t="n">
        <v>45468.76041666666</v>
      </c>
      <c r="F3008" s="10" t="n">
        <v>45470.46875</v>
      </c>
      <c r="G3008" s="11" t="n">
        <v>19.76</v>
      </c>
      <c r="H3008" s="11">
        <f>H3007+G3008</f>
        <v/>
      </c>
    </row>
    <row r="3009">
      <c r="A3009" s="9" t="n">
        <v>3005</v>
      </c>
      <c r="B3009" s="9" t="inlineStr">
        <is>
          <t>Ratchet</t>
        </is>
      </c>
      <c r="C3009" s="9" t="inlineStr">
        <is>
          <t>Stochastic scalp with give-back trail exit</t>
        </is>
      </c>
      <c r="D3009" s="9" t="inlineStr">
        <is>
          <t>Long</t>
        </is>
      </c>
      <c r="E3009" s="10" t="n">
        <v>45470.74305555555</v>
      </c>
      <c r="F3009" s="10" t="n">
        <v>45470.74652777778</v>
      </c>
      <c r="G3009" s="11" t="n">
        <v>-0</v>
      </c>
      <c r="H3009" s="11">
        <f>H3008+G3009</f>
        <v/>
      </c>
    </row>
    <row r="3010">
      <c r="A3010" s="9" t="n">
        <v>3006</v>
      </c>
      <c r="B3010" s="9" t="inlineStr">
        <is>
          <t>Ratchet</t>
        </is>
      </c>
      <c r="C3010" s="9" t="inlineStr">
        <is>
          <t>Stochastic scalp with give-back trail exit</t>
        </is>
      </c>
      <c r="D3010" s="9" t="inlineStr">
        <is>
          <t>Long</t>
        </is>
      </c>
      <c r="E3010" s="10" t="n">
        <v>45470.85069444445</v>
      </c>
      <c r="F3010" s="10" t="n">
        <v>45470.875</v>
      </c>
      <c r="G3010" s="11" t="n">
        <v>-2.63</v>
      </c>
      <c r="H3010" s="11">
        <f>H3009+G3010</f>
        <v/>
      </c>
    </row>
    <row r="3011">
      <c r="A3011" s="9" t="n">
        <v>3007</v>
      </c>
      <c r="B3011" s="9" t="inlineStr">
        <is>
          <t>Ratchet</t>
        </is>
      </c>
      <c r="C3011" s="9" t="inlineStr">
        <is>
          <t>Stochastic scalp with give-back trail exit</t>
        </is>
      </c>
      <c r="D3011" s="9" t="inlineStr">
        <is>
          <t>Long</t>
        </is>
      </c>
      <c r="E3011" s="10" t="n">
        <v>45471.09027777778</v>
      </c>
      <c r="F3011" s="10" t="n">
        <v>45471.11111111111</v>
      </c>
      <c r="G3011" s="11" t="n">
        <v>0.12</v>
      </c>
      <c r="H3011" s="11">
        <f>H3010+G3011</f>
        <v/>
      </c>
    </row>
    <row r="3012">
      <c r="A3012" s="9" t="n">
        <v>3008</v>
      </c>
      <c r="B3012" s="9" t="inlineStr">
        <is>
          <t>Vanguard_M15</t>
        </is>
      </c>
      <c r="C3012" s="9" t="inlineStr">
        <is>
          <t>Trendline breakout (fractal swing line) + VWAP/S-R distance gate - M15 chart</t>
        </is>
      </c>
      <c r="D3012" s="9" t="inlineStr">
        <is>
          <t>Short</t>
        </is>
      </c>
      <c r="E3012" s="10" t="n">
        <v>45464.69791666666</v>
      </c>
      <c r="F3012" s="10" t="n">
        <v>45471.46875</v>
      </c>
      <c r="G3012" s="11" t="n">
        <v>20.17</v>
      </c>
      <c r="H3012" s="11">
        <f>H3011+G3012</f>
        <v/>
      </c>
    </row>
    <row r="3013">
      <c r="A3013" s="9" t="n">
        <v>3009</v>
      </c>
      <c r="B3013" s="9" t="inlineStr">
        <is>
          <t>Ratchet</t>
        </is>
      </c>
      <c r="C3013" s="9" t="inlineStr">
        <is>
          <t>Stochastic scalp with give-back trail exit</t>
        </is>
      </c>
      <c r="D3013" s="9" t="inlineStr">
        <is>
          <t>Long</t>
        </is>
      </c>
      <c r="E3013" s="10" t="n">
        <v>45471.46180555555</v>
      </c>
      <c r="F3013" s="10" t="n">
        <v>45471.46875</v>
      </c>
      <c r="G3013" s="11" t="n">
        <v>0.26</v>
      </c>
      <c r="H3013" s="11">
        <f>H3012+G3013</f>
        <v/>
      </c>
    </row>
    <row r="3014">
      <c r="A3014" s="9" t="n">
        <v>3010</v>
      </c>
      <c r="B3014" s="9" t="inlineStr">
        <is>
          <t>Vanguard_M5</t>
        </is>
      </c>
      <c r="C3014" s="9" t="inlineStr">
        <is>
          <t>Trendline breakout (fractal swing line) + VWAP/S-R distance gate</t>
        </is>
      </c>
      <c r="D3014" s="9" t="inlineStr">
        <is>
          <t>Short</t>
        </is>
      </c>
      <c r="E3014" s="10" t="n">
        <v>45464.69097222222</v>
      </c>
      <c r="F3014" s="10" t="n">
        <v>45471.47222222222</v>
      </c>
      <c r="G3014" s="11" t="n">
        <v>21.42</v>
      </c>
      <c r="H3014" s="11">
        <f>H3013+G3014</f>
        <v/>
      </c>
    </row>
    <row r="3015">
      <c r="A3015" s="9" t="n">
        <v>3011</v>
      </c>
      <c r="B3015" s="9" t="inlineStr">
        <is>
          <t>Vanguard_M15</t>
        </is>
      </c>
      <c r="C3015" s="9" t="inlineStr">
        <is>
          <t>Trendline breakout (fractal swing line) + VWAP/S-R distance gate - M15 chart</t>
        </is>
      </c>
      <c r="D3015" s="9" t="inlineStr">
        <is>
          <t>Long</t>
        </is>
      </c>
      <c r="E3015" s="10" t="n">
        <v>45471.47916666666</v>
      </c>
      <c r="F3015" s="10" t="n">
        <v>45471.67708333334</v>
      </c>
      <c r="G3015" s="11" t="n">
        <v>2.06</v>
      </c>
      <c r="H3015" s="11">
        <f>H3014+G3015</f>
        <v/>
      </c>
    </row>
    <row r="3016">
      <c r="A3016" s="9" t="n">
        <v>3012</v>
      </c>
      <c r="B3016" s="9" t="inlineStr">
        <is>
          <t>Vanguard_M5</t>
        </is>
      </c>
      <c r="C3016" s="9" t="inlineStr">
        <is>
          <t>Trendline breakout (fractal swing line) + VWAP/S-R distance gate</t>
        </is>
      </c>
      <c r="D3016" s="9" t="inlineStr">
        <is>
          <t>Long</t>
        </is>
      </c>
      <c r="E3016" s="10" t="n">
        <v>45471.47569444445</v>
      </c>
      <c r="F3016" s="10" t="n">
        <v>45471.68055555555</v>
      </c>
      <c r="G3016" s="11" t="n">
        <v>2.49</v>
      </c>
      <c r="H3016" s="11">
        <f>H3015+G3016</f>
        <v/>
      </c>
    </row>
    <row r="3017">
      <c r="A3017" s="9" t="n">
        <v>3013</v>
      </c>
      <c r="B3017" s="9" t="inlineStr">
        <is>
          <t>Meridian</t>
        </is>
      </c>
      <c r="C3017" s="9" t="inlineStr">
        <is>
          <t>21/50 MA cross, 250-period confirm filter, VWAP</t>
        </is>
      </c>
      <c r="D3017" s="9" t="inlineStr">
        <is>
          <t>Long</t>
        </is>
      </c>
      <c r="E3017" s="10" t="n">
        <v>45471.36805555555</v>
      </c>
      <c r="F3017" s="10" t="n">
        <v>45471.70833333334</v>
      </c>
      <c r="G3017" s="11" t="n">
        <v>4.53</v>
      </c>
      <c r="H3017" s="11">
        <f>H3016+G3017</f>
        <v/>
      </c>
    </row>
    <row r="3018">
      <c r="A3018" s="9" t="n">
        <v>3014</v>
      </c>
      <c r="B3018" s="9" t="inlineStr">
        <is>
          <t>Aurelius_M5</t>
        </is>
      </c>
      <c r="C3018" s="9" t="inlineStr">
        <is>
          <t>MA alignment (EMA21&gt;EMA50&gt;SMA250&gt;SMMA500 vs EMA2400 trend filter)</t>
        </is>
      </c>
      <c r="D3018" s="9" t="inlineStr">
        <is>
          <t>Long</t>
        </is>
      </c>
      <c r="E3018" s="10" t="n">
        <v>45471.38194444445</v>
      </c>
      <c r="F3018" s="10" t="n">
        <v>45471.70833333334</v>
      </c>
      <c r="G3018" s="11" t="n">
        <v>4.11</v>
      </c>
      <c r="H3018" s="11">
        <f>H3017+G3018</f>
        <v/>
      </c>
    </row>
    <row r="3019">
      <c r="A3019" s="9" t="n">
        <v>3015</v>
      </c>
      <c r="B3019" s="9" t="inlineStr">
        <is>
          <t>Meridian</t>
        </is>
      </c>
      <c r="C3019" s="9" t="inlineStr">
        <is>
          <t>21/50 MA cross, 250-period confirm filter, VWAP</t>
        </is>
      </c>
      <c r="D3019" s="9" t="inlineStr">
        <is>
          <t>Long</t>
        </is>
      </c>
      <c r="E3019" s="10" t="n">
        <v>45471.84722222222</v>
      </c>
      <c r="F3019" s="10" t="n">
        <v>45471.85416666666</v>
      </c>
      <c r="G3019" s="11" t="n">
        <v>-1.99</v>
      </c>
      <c r="H3019" s="11">
        <f>H3018+G3019</f>
        <v/>
      </c>
    </row>
    <row r="3020">
      <c r="A3020" s="9" t="n">
        <v>3016</v>
      </c>
      <c r="B3020" s="9" t="inlineStr">
        <is>
          <t>Meridian</t>
        </is>
      </c>
      <c r="C3020" s="9" t="inlineStr">
        <is>
          <t>21/50 MA cross, 250-period confirm filter, VWAP</t>
        </is>
      </c>
      <c r="D3020" s="9" t="inlineStr">
        <is>
          <t>Long</t>
        </is>
      </c>
      <c r="E3020" s="10" t="n">
        <v>45474.19097222222</v>
      </c>
      <c r="F3020" s="10" t="n">
        <v>45474.22916666666</v>
      </c>
      <c r="G3020" s="11" t="n">
        <v>-3.12</v>
      </c>
      <c r="H3020" s="11">
        <f>H3019+G3020</f>
        <v/>
      </c>
    </row>
    <row r="3021">
      <c r="A3021" s="9" t="n">
        <v>3017</v>
      </c>
      <c r="B3021" s="9" t="inlineStr">
        <is>
          <t>Vanguard_M5</t>
        </is>
      </c>
      <c r="C3021" s="9" t="inlineStr">
        <is>
          <t>Trendline breakout (fractal swing line) + VWAP/S-R distance gate</t>
        </is>
      </c>
      <c r="D3021" s="9" t="inlineStr">
        <is>
          <t>Long</t>
        </is>
      </c>
      <c r="E3021" s="10" t="n">
        <v>45471.69444444445</v>
      </c>
      <c r="F3021" s="10" t="n">
        <v>45474.35416666666</v>
      </c>
      <c r="G3021" s="11" t="n">
        <v>-11.07</v>
      </c>
      <c r="H3021" s="11">
        <f>H3020+G3021</f>
        <v/>
      </c>
    </row>
    <row r="3022">
      <c r="A3022" s="9" t="n">
        <v>3018</v>
      </c>
      <c r="B3022" s="9" t="inlineStr">
        <is>
          <t>Meridian</t>
        </is>
      </c>
      <c r="C3022" s="9" t="inlineStr">
        <is>
          <t>21/50 MA cross, 250-period confirm filter, VWAP</t>
        </is>
      </c>
      <c r="D3022" s="9" t="inlineStr">
        <is>
          <t>Short</t>
        </is>
      </c>
      <c r="E3022" s="10" t="n">
        <v>45474.29513888889</v>
      </c>
      <c r="F3022" s="10" t="n">
        <v>45474.39236111111</v>
      </c>
      <c r="G3022" s="11" t="n">
        <v>-2.32</v>
      </c>
      <c r="H3022" s="11">
        <f>H3021+G3022</f>
        <v/>
      </c>
    </row>
    <row r="3023">
      <c r="A3023" s="9" t="n">
        <v>3019</v>
      </c>
      <c r="B3023" s="9" t="inlineStr">
        <is>
          <t>Meridian</t>
        </is>
      </c>
      <c r="C3023" s="9" t="inlineStr">
        <is>
          <t>21/50 MA cross, 250-period confirm filter, VWAP</t>
        </is>
      </c>
      <c r="D3023" s="9" t="inlineStr">
        <is>
          <t>Short</t>
        </is>
      </c>
      <c r="E3023" s="10" t="n">
        <v>45474.46875</v>
      </c>
      <c r="F3023" s="10" t="n">
        <v>45474.5</v>
      </c>
      <c r="G3023" s="11" t="n">
        <v>-2.96</v>
      </c>
      <c r="H3023" s="11">
        <f>H3022+G3023</f>
        <v/>
      </c>
    </row>
    <row r="3024">
      <c r="A3024" s="9" t="n">
        <v>3020</v>
      </c>
      <c r="B3024" s="9" t="inlineStr">
        <is>
          <t>Vanguard_M15</t>
        </is>
      </c>
      <c r="C3024" s="9" t="inlineStr">
        <is>
          <t>Trendline breakout (fractal swing line) + VWAP/S-R distance gate - M15 chart</t>
        </is>
      </c>
      <c r="D3024" s="9" t="inlineStr">
        <is>
          <t>Long</t>
        </is>
      </c>
      <c r="E3024" s="10" t="n">
        <v>45471.77083333334</v>
      </c>
      <c r="F3024" s="10" t="n">
        <v>45474.65625</v>
      </c>
      <c r="G3024" s="11" t="n">
        <v>-1.18</v>
      </c>
      <c r="H3024" s="11">
        <f>H3023+G3024</f>
        <v/>
      </c>
    </row>
    <row r="3025">
      <c r="A3025" s="9" t="n">
        <v>3021</v>
      </c>
      <c r="B3025" s="9" t="inlineStr">
        <is>
          <t>Aurelius_M15</t>
        </is>
      </c>
      <c r="C3025" s="9" t="inlineStr">
        <is>
          <t>MA alignment (EMA21&gt;EMA50&gt;SMA250&gt;SMMA500 vs EMA2400 trend filter) - M15 chart</t>
        </is>
      </c>
      <c r="D3025" s="9" t="inlineStr">
        <is>
          <t>Long</t>
        </is>
      </c>
      <c r="E3025" s="10" t="n">
        <v>45474.60416666666</v>
      </c>
      <c r="F3025" s="10" t="n">
        <v>45474.65625</v>
      </c>
      <c r="G3025" s="11" t="n">
        <v>-6.18</v>
      </c>
      <c r="H3025" s="11">
        <f>H3024+G3025</f>
        <v/>
      </c>
    </row>
    <row r="3026">
      <c r="A3026" s="9" t="n">
        <v>3022</v>
      </c>
      <c r="B3026" s="9" t="inlineStr">
        <is>
          <t>Meridian</t>
        </is>
      </c>
      <c r="C3026" s="9" t="inlineStr">
        <is>
          <t>21/50 MA cross, 250-period confirm filter, VWAP</t>
        </is>
      </c>
      <c r="D3026" s="9" t="inlineStr">
        <is>
          <t>Short</t>
        </is>
      </c>
      <c r="E3026" s="10" t="n">
        <v>45474.68402777778</v>
      </c>
      <c r="F3026" s="10" t="n">
        <v>45474.69097222222</v>
      </c>
      <c r="G3026" s="11" t="n">
        <v>-4.48</v>
      </c>
      <c r="H3026" s="11">
        <f>H3025+G3026</f>
        <v/>
      </c>
    </row>
    <row r="3027">
      <c r="A3027" s="9" t="n">
        <v>3023</v>
      </c>
      <c r="B3027" s="9" t="inlineStr">
        <is>
          <t>Meridian</t>
        </is>
      </c>
      <c r="C3027" s="9" t="inlineStr">
        <is>
          <t>21/50 MA cross, 250-period confirm filter, VWAP</t>
        </is>
      </c>
      <c r="D3027" s="9" t="inlineStr">
        <is>
          <t>Long</t>
        </is>
      </c>
      <c r="E3027" s="10" t="n">
        <v>45474.70486111111</v>
      </c>
      <c r="F3027" s="10" t="n">
        <v>45474.70486111111</v>
      </c>
      <c r="G3027" s="11" t="n">
        <v>-5.56</v>
      </c>
      <c r="H3027" s="11">
        <f>H3026+G3027</f>
        <v/>
      </c>
    </row>
    <row r="3028">
      <c r="A3028" s="9" t="n">
        <v>3024</v>
      </c>
      <c r="B3028" s="9" t="inlineStr">
        <is>
          <t>Meridian</t>
        </is>
      </c>
      <c r="C3028" s="9" t="inlineStr">
        <is>
          <t>21/50 MA cross, 250-period confirm filter, VWAP</t>
        </is>
      </c>
      <c r="D3028" s="9" t="inlineStr">
        <is>
          <t>Long</t>
        </is>
      </c>
      <c r="E3028" s="10" t="n">
        <v>45474.81597222222</v>
      </c>
      <c r="F3028" s="10" t="n">
        <v>45474.82986111111</v>
      </c>
      <c r="G3028" s="11" t="n">
        <v>-3.03</v>
      </c>
      <c r="H3028" s="11">
        <f>H3027+G3028</f>
        <v/>
      </c>
    </row>
    <row r="3029">
      <c r="A3029" s="9" t="n">
        <v>3025</v>
      </c>
      <c r="B3029" s="9" t="inlineStr">
        <is>
          <t>Meridian</t>
        </is>
      </c>
      <c r="C3029" s="9" t="inlineStr">
        <is>
          <t>21/50 MA cross, 250-period confirm filter, VWAP</t>
        </is>
      </c>
      <c r="D3029" s="9" t="inlineStr">
        <is>
          <t>Long</t>
        </is>
      </c>
      <c r="E3029" s="10" t="n">
        <v>45474.85763888889</v>
      </c>
      <c r="F3029" s="10" t="n">
        <v>45474.89583333334</v>
      </c>
      <c r="G3029" s="11" t="n">
        <v>-2.63</v>
      </c>
      <c r="H3029" s="11">
        <f>H3028+G3029</f>
        <v/>
      </c>
    </row>
    <row r="3030">
      <c r="A3030" s="9" t="n">
        <v>3026</v>
      </c>
      <c r="B3030" s="9" t="inlineStr">
        <is>
          <t>Ratchet</t>
        </is>
      </c>
      <c r="C3030" s="9" t="inlineStr">
        <is>
          <t>Stochastic scalp with give-back trail exit</t>
        </is>
      </c>
      <c r="D3030" s="9" t="inlineStr">
        <is>
          <t>Long</t>
        </is>
      </c>
      <c r="E3030" s="10" t="n">
        <v>45474.93055555555</v>
      </c>
      <c r="F3030" s="10" t="n">
        <v>45474.94097222222</v>
      </c>
      <c r="G3030" s="11" t="n">
        <v>0.23</v>
      </c>
      <c r="H3030" s="11">
        <f>H3029+G3030</f>
        <v/>
      </c>
    </row>
    <row r="3031">
      <c r="A3031" s="9" t="n">
        <v>3027</v>
      </c>
      <c r="B3031" s="9" t="inlineStr">
        <is>
          <t>Ratchet</t>
        </is>
      </c>
      <c r="C3031" s="9" t="inlineStr">
        <is>
          <t>Stochastic scalp with give-back trail exit</t>
        </is>
      </c>
      <c r="D3031" s="9" t="inlineStr">
        <is>
          <t>Long</t>
        </is>
      </c>
      <c r="E3031" s="10" t="n">
        <v>45475.04861111111</v>
      </c>
      <c r="F3031" s="10" t="n">
        <v>45475.13541666666</v>
      </c>
      <c r="G3031" s="11" t="n">
        <v>0.37</v>
      </c>
      <c r="H3031" s="11">
        <f>H3030+G3031</f>
        <v/>
      </c>
    </row>
    <row r="3032">
      <c r="A3032" s="9" t="n">
        <v>3028</v>
      </c>
      <c r="B3032" s="9" t="inlineStr">
        <is>
          <t>Ratchet</t>
        </is>
      </c>
      <c r="C3032" s="9" t="inlineStr">
        <is>
          <t>Stochastic scalp with give-back trail exit</t>
        </is>
      </c>
      <c r="D3032" s="9" t="inlineStr">
        <is>
          <t>Long</t>
        </is>
      </c>
      <c r="E3032" s="10" t="n">
        <v>45475.21527777778</v>
      </c>
      <c r="F3032" s="10" t="n">
        <v>45475.21875</v>
      </c>
      <c r="G3032" s="11" t="n">
        <v>-1.75</v>
      </c>
      <c r="H3032" s="11">
        <f>H3031+G3032</f>
        <v/>
      </c>
    </row>
    <row r="3033">
      <c r="A3033" s="9" t="n">
        <v>3029</v>
      </c>
      <c r="B3033" s="9" t="inlineStr">
        <is>
          <t>Aurelius_M5</t>
        </is>
      </c>
      <c r="C3033" s="9" t="inlineStr">
        <is>
          <t>MA alignment (EMA21&gt;EMA50&gt;SMA250&gt;SMMA500 vs EMA2400 trend filter)</t>
        </is>
      </c>
      <c r="D3033" s="9" t="inlineStr">
        <is>
          <t>Long</t>
        </is>
      </c>
      <c r="E3033" s="10" t="n">
        <v>45475.17708333334</v>
      </c>
      <c r="F3033" s="10" t="n">
        <v>45475.25347222222</v>
      </c>
      <c r="G3033" s="11" t="n">
        <v>-2.03</v>
      </c>
      <c r="H3033" s="11">
        <f>H3032+G3033</f>
        <v/>
      </c>
    </row>
    <row r="3034">
      <c r="A3034" s="9" t="n">
        <v>3030</v>
      </c>
      <c r="B3034" s="9" t="inlineStr">
        <is>
          <t>Meridian</t>
        </is>
      </c>
      <c r="C3034" s="9" t="inlineStr">
        <is>
          <t>21/50 MA cross, 250-period confirm filter, VWAP</t>
        </is>
      </c>
      <c r="D3034" s="9" t="inlineStr">
        <is>
          <t>Long</t>
        </is>
      </c>
      <c r="E3034" s="10" t="n">
        <v>45474.90625</v>
      </c>
      <c r="F3034" s="10" t="n">
        <v>45475.26041666666</v>
      </c>
      <c r="G3034" s="11" t="n">
        <v>-0.43</v>
      </c>
      <c r="H3034" s="11">
        <f>H3033+G3034</f>
        <v/>
      </c>
    </row>
    <row r="3035">
      <c r="A3035" s="9" t="n">
        <v>3031</v>
      </c>
      <c r="B3035" s="9" t="inlineStr">
        <is>
          <t>Meridian</t>
        </is>
      </c>
      <c r="C3035" s="9" t="inlineStr">
        <is>
          <t>21/50 MA cross, 250-period confirm filter, VWAP</t>
        </is>
      </c>
      <c r="D3035" s="9" t="inlineStr">
        <is>
          <t>Short</t>
        </is>
      </c>
      <c r="E3035" s="10" t="n">
        <v>45475.42361111111</v>
      </c>
      <c r="F3035" s="10" t="n">
        <v>45475.45486111111</v>
      </c>
      <c r="G3035" s="11" t="n">
        <v>-2.87</v>
      </c>
      <c r="H3035" s="11">
        <f>H3034+G3035</f>
        <v/>
      </c>
    </row>
    <row r="3036">
      <c r="A3036" s="9" t="n">
        <v>3032</v>
      </c>
      <c r="B3036" s="9" t="inlineStr">
        <is>
          <t>Meridian</t>
        </is>
      </c>
      <c r="C3036" s="9" t="inlineStr">
        <is>
          <t>21/50 MA cross, 250-period confirm filter, VWAP</t>
        </is>
      </c>
      <c r="D3036" s="9" t="inlineStr">
        <is>
          <t>Long</t>
        </is>
      </c>
      <c r="E3036" s="10" t="n">
        <v>45475.47222222222</v>
      </c>
      <c r="F3036" s="10" t="n">
        <v>45475.48263888889</v>
      </c>
      <c r="G3036" s="11" t="n">
        <v>-3.34</v>
      </c>
      <c r="H3036" s="11">
        <f>H3035+G3036</f>
        <v/>
      </c>
    </row>
    <row r="3037">
      <c r="A3037" s="9" t="n">
        <v>3033</v>
      </c>
      <c r="B3037" s="9" t="inlineStr">
        <is>
          <t>Ratchet</t>
        </is>
      </c>
      <c r="C3037" s="9" t="inlineStr">
        <is>
          <t>Stochastic scalp with give-back trail exit</t>
        </is>
      </c>
      <c r="D3037" s="9" t="inlineStr">
        <is>
          <t>Short</t>
        </is>
      </c>
      <c r="E3037" s="10" t="n">
        <v>45475.59722222222</v>
      </c>
      <c r="F3037" s="10" t="n">
        <v>45475.63888888889</v>
      </c>
      <c r="G3037" s="11" t="n">
        <v>1</v>
      </c>
      <c r="H3037" s="11">
        <f>H3036+G3037</f>
        <v/>
      </c>
    </row>
    <row r="3038">
      <c r="A3038" s="9" t="n">
        <v>3034</v>
      </c>
      <c r="B3038" s="9" t="inlineStr">
        <is>
          <t>Vanguard_M5</t>
        </is>
      </c>
      <c r="C3038" s="9" t="inlineStr">
        <is>
          <t>Trendline breakout (fractal swing line) + VWAP/S-R distance gate</t>
        </is>
      </c>
      <c r="D3038" s="9" t="inlineStr">
        <is>
          <t>Short</t>
        </is>
      </c>
      <c r="E3038" s="10" t="n">
        <v>45475.61805555555</v>
      </c>
      <c r="F3038" s="10" t="n">
        <v>45475.65277777778</v>
      </c>
      <c r="G3038" s="11" t="n">
        <v>-5.77</v>
      </c>
      <c r="H3038" s="11">
        <f>H3037+G3038</f>
        <v/>
      </c>
    </row>
    <row r="3039">
      <c r="A3039" s="9" t="n">
        <v>3035</v>
      </c>
      <c r="B3039" s="9" t="inlineStr">
        <is>
          <t>Vanguard_M15</t>
        </is>
      </c>
      <c r="C3039" s="9" t="inlineStr">
        <is>
          <t>Trendline breakout (fractal swing line) + VWAP/S-R distance gate - M15 chart</t>
        </is>
      </c>
      <c r="D3039" s="9" t="inlineStr">
        <is>
          <t>Short</t>
        </is>
      </c>
      <c r="E3039" s="10" t="n">
        <v>45475.625</v>
      </c>
      <c r="F3039" s="10" t="n">
        <v>45475.65625</v>
      </c>
      <c r="G3039" s="11" t="n">
        <v>-7.23</v>
      </c>
      <c r="H3039" s="11">
        <f>H3038+G3039</f>
        <v/>
      </c>
    </row>
    <row r="3040">
      <c r="A3040" s="9" t="n">
        <v>3036</v>
      </c>
      <c r="B3040" s="9" t="inlineStr">
        <is>
          <t>Meridian</t>
        </is>
      </c>
      <c r="C3040" s="9" t="inlineStr">
        <is>
          <t>21/50 MA cross, 250-period confirm filter, VWAP</t>
        </is>
      </c>
      <c r="D3040" s="9" t="inlineStr">
        <is>
          <t>Short</t>
        </is>
      </c>
      <c r="E3040" s="10" t="n">
        <v>45475.53472222222</v>
      </c>
      <c r="F3040" s="10" t="n">
        <v>45475.68055555555</v>
      </c>
      <c r="G3040" s="11" t="n">
        <v>-3.85</v>
      </c>
      <c r="H3040" s="11">
        <f>H3039+G3040</f>
        <v/>
      </c>
    </row>
    <row r="3041">
      <c r="A3041" s="9" t="n">
        <v>3037</v>
      </c>
      <c r="B3041" s="9" t="inlineStr">
        <is>
          <t>Vanguard_M15</t>
        </is>
      </c>
      <c r="C3041" s="9" t="inlineStr">
        <is>
          <t>Trendline breakout (fractal swing line) + VWAP/S-R distance gate - M15 chart</t>
        </is>
      </c>
      <c r="D3041" s="9" t="inlineStr">
        <is>
          <t>Long</t>
        </is>
      </c>
      <c r="E3041" s="10" t="n">
        <v>45475.69791666666</v>
      </c>
      <c r="F3041" s="10" t="n">
        <v>45475.70833333334</v>
      </c>
      <c r="G3041" s="11" t="n">
        <v>-9.33</v>
      </c>
      <c r="H3041" s="11">
        <f>H3040+G3041</f>
        <v/>
      </c>
    </row>
    <row r="3042">
      <c r="A3042" s="9" t="n">
        <v>3038</v>
      </c>
      <c r="B3042" s="9" t="inlineStr">
        <is>
          <t>Vanguard_M5</t>
        </is>
      </c>
      <c r="C3042" s="9" t="inlineStr">
        <is>
          <t>Trendline breakout (fractal swing line) + VWAP/S-R distance gate</t>
        </is>
      </c>
      <c r="D3042" s="9" t="inlineStr">
        <is>
          <t>Long</t>
        </is>
      </c>
      <c r="E3042" s="10" t="n">
        <v>45475.69444444445</v>
      </c>
      <c r="F3042" s="10" t="n">
        <v>45475.73611111111</v>
      </c>
      <c r="G3042" s="11" t="n">
        <v>-7.72</v>
      </c>
      <c r="H3042" s="11">
        <f>H3041+G3042</f>
        <v/>
      </c>
    </row>
    <row r="3043">
      <c r="A3043" s="9" t="n">
        <v>3039</v>
      </c>
      <c r="B3043" s="9" t="inlineStr">
        <is>
          <t>Ratchet</t>
        </is>
      </c>
      <c r="C3043" s="9" t="inlineStr">
        <is>
          <t>Stochastic scalp with give-back trail exit</t>
        </is>
      </c>
      <c r="D3043" s="9" t="inlineStr">
        <is>
          <t>Short</t>
        </is>
      </c>
      <c r="E3043" s="10" t="n">
        <v>45475.78819444445</v>
      </c>
      <c r="F3043" s="10" t="n">
        <v>45475.80902777778</v>
      </c>
      <c r="G3043" s="11" t="n">
        <v>0.9399999999999999</v>
      </c>
      <c r="H3043" s="11">
        <f>H3042+G3043</f>
        <v/>
      </c>
    </row>
    <row r="3044">
      <c r="A3044" s="9" t="n">
        <v>3040</v>
      </c>
      <c r="B3044" s="9" t="inlineStr">
        <is>
          <t>Meridian</t>
        </is>
      </c>
      <c r="C3044" s="9" t="inlineStr">
        <is>
          <t>21/50 MA cross, 250-period confirm filter, VWAP</t>
        </is>
      </c>
      <c r="D3044" s="9" t="inlineStr">
        <is>
          <t>Short</t>
        </is>
      </c>
      <c r="E3044" s="10" t="n">
        <v>45475.78472222222</v>
      </c>
      <c r="F3044" s="10" t="n">
        <v>45475.89930555555</v>
      </c>
      <c r="G3044" s="11" t="n">
        <v>-1.27</v>
      </c>
      <c r="H3044" s="11">
        <f>H3043+G3044</f>
        <v/>
      </c>
    </row>
    <row r="3045">
      <c r="A3045" s="9" t="n">
        <v>3041</v>
      </c>
      <c r="B3045" s="9" t="inlineStr">
        <is>
          <t>Meridian</t>
        </is>
      </c>
      <c r="C3045" s="9" t="inlineStr">
        <is>
          <t>21/50 MA cross, 250-period confirm filter, VWAP</t>
        </is>
      </c>
      <c r="D3045" s="9" t="inlineStr">
        <is>
          <t>Long</t>
        </is>
      </c>
      <c r="E3045" s="10" t="n">
        <v>45476.21527777778</v>
      </c>
      <c r="F3045" s="10" t="n">
        <v>45476.22222222222</v>
      </c>
      <c r="G3045" s="11" t="n">
        <v>-1.69</v>
      </c>
      <c r="H3045" s="11">
        <f>H3044+G3045</f>
        <v/>
      </c>
    </row>
    <row r="3046">
      <c r="A3046" s="9" t="n">
        <v>3042</v>
      </c>
      <c r="B3046" s="9" t="inlineStr">
        <is>
          <t>Ratchet</t>
        </is>
      </c>
      <c r="C3046" s="9" t="inlineStr">
        <is>
          <t>Stochastic scalp with give-back trail exit</t>
        </is>
      </c>
      <c r="D3046" s="9" t="inlineStr">
        <is>
          <t>Long</t>
        </is>
      </c>
      <c r="E3046" s="10" t="n">
        <v>45476.30208333334</v>
      </c>
      <c r="F3046" s="10" t="n">
        <v>45476.35416666666</v>
      </c>
      <c r="G3046" s="11" t="n">
        <v>0.79</v>
      </c>
      <c r="H3046" s="11">
        <f>H3045+G3046</f>
        <v/>
      </c>
    </row>
    <row r="3047">
      <c r="A3047" s="9" t="n">
        <v>3043</v>
      </c>
      <c r="B3047" s="9" t="inlineStr">
        <is>
          <t>Ratchet</t>
        </is>
      </c>
      <c r="C3047" s="9" t="inlineStr">
        <is>
          <t>Stochastic scalp with give-back trail exit</t>
        </is>
      </c>
      <c r="D3047" s="9" t="inlineStr">
        <is>
          <t>Long</t>
        </is>
      </c>
      <c r="E3047" s="10" t="n">
        <v>45476.38888888889</v>
      </c>
      <c r="F3047" s="10" t="n">
        <v>45476.39236111111</v>
      </c>
      <c r="G3047" s="11" t="n">
        <v>0.23</v>
      </c>
      <c r="H3047" s="11">
        <f>H3046+G3047</f>
        <v/>
      </c>
    </row>
    <row r="3048">
      <c r="A3048" s="9" t="n">
        <v>3044</v>
      </c>
      <c r="B3048" s="9" t="inlineStr">
        <is>
          <t>Ratchet</t>
        </is>
      </c>
      <c r="C3048" s="9" t="inlineStr">
        <is>
          <t>Stochastic scalp with give-back trail exit</t>
        </is>
      </c>
      <c r="D3048" s="9" t="inlineStr">
        <is>
          <t>Long</t>
        </is>
      </c>
      <c r="E3048" s="10" t="n">
        <v>45476.45486111111</v>
      </c>
      <c r="F3048" s="10" t="n">
        <v>45476.48958333334</v>
      </c>
      <c r="G3048" s="11" t="n">
        <v>1.05</v>
      </c>
      <c r="H3048" s="11">
        <f>H3047+G3048</f>
        <v/>
      </c>
    </row>
    <row r="3049">
      <c r="A3049" s="9" t="n">
        <v>3045</v>
      </c>
      <c r="B3049" s="9" t="inlineStr">
        <is>
          <t>Ratchet</t>
        </is>
      </c>
      <c r="C3049" s="9" t="inlineStr">
        <is>
          <t>Stochastic scalp with give-back trail exit</t>
        </is>
      </c>
      <c r="D3049" s="9" t="inlineStr">
        <is>
          <t>Long</t>
        </is>
      </c>
      <c r="E3049" s="10" t="n">
        <v>45476.56597222222</v>
      </c>
      <c r="F3049" s="10" t="n">
        <v>45476.57986111111</v>
      </c>
      <c r="G3049" s="11" t="n">
        <v>0.64</v>
      </c>
      <c r="H3049" s="11">
        <f>H3048+G3049</f>
        <v/>
      </c>
    </row>
    <row r="3050">
      <c r="A3050" s="9" t="n">
        <v>3046</v>
      </c>
      <c r="B3050" s="9" t="inlineStr">
        <is>
          <t>Ratchet</t>
        </is>
      </c>
      <c r="C3050" s="9" t="inlineStr">
        <is>
          <t>Stochastic scalp with give-back trail exit</t>
        </is>
      </c>
      <c r="D3050" s="9" t="inlineStr">
        <is>
          <t>Long</t>
        </is>
      </c>
      <c r="E3050" s="10" t="n">
        <v>45476.63194444445</v>
      </c>
      <c r="F3050" s="10" t="n">
        <v>45476.65972222222</v>
      </c>
      <c r="G3050" s="11" t="n">
        <v>2.71</v>
      </c>
      <c r="H3050" s="11">
        <f>H3049+G3050</f>
        <v/>
      </c>
    </row>
    <row r="3051">
      <c r="A3051" s="9" t="n">
        <v>3047</v>
      </c>
      <c r="B3051" s="9" t="inlineStr">
        <is>
          <t>Ratchet</t>
        </is>
      </c>
      <c r="C3051" s="9" t="inlineStr">
        <is>
          <t>Stochastic scalp with give-back trail exit</t>
        </is>
      </c>
      <c r="D3051" s="9" t="inlineStr">
        <is>
          <t>Long</t>
        </is>
      </c>
      <c r="E3051" s="10" t="n">
        <v>45476.66666666666</v>
      </c>
      <c r="F3051" s="10" t="n">
        <v>45476.68055555555</v>
      </c>
      <c r="G3051" s="11" t="n">
        <v>0.64</v>
      </c>
      <c r="H3051" s="11">
        <f>H3050+G3051</f>
        <v/>
      </c>
    </row>
    <row r="3052">
      <c r="A3052" s="9" t="n">
        <v>3048</v>
      </c>
      <c r="B3052" s="9" t="inlineStr">
        <is>
          <t>Ratchet</t>
        </is>
      </c>
      <c r="C3052" s="9" t="inlineStr">
        <is>
          <t>Stochastic scalp with give-back trail exit</t>
        </is>
      </c>
      <c r="D3052" s="9" t="inlineStr">
        <is>
          <t>Long</t>
        </is>
      </c>
      <c r="E3052" s="10" t="n">
        <v>45476.76736111111</v>
      </c>
      <c r="F3052" s="10" t="n">
        <v>45476.79166666666</v>
      </c>
      <c r="G3052" s="11" t="n">
        <v>0</v>
      </c>
      <c r="H3052" s="11">
        <f>H3051+G3052</f>
        <v/>
      </c>
    </row>
    <row r="3053">
      <c r="A3053" s="9" t="n">
        <v>3049</v>
      </c>
      <c r="B3053" s="9" t="inlineStr">
        <is>
          <t>Meridian</t>
        </is>
      </c>
      <c r="C3053" s="9" t="inlineStr">
        <is>
          <t>21/50 MA cross, 250-period confirm filter, VWAP</t>
        </is>
      </c>
      <c r="D3053" s="9" t="inlineStr">
        <is>
          <t>Long</t>
        </is>
      </c>
      <c r="E3053" s="10" t="n">
        <v>45476.28819444445</v>
      </c>
      <c r="F3053" s="10" t="n">
        <v>45476.89930555555</v>
      </c>
      <c r="G3053" s="11" t="n">
        <v>24.41</v>
      </c>
      <c r="H3053" s="11">
        <f>H3052+G3053</f>
        <v/>
      </c>
    </row>
    <row r="3054">
      <c r="A3054" s="9" t="n">
        <v>3050</v>
      </c>
      <c r="B3054" s="9" t="inlineStr">
        <is>
          <t>Aurelius_M5</t>
        </is>
      </c>
      <c r="C3054" s="9" t="inlineStr">
        <is>
          <t>MA alignment (EMA21&gt;EMA50&gt;SMA250&gt;SMMA500 vs EMA2400 trend filter)</t>
        </is>
      </c>
      <c r="D3054" s="9" t="inlineStr">
        <is>
          <t>Long</t>
        </is>
      </c>
      <c r="E3054" s="10" t="n">
        <v>45476.63888888889</v>
      </c>
      <c r="F3054" s="10" t="n">
        <v>45476.89930555555</v>
      </c>
      <c r="G3054" s="11" t="n">
        <v>9.58</v>
      </c>
      <c r="H3054" s="11">
        <f>H3053+G3054</f>
        <v/>
      </c>
    </row>
    <row r="3055">
      <c r="A3055" s="9" t="n">
        <v>3051</v>
      </c>
      <c r="B3055" s="9" t="inlineStr">
        <is>
          <t>Meridian</t>
        </is>
      </c>
      <c r="C3055" s="9" t="inlineStr">
        <is>
          <t>21/50 MA cross, 250-period confirm filter, VWAP</t>
        </is>
      </c>
      <c r="D3055" s="9" t="inlineStr">
        <is>
          <t>Long</t>
        </is>
      </c>
      <c r="E3055" s="10" t="n">
        <v>45477.07291666666</v>
      </c>
      <c r="F3055" s="10" t="n">
        <v>45477.30902777778</v>
      </c>
      <c r="G3055" s="11" t="n">
        <v>-0.09</v>
      </c>
      <c r="H3055" s="11">
        <f>H3054+G3055</f>
        <v/>
      </c>
    </row>
    <row r="3056">
      <c r="A3056" s="9" t="n">
        <v>3052</v>
      </c>
      <c r="B3056" s="9" t="inlineStr">
        <is>
          <t>Aurelius_M15</t>
        </is>
      </c>
      <c r="C3056" s="9" t="inlineStr">
        <is>
          <t>MA alignment (EMA21&gt;EMA50&gt;SMA250&gt;SMMA500 vs EMA2400 trend filter) - M15 chart</t>
        </is>
      </c>
      <c r="D3056" s="9" t="inlineStr">
        <is>
          <t>Long</t>
        </is>
      </c>
      <c r="E3056" s="10" t="n">
        <v>45476.36458333334</v>
      </c>
      <c r="F3056" s="10" t="n">
        <v>45477.36458333334</v>
      </c>
      <c r="G3056" s="11" t="n">
        <v>22.73</v>
      </c>
      <c r="H3056" s="11">
        <f>H3055+G3056</f>
        <v/>
      </c>
    </row>
    <row r="3057">
      <c r="A3057" s="9" t="n">
        <v>3053</v>
      </c>
      <c r="B3057" s="9" t="inlineStr">
        <is>
          <t>Meridian</t>
        </is>
      </c>
      <c r="C3057" s="9" t="inlineStr">
        <is>
          <t>21/50 MA cross, 250-period confirm filter, VWAP</t>
        </is>
      </c>
      <c r="D3057" s="9" t="inlineStr">
        <is>
          <t>Long</t>
        </is>
      </c>
      <c r="E3057" s="10" t="n">
        <v>45477.49652777778</v>
      </c>
      <c r="F3057" s="10" t="n">
        <v>45477.51041666666</v>
      </c>
      <c r="G3057" s="11" t="n">
        <v>-3.13</v>
      </c>
      <c r="H3057" s="11">
        <f>H3056+G3057</f>
        <v/>
      </c>
    </row>
    <row r="3058">
      <c r="A3058" s="9" t="n">
        <v>3054</v>
      </c>
      <c r="B3058" s="9" t="inlineStr">
        <is>
          <t>Vanguard_M15</t>
        </is>
      </c>
      <c r="C3058" s="9" t="inlineStr">
        <is>
          <t>Trendline breakout (fractal swing line) + VWAP/S-R distance gate - M15 chart</t>
        </is>
      </c>
      <c r="D3058" s="9" t="inlineStr">
        <is>
          <t>Long</t>
        </is>
      </c>
      <c r="E3058" s="10" t="n">
        <v>45475.92708333334</v>
      </c>
      <c r="F3058" s="10" t="n">
        <v>45477.78125</v>
      </c>
      <c r="G3058" s="11" t="n">
        <v>28.14</v>
      </c>
      <c r="H3058" s="11">
        <f>H3057+G3058</f>
        <v/>
      </c>
    </row>
    <row r="3059">
      <c r="A3059" s="9" t="n">
        <v>3055</v>
      </c>
      <c r="B3059" s="9" t="inlineStr">
        <is>
          <t>Vanguard_M5</t>
        </is>
      </c>
      <c r="C3059" s="9" t="inlineStr">
        <is>
          <t>Trendline breakout (fractal swing line) + VWAP/S-R distance gate</t>
        </is>
      </c>
      <c r="D3059" s="9" t="inlineStr">
        <is>
          <t>Long</t>
        </is>
      </c>
      <c r="E3059" s="10" t="n">
        <v>45475.92708333334</v>
      </c>
      <c r="F3059" s="10" t="n">
        <v>45477.78819444445</v>
      </c>
      <c r="G3059" s="11" t="n">
        <v>28.14</v>
      </c>
      <c r="H3059" s="11">
        <f>H3058+G3059</f>
        <v/>
      </c>
    </row>
    <row r="3060">
      <c r="A3060" s="9" t="n">
        <v>3056</v>
      </c>
      <c r="B3060" s="9" t="inlineStr">
        <is>
          <t>Vanguard_M5</t>
        </is>
      </c>
      <c r="C3060" s="9" t="inlineStr">
        <is>
          <t>Trendline breakout (fractal swing line) + VWAP/S-R distance gate</t>
        </is>
      </c>
      <c r="D3060" s="9" t="inlineStr">
        <is>
          <t>Short</t>
        </is>
      </c>
      <c r="E3060" s="10" t="n">
        <v>45477.79166666666</v>
      </c>
      <c r="F3060" s="10" t="n">
        <v>45478.14583333334</v>
      </c>
      <c r="G3060" s="11" t="n">
        <v>-1.21</v>
      </c>
      <c r="H3060" s="11">
        <f>H3059+G3060</f>
        <v/>
      </c>
    </row>
    <row r="3061">
      <c r="A3061" s="9" t="n">
        <v>3057</v>
      </c>
      <c r="B3061" s="9" t="inlineStr">
        <is>
          <t>Vanguard_M15</t>
        </is>
      </c>
      <c r="C3061" s="9" t="inlineStr">
        <is>
          <t>Trendline breakout (fractal swing line) + VWAP/S-R distance gate - M15 chart</t>
        </is>
      </c>
      <c r="D3061" s="9" t="inlineStr">
        <is>
          <t>Short</t>
        </is>
      </c>
      <c r="E3061" s="10" t="n">
        <v>45477.79166666666</v>
      </c>
      <c r="F3061" s="10" t="n">
        <v>45478.21875</v>
      </c>
      <c r="G3061" s="11" t="n">
        <v>-4.44</v>
      </c>
      <c r="H3061" s="11">
        <f>H3060+G3061</f>
        <v/>
      </c>
    </row>
    <row r="3062">
      <c r="A3062" s="9" t="n">
        <v>3058</v>
      </c>
      <c r="B3062" s="9" t="inlineStr">
        <is>
          <t>Ratchet</t>
        </is>
      </c>
      <c r="C3062" s="9" t="inlineStr">
        <is>
          <t>Stochastic scalp with give-back trail exit</t>
        </is>
      </c>
      <c r="D3062" s="9" t="inlineStr">
        <is>
          <t>Long</t>
        </is>
      </c>
      <c r="E3062" s="10" t="n">
        <v>45478.29513888889</v>
      </c>
      <c r="F3062" s="10" t="n">
        <v>45478.30208333334</v>
      </c>
      <c r="G3062" s="11" t="n">
        <v>-0</v>
      </c>
      <c r="H3062" s="11">
        <f>H3061+G3062</f>
        <v/>
      </c>
    </row>
    <row r="3063">
      <c r="A3063" s="9" t="n">
        <v>3059</v>
      </c>
      <c r="B3063" s="9" t="inlineStr">
        <is>
          <t>Vanguard_M5</t>
        </is>
      </c>
      <c r="C3063" s="9" t="inlineStr">
        <is>
          <t>Trendline breakout (fractal swing line) + VWAP/S-R distance gate</t>
        </is>
      </c>
      <c r="D3063" s="9" t="inlineStr">
        <is>
          <t>Long</t>
        </is>
      </c>
      <c r="E3063" s="10" t="n">
        <v>45478.14930555555</v>
      </c>
      <c r="F3063" s="10" t="n">
        <v>45478.38194444445</v>
      </c>
      <c r="G3063" s="11" t="n">
        <v>7.04</v>
      </c>
      <c r="H3063" s="11">
        <f>H3062+G3063</f>
        <v/>
      </c>
    </row>
    <row r="3064">
      <c r="A3064" s="9" t="n">
        <v>3060</v>
      </c>
      <c r="B3064" s="9" t="inlineStr">
        <is>
          <t>Ratchet</t>
        </is>
      </c>
      <c r="C3064" s="9" t="inlineStr">
        <is>
          <t>Stochastic scalp with give-back trail exit</t>
        </is>
      </c>
      <c r="D3064" s="9" t="inlineStr">
        <is>
          <t>Long</t>
        </is>
      </c>
      <c r="E3064" s="10" t="n">
        <v>45478.46527777778</v>
      </c>
      <c r="F3064" s="10" t="n">
        <v>45478.46875</v>
      </c>
      <c r="G3064" s="11" t="n">
        <v>0.26</v>
      </c>
      <c r="H3064" s="11">
        <f>H3063+G3064</f>
        <v/>
      </c>
    </row>
    <row r="3065">
      <c r="A3065" s="9" t="n">
        <v>3061</v>
      </c>
      <c r="B3065" s="9" t="inlineStr">
        <is>
          <t>Meridian</t>
        </is>
      </c>
      <c r="C3065" s="9" t="inlineStr">
        <is>
          <t>21/50 MA cross, 250-period confirm filter, VWAP</t>
        </is>
      </c>
      <c r="D3065" s="9" t="inlineStr">
        <is>
          <t>Long</t>
        </is>
      </c>
      <c r="E3065" s="10" t="n">
        <v>45478.15277777778</v>
      </c>
      <c r="F3065" s="10" t="n">
        <v>45478.55208333334</v>
      </c>
      <c r="G3065" s="11" t="n">
        <v>4.5</v>
      </c>
      <c r="H3065" s="11">
        <f>H3064+G3065</f>
        <v/>
      </c>
    </row>
    <row r="3066">
      <c r="A3066" s="9" t="n">
        <v>3062</v>
      </c>
      <c r="B3066" s="9" t="inlineStr">
        <is>
          <t>Aurelius_M5</t>
        </is>
      </c>
      <c r="C3066" s="9" t="inlineStr">
        <is>
          <t>MA alignment (EMA21&gt;EMA50&gt;SMA250&gt;SMMA500 vs EMA2400 trend filter)</t>
        </is>
      </c>
      <c r="D3066" s="9" t="inlineStr">
        <is>
          <t>Long</t>
        </is>
      </c>
      <c r="E3066" s="10" t="n">
        <v>45478.21527777778</v>
      </c>
      <c r="F3066" s="10" t="n">
        <v>45478.55208333334</v>
      </c>
      <c r="G3066" s="11" t="n">
        <v>2.06</v>
      </c>
      <c r="H3066" s="11">
        <f>H3065+G3066</f>
        <v/>
      </c>
    </row>
    <row r="3067">
      <c r="A3067" s="9" t="n">
        <v>3063</v>
      </c>
      <c r="B3067" s="9" t="inlineStr">
        <is>
          <t>Vanguard_M15</t>
        </is>
      </c>
      <c r="C3067" s="9" t="inlineStr">
        <is>
          <t>Trendline breakout (fractal swing line) + VWAP/S-R distance gate - M15 chart</t>
        </is>
      </c>
      <c r="D3067" s="9" t="inlineStr">
        <is>
          <t>Long</t>
        </is>
      </c>
      <c r="E3067" s="10" t="n">
        <v>45478.22916666666</v>
      </c>
      <c r="F3067" s="10" t="n">
        <v>45478.64583333334</v>
      </c>
      <c r="G3067" s="11" t="n">
        <v>-5.09</v>
      </c>
      <c r="H3067" s="11">
        <f>H3066+G3067</f>
        <v/>
      </c>
    </row>
    <row r="3068">
      <c r="A3068" s="9" t="n">
        <v>3064</v>
      </c>
      <c r="B3068" s="9" t="inlineStr">
        <is>
          <t>Aurelius_M15</t>
        </is>
      </c>
      <c r="C3068" s="9" t="inlineStr">
        <is>
          <t>MA alignment (EMA21&gt;EMA50&gt;SMA250&gt;SMMA500 vs EMA2400 trend filter) - M15 chart</t>
        </is>
      </c>
      <c r="D3068" s="9" t="inlineStr">
        <is>
          <t>Long</t>
        </is>
      </c>
      <c r="E3068" s="10" t="n">
        <v>45478.25</v>
      </c>
      <c r="F3068" s="10" t="n">
        <v>45478.64583333334</v>
      </c>
      <c r="G3068" s="11" t="n">
        <v>-4.61</v>
      </c>
      <c r="H3068" s="11">
        <f>H3067+G3068</f>
        <v/>
      </c>
    </row>
    <row r="3069">
      <c r="A3069" s="9" t="n">
        <v>3065</v>
      </c>
      <c r="B3069" s="9" t="inlineStr">
        <is>
          <t>Meridian</t>
        </is>
      </c>
      <c r="C3069" s="9" t="inlineStr">
        <is>
          <t>21/50 MA cross, 250-period confirm filter, VWAP</t>
        </is>
      </c>
      <c r="D3069" s="9" t="inlineStr">
        <is>
          <t>Long</t>
        </is>
      </c>
      <c r="E3069" s="10" t="n">
        <v>45478.62847222222</v>
      </c>
      <c r="F3069" s="10" t="n">
        <v>45478.64583333334</v>
      </c>
      <c r="G3069" s="11" t="n">
        <v>-3.11</v>
      </c>
      <c r="H3069" s="11">
        <f>H3068+G3069</f>
        <v/>
      </c>
    </row>
    <row r="3070">
      <c r="A3070" s="9" t="n">
        <v>3066</v>
      </c>
      <c r="B3070" s="9" t="inlineStr">
        <is>
          <t>Ratchet</t>
        </is>
      </c>
      <c r="C3070" s="9" t="inlineStr">
        <is>
          <t>Stochastic scalp with give-back trail exit</t>
        </is>
      </c>
      <c r="D3070" s="9" t="inlineStr">
        <is>
          <t>Long</t>
        </is>
      </c>
      <c r="E3070" s="10" t="n">
        <v>45478.67013888889</v>
      </c>
      <c r="F3070" s="10" t="n">
        <v>45478.68055555555</v>
      </c>
      <c r="G3070" s="11" t="n">
        <v>1.22</v>
      </c>
      <c r="H3070" s="11">
        <f>H3069+G3070</f>
        <v/>
      </c>
    </row>
    <row r="3071">
      <c r="A3071" s="9" t="n">
        <v>3067</v>
      </c>
      <c r="B3071" s="9" t="inlineStr">
        <is>
          <t>Ratchet</t>
        </is>
      </c>
      <c r="C3071" s="9" t="inlineStr">
        <is>
          <t>Stochastic scalp with give-back trail exit</t>
        </is>
      </c>
      <c r="D3071" s="9" t="inlineStr">
        <is>
          <t>Long</t>
        </is>
      </c>
      <c r="E3071" s="10" t="n">
        <v>45478.73611111111</v>
      </c>
      <c r="F3071" s="10" t="n">
        <v>45478.74305555555</v>
      </c>
      <c r="G3071" s="11" t="n">
        <v>0.62</v>
      </c>
      <c r="H3071" s="11">
        <f>H3070+G3071</f>
        <v/>
      </c>
    </row>
    <row r="3072">
      <c r="A3072" s="9" t="n">
        <v>3068</v>
      </c>
      <c r="B3072" s="9" t="inlineStr">
        <is>
          <t>Aurelius_M5</t>
        </is>
      </c>
      <c r="C3072" s="9" t="inlineStr">
        <is>
          <t>MA alignment (EMA21&gt;EMA50&gt;SMA250&gt;SMMA500 vs EMA2400 trend filter)</t>
        </is>
      </c>
      <c r="D3072" s="9" t="inlineStr">
        <is>
          <t>Long</t>
        </is>
      </c>
      <c r="E3072" s="10" t="n">
        <v>45478.67013888889</v>
      </c>
      <c r="F3072" s="10" t="n">
        <v>45478.92013888889</v>
      </c>
      <c r="G3072" s="11" t="n">
        <v>19.89</v>
      </c>
      <c r="H3072" s="11">
        <f>H3071+G3072</f>
        <v/>
      </c>
    </row>
    <row r="3073">
      <c r="A3073" s="9" t="n">
        <v>3069</v>
      </c>
      <c r="B3073" s="9" t="inlineStr">
        <is>
          <t>Aurelius_M15</t>
        </is>
      </c>
      <c r="C3073" s="9" t="inlineStr">
        <is>
          <t>MA alignment (EMA21&gt;EMA50&gt;SMA250&gt;SMMA500 vs EMA2400 trend filter) - M15 chart</t>
        </is>
      </c>
      <c r="D3073" s="9" t="inlineStr">
        <is>
          <t>Long</t>
        </is>
      </c>
      <c r="E3073" s="10" t="n">
        <v>45478.69791666666</v>
      </c>
      <c r="F3073" s="10" t="n">
        <v>45478.92708333334</v>
      </c>
      <c r="G3073" s="11" t="n">
        <v>8.41</v>
      </c>
      <c r="H3073" s="11">
        <f>H3072+G3073</f>
        <v/>
      </c>
    </row>
    <row r="3074">
      <c r="A3074" s="9" t="n">
        <v>3070</v>
      </c>
      <c r="B3074" s="9" t="inlineStr">
        <is>
          <t>Meridian</t>
        </is>
      </c>
      <c r="C3074" s="9" t="inlineStr">
        <is>
          <t>21/50 MA cross, 250-period confirm filter, VWAP</t>
        </is>
      </c>
      <c r="D3074" s="9" t="inlineStr">
        <is>
          <t>Long</t>
        </is>
      </c>
      <c r="E3074" s="10" t="n">
        <v>45481.18055555555</v>
      </c>
      <c r="F3074" s="10" t="n">
        <v>45481.19444444445</v>
      </c>
      <c r="G3074" s="11" t="n">
        <v>-3.25</v>
      </c>
      <c r="H3074" s="11">
        <f>H3073+G3074</f>
        <v/>
      </c>
    </row>
    <row r="3075">
      <c r="A3075" s="9" t="n">
        <v>3071</v>
      </c>
      <c r="B3075" s="9" t="inlineStr">
        <is>
          <t>Ratchet</t>
        </is>
      </c>
      <c r="C3075" s="9" t="inlineStr">
        <is>
          <t>Stochastic scalp with give-back trail exit</t>
        </is>
      </c>
      <c r="D3075" s="9" t="inlineStr">
        <is>
          <t>Long</t>
        </is>
      </c>
      <c r="E3075" s="10" t="n">
        <v>45481.1875</v>
      </c>
      <c r="F3075" s="10" t="n">
        <v>45481.19444444445</v>
      </c>
      <c r="G3075" s="11" t="n">
        <v>-2.47</v>
      </c>
      <c r="H3075" s="11">
        <f>H3074+G3075</f>
        <v/>
      </c>
    </row>
    <row r="3076">
      <c r="A3076" s="9" t="n">
        <v>3072</v>
      </c>
      <c r="B3076" s="9" t="inlineStr">
        <is>
          <t>Meridian</t>
        </is>
      </c>
      <c r="C3076" s="9" t="inlineStr">
        <is>
          <t>21/50 MA cross, 250-period confirm filter, VWAP</t>
        </is>
      </c>
      <c r="D3076" s="9" t="inlineStr">
        <is>
          <t>Short</t>
        </is>
      </c>
      <c r="E3076" s="10" t="n">
        <v>45481.76388888889</v>
      </c>
      <c r="F3076" s="10" t="n">
        <v>45482.09375</v>
      </c>
      <c r="G3076" s="11" t="n">
        <v>13.15</v>
      </c>
      <c r="H3076" s="11">
        <f>H3075+G3076</f>
        <v/>
      </c>
    </row>
    <row r="3077">
      <c r="A3077" s="9" t="n">
        <v>3073</v>
      </c>
      <c r="B3077" s="9" t="inlineStr">
        <is>
          <t>Meridian</t>
        </is>
      </c>
      <c r="C3077" s="9" t="inlineStr">
        <is>
          <t>21/50 MA cross, 250-period confirm filter, VWAP</t>
        </is>
      </c>
      <c r="D3077" s="9" t="inlineStr">
        <is>
          <t>Short</t>
        </is>
      </c>
      <c r="E3077" s="10" t="n">
        <v>45482.40277777778</v>
      </c>
      <c r="F3077" s="10" t="n">
        <v>45482.53819444445</v>
      </c>
      <c r="G3077" s="11" t="n">
        <v>-1.78</v>
      </c>
      <c r="H3077" s="11">
        <f>H3076+G3077</f>
        <v/>
      </c>
    </row>
    <row r="3078">
      <c r="A3078" s="9" t="n">
        <v>3074</v>
      </c>
      <c r="B3078" s="9" t="inlineStr">
        <is>
          <t>Meridian</t>
        </is>
      </c>
      <c r="C3078" s="9" t="inlineStr">
        <is>
          <t>21/50 MA cross, 250-period confirm filter, VWAP</t>
        </is>
      </c>
      <c r="D3078" s="9" t="inlineStr">
        <is>
          <t>Short</t>
        </is>
      </c>
      <c r="E3078" s="10" t="n">
        <v>45482.59375</v>
      </c>
      <c r="F3078" s="10" t="n">
        <v>45482.67013888889</v>
      </c>
      <c r="G3078" s="11" t="n">
        <v>-2.95</v>
      </c>
      <c r="H3078" s="11">
        <f>H3077+G3078</f>
        <v/>
      </c>
    </row>
    <row r="3079">
      <c r="A3079" s="9" t="n">
        <v>3075</v>
      </c>
      <c r="B3079" s="9" t="inlineStr">
        <is>
          <t>Meridian</t>
        </is>
      </c>
      <c r="C3079" s="9" t="inlineStr">
        <is>
          <t>21/50 MA cross, 250-period confirm filter, VWAP</t>
        </is>
      </c>
      <c r="D3079" s="9" t="inlineStr">
        <is>
          <t>Long</t>
        </is>
      </c>
      <c r="E3079" s="10" t="n">
        <v>45482.69444444445</v>
      </c>
      <c r="F3079" s="10" t="n">
        <v>45482.70833333334</v>
      </c>
      <c r="G3079" s="11" t="n">
        <v>-4.95</v>
      </c>
      <c r="H3079" s="11">
        <f>H3078+G3079</f>
        <v/>
      </c>
    </row>
    <row r="3080">
      <c r="A3080" s="9" t="n">
        <v>3076</v>
      </c>
      <c r="B3080" s="9" t="inlineStr">
        <is>
          <t>Meridian</t>
        </is>
      </c>
      <c r="C3080" s="9" t="inlineStr">
        <is>
          <t>21/50 MA cross, 250-period confirm filter, VWAP</t>
        </is>
      </c>
      <c r="D3080" s="9" t="inlineStr">
        <is>
          <t>Short</t>
        </is>
      </c>
      <c r="E3080" s="10" t="n">
        <v>45482.74652777778</v>
      </c>
      <c r="F3080" s="10" t="n">
        <v>45482.86458333334</v>
      </c>
      <c r="G3080" s="11" t="n">
        <v>-3.27</v>
      </c>
      <c r="H3080" s="11">
        <f>H3079+G3080</f>
        <v/>
      </c>
    </row>
    <row r="3081">
      <c r="A3081" s="9" t="n">
        <v>3077</v>
      </c>
      <c r="B3081" s="9" t="inlineStr">
        <is>
          <t>Aurelius_M5</t>
        </is>
      </c>
      <c r="C3081" s="9" t="inlineStr">
        <is>
          <t>MA alignment (EMA21&gt;EMA50&gt;SMA250&gt;SMMA500 vs EMA2400 trend filter)</t>
        </is>
      </c>
      <c r="D3081" s="9" t="inlineStr">
        <is>
          <t>Long</t>
        </is>
      </c>
      <c r="E3081" s="10" t="n">
        <v>45483.36111111111</v>
      </c>
      <c r="F3081" s="10" t="n">
        <v>45483.36805555555</v>
      </c>
      <c r="G3081" s="11" t="n">
        <v>-2.3</v>
      </c>
      <c r="H3081" s="11">
        <f>H3080+G3081</f>
        <v/>
      </c>
    </row>
    <row r="3082">
      <c r="A3082" s="9" t="n">
        <v>3078</v>
      </c>
      <c r="B3082" s="9" t="inlineStr">
        <is>
          <t>Ratchet</t>
        </is>
      </c>
      <c r="C3082" s="9" t="inlineStr">
        <is>
          <t>Stochastic scalp with give-back trail exit</t>
        </is>
      </c>
      <c r="D3082" s="9" t="inlineStr">
        <is>
          <t>Long</t>
        </is>
      </c>
      <c r="E3082" s="10" t="n">
        <v>45483.42708333334</v>
      </c>
      <c r="F3082" s="10" t="n">
        <v>45483.44444444445</v>
      </c>
      <c r="G3082" s="11" t="n">
        <v>0.7</v>
      </c>
      <c r="H3082" s="11">
        <f>H3081+G3082</f>
        <v/>
      </c>
    </row>
    <row r="3083">
      <c r="A3083" s="9" t="n">
        <v>3079</v>
      </c>
      <c r="B3083" s="9" t="inlineStr">
        <is>
          <t>Ratchet</t>
        </is>
      </c>
      <c r="C3083" s="9" t="inlineStr">
        <is>
          <t>Stochastic scalp with give-back trail exit</t>
        </is>
      </c>
      <c r="D3083" s="9" t="inlineStr">
        <is>
          <t>Long</t>
        </is>
      </c>
      <c r="E3083" s="10" t="n">
        <v>45483.48263888889</v>
      </c>
      <c r="F3083" s="10" t="n">
        <v>45483.48958333334</v>
      </c>
      <c r="G3083" s="11" t="n">
        <v>0.18</v>
      </c>
      <c r="H3083" s="11">
        <f>H3082+G3083</f>
        <v/>
      </c>
    </row>
    <row r="3084">
      <c r="A3084" s="9" t="n">
        <v>3080</v>
      </c>
      <c r="B3084" s="9" t="inlineStr">
        <is>
          <t>Aurelius_M5</t>
        </is>
      </c>
      <c r="C3084" s="9" t="inlineStr">
        <is>
          <t>MA alignment (EMA21&gt;EMA50&gt;SMA250&gt;SMMA500 vs EMA2400 trend filter)</t>
        </is>
      </c>
      <c r="D3084" s="9" t="inlineStr">
        <is>
          <t>Long</t>
        </is>
      </c>
      <c r="E3084" s="10" t="n">
        <v>45483.39236111111</v>
      </c>
      <c r="F3084" s="10" t="n">
        <v>45483.75347222222</v>
      </c>
      <c r="G3084" s="11" t="n">
        <v>5.63</v>
      </c>
      <c r="H3084" s="11">
        <f>H3083+G3084</f>
        <v/>
      </c>
    </row>
    <row r="3085">
      <c r="A3085" s="9" t="n">
        <v>3081</v>
      </c>
      <c r="B3085" s="9" t="inlineStr">
        <is>
          <t>Ratchet</t>
        </is>
      </c>
      <c r="C3085" s="9" t="inlineStr">
        <is>
          <t>Stochastic scalp with give-back trail exit</t>
        </is>
      </c>
      <c r="D3085" s="9" t="inlineStr">
        <is>
          <t>Long</t>
        </is>
      </c>
      <c r="E3085" s="10" t="n">
        <v>45484.20833333334</v>
      </c>
      <c r="F3085" s="10" t="n">
        <v>45484.21180555555</v>
      </c>
      <c r="G3085" s="11" t="n">
        <v>-1.75</v>
      </c>
      <c r="H3085" s="11">
        <f>H3084+G3085</f>
        <v/>
      </c>
    </row>
    <row r="3086">
      <c r="A3086" s="9" t="n">
        <v>3082</v>
      </c>
      <c r="B3086" s="9" t="inlineStr">
        <is>
          <t>Ratchet</t>
        </is>
      </c>
      <c r="C3086" s="9" t="inlineStr">
        <is>
          <t>Stochastic scalp with give-back trail exit</t>
        </is>
      </c>
      <c r="D3086" s="9" t="inlineStr">
        <is>
          <t>Long</t>
        </is>
      </c>
      <c r="E3086" s="10" t="n">
        <v>45484.37152777778</v>
      </c>
      <c r="F3086" s="10" t="n">
        <v>45484.38194444445</v>
      </c>
      <c r="G3086" s="11" t="n">
        <v>-1.62</v>
      </c>
      <c r="H3086" s="11">
        <f>H3085+G3086</f>
        <v/>
      </c>
    </row>
    <row r="3087">
      <c r="A3087" s="9" t="n">
        <v>3083</v>
      </c>
      <c r="B3087" s="9" t="inlineStr">
        <is>
          <t>Vanguard_M15</t>
        </is>
      </c>
      <c r="C3087" s="9" t="inlineStr">
        <is>
          <t>Trendline breakout (fractal swing line) + VWAP/S-R distance gate - M15 chart</t>
        </is>
      </c>
      <c r="D3087" s="9" t="inlineStr">
        <is>
          <t>Long</t>
        </is>
      </c>
      <c r="E3087" s="10" t="n">
        <v>45482.79166666666</v>
      </c>
      <c r="F3087" s="10" t="n">
        <v>45484.39583333334</v>
      </c>
      <c r="G3087" s="11" t="n">
        <v>16.47</v>
      </c>
      <c r="H3087" s="11">
        <f>H3086+G3087</f>
        <v/>
      </c>
    </row>
    <row r="3088">
      <c r="A3088" s="9" t="n">
        <v>3084</v>
      </c>
      <c r="B3088" s="9" t="inlineStr">
        <is>
          <t>Vanguard_M5</t>
        </is>
      </c>
      <c r="C3088" s="9" t="inlineStr">
        <is>
          <t>Trendline breakout (fractal swing line) + VWAP/S-R distance gate</t>
        </is>
      </c>
      <c r="D3088" s="9" t="inlineStr">
        <is>
          <t>Long</t>
        </is>
      </c>
      <c r="E3088" s="10" t="n">
        <v>45482.79166666666</v>
      </c>
      <c r="F3088" s="10" t="n">
        <v>45484.42708333334</v>
      </c>
      <c r="G3088" s="11" t="n">
        <v>16.77</v>
      </c>
      <c r="H3088" s="11">
        <f>H3087+G3088</f>
        <v/>
      </c>
    </row>
    <row r="3089">
      <c r="A3089" s="9" t="n">
        <v>3085</v>
      </c>
      <c r="B3089" s="9" t="inlineStr">
        <is>
          <t>Meridian</t>
        </is>
      </c>
      <c r="C3089" s="9" t="inlineStr">
        <is>
          <t>21/50 MA cross, 250-period confirm filter, VWAP</t>
        </is>
      </c>
      <c r="D3089" s="9" t="inlineStr">
        <is>
          <t>Long</t>
        </is>
      </c>
      <c r="E3089" s="10" t="n">
        <v>45484.15972222222</v>
      </c>
      <c r="F3089" s="10" t="n">
        <v>45484.62152777778</v>
      </c>
      <c r="G3089" s="11" t="n">
        <v>5.23</v>
      </c>
      <c r="H3089" s="11">
        <f>H3088+G3089</f>
        <v/>
      </c>
    </row>
    <row r="3090">
      <c r="A3090" s="9" t="n">
        <v>3086</v>
      </c>
      <c r="B3090" s="9" t="inlineStr">
        <is>
          <t>Aurelius_M5</t>
        </is>
      </c>
      <c r="C3090" s="9" t="inlineStr">
        <is>
          <t>MA alignment (EMA21&gt;EMA50&gt;SMA250&gt;SMMA500 vs EMA2400 trend filter)</t>
        </is>
      </c>
      <c r="D3090" s="9" t="inlineStr">
        <is>
          <t>Long</t>
        </is>
      </c>
      <c r="E3090" s="10" t="n">
        <v>45484.43402777778</v>
      </c>
      <c r="F3090" s="10" t="n">
        <v>45484.62152777778</v>
      </c>
      <c r="G3090" s="11" t="n">
        <v>-0.98</v>
      </c>
      <c r="H3090" s="11">
        <f>H3089+G3090</f>
        <v/>
      </c>
    </row>
    <row r="3091">
      <c r="A3091" s="9" t="n">
        <v>3087</v>
      </c>
      <c r="B3091" s="9" t="inlineStr">
        <is>
          <t>Aurelius_M5</t>
        </is>
      </c>
      <c r="C3091" s="9" t="inlineStr">
        <is>
          <t>MA alignment (EMA21&gt;EMA50&gt;SMA250&gt;SMMA500 vs EMA2400 trend filter)</t>
        </is>
      </c>
      <c r="D3091" s="9" t="inlineStr">
        <is>
          <t>Long</t>
        </is>
      </c>
      <c r="E3091" s="10" t="n">
        <v>45484.65625</v>
      </c>
      <c r="F3091" s="10" t="n">
        <v>45484.69444444445</v>
      </c>
      <c r="G3091" s="11" t="n">
        <v>-8.92</v>
      </c>
      <c r="H3091" s="11">
        <f>H3090+G3091</f>
        <v/>
      </c>
    </row>
    <row r="3092">
      <c r="A3092" s="9" t="n">
        <v>3088</v>
      </c>
      <c r="B3092" s="9" t="inlineStr">
        <is>
          <t>Ratchet</t>
        </is>
      </c>
      <c r="C3092" s="9" t="inlineStr">
        <is>
          <t>Stochastic scalp with give-back trail exit</t>
        </is>
      </c>
      <c r="D3092" s="9" t="inlineStr">
        <is>
          <t>Long</t>
        </is>
      </c>
      <c r="E3092" s="10" t="n">
        <v>45484.90625</v>
      </c>
      <c r="F3092" s="10" t="n">
        <v>45484.9375</v>
      </c>
      <c r="G3092" s="11" t="n">
        <v>0.5</v>
      </c>
      <c r="H3092" s="11">
        <f>H3091+G3092</f>
        <v/>
      </c>
    </row>
    <row r="3093">
      <c r="A3093" s="9" t="n">
        <v>3089</v>
      </c>
      <c r="B3093" s="9" t="inlineStr">
        <is>
          <t>Meridian</t>
        </is>
      </c>
      <c r="C3093" s="9" t="inlineStr">
        <is>
          <t>21/50 MA cross, 250-period confirm filter, VWAP</t>
        </is>
      </c>
      <c r="D3093" s="9" t="inlineStr">
        <is>
          <t>Long</t>
        </is>
      </c>
      <c r="E3093" s="10" t="n">
        <v>45484.64930555555</v>
      </c>
      <c r="F3093" s="10" t="n">
        <v>45485.05902777778</v>
      </c>
      <c r="G3093" s="11" t="n">
        <v>12.28</v>
      </c>
      <c r="H3093" s="11">
        <f>H3092+G3093</f>
        <v/>
      </c>
    </row>
    <row r="3094">
      <c r="A3094" s="9" t="n">
        <v>3090</v>
      </c>
      <c r="B3094" s="9" t="inlineStr">
        <is>
          <t>Aurelius_M15</t>
        </is>
      </c>
      <c r="C3094" s="9" t="inlineStr">
        <is>
          <t>MA alignment (EMA21&gt;EMA50&gt;SMA250&gt;SMMA500 vs EMA2400 trend filter) - M15 chart</t>
        </is>
      </c>
      <c r="D3094" s="9" t="inlineStr">
        <is>
          <t>Long</t>
        </is>
      </c>
      <c r="E3094" s="10" t="n">
        <v>45484.63541666666</v>
      </c>
      <c r="F3094" s="10" t="n">
        <v>45485.23958333334</v>
      </c>
      <c r="G3094" s="11" t="n">
        <v>26.82</v>
      </c>
      <c r="H3094" s="11">
        <f>H3093+G3094</f>
        <v/>
      </c>
    </row>
    <row r="3095">
      <c r="A3095" s="9" t="n">
        <v>3091</v>
      </c>
      <c r="B3095" s="9" t="inlineStr">
        <is>
          <t>Meridian</t>
        </is>
      </c>
      <c r="C3095" s="9" t="inlineStr">
        <is>
          <t>21/50 MA cross, 250-period confirm filter, VWAP</t>
        </is>
      </c>
      <c r="D3095" s="9" t="inlineStr">
        <is>
          <t>Short</t>
        </is>
      </c>
      <c r="E3095" s="10" t="n">
        <v>45485.51736111111</v>
      </c>
      <c r="F3095" s="10" t="n">
        <v>45485.71180555555</v>
      </c>
      <c r="G3095" s="11" t="n">
        <v>-1.88</v>
      </c>
      <c r="H3095" s="11">
        <f>H3094+G3095</f>
        <v/>
      </c>
    </row>
    <row r="3096">
      <c r="A3096" s="9" t="n">
        <v>3092</v>
      </c>
      <c r="B3096" s="9" t="inlineStr">
        <is>
          <t>Ratchet</t>
        </is>
      </c>
      <c r="C3096" s="9" t="inlineStr">
        <is>
          <t>Stochastic scalp with give-back trail exit</t>
        </is>
      </c>
      <c r="D3096" s="9" t="inlineStr">
        <is>
          <t>Long</t>
        </is>
      </c>
      <c r="E3096" s="10" t="n">
        <v>45485.77083333334</v>
      </c>
      <c r="F3096" s="10" t="n">
        <v>45485.78472222222</v>
      </c>
      <c r="G3096" s="11" t="n">
        <v>0</v>
      </c>
      <c r="H3096" s="11">
        <f>H3095+G3096</f>
        <v/>
      </c>
    </row>
    <row r="3097">
      <c r="A3097" s="9" t="n">
        <v>3093</v>
      </c>
      <c r="B3097" s="9" t="inlineStr">
        <is>
          <t>Ratchet</t>
        </is>
      </c>
      <c r="C3097" s="9" t="inlineStr">
        <is>
          <t>Stochastic scalp with give-back trail exit</t>
        </is>
      </c>
      <c r="D3097" s="9" t="inlineStr">
        <is>
          <t>Long</t>
        </is>
      </c>
      <c r="E3097" s="10" t="n">
        <v>45488.28819444445</v>
      </c>
      <c r="F3097" s="10" t="n">
        <v>45488.29513888889</v>
      </c>
      <c r="G3097" s="11" t="n">
        <v>0.13</v>
      </c>
      <c r="H3097" s="11">
        <f>H3096+G3097</f>
        <v/>
      </c>
    </row>
    <row r="3098">
      <c r="A3098" s="9" t="n">
        <v>3094</v>
      </c>
      <c r="B3098" s="9" t="inlineStr">
        <is>
          <t>Ratchet</t>
        </is>
      </c>
      <c r="C3098" s="9" t="inlineStr">
        <is>
          <t>Stochastic scalp with give-back trail exit</t>
        </is>
      </c>
      <c r="D3098" s="9" t="inlineStr">
        <is>
          <t>Long</t>
        </is>
      </c>
      <c r="E3098" s="10" t="n">
        <v>45488.29861111111</v>
      </c>
      <c r="F3098" s="10" t="n">
        <v>45488.3125</v>
      </c>
      <c r="G3098" s="11" t="n">
        <v>-1.22</v>
      </c>
      <c r="H3098" s="11">
        <f>H3097+G3098</f>
        <v/>
      </c>
    </row>
    <row r="3099">
      <c r="A3099" s="9" t="n">
        <v>3095</v>
      </c>
      <c r="B3099" s="9" t="inlineStr">
        <is>
          <t>Meridian</t>
        </is>
      </c>
      <c r="C3099" s="9" t="inlineStr">
        <is>
          <t>21/50 MA cross, 250-period confirm filter, VWAP</t>
        </is>
      </c>
      <c r="D3099" s="9" t="inlineStr">
        <is>
          <t>Long</t>
        </is>
      </c>
      <c r="E3099" s="10" t="n">
        <v>45488.23611111111</v>
      </c>
      <c r="F3099" s="10" t="n">
        <v>45488.37847222222</v>
      </c>
      <c r="G3099" s="11" t="n">
        <v>-3.51</v>
      </c>
      <c r="H3099" s="11">
        <f>H3098+G3099</f>
        <v/>
      </c>
    </row>
    <row r="3100">
      <c r="A3100" s="9" t="n">
        <v>3096</v>
      </c>
      <c r="B3100" s="9" t="inlineStr">
        <is>
          <t>Aurelius_M15</t>
        </is>
      </c>
      <c r="C3100" s="9" t="inlineStr">
        <is>
          <t>MA alignment (EMA21&gt;EMA50&gt;SMA250&gt;SMMA500 vs EMA2400 trend filter) - M15 chart</t>
        </is>
      </c>
      <c r="D3100" s="9" t="inlineStr">
        <is>
          <t>Long</t>
        </is>
      </c>
      <c r="E3100" s="10" t="n">
        <v>45488.36458333334</v>
      </c>
      <c r="F3100" s="10" t="n">
        <v>45488.38541666666</v>
      </c>
      <c r="G3100" s="11" t="n">
        <v>-4.9</v>
      </c>
      <c r="H3100" s="11">
        <f>H3099+G3100</f>
        <v/>
      </c>
    </row>
    <row r="3101">
      <c r="A3101" s="9" t="n">
        <v>3097</v>
      </c>
      <c r="B3101" s="9" t="inlineStr">
        <is>
          <t>Aurelius_M15</t>
        </is>
      </c>
      <c r="C3101" s="9" t="inlineStr">
        <is>
          <t>MA alignment (EMA21&gt;EMA50&gt;SMA250&gt;SMMA500 vs EMA2400 trend filter) - M15 chart</t>
        </is>
      </c>
      <c r="D3101" s="9" t="inlineStr">
        <is>
          <t>Long</t>
        </is>
      </c>
      <c r="E3101" s="10" t="n">
        <v>45488.63541666666</v>
      </c>
      <c r="F3101" s="10" t="n">
        <v>45488.64583333334</v>
      </c>
      <c r="G3101" s="11" t="n">
        <v>-6.37</v>
      </c>
      <c r="H3101" s="11">
        <f>H3100+G3101</f>
        <v/>
      </c>
    </row>
    <row r="3102">
      <c r="A3102" s="9" t="n">
        <v>3098</v>
      </c>
      <c r="B3102" s="9" t="inlineStr">
        <is>
          <t>Ratchet</t>
        </is>
      </c>
      <c r="C3102" s="9" t="inlineStr">
        <is>
          <t>Stochastic scalp with give-back trail exit</t>
        </is>
      </c>
      <c r="D3102" s="9" t="inlineStr">
        <is>
          <t>Long</t>
        </is>
      </c>
      <c r="E3102" s="10" t="n">
        <v>45488.56597222222</v>
      </c>
      <c r="F3102" s="10" t="n">
        <v>45488.64930555555</v>
      </c>
      <c r="G3102" s="11" t="n">
        <v>1.97</v>
      </c>
      <c r="H3102" s="11">
        <f>H3101+G3102</f>
        <v/>
      </c>
    </row>
    <row r="3103">
      <c r="A3103" s="9" t="n">
        <v>3099</v>
      </c>
      <c r="B3103" s="9" t="inlineStr">
        <is>
          <t>Ratchet</t>
        </is>
      </c>
      <c r="C3103" s="9" t="inlineStr">
        <is>
          <t>Stochastic scalp with give-back trail exit</t>
        </is>
      </c>
      <c r="D3103" s="9" t="inlineStr">
        <is>
          <t>Long</t>
        </is>
      </c>
      <c r="E3103" s="10" t="n">
        <v>45488.8125</v>
      </c>
      <c r="F3103" s="10" t="n">
        <v>45488.83333333334</v>
      </c>
      <c r="G3103" s="11" t="n">
        <v>-3.52</v>
      </c>
      <c r="H3103" s="11">
        <f>H3102+G3103</f>
        <v/>
      </c>
    </row>
    <row r="3104">
      <c r="A3104" s="9" t="n">
        <v>3100</v>
      </c>
      <c r="B3104" s="9" t="inlineStr">
        <is>
          <t>Aurelius_M5</t>
        </is>
      </c>
      <c r="C3104" s="9" t="inlineStr">
        <is>
          <t>MA alignment (EMA21&gt;EMA50&gt;SMA250&gt;SMMA500 vs EMA2400 trend filter)</t>
        </is>
      </c>
      <c r="D3104" s="9" t="inlineStr">
        <is>
          <t>Long</t>
        </is>
      </c>
      <c r="E3104" s="10" t="n">
        <v>45488.68402777778</v>
      </c>
      <c r="F3104" s="10" t="n">
        <v>45488.86111111111</v>
      </c>
      <c r="G3104" s="11" t="n">
        <v>6.43</v>
      </c>
      <c r="H3104" s="11">
        <f>H3103+G3104</f>
        <v/>
      </c>
    </row>
    <row r="3105">
      <c r="A3105" s="9" t="n">
        <v>3101</v>
      </c>
      <c r="B3105" s="9" t="inlineStr">
        <is>
          <t>Meridian</t>
        </is>
      </c>
      <c r="C3105" s="9" t="inlineStr">
        <is>
          <t>21/50 MA cross, 250-period confirm filter, VWAP</t>
        </is>
      </c>
      <c r="D3105" s="9" t="inlineStr">
        <is>
          <t>Long</t>
        </is>
      </c>
      <c r="E3105" s="10" t="n">
        <v>45488.48958333334</v>
      </c>
      <c r="F3105" s="10" t="n">
        <v>45488.875</v>
      </c>
      <c r="G3105" s="11" t="n">
        <v>10.91</v>
      </c>
      <c r="H3105" s="11">
        <f>H3104+G3105</f>
        <v/>
      </c>
    </row>
    <row r="3106">
      <c r="A3106" s="9" t="n">
        <v>3102</v>
      </c>
      <c r="B3106" s="9" t="inlineStr">
        <is>
          <t>Ratchet</t>
        </is>
      </c>
      <c r="C3106" s="9" t="inlineStr">
        <is>
          <t>Stochastic scalp with give-back trail exit</t>
        </is>
      </c>
      <c r="D3106" s="9" t="inlineStr">
        <is>
          <t>Long</t>
        </is>
      </c>
      <c r="E3106" s="10" t="n">
        <v>45489.32638888889</v>
      </c>
      <c r="F3106" s="10" t="n">
        <v>45489.33333333334</v>
      </c>
      <c r="G3106" s="11" t="n">
        <v>0.7</v>
      </c>
      <c r="H3106" s="11">
        <f>H3105+G3106</f>
        <v/>
      </c>
    </row>
    <row r="3107">
      <c r="A3107" s="9" t="n">
        <v>3103</v>
      </c>
      <c r="B3107" s="9" t="inlineStr">
        <is>
          <t>Ratchet</t>
        </is>
      </c>
      <c r="C3107" s="9" t="inlineStr">
        <is>
          <t>Stochastic scalp with give-back trail exit</t>
        </is>
      </c>
      <c r="D3107" s="9" t="inlineStr">
        <is>
          <t>Long</t>
        </is>
      </c>
      <c r="E3107" s="10" t="n">
        <v>45489.35416666666</v>
      </c>
      <c r="F3107" s="10" t="n">
        <v>45489.36458333334</v>
      </c>
      <c r="G3107" s="11" t="n">
        <v>0.57</v>
      </c>
      <c r="H3107" s="11">
        <f>H3106+G3107</f>
        <v/>
      </c>
    </row>
    <row r="3108">
      <c r="A3108" s="9" t="n">
        <v>3104</v>
      </c>
      <c r="B3108" s="9" t="inlineStr">
        <is>
          <t>Ratchet</t>
        </is>
      </c>
      <c r="C3108" s="9" t="inlineStr">
        <is>
          <t>Stochastic scalp with give-back trail exit</t>
        </is>
      </c>
      <c r="D3108" s="9" t="inlineStr">
        <is>
          <t>Long</t>
        </is>
      </c>
      <c r="E3108" s="10" t="n">
        <v>45489.63888888889</v>
      </c>
      <c r="F3108" s="10" t="n">
        <v>45489.64583333334</v>
      </c>
      <c r="G3108" s="11" t="n">
        <v>0.61</v>
      </c>
      <c r="H3108" s="11">
        <f>H3107+G3108</f>
        <v/>
      </c>
    </row>
    <row r="3109">
      <c r="A3109" s="9" t="n">
        <v>3105</v>
      </c>
      <c r="B3109" s="9" t="inlineStr">
        <is>
          <t>Meridian</t>
        </is>
      </c>
      <c r="C3109" s="9" t="inlineStr">
        <is>
          <t>21/50 MA cross, 250-period confirm filter, VWAP</t>
        </is>
      </c>
      <c r="D3109" s="9" t="inlineStr">
        <is>
          <t>Long</t>
        </is>
      </c>
      <c r="E3109" s="10" t="n">
        <v>45489.18055555555</v>
      </c>
      <c r="F3109" s="10" t="n">
        <v>45489.66319444445</v>
      </c>
      <c r="G3109" s="11" t="n">
        <v>5.04</v>
      </c>
      <c r="H3109" s="11">
        <f>H3108+G3109</f>
        <v/>
      </c>
    </row>
    <row r="3110">
      <c r="A3110" s="9" t="n">
        <v>3106</v>
      </c>
      <c r="B3110" s="9" t="inlineStr">
        <is>
          <t>Aurelius_M5</t>
        </is>
      </c>
      <c r="C3110" s="9" t="inlineStr">
        <is>
          <t>MA alignment (EMA21&gt;EMA50&gt;SMA250&gt;SMMA500 vs EMA2400 trend filter)</t>
        </is>
      </c>
      <c r="D3110" s="9" t="inlineStr">
        <is>
          <t>Long</t>
        </is>
      </c>
      <c r="E3110" s="10" t="n">
        <v>45489.20138888889</v>
      </c>
      <c r="F3110" s="10" t="n">
        <v>45489.66319444445</v>
      </c>
      <c r="G3110" s="11" t="n">
        <v>3.02</v>
      </c>
      <c r="H3110" s="11">
        <f>H3109+G3110</f>
        <v/>
      </c>
    </row>
    <row r="3111">
      <c r="A3111" s="9" t="n">
        <v>3107</v>
      </c>
      <c r="B3111" s="9" t="inlineStr">
        <is>
          <t>Ratchet</t>
        </is>
      </c>
      <c r="C3111" s="9" t="inlineStr">
        <is>
          <t>Stochastic scalp with give-back trail exit</t>
        </is>
      </c>
      <c r="D3111" s="9" t="inlineStr">
        <is>
          <t>Long</t>
        </is>
      </c>
      <c r="E3111" s="10" t="n">
        <v>45489.72916666666</v>
      </c>
      <c r="F3111" s="10" t="n">
        <v>45489.99652777778</v>
      </c>
      <c r="G3111" s="11" t="n">
        <v>21.52</v>
      </c>
      <c r="H3111" s="11">
        <f>H3110+G3111</f>
        <v/>
      </c>
    </row>
    <row r="3112">
      <c r="A3112" s="9" t="n">
        <v>3108</v>
      </c>
      <c r="B3112" s="9" t="inlineStr">
        <is>
          <t>Ratchet</t>
        </is>
      </c>
      <c r="C3112" s="9" t="inlineStr">
        <is>
          <t>Stochastic scalp with give-back trail exit</t>
        </is>
      </c>
      <c r="D3112" s="9" t="inlineStr">
        <is>
          <t>Long</t>
        </is>
      </c>
      <c r="E3112" s="10" t="n">
        <v>45490.07986111111</v>
      </c>
      <c r="F3112" s="10" t="n">
        <v>45490.08680555555</v>
      </c>
      <c r="G3112" s="11" t="n">
        <v>0.17</v>
      </c>
      <c r="H3112" s="11">
        <f>H3111+G3112</f>
        <v/>
      </c>
    </row>
    <row r="3113">
      <c r="A3113" s="9" t="n">
        <v>3109</v>
      </c>
      <c r="B3113" s="9" t="inlineStr">
        <is>
          <t>Ratchet</t>
        </is>
      </c>
      <c r="C3113" s="9" t="inlineStr">
        <is>
          <t>Stochastic scalp with give-back trail exit</t>
        </is>
      </c>
      <c r="D3113" s="9" t="inlineStr">
        <is>
          <t>Long</t>
        </is>
      </c>
      <c r="E3113" s="10" t="n">
        <v>45490.17361111111</v>
      </c>
      <c r="F3113" s="10" t="n">
        <v>45490.23263888889</v>
      </c>
      <c r="G3113" s="11" t="n">
        <v>3</v>
      </c>
      <c r="H3113" s="11">
        <f>H3112+G3113</f>
        <v/>
      </c>
    </row>
    <row r="3114">
      <c r="A3114" s="9" t="n">
        <v>3110</v>
      </c>
      <c r="B3114" s="9" t="inlineStr">
        <is>
          <t>Aurelius_M5</t>
        </is>
      </c>
      <c r="C3114" s="9" t="inlineStr">
        <is>
          <t>MA alignment (EMA21&gt;EMA50&gt;SMA250&gt;SMMA500 vs EMA2400 trend filter)</t>
        </is>
      </c>
      <c r="D3114" s="9" t="inlineStr">
        <is>
          <t>Long</t>
        </is>
      </c>
      <c r="E3114" s="10" t="n">
        <v>45490.17708333334</v>
      </c>
      <c r="F3114" s="10" t="n">
        <v>45490.26041666666</v>
      </c>
      <c r="G3114" s="11" t="n">
        <v>-4.7</v>
      </c>
      <c r="H3114" s="11">
        <f>H3113+G3114</f>
        <v/>
      </c>
    </row>
    <row r="3115">
      <c r="A3115" s="9" t="n">
        <v>3111</v>
      </c>
      <c r="B3115" s="9" t="inlineStr">
        <is>
          <t>Meridian</t>
        </is>
      </c>
      <c r="C3115" s="9" t="inlineStr">
        <is>
          <t>21/50 MA cross, 250-period confirm filter, VWAP</t>
        </is>
      </c>
      <c r="D3115" s="9" t="inlineStr">
        <is>
          <t>Long</t>
        </is>
      </c>
      <c r="E3115" s="10" t="n">
        <v>45489.69791666666</v>
      </c>
      <c r="F3115" s="10" t="n">
        <v>45490.27777777778</v>
      </c>
      <c r="G3115" s="11" t="n">
        <v>23.91</v>
      </c>
      <c r="H3115" s="11">
        <f>H3114+G3115</f>
        <v/>
      </c>
    </row>
    <row r="3116">
      <c r="A3116" s="9" t="n">
        <v>3112</v>
      </c>
      <c r="B3116" s="9" t="inlineStr">
        <is>
          <t>Aurelius_M15</t>
        </is>
      </c>
      <c r="C3116" s="9" t="inlineStr">
        <is>
          <t>MA alignment (EMA21&gt;EMA50&gt;SMA250&gt;SMMA500 vs EMA2400 trend filter) - M15 chart</t>
        </is>
      </c>
      <c r="D3116" s="9" t="inlineStr">
        <is>
          <t>Long</t>
        </is>
      </c>
      <c r="E3116" s="10" t="n">
        <v>45488.69791666666</v>
      </c>
      <c r="F3116" s="10" t="n">
        <v>45490.33333333334</v>
      </c>
      <c r="G3116" s="11" t="n">
        <v>52.42</v>
      </c>
      <c r="H3116" s="11">
        <f>H3115+G3116</f>
        <v/>
      </c>
    </row>
    <row r="3117">
      <c r="A3117" s="9" t="n">
        <v>3113</v>
      </c>
      <c r="B3117" s="9" t="inlineStr">
        <is>
          <t>Aurelius_M5</t>
        </is>
      </c>
      <c r="C3117" s="9" t="inlineStr">
        <is>
          <t>MA alignment (EMA21&gt;EMA50&gt;SMA250&gt;SMMA500 vs EMA2400 trend filter)</t>
        </is>
      </c>
      <c r="D3117" s="9" t="inlineStr">
        <is>
          <t>Long</t>
        </is>
      </c>
      <c r="E3117" s="10" t="n">
        <v>45490.46875</v>
      </c>
      <c r="F3117" s="10" t="n">
        <v>45490.47916666666</v>
      </c>
      <c r="G3117" s="11" t="n">
        <v>-4.99</v>
      </c>
      <c r="H3117" s="11">
        <f>H3116+G3117</f>
        <v/>
      </c>
    </row>
    <row r="3118">
      <c r="A3118" s="9" t="n">
        <v>3114</v>
      </c>
      <c r="B3118" s="9" t="inlineStr">
        <is>
          <t>Ratchet</t>
        </is>
      </c>
      <c r="C3118" s="9" t="inlineStr">
        <is>
          <t>Stochastic scalp with give-back trail exit</t>
        </is>
      </c>
      <c r="D3118" s="9" t="inlineStr">
        <is>
          <t>Long</t>
        </is>
      </c>
      <c r="E3118" s="10" t="n">
        <v>45490.47916666666</v>
      </c>
      <c r="F3118" s="10" t="n">
        <v>45490.47916666666</v>
      </c>
      <c r="G3118" s="11" t="n">
        <v>-3.88</v>
      </c>
      <c r="H3118" s="11">
        <f>H3117+G3118</f>
        <v/>
      </c>
    </row>
    <row r="3119">
      <c r="A3119" s="9" t="n">
        <v>3115</v>
      </c>
      <c r="B3119" s="9" t="inlineStr">
        <is>
          <t>Ratchet</t>
        </is>
      </c>
      <c r="C3119" s="9" t="inlineStr">
        <is>
          <t>Stochastic scalp with give-back trail exit</t>
        </is>
      </c>
      <c r="D3119" s="9" t="inlineStr">
        <is>
          <t>Long</t>
        </is>
      </c>
      <c r="E3119" s="10" t="n">
        <v>45490.55208333334</v>
      </c>
      <c r="F3119" s="10" t="n">
        <v>45490.5625</v>
      </c>
      <c r="G3119" s="11" t="n">
        <v>0.38</v>
      </c>
      <c r="H3119" s="11">
        <f>H3118+G3119</f>
        <v/>
      </c>
    </row>
    <row r="3120">
      <c r="A3120" s="9" t="n">
        <v>3116</v>
      </c>
      <c r="B3120" s="9" t="inlineStr">
        <is>
          <t>Meridian</t>
        </is>
      </c>
      <c r="C3120" s="9" t="inlineStr">
        <is>
          <t>21/50 MA cross, 250-period confirm filter, VWAP</t>
        </is>
      </c>
      <c r="D3120" s="9" t="inlineStr">
        <is>
          <t>Long</t>
        </is>
      </c>
      <c r="E3120" s="10" t="n">
        <v>45490.45833333334</v>
      </c>
      <c r="F3120" s="10" t="n">
        <v>45490.56944444445</v>
      </c>
      <c r="G3120" s="11" t="n">
        <v>-5.07</v>
      </c>
      <c r="H3120" s="11">
        <f>H3119+G3120</f>
        <v/>
      </c>
    </row>
    <row r="3121">
      <c r="A3121" s="9" t="n">
        <v>3117</v>
      </c>
      <c r="B3121" s="9" t="inlineStr">
        <is>
          <t>Aurelius_M15</t>
        </is>
      </c>
      <c r="C3121" s="9" t="inlineStr">
        <is>
          <t>MA alignment (EMA21&gt;EMA50&gt;SMA250&gt;SMMA500 vs EMA2400 trend filter) - M15 chart</t>
        </is>
      </c>
      <c r="D3121" s="9" t="inlineStr">
        <is>
          <t>Long</t>
        </is>
      </c>
      <c r="E3121" s="10" t="n">
        <v>45490.46875</v>
      </c>
      <c r="F3121" s="10" t="n">
        <v>45490.57291666666</v>
      </c>
      <c r="G3121" s="11" t="n">
        <v>-9.119999999999999</v>
      </c>
      <c r="H3121" s="11">
        <f>H3120+G3121</f>
        <v/>
      </c>
    </row>
    <row r="3122">
      <c r="A3122" s="9" t="n">
        <v>3118</v>
      </c>
      <c r="B3122" s="9" t="inlineStr">
        <is>
          <t>Ratchet</t>
        </is>
      </c>
      <c r="C3122" s="9" t="inlineStr">
        <is>
          <t>Stochastic scalp with give-back trail exit</t>
        </is>
      </c>
      <c r="D3122" s="9" t="inlineStr">
        <is>
          <t>Long</t>
        </is>
      </c>
      <c r="E3122" s="10" t="n">
        <v>45490.65625</v>
      </c>
      <c r="F3122" s="10" t="n">
        <v>45490.67361111111</v>
      </c>
      <c r="G3122" s="11" t="n">
        <v>1.12</v>
      </c>
      <c r="H3122" s="11">
        <f>H3121+G3122</f>
        <v/>
      </c>
    </row>
    <row r="3123">
      <c r="A3123" s="9" t="n">
        <v>3119</v>
      </c>
      <c r="B3123" s="9" t="inlineStr">
        <is>
          <t>Aurelius_M15</t>
        </is>
      </c>
      <c r="C3123" s="9" t="inlineStr">
        <is>
          <t>MA alignment (EMA21&gt;EMA50&gt;SMA250&gt;SMMA500 vs EMA2400 trend filter) - M15 chart</t>
        </is>
      </c>
      <c r="D3123" s="9" t="inlineStr">
        <is>
          <t>Long</t>
        </is>
      </c>
      <c r="E3123" s="10" t="n">
        <v>45490.67708333334</v>
      </c>
      <c r="F3123" s="10" t="n">
        <v>45490.70833333334</v>
      </c>
      <c r="G3123" s="11" t="n">
        <v>-9.34</v>
      </c>
      <c r="H3123" s="11">
        <f>H3122+G3123</f>
        <v/>
      </c>
    </row>
    <row r="3124">
      <c r="A3124" s="9" t="n">
        <v>3120</v>
      </c>
      <c r="B3124" s="9" t="inlineStr">
        <is>
          <t>Ratchet</t>
        </is>
      </c>
      <c r="C3124" s="9" t="inlineStr">
        <is>
          <t>Stochastic scalp with give-back trail exit</t>
        </is>
      </c>
      <c r="D3124" s="9" t="inlineStr">
        <is>
          <t>Long</t>
        </is>
      </c>
      <c r="E3124" s="10" t="n">
        <v>45490.70138888889</v>
      </c>
      <c r="F3124" s="10" t="n">
        <v>45490.70833333334</v>
      </c>
      <c r="G3124" s="11" t="n">
        <v>1.62</v>
      </c>
      <c r="H3124" s="11">
        <f>H3123+G3124</f>
        <v/>
      </c>
    </row>
    <row r="3125">
      <c r="A3125" s="9" t="n">
        <v>3121</v>
      </c>
      <c r="B3125" s="9" t="inlineStr">
        <is>
          <t>Meridian</t>
        </is>
      </c>
      <c r="C3125" s="9" t="inlineStr">
        <is>
          <t>21/50 MA cross, 250-period confirm filter, VWAP</t>
        </is>
      </c>
      <c r="D3125" s="9" t="inlineStr">
        <is>
          <t>Long</t>
        </is>
      </c>
      <c r="E3125" s="10" t="n">
        <v>45490.64236111111</v>
      </c>
      <c r="F3125" s="10" t="n">
        <v>45490.71527777778</v>
      </c>
      <c r="G3125" s="11" t="n">
        <v>-4.54</v>
      </c>
      <c r="H3125" s="11">
        <f>H3124+G3125</f>
        <v/>
      </c>
    </row>
    <row r="3126">
      <c r="A3126" s="9" t="n">
        <v>3122</v>
      </c>
      <c r="B3126" s="9" t="inlineStr">
        <is>
          <t>Aurelius_M5</t>
        </is>
      </c>
      <c r="C3126" s="9" t="inlineStr">
        <is>
          <t>MA alignment (EMA21&gt;EMA50&gt;SMA250&gt;SMMA500 vs EMA2400 trend filter)</t>
        </is>
      </c>
      <c r="D3126" s="9" t="inlineStr">
        <is>
          <t>Long</t>
        </is>
      </c>
      <c r="E3126" s="10" t="n">
        <v>45490.67013888889</v>
      </c>
      <c r="F3126" s="10" t="n">
        <v>45490.71527777778</v>
      </c>
      <c r="G3126" s="11" t="n">
        <v>-4.82</v>
      </c>
      <c r="H3126" s="11">
        <f>H3125+G3126</f>
        <v/>
      </c>
    </row>
    <row r="3127">
      <c r="A3127" s="9" t="n">
        <v>3123</v>
      </c>
      <c r="B3127" s="9" t="inlineStr">
        <is>
          <t>Vanguard_M15</t>
        </is>
      </c>
      <c r="C3127" s="9" t="inlineStr">
        <is>
          <t>Trendline breakout (fractal swing line) + VWAP/S-R distance gate - M15 chart</t>
        </is>
      </c>
      <c r="D3127" s="9" t="inlineStr">
        <is>
          <t>Long</t>
        </is>
      </c>
      <c r="E3127" s="10" t="n">
        <v>45488.58333333334</v>
      </c>
      <c r="F3127" s="10" t="n">
        <v>45490.72916666666</v>
      </c>
      <c r="G3127" s="11" t="n">
        <v>56.24</v>
      </c>
      <c r="H3127" s="11">
        <f>H3126+G3127</f>
        <v/>
      </c>
    </row>
    <row r="3128">
      <c r="A3128" s="9" t="n">
        <v>3124</v>
      </c>
      <c r="B3128" s="9" t="inlineStr">
        <is>
          <t>Vanguard_M5</t>
        </is>
      </c>
      <c r="C3128" s="9" t="inlineStr">
        <is>
          <t>Trendline breakout (fractal swing line) + VWAP/S-R distance gate</t>
        </is>
      </c>
      <c r="D3128" s="9" t="inlineStr">
        <is>
          <t>Long</t>
        </is>
      </c>
      <c r="E3128" s="10" t="n">
        <v>45488.57986111111</v>
      </c>
      <c r="F3128" s="10" t="n">
        <v>45490.73263888889</v>
      </c>
      <c r="G3128" s="11" t="n">
        <v>53.49</v>
      </c>
      <c r="H3128" s="11">
        <f>H3127+G3128</f>
        <v/>
      </c>
    </row>
    <row r="3129">
      <c r="A3129" s="9" t="n">
        <v>3125</v>
      </c>
      <c r="B3129" s="9" t="inlineStr">
        <is>
          <t>Meridian</t>
        </is>
      </c>
      <c r="C3129" s="9" t="inlineStr">
        <is>
          <t>21/50 MA cross, 250-period confirm filter, VWAP</t>
        </is>
      </c>
      <c r="D3129" s="9" t="inlineStr">
        <is>
          <t>Short</t>
        </is>
      </c>
      <c r="E3129" s="10" t="n">
        <v>45490.73611111111</v>
      </c>
      <c r="F3129" s="10" t="n">
        <v>45491.08680555555</v>
      </c>
      <c r="G3129" s="11" t="n">
        <v>8.59</v>
      </c>
      <c r="H3129" s="11">
        <f>H3128+G3129</f>
        <v/>
      </c>
    </row>
    <row r="3130">
      <c r="A3130" s="9" t="n">
        <v>3126</v>
      </c>
      <c r="B3130" s="9" t="inlineStr">
        <is>
          <t>Ratchet</t>
        </is>
      </c>
      <c r="C3130" s="9" t="inlineStr">
        <is>
          <t>Stochastic scalp with give-back trail exit</t>
        </is>
      </c>
      <c r="D3130" s="9" t="inlineStr">
        <is>
          <t>Long</t>
        </is>
      </c>
      <c r="E3130" s="10" t="n">
        <v>45491.26041666666</v>
      </c>
      <c r="F3130" s="10" t="n">
        <v>45491.28125</v>
      </c>
      <c r="G3130" s="11" t="n">
        <v>0</v>
      </c>
      <c r="H3130" s="11">
        <f>H3129+G3130</f>
        <v/>
      </c>
    </row>
    <row r="3131">
      <c r="A3131" s="9" t="n">
        <v>3127</v>
      </c>
      <c r="B3131" s="9" t="inlineStr">
        <is>
          <t>Ratchet</t>
        </is>
      </c>
      <c r="C3131" s="9" t="inlineStr">
        <is>
          <t>Stochastic scalp with give-back trail exit</t>
        </is>
      </c>
      <c r="D3131" s="9" t="inlineStr">
        <is>
          <t>Long</t>
        </is>
      </c>
      <c r="E3131" s="10" t="n">
        <v>45491.30902777778</v>
      </c>
      <c r="F3131" s="10" t="n">
        <v>45491.32986111111</v>
      </c>
      <c r="G3131" s="11" t="n">
        <v>-2.28</v>
      </c>
      <c r="H3131" s="11">
        <f>H3130+G3131</f>
        <v/>
      </c>
    </row>
    <row r="3132">
      <c r="A3132" s="9" t="n">
        <v>3128</v>
      </c>
      <c r="B3132" s="9" t="inlineStr">
        <is>
          <t>Ratchet</t>
        </is>
      </c>
      <c r="C3132" s="9" t="inlineStr">
        <is>
          <t>Stochastic scalp with give-back trail exit</t>
        </is>
      </c>
      <c r="D3132" s="9" t="inlineStr">
        <is>
          <t>Long</t>
        </is>
      </c>
      <c r="E3132" s="10" t="n">
        <v>45491.44097222222</v>
      </c>
      <c r="F3132" s="10" t="n">
        <v>45491.47916666666</v>
      </c>
      <c r="G3132" s="11" t="n">
        <v>-3.26</v>
      </c>
      <c r="H3132" s="11">
        <f>H3131+G3132</f>
        <v/>
      </c>
    </row>
    <row r="3133">
      <c r="A3133" s="9" t="n">
        <v>3129</v>
      </c>
      <c r="B3133" s="9" t="inlineStr">
        <is>
          <t>Aurelius_M5</t>
        </is>
      </c>
      <c r="C3133" s="9" t="inlineStr">
        <is>
          <t>MA alignment (EMA21&gt;EMA50&gt;SMA250&gt;SMMA500 vs EMA2400 trend filter)</t>
        </is>
      </c>
      <c r="D3133" s="9" t="inlineStr">
        <is>
          <t>Long</t>
        </is>
      </c>
      <c r="E3133" s="10" t="n">
        <v>45491.38888888889</v>
      </c>
      <c r="F3133" s="10" t="n">
        <v>45491.50347222222</v>
      </c>
      <c r="G3133" s="11" t="n">
        <v>-0.13</v>
      </c>
      <c r="H3133" s="11">
        <f>H3132+G3133</f>
        <v/>
      </c>
    </row>
    <row r="3134">
      <c r="A3134" s="9" t="n">
        <v>3130</v>
      </c>
      <c r="B3134" s="9" t="inlineStr">
        <is>
          <t>Aurelius_M15</t>
        </is>
      </c>
      <c r="C3134" s="9" t="inlineStr">
        <is>
          <t>MA alignment (EMA21&gt;EMA50&gt;SMA250&gt;SMMA500 vs EMA2400 trend filter) - M15 chart</t>
        </is>
      </c>
      <c r="D3134" s="9" t="inlineStr">
        <is>
          <t>Long</t>
        </is>
      </c>
      <c r="E3134" s="10" t="n">
        <v>45491.40625</v>
      </c>
      <c r="F3134" s="10" t="n">
        <v>45491.54166666666</v>
      </c>
      <c r="G3134" s="11" t="n">
        <v>-6.82</v>
      </c>
      <c r="H3134" s="11">
        <f>H3133+G3134</f>
        <v/>
      </c>
    </row>
    <row r="3135">
      <c r="A3135" s="9" t="n">
        <v>3131</v>
      </c>
      <c r="B3135" s="9" t="inlineStr">
        <is>
          <t>Vanguard_M5</t>
        </is>
      </c>
      <c r="C3135" s="9" t="inlineStr">
        <is>
          <t>Trendline breakout (fractal swing line) + VWAP/S-R distance gate</t>
        </is>
      </c>
      <c r="D3135" s="9" t="inlineStr">
        <is>
          <t>Short</t>
        </is>
      </c>
      <c r="E3135" s="10" t="n">
        <v>45490.73611111111</v>
      </c>
      <c r="F3135" s="10" t="n">
        <v>45491.64583333334</v>
      </c>
      <c r="G3135" s="11" t="n">
        <v>-0.06</v>
      </c>
      <c r="H3135" s="11">
        <f>H3134+G3135</f>
        <v/>
      </c>
    </row>
    <row r="3136">
      <c r="A3136" s="9" t="n">
        <v>3132</v>
      </c>
      <c r="B3136" s="9" t="inlineStr">
        <is>
          <t>Meridian</t>
        </is>
      </c>
      <c r="C3136" s="9" t="inlineStr">
        <is>
          <t>21/50 MA cross, 250-period confirm filter, VWAP</t>
        </is>
      </c>
      <c r="D3136" s="9" t="inlineStr">
        <is>
          <t>Long</t>
        </is>
      </c>
      <c r="E3136" s="10" t="n">
        <v>45491.75347222222</v>
      </c>
      <c r="F3136" s="10" t="n">
        <v>45491.79166666666</v>
      </c>
      <c r="G3136" s="11" t="n">
        <v>-6.39</v>
      </c>
      <c r="H3136" s="11">
        <f>H3135+G3136</f>
        <v/>
      </c>
    </row>
    <row r="3137">
      <c r="A3137" s="9" t="n">
        <v>3133</v>
      </c>
      <c r="B3137" s="9" t="inlineStr">
        <is>
          <t>Ratchet</t>
        </is>
      </c>
      <c r="C3137" s="9" t="inlineStr">
        <is>
          <t>Stochastic scalp with give-back trail exit</t>
        </is>
      </c>
      <c r="D3137" s="9" t="inlineStr">
        <is>
          <t>Short</t>
        </is>
      </c>
      <c r="E3137" s="10" t="n">
        <v>45492.43402777778</v>
      </c>
      <c r="F3137" s="10" t="n">
        <v>45492.45138888889</v>
      </c>
      <c r="G3137" s="11" t="n">
        <v>-0</v>
      </c>
      <c r="H3137" s="11">
        <f>H3136+G3137</f>
        <v/>
      </c>
    </row>
    <row r="3138">
      <c r="A3138" s="9" t="n">
        <v>3134</v>
      </c>
      <c r="B3138" s="9" t="inlineStr">
        <is>
          <t>Aurelius_M5</t>
        </is>
      </c>
      <c r="C3138" s="9" t="inlineStr">
        <is>
          <t>MA alignment (EMA21&gt;EMA50&gt;SMA250&gt;SMMA500 vs EMA2400 trend filter)</t>
        </is>
      </c>
      <c r="D3138" s="9" t="inlineStr">
        <is>
          <t>Short</t>
        </is>
      </c>
      <c r="E3138" s="10" t="n">
        <v>45492.53472222222</v>
      </c>
      <c r="F3138" s="10" t="n">
        <v>45492.92013888889</v>
      </c>
      <c r="G3138" s="11" t="n">
        <v>16.58</v>
      </c>
      <c r="H3138" s="11">
        <f>H3137+G3138</f>
        <v/>
      </c>
    </row>
    <row r="3139">
      <c r="A3139" s="9" t="n">
        <v>3135</v>
      </c>
      <c r="B3139" s="9" t="inlineStr">
        <is>
          <t>Ratchet</t>
        </is>
      </c>
      <c r="C3139" s="9" t="inlineStr">
        <is>
          <t>Stochastic scalp with give-back trail exit</t>
        </is>
      </c>
      <c r="D3139" s="9" t="inlineStr">
        <is>
          <t>Short</t>
        </is>
      </c>
      <c r="E3139" s="10" t="n">
        <v>45495.23263888889</v>
      </c>
      <c r="F3139" s="10" t="n">
        <v>45495.24305555555</v>
      </c>
      <c r="G3139" s="11" t="n">
        <v>-3.13</v>
      </c>
      <c r="H3139" s="11">
        <f>H3138+G3139</f>
        <v/>
      </c>
    </row>
    <row r="3140">
      <c r="A3140" s="9" t="n">
        <v>3136</v>
      </c>
      <c r="B3140" s="9" t="inlineStr">
        <is>
          <t>Meridian</t>
        </is>
      </c>
      <c r="C3140" s="9" t="inlineStr">
        <is>
          <t>21/50 MA cross, 250-period confirm filter, VWAP</t>
        </is>
      </c>
      <c r="D3140" s="9" t="inlineStr">
        <is>
          <t>Short</t>
        </is>
      </c>
      <c r="E3140" s="10" t="n">
        <v>45495.23263888889</v>
      </c>
      <c r="F3140" s="10" t="n">
        <v>45495.26388888889</v>
      </c>
      <c r="G3140" s="11" t="n">
        <v>-4.19</v>
      </c>
      <c r="H3140" s="11">
        <f>H3139+G3140</f>
        <v/>
      </c>
    </row>
    <row r="3141">
      <c r="A3141" s="9" t="n">
        <v>3137</v>
      </c>
      <c r="B3141" s="9" t="inlineStr">
        <is>
          <t>Ratchet</t>
        </is>
      </c>
      <c r="C3141" s="9" t="inlineStr">
        <is>
          <t>Stochastic scalp with give-back trail exit</t>
        </is>
      </c>
      <c r="D3141" s="9" t="inlineStr">
        <is>
          <t>Short</t>
        </is>
      </c>
      <c r="E3141" s="10" t="n">
        <v>45495.35416666666</v>
      </c>
      <c r="F3141" s="10" t="n">
        <v>45495.36805555555</v>
      </c>
      <c r="G3141" s="11" t="n">
        <v>-2.61</v>
      </c>
      <c r="H3141" s="11">
        <f>H3140+G3141</f>
        <v/>
      </c>
    </row>
    <row r="3142">
      <c r="A3142" s="9" t="n">
        <v>3138</v>
      </c>
      <c r="B3142" s="9" t="inlineStr">
        <is>
          <t>Vanguard_M15</t>
        </is>
      </c>
      <c r="C3142" s="9" t="inlineStr">
        <is>
          <t>Trendline breakout (fractal swing line) + VWAP/S-R distance gate - M15 chart</t>
        </is>
      </c>
      <c r="D3142" s="9" t="inlineStr">
        <is>
          <t>Short</t>
        </is>
      </c>
      <c r="E3142" s="10" t="n">
        <v>45490.73958333334</v>
      </c>
      <c r="F3142" s="10" t="n">
        <v>45495.53125</v>
      </c>
      <c r="G3142" s="11" t="n">
        <v>66.64</v>
      </c>
      <c r="H3142" s="11">
        <f>H3141+G3142</f>
        <v/>
      </c>
    </row>
    <row r="3143">
      <c r="A3143" s="9" t="n">
        <v>3139</v>
      </c>
      <c r="B3143" s="9" t="inlineStr">
        <is>
          <t>Meridian</t>
        </is>
      </c>
      <c r="C3143" s="9" t="inlineStr">
        <is>
          <t>21/50 MA cross, 250-period confirm filter, VWAP</t>
        </is>
      </c>
      <c r="D3143" s="9" t="inlineStr">
        <is>
          <t>Short</t>
        </is>
      </c>
      <c r="E3143" s="10" t="n">
        <v>45495.29513888889</v>
      </c>
      <c r="F3143" s="10" t="n">
        <v>45495.55208333334</v>
      </c>
      <c r="G3143" s="11" t="n">
        <v>0.38</v>
      </c>
      <c r="H3143" s="11">
        <f>H3142+G3143</f>
        <v/>
      </c>
    </row>
    <row r="3144">
      <c r="A3144" s="9" t="n">
        <v>3140</v>
      </c>
      <c r="B3144" s="9" t="inlineStr">
        <is>
          <t>Aurelius_M5</t>
        </is>
      </c>
      <c r="C3144" s="9" t="inlineStr">
        <is>
          <t>MA alignment (EMA21&gt;EMA50&gt;SMA250&gt;SMMA500 vs EMA2400 trend filter)</t>
        </is>
      </c>
      <c r="D3144" s="9" t="inlineStr">
        <is>
          <t>Short</t>
        </is>
      </c>
      <c r="E3144" s="10" t="n">
        <v>45495.33333333334</v>
      </c>
      <c r="F3144" s="10" t="n">
        <v>45495.55208333334</v>
      </c>
      <c r="G3144" s="11" t="n">
        <v>0.54</v>
      </c>
      <c r="H3144" s="11">
        <f>H3143+G3144</f>
        <v/>
      </c>
    </row>
    <row r="3145">
      <c r="A3145" s="9" t="n">
        <v>3141</v>
      </c>
      <c r="B3145" s="9" t="inlineStr">
        <is>
          <t>Aurelius_M15</t>
        </is>
      </c>
      <c r="C3145" s="9" t="inlineStr">
        <is>
          <t>MA alignment (EMA21&gt;EMA50&gt;SMA250&gt;SMMA500 vs EMA2400 trend filter) - M15 chart</t>
        </is>
      </c>
      <c r="D3145" s="9" t="inlineStr">
        <is>
          <t>Short</t>
        </is>
      </c>
      <c r="E3145" s="10" t="n">
        <v>45495.38541666666</v>
      </c>
      <c r="F3145" s="10" t="n">
        <v>45495.55208333334</v>
      </c>
      <c r="G3145" s="11" t="n">
        <v>-3.93</v>
      </c>
      <c r="H3145" s="11">
        <f>H3144+G3145</f>
        <v/>
      </c>
    </row>
    <row r="3146">
      <c r="A3146" s="9" t="n">
        <v>3142</v>
      </c>
      <c r="B3146" s="9" t="inlineStr">
        <is>
          <t>Ratchet</t>
        </is>
      </c>
      <c r="C3146" s="9" t="inlineStr">
        <is>
          <t>Stochastic scalp with give-back trail exit</t>
        </is>
      </c>
      <c r="D3146" s="9" t="inlineStr">
        <is>
          <t>Short</t>
        </is>
      </c>
      <c r="E3146" s="10" t="n">
        <v>45495.66319444445</v>
      </c>
      <c r="F3146" s="10" t="n">
        <v>45495.71180555555</v>
      </c>
      <c r="G3146" s="11" t="n">
        <v>0.71</v>
      </c>
      <c r="H3146" s="11">
        <f>H3145+G3146</f>
        <v/>
      </c>
    </row>
    <row r="3147">
      <c r="A3147" s="9" t="n">
        <v>3143</v>
      </c>
      <c r="B3147" s="9" t="inlineStr">
        <is>
          <t>Aurelius_M5</t>
        </is>
      </c>
      <c r="C3147" s="9" t="inlineStr">
        <is>
          <t>MA alignment (EMA21&gt;EMA50&gt;SMA250&gt;SMMA500 vs EMA2400 trend filter)</t>
        </is>
      </c>
      <c r="D3147" s="9" t="inlineStr">
        <is>
          <t>Short</t>
        </is>
      </c>
      <c r="E3147" s="10" t="n">
        <v>45495.64236111111</v>
      </c>
      <c r="F3147" s="10" t="n">
        <v>45495.84027777778</v>
      </c>
      <c r="G3147" s="11" t="n">
        <v>5.27</v>
      </c>
      <c r="H3147" s="11">
        <f>H3146+G3147</f>
        <v/>
      </c>
    </row>
    <row r="3148">
      <c r="A3148" s="9" t="n">
        <v>3144</v>
      </c>
      <c r="B3148" s="9" t="inlineStr">
        <is>
          <t>Meridian</t>
        </is>
      </c>
      <c r="C3148" s="9" t="inlineStr">
        <is>
          <t>21/50 MA cross, 250-period confirm filter, VWAP</t>
        </is>
      </c>
      <c r="D3148" s="9" t="inlineStr">
        <is>
          <t>Short</t>
        </is>
      </c>
      <c r="E3148" s="10" t="n">
        <v>45495.61805555555</v>
      </c>
      <c r="F3148" s="10" t="n">
        <v>45495.86111111111</v>
      </c>
      <c r="G3148" s="11" t="n">
        <v>5.62</v>
      </c>
      <c r="H3148" s="11">
        <f>H3147+G3148</f>
        <v/>
      </c>
    </row>
    <row r="3149">
      <c r="A3149" s="9" t="n">
        <v>3145</v>
      </c>
      <c r="B3149" s="9" t="inlineStr">
        <is>
          <t>Meridian</t>
        </is>
      </c>
      <c r="C3149" s="9" t="inlineStr">
        <is>
          <t>21/50 MA cross, 250-period confirm filter, VWAP</t>
        </is>
      </c>
      <c r="D3149" s="9" t="inlineStr">
        <is>
          <t>Short</t>
        </is>
      </c>
      <c r="E3149" s="10" t="n">
        <v>45496.125</v>
      </c>
      <c r="F3149" s="10" t="n">
        <v>45496.12847222222</v>
      </c>
      <c r="G3149" s="11" t="n">
        <v>-1.29</v>
      </c>
      <c r="H3149" s="11">
        <f>H3148+G3149</f>
        <v/>
      </c>
    </row>
    <row r="3150">
      <c r="A3150" s="9" t="n">
        <v>3146</v>
      </c>
      <c r="B3150" s="9" t="inlineStr">
        <is>
          <t>Ratchet</t>
        </is>
      </c>
      <c r="C3150" s="9" t="inlineStr">
        <is>
          <t>Stochastic scalp with give-back trail exit</t>
        </is>
      </c>
      <c r="D3150" s="9" t="inlineStr">
        <is>
          <t>Short</t>
        </is>
      </c>
      <c r="E3150" s="10" t="n">
        <v>45496.35763888889</v>
      </c>
      <c r="F3150" s="10" t="n">
        <v>45496.37152777778</v>
      </c>
      <c r="G3150" s="11" t="n">
        <v>0.59</v>
      </c>
      <c r="H3150" s="11">
        <f>H3149+G3150</f>
        <v/>
      </c>
    </row>
    <row r="3151">
      <c r="A3151" s="9" t="n">
        <v>3147</v>
      </c>
      <c r="B3151" s="9" t="inlineStr">
        <is>
          <t>Ratchet</t>
        </is>
      </c>
      <c r="C3151" s="9" t="inlineStr">
        <is>
          <t>Stochastic scalp with give-back trail exit</t>
        </is>
      </c>
      <c r="D3151" s="9" t="inlineStr">
        <is>
          <t>Short</t>
        </is>
      </c>
      <c r="E3151" s="10" t="n">
        <v>45496.38194444445</v>
      </c>
      <c r="F3151" s="10" t="n">
        <v>45496.39930555555</v>
      </c>
      <c r="G3151" s="11" t="n">
        <v>0.96</v>
      </c>
      <c r="H3151" s="11">
        <f>H3150+G3151</f>
        <v/>
      </c>
    </row>
    <row r="3152">
      <c r="A3152" s="9" t="n">
        <v>3148</v>
      </c>
      <c r="B3152" s="9" t="inlineStr">
        <is>
          <t>Ratchet</t>
        </is>
      </c>
      <c r="C3152" s="9" t="inlineStr">
        <is>
          <t>Stochastic scalp with give-back trail exit</t>
        </is>
      </c>
      <c r="D3152" s="9" t="inlineStr">
        <is>
          <t>Short</t>
        </is>
      </c>
      <c r="E3152" s="10" t="n">
        <v>45496.41319444445</v>
      </c>
      <c r="F3152" s="10" t="n">
        <v>45496.43055555555</v>
      </c>
      <c r="G3152" s="11" t="n">
        <v>-3.31</v>
      </c>
      <c r="H3152" s="11">
        <f>H3151+G3152</f>
        <v/>
      </c>
    </row>
    <row r="3153">
      <c r="A3153" s="9" t="n">
        <v>3149</v>
      </c>
      <c r="B3153" s="9" t="inlineStr">
        <is>
          <t>Aurelius_M15</t>
        </is>
      </c>
      <c r="C3153" s="9" t="inlineStr">
        <is>
          <t>MA alignment (EMA21&gt;EMA50&gt;SMA250&gt;SMMA500 vs EMA2400 trend filter) - M15 chart</t>
        </is>
      </c>
      <c r="D3153" s="9" t="inlineStr">
        <is>
          <t>Short</t>
        </is>
      </c>
      <c r="E3153" s="10" t="n">
        <v>45496.40625</v>
      </c>
      <c r="F3153" s="10" t="n">
        <v>45496.46875</v>
      </c>
      <c r="G3153" s="11" t="n">
        <v>-6.5</v>
      </c>
      <c r="H3153" s="11">
        <f>H3152+G3153</f>
        <v/>
      </c>
    </row>
    <row r="3154">
      <c r="A3154" s="9" t="n">
        <v>3150</v>
      </c>
      <c r="B3154" s="9" t="inlineStr">
        <is>
          <t>Meridian</t>
        </is>
      </c>
      <c r="C3154" s="9" t="inlineStr">
        <is>
          <t>21/50 MA cross, 250-period confirm filter, VWAP</t>
        </is>
      </c>
      <c r="D3154" s="9" t="inlineStr">
        <is>
          <t>Long</t>
        </is>
      </c>
      <c r="E3154" s="10" t="n">
        <v>45496.46527777778</v>
      </c>
      <c r="F3154" s="10" t="n">
        <v>45496.70138888889</v>
      </c>
      <c r="G3154" s="11" t="n">
        <v>3.53</v>
      </c>
      <c r="H3154" s="11">
        <f>H3153+G3154</f>
        <v/>
      </c>
    </row>
    <row r="3155">
      <c r="A3155" s="9" t="n">
        <v>3151</v>
      </c>
      <c r="B3155" s="9" t="inlineStr">
        <is>
          <t>Meridian</t>
        </is>
      </c>
      <c r="C3155" s="9" t="inlineStr">
        <is>
          <t>21/50 MA cross, 250-period confirm filter, VWAP</t>
        </is>
      </c>
      <c r="D3155" s="9" t="inlineStr">
        <is>
          <t>Long</t>
        </is>
      </c>
      <c r="E3155" s="10" t="n">
        <v>45496.77777777778</v>
      </c>
      <c r="F3155" s="10" t="n">
        <v>45496.81944444445</v>
      </c>
      <c r="G3155" s="11" t="n">
        <v>-2.29</v>
      </c>
      <c r="H3155" s="11">
        <f>H3154+G3155</f>
        <v/>
      </c>
    </row>
    <row r="3156">
      <c r="A3156" s="9" t="n">
        <v>3152</v>
      </c>
      <c r="B3156" s="9" t="inlineStr">
        <is>
          <t>Meridian</t>
        </is>
      </c>
      <c r="C3156" s="9" t="inlineStr">
        <is>
          <t>21/50 MA cross, 250-period confirm filter, VWAP</t>
        </is>
      </c>
      <c r="D3156" s="9" t="inlineStr">
        <is>
          <t>Long</t>
        </is>
      </c>
      <c r="E3156" s="10" t="n">
        <v>45496.82291666666</v>
      </c>
      <c r="F3156" s="10" t="n">
        <v>45496.88888888889</v>
      </c>
      <c r="G3156" s="11" t="n">
        <v>-2.29</v>
      </c>
      <c r="H3156" s="11">
        <f>H3155+G3156</f>
        <v/>
      </c>
    </row>
    <row r="3157">
      <c r="A3157" s="9" t="n">
        <v>3153</v>
      </c>
      <c r="B3157" s="9" t="inlineStr">
        <is>
          <t>Vanguard_M15</t>
        </is>
      </c>
      <c r="C3157" s="9" t="inlineStr">
        <is>
          <t>Trendline breakout (fractal swing line) + VWAP/S-R distance gate - M15 chart</t>
        </is>
      </c>
      <c r="D3157" s="9" t="inlineStr">
        <is>
          <t>Long</t>
        </is>
      </c>
      <c r="E3157" s="10" t="n">
        <v>45497.17708333334</v>
      </c>
      <c r="F3157" s="10" t="n">
        <v>45497.17708333334</v>
      </c>
      <c r="G3157" s="11" t="n">
        <v>-5.51</v>
      </c>
      <c r="H3157" s="11">
        <f>H3156+G3157</f>
        <v/>
      </c>
    </row>
    <row r="3158">
      <c r="A3158" s="9" t="n">
        <v>3154</v>
      </c>
      <c r="B3158" s="9" t="inlineStr">
        <is>
          <t>Vanguard_M5</t>
        </is>
      </c>
      <c r="C3158" s="9" t="inlineStr">
        <is>
          <t>Trendline breakout (fractal swing line) + VWAP/S-R distance gate</t>
        </is>
      </c>
      <c r="D3158" s="9" t="inlineStr">
        <is>
          <t>Long</t>
        </is>
      </c>
      <c r="E3158" s="10" t="n">
        <v>45497.17708333334</v>
      </c>
      <c r="F3158" s="10" t="n">
        <v>45497.18055555555</v>
      </c>
      <c r="G3158" s="11" t="n">
        <v>-3.96</v>
      </c>
      <c r="H3158" s="11">
        <f>H3157+G3158</f>
        <v/>
      </c>
    </row>
    <row r="3159">
      <c r="A3159" s="9" t="n">
        <v>3155</v>
      </c>
      <c r="B3159" s="9" t="inlineStr">
        <is>
          <t>Ratchet</t>
        </is>
      </c>
      <c r="C3159" s="9" t="inlineStr">
        <is>
          <t>Stochastic scalp with give-back trail exit</t>
        </is>
      </c>
      <c r="D3159" s="9" t="inlineStr">
        <is>
          <t>Long</t>
        </is>
      </c>
      <c r="E3159" s="10" t="n">
        <v>45497.23263888889</v>
      </c>
      <c r="F3159" s="10" t="n">
        <v>45497.23611111111</v>
      </c>
      <c r="G3159" s="11" t="n">
        <v>-0</v>
      </c>
      <c r="H3159" s="11">
        <f>H3158+G3159</f>
        <v/>
      </c>
    </row>
    <row r="3160">
      <c r="A3160" s="9" t="n">
        <v>3156</v>
      </c>
      <c r="B3160" s="9" t="inlineStr">
        <is>
          <t>Meridian</t>
        </is>
      </c>
      <c r="C3160" s="9" t="inlineStr">
        <is>
          <t>21/50 MA cross, 250-period confirm filter, VWAP</t>
        </is>
      </c>
      <c r="D3160" s="9" t="inlineStr">
        <is>
          <t>Long</t>
        </is>
      </c>
      <c r="E3160" s="10" t="n">
        <v>45496.91666666666</v>
      </c>
      <c r="F3160" s="10" t="n">
        <v>45497.45833333334</v>
      </c>
      <c r="G3160" s="11" t="n">
        <v>8.710000000000001</v>
      </c>
      <c r="H3160" s="11">
        <f>H3159+G3160</f>
        <v/>
      </c>
    </row>
    <row r="3161">
      <c r="A3161" s="9" t="n">
        <v>3157</v>
      </c>
      <c r="B3161" s="9" t="inlineStr">
        <is>
          <t>Ratchet</t>
        </is>
      </c>
      <c r="C3161" s="9" t="inlineStr">
        <is>
          <t>Stochastic scalp with give-back trail exit</t>
        </is>
      </c>
      <c r="D3161" s="9" t="inlineStr">
        <is>
          <t>Long</t>
        </is>
      </c>
      <c r="E3161" s="10" t="n">
        <v>45497.63194444445</v>
      </c>
      <c r="F3161" s="10" t="n">
        <v>45497.63888888889</v>
      </c>
      <c r="G3161" s="11" t="n">
        <v>0.42</v>
      </c>
      <c r="H3161" s="11">
        <f>H3160+G3161</f>
        <v/>
      </c>
    </row>
    <row r="3162">
      <c r="A3162" s="9" t="n">
        <v>3158</v>
      </c>
      <c r="B3162" s="9" t="inlineStr">
        <is>
          <t>Meridian</t>
        </is>
      </c>
      <c r="C3162" s="9" t="inlineStr">
        <is>
          <t>21/50 MA cross, 250-period confirm filter, VWAP</t>
        </is>
      </c>
      <c r="D3162" s="9" t="inlineStr">
        <is>
          <t>Long</t>
        </is>
      </c>
      <c r="E3162" s="10" t="n">
        <v>45497.62152777778</v>
      </c>
      <c r="F3162" s="10" t="n">
        <v>45497.83680555555</v>
      </c>
      <c r="G3162" s="11" t="n">
        <v>0.65</v>
      </c>
      <c r="H3162" s="11">
        <f>H3161+G3162</f>
        <v/>
      </c>
    </row>
    <row r="3163">
      <c r="A3163" s="9" t="n">
        <v>3159</v>
      </c>
      <c r="B3163" s="9" t="inlineStr">
        <is>
          <t>Vanguard_M5</t>
        </is>
      </c>
      <c r="C3163" s="9" t="inlineStr">
        <is>
          <t>Trendline breakout (fractal swing line) + VWAP/S-R distance gate</t>
        </is>
      </c>
      <c r="D3163" s="9" t="inlineStr">
        <is>
          <t>Long</t>
        </is>
      </c>
      <c r="E3163" s="10" t="n">
        <v>45497.22222222222</v>
      </c>
      <c r="F3163" s="10" t="n">
        <v>45497.875</v>
      </c>
      <c r="G3163" s="11" t="n">
        <v>-6.5</v>
      </c>
      <c r="H3163" s="11">
        <f>H3162+G3163</f>
        <v/>
      </c>
    </row>
    <row r="3164">
      <c r="A3164" s="9" t="n">
        <v>3160</v>
      </c>
      <c r="B3164" s="9" t="inlineStr">
        <is>
          <t>Vanguard_M15</t>
        </is>
      </c>
      <c r="C3164" s="9" t="inlineStr">
        <is>
          <t>Trendline breakout (fractal swing line) + VWAP/S-R distance gate - M15 chart</t>
        </is>
      </c>
      <c r="D3164" s="9" t="inlineStr">
        <is>
          <t>Long</t>
        </is>
      </c>
      <c r="E3164" s="10" t="n">
        <v>45497.22916666666</v>
      </c>
      <c r="F3164" s="10" t="n">
        <v>45497.9375</v>
      </c>
      <c r="G3164" s="11" t="n">
        <v>-7.76</v>
      </c>
      <c r="H3164" s="11">
        <f>H3163+G3164</f>
        <v/>
      </c>
    </row>
    <row r="3165">
      <c r="A3165" s="9" t="n">
        <v>3161</v>
      </c>
      <c r="B3165" s="9" t="inlineStr">
        <is>
          <t>Ratchet</t>
        </is>
      </c>
      <c r="C3165" s="9" t="inlineStr">
        <is>
          <t>Stochastic scalp with give-back trail exit</t>
        </is>
      </c>
      <c r="D3165" s="9" t="inlineStr">
        <is>
          <t>Short</t>
        </is>
      </c>
      <c r="E3165" s="10" t="n">
        <v>45498.40625</v>
      </c>
      <c r="F3165" s="10" t="n">
        <v>45498.41319444445</v>
      </c>
      <c r="G3165" s="11" t="n">
        <v>0.61</v>
      </c>
      <c r="H3165" s="11">
        <f>H3164+G3165</f>
        <v/>
      </c>
    </row>
    <row r="3166">
      <c r="A3166" s="9" t="n">
        <v>3162</v>
      </c>
      <c r="B3166" s="9" t="inlineStr">
        <is>
          <t>Ratchet</t>
        </is>
      </c>
      <c r="C3166" s="9" t="inlineStr">
        <is>
          <t>Stochastic scalp with give-back trail exit</t>
        </is>
      </c>
      <c r="D3166" s="9" t="inlineStr">
        <is>
          <t>Short</t>
        </is>
      </c>
      <c r="E3166" s="10" t="n">
        <v>45498.50694444445</v>
      </c>
      <c r="F3166" s="10" t="n">
        <v>45498.52083333334</v>
      </c>
      <c r="G3166" s="11" t="n">
        <v>0.57</v>
      </c>
      <c r="H3166" s="11">
        <f>H3165+G3166</f>
        <v/>
      </c>
    </row>
    <row r="3167">
      <c r="A3167" s="9" t="n">
        <v>3163</v>
      </c>
      <c r="B3167" s="9" t="inlineStr">
        <is>
          <t>Meridian</t>
        </is>
      </c>
      <c r="C3167" s="9" t="inlineStr">
        <is>
          <t>21/50 MA cross, 250-period confirm filter, VWAP</t>
        </is>
      </c>
      <c r="D3167" s="9" t="inlineStr">
        <is>
          <t>Short</t>
        </is>
      </c>
      <c r="E3167" s="10" t="n">
        <v>45498.61458333334</v>
      </c>
      <c r="F3167" s="10" t="n">
        <v>45498.63888888889</v>
      </c>
      <c r="G3167" s="11" t="n">
        <v>-5.43</v>
      </c>
      <c r="H3167" s="11">
        <f>H3166+G3167</f>
        <v/>
      </c>
    </row>
    <row r="3168">
      <c r="A3168" s="9" t="n">
        <v>3164</v>
      </c>
      <c r="B3168" s="9" t="inlineStr">
        <is>
          <t>Ratchet</t>
        </is>
      </c>
      <c r="C3168" s="9" t="inlineStr">
        <is>
          <t>Stochastic scalp with give-back trail exit</t>
        </is>
      </c>
      <c r="D3168" s="9" t="inlineStr">
        <is>
          <t>Short</t>
        </is>
      </c>
      <c r="E3168" s="10" t="n">
        <v>45498.62152777778</v>
      </c>
      <c r="F3168" s="10" t="n">
        <v>45498.63888888889</v>
      </c>
      <c r="G3168" s="11" t="n">
        <v>1.89</v>
      </c>
      <c r="H3168" s="11">
        <f>H3167+G3168</f>
        <v/>
      </c>
    </row>
    <row r="3169">
      <c r="A3169" s="9" t="n">
        <v>3165</v>
      </c>
      <c r="B3169" s="9" t="inlineStr">
        <is>
          <t>Aurelius_M5</t>
        </is>
      </c>
      <c r="C3169" s="9" t="inlineStr">
        <is>
          <t>MA alignment (EMA21&gt;EMA50&gt;SMA250&gt;SMMA500 vs EMA2400 trend filter)</t>
        </is>
      </c>
      <c r="D3169" s="9" t="inlineStr">
        <is>
          <t>Short</t>
        </is>
      </c>
      <c r="E3169" s="10" t="n">
        <v>45498.63541666666</v>
      </c>
      <c r="F3169" s="10" t="n">
        <v>45498.63888888889</v>
      </c>
      <c r="G3169" s="11" t="n">
        <v>-5.73</v>
      </c>
      <c r="H3169" s="11">
        <f>H3168+G3169</f>
        <v/>
      </c>
    </row>
    <row r="3170">
      <c r="A3170" s="9" t="n">
        <v>3166</v>
      </c>
      <c r="B3170" s="9" t="inlineStr">
        <is>
          <t>Ratchet</t>
        </is>
      </c>
      <c r="C3170" s="9" t="inlineStr">
        <is>
          <t>Stochastic scalp with give-back trail exit</t>
        </is>
      </c>
      <c r="D3170" s="9" t="inlineStr">
        <is>
          <t>Short</t>
        </is>
      </c>
      <c r="E3170" s="10" t="n">
        <v>45498.73958333334</v>
      </c>
      <c r="F3170" s="10" t="n">
        <v>45498.80555555555</v>
      </c>
      <c r="G3170" s="11" t="n">
        <v>1.57</v>
      </c>
      <c r="H3170" s="11">
        <f>H3169+G3170</f>
        <v/>
      </c>
    </row>
    <row r="3171">
      <c r="A3171" s="9" t="n">
        <v>3167</v>
      </c>
      <c r="B3171" s="9" t="inlineStr">
        <is>
          <t>Vanguard_M15</t>
        </is>
      </c>
      <c r="C3171" s="9" t="inlineStr">
        <is>
          <t>Trendline breakout (fractal swing line) + VWAP/S-R distance gate - M15 chart</t>
        </is>
      </c>
      <c r="D3171" s="9" t="inlineStr">
        <is>
          <t>Short</t>
        </is>
      </c>
      <c r="E3171" s="10" t="n">
        <v>45497.95833333334</v>
      </c>
      <c r="F3171" s="10" t="n">
        <v>45498.92708333334</v>
      </c>
      <c r="G3171" s="11" t="n">
        <v>35.71</v>
      </c>
      <c r="H3171" s="11">
        <f>H3170+G3171</f>
        <v/>
      </c>
    </row>
    <row r="3172">
      <c r="A3172" s="9" t="n">
        <v>3168</v>
      </c>
      <c r="B3172" s="9" t="inlineStr">
        <is>
          <t>Ratchet</t>
        </is>
      </c>
      <c r="C3172" s="9" t="inlineStr">
        <is>
          <t>Stochastic scalp with give-back trail exit</t>
        </is>
      </c>
      <c r="D3172" s="9" t="inlineStr">
        <is>
          <t>Short</t>
        </is>
      </c>
      <c r="E3172" s="10" t="n">
        <v>45498.92013888889</v>
      </c>
      <c r="F3172" s="10" t="n">
        <v>45498.93055555555</v>
      </c>
      <c r="G3172" s="11" t="n">
        <v>-3.27</v>
      </c>
      <c r="H3172" s="11">
        <f>H3171+G3172</f>
        <v/>
      </c>
    </row>
    <row r="3173">
      <c r="A3173" s="9" t="n">
        <v>3169</v>
      </c>
      <c r="B3173" s="9" t="inlineStr">
        <is>
          <t>Vanguard_M5</t>
        </is>
      </c>
      <c r="C3173" s="9" t="inlineStr">
        <is>
          <t>Trendline breakout (fractal swing line) + VWAP/S-R distance gate</t>
        </is>
      </c>
      <c r="D3173" s="9" t="inlineStr">
        <is>
          <t>Short</t>
        </is>
      </c>
      <c r="E3173" s="10" t="n">
        <v>45497.95833333334</v>
      </c>
      <c r="F3173" s="10" t="n">
        <v>45498.93402777778</v>
      </c>
      <c r="G3173" s="11" t="n">
        <v>35.71</v>
      </c>
      <c r="H3173" s="11">
        <f>H3172+G3173</f>
        <v/>
      </c>
    </row>
    <row r="3174">
      <c r="A3174" s="9" t="n">
        <v>3170</v>
      </c>
      <c r="B3174" s="9" t="inlineStr">
        <is>
          <t>Aurelius_M5</t>
        </is>
      </c>
      <c r="C3174" s="9" t="inlineStr">
        <is>
          <t>MA alignment (EMA21&gt;EMA50&gt;SMA250&gt;SMMA500 vs EMA2400 trend filter)</t>
        </is>
      </c>
      <c r="D3174" s="9" t="inlineStr">
        <is>
          <t>Short</t>
        </is>
      </c>
      <c r="E3174" s="10" t="n">
        <v>45498.65625</v>
      </c>
      <c r="F3174" s="10" t="n">
        <v>45498.98263888889</v>
      </c>
      <c r="G3174" s="11" t="n">
        <v>6.79</v>
      </c>
      <c r="H3174" s="11">
        <f>H3173+G3174</f>
        <v/>
      </c>
    </row>
    <row r="3175">
      <c r="A3175" s="9" t="n">
        <v>3171</v>
      </c>
      <c r="B3175" s="9" t="inlineStr">
        <is>
          <t>Meridian</t>
        </is>
      </c>
      <c r="C3175" s="9" t="inlineStr">
        <is>
          <t>21/50 MA cross, 250-period confirm filter, VWAP</t>
        </is>
      </c>
      <c r="D3175" s="9" t="inlineStr">
        <is>
          <t>Short</t>
        </is>
      </c>
      <c r="E3175" s="10" t="n">
        <v>45499.17361111111</v>
      </c>
      <c r="F3175" s="10" t="n">
        <v>45499.17361111111</v>
      </c>
      <c r="G3175" s="11" t="n">
        <v>-3.75</v>
      </c>
      <c r="H3175" s="11">
        <f>H3174+G3175</f>
        <v/>
      </c>
    </row>
    <row r="3176">
      <c r="A3176" s="9" t="n">
        <v>3172</v>
      </c>
      <c r="B3176" s="9" t="inlineStr">
        <is>
          <t>Aurelius_M15</t>
        </is>
      </c>
      <c r="C3176" s="9" t="inlineStr">
        <is>
          <t>MA alignment (EMA21&gt;EMA50&gt;SMA250&gt;SMMA500 vs EMA2400 trend filter) - M15 chart</t>
        </is>
      </c>
      <c r="D3176" s="9" t="inlineStr">
        <is>
          <t>Short</t>
        </is>
      </c>
      <c r="E3176" s="10" t="n">
        <v>45498.67708333334</v>
      </c>
      <c r="F3176" s="10" t="n">
        <v>45499.26041666666</v>
      </c>
      <c r="G3176" s="11" t="n">
        <v>-1.6</v>
      </c>
      <c r="H3176" s="11">
        <f>H3175+G3176</f>
        <v/>
      </c>
    </row>
    <row r="3177">
      <c r="A3177" s="9" t="n">
        <v>3173</v>
      </c>
      <c r="B3177" s="9" t="inlineStr">
        <is>
          <t>Meridian</t>
        </is>
      </c>
      <c r="C3177" s="9" t="inlineStr">
        <is>
          <t>21/50 MA cross, 250-period confirm filter, VWAP</t>
        </is>
      </c>
      <c r="D3177" s="9" t="inlineStr">
        <is>
          <t>Short</t>
        </is>
      </c>
      <c r="E3177" s="10" t="n">
        <v>45499.39930555555</v>
      </c>
      <c r="F3177" s="10" t="n">
        <v>45499.43402777778</v>
      </c>
      <c r="G3177" s="11" t="n">
        <v>-4.87</v>
      </c>
      <c r="H3177" s="11">
        <f>H3176+G3177</f>
        <v/>
      </c>
    </row>
    <row r="3178">
      <c r="A3178" s="9" t="n">
        <v>3174</v>
      </c>
      <c r="B3178" s="9" t="inlineStr">
        <is>
          <t>Meridian</t>
        </is>
      </c>
      <c r="C3178" s="9" t="inlineStr">
        <is>
          <t>21/50 MA cross, 250-period confirm filter, VWAP</t>
        </is>
      </c>
      <c r="D3178" s="9" t="inlineStr">
        <is>
          <t>Long</t>
        </is>
      </c>
      <c r="E3178" s="10" t="n">
        <v>45499.46527777778</v>
      </c>
      <c r="F3178" s="10" t="n">
        <v>45499.91666666666</v>
      </c>
      <c r="G3178" s="11" t="n">
        <v>12.03</v>
      </c>
      <c r="H3178" s="11">
        <f>H3177+G3178</f>
        <v/>
      </c>
    </row>
    <row r="3179">
      <c r="A3179" s="9" t="n">
        <v>3175</v>
      </c>
      <c r="B3179" s="9" t="inlineStr">
        <is>
          <t>Ratchet</t>
        </is>
      </c>
      <c r="C3179" s="9" t="inlineStr">
        <is>
          <t>Stochastic scalp with give-back trail exit</t>
        </is>
      </c>
      <c r="D3179" s="9" t="inlineStr">
        <is>
          <t>Long</t>
        </is>
      </c>
      <c r="E3179" s="10" t="n">
        <v>45502.14930555555</v>
      </c>
      <c r="F3179" s="10" t="n">
        <v>45502.15277777778</v>
      </c>
      <c r="G3179" s="11" t="n">
        <v>0.25</v>
      </c>
      <c r="H3179" s="11">
        <f>H3178+G3179</f>
        <v/>
      </c>
    </row>
    <row r="3180">
      <c r="A3180" s="9" t="n">
        <v>3176</v>
      </c>
      <c r="B3180" s="9" t="inlineStr">
        <is>
          <t>Meridian</t>
        </is>
      </c>
      <c r="C3180" s="9" t="inlineStr">
        <is>
          <t>21/50 MA cross, 250-period confirm filter, VWAP</t>
        </is>
      </c>
      <c r="D3180" s="9" t="inlineStr">
        <is>
          <t>Short</t>
        </is>
      </c>
      <c r="E3180" s="10" t="n">
        <v>45502.60763888889</v>
      </c>
      <c r="F3180" s="10" t="n">
        <v>45502.65277777778</v>
      </c>
      <c r="G3180" s="11" t="n">
        <v>-3.96</v>
      </c>
      <c r="H3180" s="11">
        <f>H3179+G3180</f>
        <v/>
      </c>
    </row>
    <row r="3181">
      <c r="A3181" s="9" t="n">
        <v>3177</v>
      </c>
      <c r="B3181" s="9" t="inlineStr">
        <is>
          <t>Meridian</t>
        </is>
      </c>
      <c r="C3181" s="9" t="inlineStr">
        <is>
          <t>21/50 MA cross, 250-period confirm filter, VWAP</t>
        </is>
      </c>
      <c r="D3181" s="9" t="inlineStr">
        <is>
          <t>Long</t>
        </is>
      </c>
      <c r="E3181" s="10" t="n">
        <v>45502.67361111111</v>
      </c>
      <c r="F3181" s="10" t="n">
        <v>45502.71875</v>
      </c>
      <c r="G3181" s="11" t="n">
        <v>-4.55</v>
      </c>
      <c r="H3181" s="11">
        <f>H3180+G3181</f>
        <v/>
      </c>
    </row>
    <row r="3182">
      <c r="A3182" s="9" t="n">
        <v>3178</v>
      </c>
      <c r="B3182" s="9" t="inlineStr">
        <is>
          <t>Vanguard_M15</t>
        </is>
      </c>
      <c r="C3182" s="9" t="inlineStr">
        <is>
          <t>Trendline breakout (fractal swing line) + VWAP/S-R distance gate - M15 chart</t>
        </is>
      </c>
      <c r="D3182" s="9" t="inlineStr">
        <is>
          <t>Long</t>
        </is>
      </c>
      <c r="E3182" s="10" t="n">
        <v>45499.66666666666</v>
      </c>
      <c r="F3182" s="10" t="n">
        <v>45502.75</v>
      </c>
      <c r="G3182" s="11" t="n">
        <v>-0.91</v>
      </c>
      <c r="H3182" s="11">
        <f>H3181+G3182</f>
        <v/>
      </c>
    </row>
    <row r="3183">
      <c r="A3183" s="9" t="n">
        <v>3179</v>
      </c>
      <c r="B3183" s="9" t="inlineStr">
        <is>
          <t>Vanguard_M5</t>
        </is>
      </c>
      <c r="C3183" s="9" t="inlineStr">
        <is>
          <t>Trendline breakout (fractal swing line) + VWAP/S-R distance gate</t>
        </is>
      </c>
      <c r="D3183" s="9" t="inlineStr">
        <is>
          <t>Long</t>
        </is>
      </c>
      <c r="E3183" s="10" t="n">
        <v>45499.65277777778</v>
      </c>
      <c r="F3183" s="10" t="n">
        <v>45502.75694444445</v>
      </c>
      <c r="G3183" s="11" t="n">
        <v>-1.23</v>
      </c>
      <c r="H3183" s="11">
        <f>H3182+G3183</f>
        <v/>
      </c>
    </row>
    <row r="3184">
      <c r="A3184" s="9" t="n">
        <v>3180</v>
      </c>
      <c r="B3184" s="9" t="inlineStr">
        <is>
          <t>Meridian</t>
        </is>
      </c>
      <c r="C3184" s="9" t="inlineStr">
        <is>
          <t>21/50 MA cross, 250-period confirm filter, VWAP</t>
        </is>
      </c>
      <c r="D3184" s="9" t="inlineStr">
        <is>
          <t>Short</t>
        </is>
      </c>
      <c r="E3184" s="10" t="n">
        <v>45502.73263888889</v>
      </c>
      <c r="F3184" s="10" t="n">
        <v>45502.94791666666</v>
      </c>
      <c r="G3184" s="11" t="n">
        <v>4.41</v>
      </c>
      <c r="H3184" s="11">
        <f>H3183+G3184</f>
        <v/>
      </c>
    </row>
    <row r="3185">
      <c r="A3185" s="9" t="n">
        <v>3181</v>
      </c>
      <c r="B3185" s="9" t="inlineStr">
        <is>
          <t>Meridian</t>
        </is>
      </c>
      <c r="C3185" s="9" t="inlineStr">
        <is>
          <t>21/50 MA cross, 250-period confirm filter, VWAP</t>
        </is>
      </c>
      <c r="D3185" s="9" t="inlineStr">
        <is>
          <t>Short</t>
        </is>
      </c>
      <c r="E3185" s="10" t="n">
        <v>45503.13541666666</v>
      </c>
      <c r="F3185" s="10" t="n">
        <v>45503.15972222222</v>
      </c>
      <c r="G3185" s="11" t="n">
        <v>-2.46</v>
      </c>
      <c r="H3185" s="11">
        <f>H3184+G3185</f>
        <v/>
      </c>
    </row>
    <row r="3186">
      <c r="A3186" s="9" t="n">
        <v>3182</v>
      </c>
      <c r="B3186" s="9" t="inlineStr">
        <is>
          <t>Aurelius_M5</t>
        </is>
      </c>
      <c r="C3186" s="9" t="inlineStr">
        <is>
          <t>MA alignment (EMA21&gt;EMA50&gt;SMA250&gt;SMMA500 vs EMA2400 trend filter)</t>
        </is>
      </c>
      <c r="D3186" s="9" t="inlineStr">
        <is>
          <t>Short</t>
        </is>
      </c>
      <c r="E3186" s="10" t="n">
        <v>45503.16666666666</v>
      </c>
      <c r="F3186" s="10" t="n">
        <v>45503.26388888889</v>
      </c>
      <c r="G3186" s="11" t="n">
        <v>-0.4</v>
      </c>
      <c r="H3186" s="11">
        <f>H3185+G3186</f>
        <v/>
      </c>
    </row>
    <row r="3187">
      <c r="A3187" s="9" t="n">
        <v>3183</v>
      </c>
      <c r="B3187" s="9" t="inlineStr">
        <is>
          <t>Aurelius_M15</t>
        </is>
      </c>
      <c r="C3187" s="9" t="inlineStr">
        <is>
          <t>MA alignment (EMA21&gt;EMA50&gt;SMA250&gt;SMMA500 vs EMA2400 trend filter) - M15 chart</t>
        </is>
      </c>
      <c r="D3187" s="9" t="inlineStr">
        <is>
          <t>Short</t>
        </is>
      </c>
      <c r="E3187" s="10" t="n">
        <v>45503.17708333334</v>
      </c>
      <c r="F3187" s="10" t="n">
        <v>45503.28125</v>
      </c>
      <c r="G3187" s="11" t="n">
        <v>-5.57</v>
      </c>
      <c r="H3187" s="11">
        <f>H3186+G3187</f>
        <v/>
      </c>
    </row>
    <row r="3188">
      <c r="A3188" s="9" t="n">
        <v>3184</v>
      </c>
      <c r="B3188" s="9" t="inlineStr">
        <is>
          <t>Meridian</t>
        </is>
      </c>
      <c r="C3188" s="9" t="inlineStr">
        <is>
          <t>21/50 MA cross, 250-period confirm filter, VWAP</t>
        </is>
      </c>
      <c r="D3188" s="9" t="inlineStr">
        <is>
          <t>Long</t>
        </is>
      </c>
      <c r="E3188" s="10" t="n">
        <v>45503.68402777778</v>
      </c>
      <c r="F3188" s="10" t="n">
        <v>45503.70833333334</v>
      </c>
      <c r="G3188" s="11" t="n">
        <v>-4.7</v>
      </c>
      <c r="H3188" s="11">
        <f>H3187+G3188</f>
        <v/>
      </c>
    </row>
    <row r="3189">
      <c r="A3189" s="9" t="n">
        <v>3185</v>
      </c>
      <c r="B3189" s="9" t="inlineStr">
        <is>
          <t>Vanguard_M5</t>
        </is>
      </c>
      <c r="C3189" s="9" t="inlineStr">
        <is>
          <t>Trendline breakout (fractal swing line) + VWAP/S-R distance gate</t>
        </is>
      </c>
      <c r="D3189" s="9" t="inlineStr">
        <is>
          <t>Long</t>
        </is>
      </c>
      <c r="E3189" s="10" t="n">
        <v>45503.41319444445</v>
      </c>
      <c r="F3189" s="10" t="n">
        <v>45503.76736111111</v>
      </c>
      <c r="G3189" s="11" t="n">
        <v>-5.63</v>
      </c>
      <c r="H3189" s="11">
        <f>H3188+G3189</f>
        <v/>
      </c>
    </row>
    <row r="3190">
      <c r="A3190" s="9" t="n">
        <v>3186</v>
      </c>
      <c r="B3190" s="9" t="inlineStr">
        <is>
          <t>Vanguard_M15</t>
        </is>
      </c>
      <c r="C3190" s="9" t="inlineStr">
        <is>
          <t>Trendline breakout (fractal swing line) + VWAP/S-R distance gate - M15 chart</t>
        </is>
      </c>
      <c r="D3190" s="9" t="inlineStr">
        <is>
          <t>Long</t>
        </is>
      </c>
      <c r="E3190" s="10" t="n">
        <v>45503.41666666666</v>
      </c>
      <c r="F3190" s="10" t="n">
        <v>45503.78125</v>
      </c>
      <c r="G3190" s="11" t="n">
        <v>-6.88</v>
      </c>
      <c r="H3190" s="11">
        <f>H3189+G3190</f>
        <v/>
      </c>
    </row>
    <row r="3191">
      <c r="A3191" s="9" t="n">
        <v>3187</v>
      </c>
      <c r="B3191" s="9" t="inlineStr">
        <is>
          <t>Ratchet</t>
        </is>
      </c>
      <c r="C3191" s="9" t="inlineStr">
        <is>
          <t>Stochastic scalp with give-back trail exit</t>
        </is>
      </c>
      <c r="D3191" s="9" t="inlineStr">
        <is>
          <t>Long</t>
        </is>
      </c>
      <c r="E3191" s="10" t="n">
        <v>45503.92013888889</v>
      </c>
      <c r="F3191" s="10" t="n">
        <v>45503.94097222222</v>
      </c>
      <c r="G3191" s="11" t="n">
        <v>0.79</v>
      </c>
      <c r="H3191" s="11">
        <f>H3190+G3191</f>
        <v/>
      </c>
    </row>
    <row r="3192">
      <c r="A3192" s="9" t="n">
        <v>3188</v>
      </c>
      <c r="B3192" s="9" t="inlineStr">
        <is>
          <t>Ratchet</t>
        </is>
      </c>
      <c r="C3192" s="9" t="inlineStr">
        <is>
          <t>Stochastic scalp with give-back trail exit</t>
        </is>
      </c>
      <c r="D3192" s="9" t="inlineStr">
        <is>
          <t>Long</t>
        </is>
      </c>
      <c r="E3192" s="10" t="n">
        <v>45504.04513888889</v>
      </c>
      <c r="F3192" s="10" t="n">
        <v>45504.07291666666</v>
      </c>
      <c r="G3192" s="11" t="n">
        <v>-2.72</v>
      </c>
      <c r="H3192" s="11">
        <f>H3191+G3192</f>
        <v/>
      </c>
    </row>
    <row r="3193">
      <c r="A3193" s="9" t="n">
        <v>3189</v>
      </c>
      <c r="B3193" s="9" t="inlineStr">
        <is>
          <t>Meridian</t>
        </is>
      </c>
      <c r="C3193" s="9" t="inlineStr">
        <is>
          <t>21/50 MA cross, 250-period confirm filter, VWAP</t>
        </is>
      </c>
      <c r="D3193" s="9" t="inlineStr">
        <is>
          <t>Long</t>
        </is>
      </c>
      <c r="E3193" s="10" t="n">
        <v>45503.82638888889</v>
      </c>
      <c r="F3193" s="10" t="n">
        <v>45504.22569444445</v>
      </c>
      <c r="G3193" s="11" t="n">
        <v>9.369999999999999</v>
      </c>
      <c r="H3193" s="11">
        <f>H3192+G3193</f>
        <v/>
      </c>
    </row>
    <row r="3194">
      <c r="A3194" s="9" t="n">
        <v>3190</v>
      </c>
      <c r="B3194" s="9" t="inlineStr">
        <is>
          <t>Ratchet</t>
        </is>
      </c>
      <c r="C3194" s="9" t="inlineStr">
        <is>
          <t>Stochastic scalp with give-back trail exit</t>
        </is>
      </c>
      <c r="D3194" s="9" t="inlineStr">
        <is>
          <t>Long</t>
        </is>
      </c>
      <c r="E3194" s="10" t="n">
        <v>45504.42013888889</v>
      </c>
      <c r="F3194" s="10" t="n">
        <v>45504.42708333334</v>
      </c>
      <c r="G3194" s="11" t="n">
        <v>-3.4</v>
      </c>
      <c r="H3194" s="11">
        <f>H3193+G3194</f>
        <v/>
      </c>
    </row>
    <row r="3195">
      <c r="A3195" s="9" t="n">
        <v>3191</v>
      </c>
      <c r="B3195" s="9" t="inlineStr">
        <is>
          <t>Ratchet</t>
        </is>
      </c>
      <c r="C3195" s="9" t="inlineStr">
        <is>
          <t>Stochastic scalp with give-back trail exit</t>
        </is>
      </c>
      <c r="D3195" s="9" t="inlineStr">
        <is>
          <t>Long</t>
        </is>
      </c>
      <c r="E3195" s="10" t="n">
        <v>45504.53819444445</v>
      </c>
      <c r="F3195" s="10" t="n">
        <v>45504.54861111111</v>
      </c>
      <c r="G3195" s="11" t="n">
        <v>0.29</v>
      </c>
      <c r="H3195" s="11">
        <f>H3194+G3195</f>
        <v/>
      </c>
    </row>
    <row r="3196">
      <c r="A3196" s="9" t="n">
        <v>3192</v>
      </c>
      <c r="B3196" s="9" t="inlineStr">
        <is>
          <t>Aurelius_M5</t>
        </is>
      </c>
      <c r="C3196" s="9" t="inlineStr">
        <is>
          <t>MA alignment (EMA21&gt;EMA50&gt;SMA250&gt;SMMA500 vs EMA2400 trend filter)</t>
        </is>
      </c>
      <c r="D3196" s="9" t="inlineStr">
        <is>
          <t>Long</t>
        </is>
      </c>
      <c r="E3196" s="10" t="n">
        <v>45504.28472222222</v>
      </c>
      <c r="F3196" s="10" t="n">
        <v>45505.04166666666</v>
      </c>
      <c r="G3196" s="11" t="n">
        <v>30.82</v>
      </c>
      <c r="H3196" s="11">
        <f>H3195+G3196</f>
        <v/>
      </c>
    </row>
    <row r="3197">
      <c r="A3197" s="9" t="n">
        <v>3193</v>
      </c>
      <c r="B3197" s="9" t="inlineStr">
        <is>
          <t>Ratchet</t>
        </is>
      </c>
      <c r="C3197" s="9" t="inlineStr">
        <is>
          <t>Stochastic scalp with give-back trail exit</t>
        </is>
      </c>
      <c r="D3197" s="9" t="inlineStr">
        <is>
          <t>Long</t>
        </is>
      </c>
      <c r="E3197" s="10" t="n">
        <v>45505.17013888889</v>
      </c>
      <c r="F3197" s="10" t="n">
        <v>45505.20486111111</v>
      </c>
      <c r="G3197" s="11" t="n">
        <v>2.92</v>
      </c>
      <c r="H3197" s="11">
        <f>H3196+G3197</f>
        <v/>
      </c>
    </row>
    <row r="3198">
      <c r="A3198" s="9" t="n">
        <v>3194</v>
      </c>
      <c r="B3198" s="9" t="inlineStr">
        <is>
          <t>Meridian</t>
        </is>
      </c>
      <c r="C3198" s="9" t="inlineStr">
        <is>
          <t>21/50 MA cross, 250-period confirm filter, VWAP</t>
        </is>
      </c>
      <c r="D3198" s="9" t="inlineStr">
        <is>
          <t>Long</t>
        </is>
      </c>
      <c r="E3198" s="10" t="n">
        <v>45504.26041666666</v>
      </c>
      <c r="F3198" s="10" t="n">
        <v>45505.25</v>
      </c>
      <c r="G3198" s="11" t="n">
        <v>26.07</v>
      </c>
      <c r="H3198" s="11">
        <f>H3197+G3198</f>
        <v/>
      </c>
    </row>
    <row r="3199">
      <c r="A3199" s="9" t="n">
        <v>3195</v>
      </c>
      <c r="B3199" s="9" t="inlineStr">
        <is>
          <t>Aurelius_M15</t>
        </is>
      </c>
      <c r="C3199" s="9" t="inlineStr">
        <is>
          <t>MA alignment (EMA21&gt;EMA50&gt;SMA250&gt;SMMA500 vs EMA2400 trend filter) - M15 chart</t>
        </is>
      </c>
      <c r="D3199" s="9" t="inlineStr">
        <is>
          <t>Long</t>
        </is>
      </c>
      <c r="E3199" s="10" t="n">
        <v>45504.72916666666</v>
      </c>
      <c r="F3199" s="10" t="n">
        <v>45505.3125</v>
      </c>
      <c r="G3199" s="11" t="n">
        <v>22.61</v>
      </c>
      <c r="H3199" s="11">
        <f>H3198+G3199</f>
        <v/>
      </c>
    </row>
    <row r="3200">
      <c r="A3200" s="9" t="n">
        <v>3196</v>
      </c>
      <c r="B3200" s="9" t="inlineStr">
        <is>
          <t>Ratchet</t>
        </is>
      </c>
      <c r="C3200" s="9" t="inlineStr">
        <is>
          <t>Stochastic scalp with give-back trail exit</t>
        </is>
      </c>
      <c r="D3200" s="9" t="inlineStr">
        <is>
          <t>Long</t>
        </is>
      </c>
      <c r="E3200" s="10" t="n">
        <v>45505.66666666666</v>
      </c>
      <c r="F3200" s="10" t="n">
        <v>45505.67013888889</v>
      </c>
      <c r="G3200" s="11" t="n">
        <v>0</v>
      </c>
      <c r="H3200" s="11">
        <f>H3199+G3200</f>
        <v/>
      </c>
    </row>
    <row r="3201">
      <c r="A3201" s="9" t="n">
        <v>3197</v>
      </c>
      <c r="B3201" s="9" t="inlineStr">
        <is>
          <t>Vanguard_M5</t>
        </is>
      </c>
      <c r="C3201" s="9" t="inlineStr">
        <is>
          <t>Trendline breakout (fractal swing line) + VWAP/S-R distance gate</t>
        </is>
      </c>
      <c r="D3201" s="9" t="inlineStr">
        <is>
          <t>Short</t>
        </is>
      </c>
      <c r="E3201" s="10" t="n">
        <v>45505.88541666666</v>
      </c>
      <c r="F3201" s="10" t="n">
        <v>45506.14236111111</v>
      </c>
      <c r="G3201" s="11" t="n">
        <v>-10.57</v>
      </c>
      <c r="H3201" s="11">
        <f>H3200+G3201</f>
        <v/>
      </c>
    </row>
    <row r="3202">
      <c r="A3202" s="9" t="n">
        <v>3198</v>
      </c>
      <c r="B3202" s="9" t="inlineStr">
        <is>
          <t>Ratchet</t>
        </is>
      </c>
      <c r="C3202" s="9" t="inlineStr">
        <is>
          <t>Stochastic scalp with give-back trail exit</t>
        </is>
      </c>
      <c r="D3202" s="9" t="inlineStr">
        <is>
          <t>Long</t>
        </is>
      </c>
      <c r="E3202" s="10" t="n">
        <v>45506.17013888889</v>
      </c>
      <c r="F3202" s="10" t="n">
        <v>45506.17361111111</v>
      </c>
      <c r="G3202" s="11" t="n">
        <v>-3.38</v>
      </c>
      <c r="H3202" s="11">
        <f>H3201+G3202</f>
        <v/>
      </c>
    </row>
    <row r="3203">
      <c r="A3203" s="9" t="n">
        <v>3199</v>
      </c>
      <c r="B3203" s="9" t="inlineStr">
        <is>
          <t>Vanguard_M5</t>
        </is>
      </c>
      <c r="C3203" s="9" t="inlineStr">
        <is>
          <t>Trendline breakout (fractal swing line) + VWAP/S-R distance gate</t>
        </is>
      </c>
      <c r="D3203" s="9" t="inlineStr">
        <is>
          <t>Short</t>
        </is>
      </c>
      <c r="E3203" s="10" t="n">
        <v>45506.17708333334</v>
      </c>
      <c r="F3203" s="10" t="n">
        <v>45506.20486111111</v>
      </c>
      <c r="G3203" s="11" t="n">
        <v>-9.93</v>
      </c>
      <c r="H3203" s="11">
        <f>H3202+G3203</f>
        <v/>
      </c>
    </row>
    <row r="3204">
      <c r="A3204" s="9" t="n">
        <v>3200</v>
      </c>
      <c r="B3204" s="9" t="inlineStr">
        <is>
          <t>Meridian</t>
        </is>
      </c>
      <c r="C3204" s="9" t="inlineStr">
        <is>
          <t>21/50 MA cross, 250-period confirm filter, VWAP</t>
        </is>
      </c>
      <c r="D3204" s="9" t="inlineStr">
        <is>
          <t>Short</t>
        </is>
      </c>
      <c r="E3204" s="10" t="n">
        <v>45506.19444444445</v>
      </c>
      <c r="F3204" s="10" t="n">
        <v>45506.20833333334</v>
      </c>
      <c r="G3204" s="11" t="n">
        <v>-6.64</v>
      </c>
      <c r="H3204" s="11">
        <f>H3203+G3204</f>
        <v/>
      </c>
    </row>
    <row r="3205">
      <c r="A3205" s="9" t="n">
        <v>3201</v>
      </c>
      <c r="B3205" s="9" t="inlineStr">
        <is>
          <t>Vanguard_M15</t>
        </is>
      </c>
      <c r="C3205" s="9" t="inlineStr">
        <is>
          <t>Trendline breakout (fractal swing line) + VWAP/S-R distance gate - M15 chart</t>
        </is>
      </c>
      <c r="D3205" s="9" t="inlineStr">
        <is>
          <t>Short</t>
        </is>
      </c>
      <c r="E3205" s="10" t="n">
        <v>45505.88541666666</v>
      </c>
      <c r="F3205" s="10" t="n">
        <v>45506.21875</v>
      </c>
      <c r="G3205" s="11" t="n">
        <v>-14.29</v>
      </c>
      <c r="H3205" s="11">
        <f>H3204+G3205</f>
        <v/>
      </c>
    </row>
    <row r="3206">
      <c r="A3206" s="9" t="n">
        <v>3202</v>
      </c>
      <c r="B3206" s="9" t="inlineStr">
        <is>
          <t>Ratchet</t>
        </is>
      </c>
      <c r="C3206" s="9" t="inlineStr">
        <is>
          <t>Stochastic scalp with give-back trail exit</t>
        </is>
      </c>
      <c r="D3206" s="9" t="inlineStr">
        <is>
          <t>Long</t>
        </is>
      </c>
      <c r="E3206" s="10" t="n">
        <v>45506.24305555555</v>
      </c>
      <c r="F3206" s="10" t="n">
        <v>45506.27083333334</v>
      </c>
      <c r="G3206" s="11" t="n">
        <v>2.12</v>
      </c>
      <c r="H3206" s="11">
        <f>H3205+G3206</f>
        <v/>
      </c>
    </row>
    <row r="3207">
      <c r="A3207" s="9" t="n">
        <v>3203</v>
      </c>
      <c r="B3207" s="9" t="inlineStr">
        <is>
          <t>Ratchet</t>
        </is>
      </c>
      <c r="C3207" s="9" t="inlineStr">
        <is>
          <t>Stochastic scalp with give-back trail exit</t>
        </is>
      </c>
      <c r="D3207" s="9" t="inlineStr">
        <is>
          <t>Long</t>
        </is>
      </c>
      <c r="E3207" s="10" t="n">
        <v>45506.28125</v>
      </c>
      <c r="F3207" s="10" t="n">
        <v>45506.55902777778</v>
      </c>
      <c r="G3207" s="11" t="n">
        <v>10.08</v>
      </c>
      <c r="H3207" s="11">
        <f>H3206+G3207</f>
        <v/>
      </c>
    </row>
    <row r="3208">
      <c r="A3208" s="9" t="n">
        <v>3204</v>
      </c>
      <c r="B3208" s="9" t="inlineStr">
        <is>
          <t>Meridian</t>
        </is>
      </c>
      <c r="C3208" s="9" t="inlineStr">
        <is>
          <t>21/50 MA cross, 250-period confirm filter, VWAP</t>
        </is>
      </c>
      <c r="D3208" s="9" t="inlineStr">
        <is>
          <t>Long</t>
        </is>
      </c>
      <c r="E3208" s="10" t="n">
        <v>45506.65277777778</v>
      </c>
      <c r="F3208" s="10" t="n">
        <v>45506.66666666666</v>
      </c>
      <c r="G3208" s="11" t="n">
        <v>-8.279999999999999</v>
      </c>
      <c r="H3208" s="11">
        <f>H3207+G3208</f>
        <v/>
      </c>
    </row>
    <row r="3209">
      <c r="A3209" s="9" t="n">
        <v>3205</v>
      </c>
      <c r="B3209" s="9" t="inlineStr">
        <is>
          <t>Ratchet</t>
        </is>
      </c>
      <c r="C3209" s="9" t="inlineStr">
        <is>
          <t>Stochastic scalp with give-back trail exit</t>
        </is>
      </c>
      <c r="D3209" s="9" t="inlineStr">
        <is>
          <t>Long</t>
        </is>
      </c>
      <c r="E3209" s="10" t="n">
        <v>45506.66666666666</v>
      </c>
      <c r="F3209" s="10" t="n">
        <v>45506.66666666666</v>
      </c>
      <c r="G3209" s="11" t="n">
        <v>-7.99</v>
      </c>
      <c r="H3209" s="11">
        <f>H3208+G3209</f>
        <v/>
      </c>
    </row>
    <row r="3210">
      <c r="A3210" s="9" t="n">
        <v>3206</v>
      </c>
      <c r="B3210" s="9" t="inlineStr">
        <is>
          <t>Aurelius_M15</t>
        </is>
      </c>
      <c r="C3210" s="9" t="inlineStr">
        <is>
          <t>MA alignment (EMA21&gt;EMA50&gt;SMA250&gt;SMMA500 vs EMA2400 trend filter) - M15 chart</t>
        </is>
      </c>
      <c r="D3210" s="9" t="inlineStr">
        <is>
          <t>Long</t>
        </is>
      </c>
      <c r="E3210" s="10" t="n">
        <v>45506.21875</v>
      </c>
      <c r="F3210" s="10" t="n">
        <v>45506.72916666666</v>
      </c>
      <c r="G3210" s="11" t="n">
        <v>-10.8</v>
      </c>
      <c r="H3210" s="11">
        <f>H3209+G3210</f>
        <v/>
      </c>
    </row>
    <row r="3211">
      <c r="A3211" s="9" t="n">
        <v>3207</v>
      </c>
      <c r="B3211" s="9" t="inlineStr">
        <is>
          <t>Aurelius_M5</t>
        </is>
      </c>
      <c r="C3211" s="9" t="inlineStr">
        <is>
          <t>MA alignment (EMA21&gt;EMA50&gt;SMA250&gt;SMMA500 vs EMA2400 trend filter)</t>
        </is>
      </c>
      <c r="D3211" s="9" t="inlineStr">
        <is>
          <t>Long</t>
        </is>
      </c>
      <c r="E3211" s="10" t="n">
        <v>45506.70833333334</v>
      </c>
      <c r="F3211" s="10" t="n">
        <v>45506.72916666666</v>
      </c>
      <c r="G3211" s="11" t="n">
        <v>-11.12</v>
      </c>
      <c r="H3211" s="11">
        <f>H3210+G3211</f>
        <v/>
      </c>
    </row>
    <row r="3212">
      <c r="A3212" s="9" t="n">
        <v>3208</v>
      </c>
      <c r="B3212" s="9" t="inlineStr">
        <is>
          <t>Ratchet</t>
        </is>
      </c>
      <c r="C3212" s="9" t="inlineStr">
        <is>
          <t>Stochastic scalp with give-back trail exit</t>
        </is>
      </c>
      <c r="D3212" s="9" t="inlineStr">
        <is>
          <t>Long</t>
        </is>
      </c>
      <c r="E3212" s="10" t="n">
        <v>45506.72569444445</v>
      </c>
      <c r="F3212" s="10" t="n">
        <v>45506.72916666666</v>
      </c>
      <c r="G3212" s="11" t="n">
        <v>-8.119999999999999</v>
      </c>
      <c r="H3212" s="11">
        <f>H3211+G3212</f>
        <v/>
      </c>
    </row>
    <row r="3213">
      <c r="A3213" s="9" t="n">
        <v>3209</v>
      </c>
      <c r="B3213" s="9" t="inlineStr">
        <is>
          <t>Meridian</t>
        </is>
      </c>
      <c r="C3213" s="9" t="inlineStr">
        <is>
          <t>21/50 MA cross, 250-period confirm filter, VWAP</t>
        </is>
      </c>
      <c r="D3213" s="9" t="inlineStr">
        <is>
          <t>Short</t>
        </is>
      </c>
      <c r="E3213" s="10" t="n">
        <v>45506.73611111111</v>
      </c>
      <c r="F3213" s="10" t="n">
        <v>45506.91666666666</v>
      </c>
      <c r="G3213" s="11" t="n">
        <v>13.38</v>
      </c>
      <c r="H3213" s="11">
        <f>H3212+G3213</f>
        <v/>
      </c>
    </row>
    <row r="3214">
      <c r="A3214" s="9" t="n">
        <v>3210</v>
      </c>
      <c r="B3214" s="9" t="inlineStr">
        <is>
          <t>Meridian</t>
        </is>
      </c>
      <c r="C3214" s="9" t="inlineStr">
        <is>
          <t>21/50 MA cross, 250-period confirm filter, VWAP</t>
        </is>
      </c>
      <c r="D3214" s="9" t="inlineStr">
        <is>
          <t>Short</t>
        </is>
      </c>
      <c r="E3214" s="10" t="n">
        <v>45509.13888888889</v>
      </c>
      <c r="F3214" s="10" t="n">
        <v>45509.17361111111</v>
      </c>
      <c r="G3214" s="11" t="n">
        <v>-10.22</v>
      </c>
      <c r="H3214" s="11">
        <f>H3213+G3214</f>
        <v/>
      </c>
    </row>
    <row r="3215">
      <c r="A3215" s="9" t="n">
        <v>3211</v>
      </c>
      <c r="B3215" s="9" t="inlineStr">
        <is>
          <t>Meridian</t>
        </is>
      </c>
      <c r="C3215" s="9" t="inlineStr">
        <is>
          <t>21/50 MA cross, 250-period confirm filter, VWAP</t>
        </is>
      </c>
      <c r="D3215" s="9" t="inlineStr">
        <is>
          <t>Short</t>
        </is>
      </c>
      <c r="E3215" s="10" t="n">
        <v>45509.37847222222</v>
      </c>
      <c r="F3215" s="10" t="n">
        <v>45509.43402777778</v>
      </c>
      <c r="G3215" s="11" t="n">
        <v>-10.2</v>
      </c>
      <c r="H3215" s="11">
        <f>H3214+G3215</f>
        <v/>
      </c>
    </row>
    <row r="3216">
      <c r="A3216" s="9" t="n">
        <v>3212</v>
      </c>
      <c r="B3216" s="9" t="inlineStr">
        <is>
          <t>Aurelius_M15</t>
        </is>
      </c>
      <c r="C3216" s="9" t="inlineStr">
        <is>
          <t>MA alignment (EMA21&gt;EMA50&gt;SMA250&gt;SMMA500 vs EMA2400 trend filter) - M15 chart</t>
        </is>
      </c>
      <c r="D3216" s="9" t="inlineStr">
        <is>
          <t>Short</t>
        </is>
      </c>
      <c r="E3216" s="10" t="n">
        <v>45510.38541666666</v>
      </c>
      <c r="F3216" s="10" t="n">
        <v>45510.38541666666</v>
      </c>
      <c r="G3216" s="11" t="n">
        <v>-9.869999999999999</v>
      </c>
      <c r="H3216" s="11">
        <f>H3215+G3216</f>
        <v/>
      </c>
    </row>
    <row r="3217">
      <c r="A3217" s="9" t="n">
        <v>3213</v>
      </c>
      <c r="B3217" s="9" t="inlineStr">
        <is>
          <t>Meridian</t>
        </is>
      </c>
      <c r="C3217" s="9" t="inlineStr">
        <is>
          <t>21/50 MA cross, 250-period confirm filter, VWAP</t>
        </is>
      </c>
      <c r="D3217" s="9" t="inlineStr">
        <is>
          <t>Short</t>
        </is>
      </c>
      <c r="E3217" s="10" t="n">
        <v>45510.25</v>
      </c>
      <c r="F3217" s="10" t="n">
        <v>45510.46527777778</v>
      </c>
      <c r="G3217" s="11" t="n">
        <v>-5.25</v>
      </c>
      <c r="H3217" s="11">
        <f>H3216+G3217</f>
        <v/>
      </c>
    </row>
    <row r="3218">
      <c r="A3218" s="9" t="n">
        <v>3214</v>
      </c>
      <c r="B3218" s="9" t="inlineStr">
        <is>
          <t>Vanguard_M15</t>
        </is>
      </c>
      <c r="C3218" s="9" t="inlineStr">
        <is>
          <t>Trendline breakout (fractal swing line) + VWAP/S-R distance gate - M15 chart</t>
        </is>
      </c>
      <c r="D3218" s="9" t="inlineStr">
        <is>
          <t>Short</t>
        </is>
      </c>
      <c r="E3218" s="10" t="n">
        <v>45506.73958333334</v>
      </c>
      <c r="F3218" s="10" t="n">
        <v>45510.5</v>
      </c>
      <c r="G3218" s="11" t="n">
        <v>24.25</v>
      </c>
      <c r="H3218" s="11">
        <f>H3217+G3218</f>
        <v/>
      </c>
    </row>
    <row r="3219">
      <c r="A3219" s="9" t="n">
        <v>3215</v>
      </c>
      <c r="B3219" s="9" t="inlineStr">
        <is>
          <t>Vanguard_M5</t>
        </is>
      </c>
      <c r="C3219" s="9" t="inlineStr">
        <is>
          <t>Trendline breakout (fractal swing line) + VWAP/S-R distance gate</t>
        </is>
      </c>
      <c r="D3219" s="9" t="inlineStr">
        <is>
          <t>Short</t>
        </is>
      </c>
      <c r="E3219" s="10" t="n">
        <v>45506.73958333334</v>
      </c>
      <c r="F3219" s="10" t="n">
        <v>45510.50347222222</v>
      </c>
      <c r="G3219" s="11" t="n">
        <v>22.82</v>
      </c>
      <c r="H3219" s="11">
        <f>H3218+G3219</f>
        <v/>
      </c>
    </row>
    <row r="3220">
      <c r="A3220" s="9" t="n">
        <v>3216</v>
      </c>
      <c r="B3220" s="9" t="inlineStr">
        <is>
          <t>Vanguard_M5</t>
        </is>
      </c>
      <c r="C3220" s="9" t="inlineStr">
        <is>
          <t>Trendline breakout (fractal swing line) + VWAP/S-R distance gate</t>
        </is>
      </c>
      <c r="D3220" s="9" t="inlineStr">
        <is>
          <t>Long</t>
        </is>
      </c>
      <c r="E3220" s="10" t="n">
        <v>45510.50694444445</v>
      </c>
      <c r="F3220" s="10" t="n">
        <v>45510.64236111111</v>
      </c>
      <c r="G3220" s="11" t="n">
        <v>-10.62</v>
      </c>
      <c r="H3220" s="11">
        <f>H3219+G3220</f>
        <v/>
      </c>
    </row>
    <row r="3221">
      <c r="A3221" s="9" t="n">
        <v>3217</v>
      </c>
      <c r="B3221" s="9" t="inlineStr">
        <is>
          <t>Vanguard_M15</t>
        </is>
      </c>
      <c r="C3221" s="9" t="inlineStr">
        <is>
          <t>Trendline breakout (fractal swing line) + VWAP/S-R distance gate - M15 chart</t>
        </is>
      </c>
      <c r="D3221" s="9" t="inlineStr">
        <is>
          <t>Long</t>
        </is>
      </c>
      <c r="E3221" s="10" t="n">
        <v>45510.51041666666</v>
      </c>
      <c r="F3221" s="10" t="n">
        <v>45510.64583333334</v>
      </c>
      <c r="G3221" s="11" t="n">
        <v>-13.86</v>
      </c>
      <c r="H3221" s="11">
        <f>H3220+G3221</f>
        <v/>
      </c>
    </row>
    <row r="3222">
      <c r="A3222" s="9" t="n">
        <v>3218</v>
      </c>
      <c r="B3222" s="9" t="inlineStr">
        <is>
          <t>Meridian</t>
        </is>
      </c>
      <c r="C3222" s="9" t="inlineStr">
        <is>
          <t>21/50 MA cross, 250-period confirm filter, VWAP</t>
        </is>
      </c>
      <c r="D3222" s="9" t="inlineStr">
        <is>
          <t>Short</t>
        </is>
      </c>
      <c r="E3222" s="10" t="n">
        <v>45510.64236111111</v>
      </c>
      <c r="F3222" s="10" t="n">
        <v>45510.90277777778</v>
      </c>
      <c r="G3222" s="11" t="n">
        <v>11.43</v>
      </c>
      <c r="H3222" s="11">
        <f>H3221+G3222</f>
        <v/>
      </c>
    </row>
    <row r="3223">
      <c r="A3223" s="9" t="n">
        <v>3219</v>
      </c>
      <c r="B3223" s="9" t="inlineStr">
        <is>
          <t>Ratchet</t>
        </is>
      </c>
      <c r="C3223" s="9" t="inlineStr">
        <is>
          <t>Stochastic scalp with give-back trail exit</t>
        </is>
      </c>
      <c r="D3223" s="9" t="inlineStr">
        <is>
          <t>Short</t>
        </is>
      </c>
      <c r="E3223" s="10" t="n">
        <v>45511.20138888889</v>
      </c>
      <c r="F3223" s="10" t="n">
        <v>45511.22916666666</v>
      </c>
      <c r="G3223" s="11" t="n">
        <v>-5.35</v>
      </c>
      <c r="H3223" s="11">
        <f>H3222+G3223</f>
        <v/>
      </c>
    </row>
    <row r="3224">
      <c r="A3224" s="9" t="n">
        <v>3220</v>
      </c>
      <c r="B3224" s="9" t="inlineStr">
        <is>
          <t>Aurelius_M5</t>
        </is>
      </c>
      <c r="C3224" s="9" t="inlineStr">
        <is>
          <t>MA alignment (EMA21&gt;EMA50&gt;SMA250&gt;SMMA500 vs EMA2400 trend filter)</t>
        </is>
      </c>
      <c r="D3224" s="9" t="inlineStr">
        <is>
          <t>Short</t>
        </is>
      </c>
      <c r="E3224" s="10" t="n">
        <v>45511.19791666666</v>
      </c>
      <c r="F3224" s="10" t="n">
        <v>45511.28472222222</v>
      </c>
      <c r="G3224" s="11" t="n">
        <v>-3.88</v>
      </c>
      <c r="H3224" s="11">
        <f>H3223+G3224</f>
        <v/>
      </c>
    </row>
    <row r="3225">
      <c r="A3225" s="9" t="n">
        <v>3221</v>
      </c>
      <c r="B3225" s="9" t="inlineStr">
        <is>
          <t>Meridian</t>
        </is>
      </c>
      <c r="C3225" s="9" t="inlineStr">
        <is>
          <t>21/50 MA cross, 250-period confirm filter, VWAP</t>
        </is>
      </c>
      <c r="D3225" s="9" t="inlineStr">
        <is>
          <t>Short</t>
        </is>
      </c>
      <c r="E3225" s="10" t="n">
        <v>45510.93402777778</v>
      </c>
      <c r="F3225" s="10" t="n">
        <v>45511.29513888889</v>
      </c>
      <c r="G3225" s="11" t="n">
        <v>4.03</v>
      </c>
      <c r="H3225" s="11">
        <f>H3224+G3225</f>
        <v/>
      </c>
    </row>
    <row r="3226">
      <c r="A3226" s="9" t="n">
        <v>3222</v>
      </c>
      <c r="B3226" s="9" t="inlineStr">
        <is>
          <t>Aurelius_M15</t>
        </is>
      </c>
      <c r="C3226" s="9" t="inlineStr">
        <is>
          <t>MA alignment (EMA21&gt;EMA50&gt;SMA250&gt;SMMA500 vs EMA2400 trend filter) - M15 chart</t>
        </is>
      </c>
      <c r="D3226" s="9" t="inlineStr">
        <is>
          <t>Short</t>
        </is>
      </c>
      <c r="E3226" s="10" t="n">
        <v>45510.69791666666</v>
      </c>
      <c r="F3226" s="10" t="n">
        <v>45511.33333333334</v>
      </c>
      <c r="G3226" s="11" t="n">
        <v>4.27</v>
      </c>
      <c r="H3226" s="11">
        <f>H3225+G3226</f>
        <v/>
      </c>
    </row>
    <row r="3227">
      <c r="A3227" s="9" t="n">
        <v>3223</v>
      </c>
      <c r="B3227" s="9" t="inlineStr">
        <is>
          <t>Ratchet</t>
        </is>
      </c>
      <c r="C3227" s="9" t="inlineStr">
        <is>
          <t>Stochastic scalp with give-back trail exit</t>
        </is>
      </c>
      <c r="D3227" s="9" t="inlineStr">
        <is>
          <t>Short</t>
        </is>
      </c>
      <c r="E3227" s="10" t="n">
        <v>45511.87847222222</v>
      </c>
      <c r="F3227" s="10" t="n">
        <v>45511.88194444445</v>
      </c>
      <c r="G3227" s="11" t="n">
        <v>0.4</v>
      </c>
      <c r="H3227" s="11">
        <f>H3226+G3227</f>
        <v/>
      </c>
    </row>
    <row r="3228">
      <c r="A3228" s="9" t="n">
        <v>3224</v>
      </c>
      <c r="B3228" s="9" t="inlineStr">
        <is>
          <t>Ratchet</t>
        </is>
      </c>
      <c r="C3228" s="9" t="inlineStr">
        <is>
          <t>Stochastic scalp with give-back trail exit</t>
        </is>
      </c>
      <c r="D3228" s="9" t="inlineStr">
        <is>
          <t>Short</t>
        </is>
      </c>
      <c r="E3228" s="10" t="n">
        <v>45511.89583333334</v>
      </c>
      <c r="F3228" s="10" t="n">
        <v>45511.91666666666</v>
      </c>
      <c r="G3228" s="11" t="n">
        <v>1.33</v>
      </c>
      <c r="H3228" s="11">
        <f>H3227+G3228</f>
        <v/>
      </c>
    </row>
    <row r="3229">
      <c r="A3229" s="9" t="n">
        <v>3225</v>
      </c>
      <c r="B3229" s="9" t="inlineStr">
        <is>
          <t>Vanguard_M5</t>
        </is>
      </c>
      <c r="C3229" s="9" t="inlineStr">
        <is>
          <t>Trendline breakout (fractal swing line) + VWAP/S-R distance gate</t>
        </is>
      </c>
      <c r="D3229" s="9" t="inlineStr">
        <is>
          <t>Short</t>
        </is>
      </c>
      <c r="E3229" s="10" t="n">
        <v>45511.90277777778</v>
      </c>
      <c r="F3229" s="10" t="n">
        <v>45512.29166666666</v>
      </c>
      <c r="G3229" s="11" t="n">
        <v>-9.23</v>
      </c>
      <c r="H3229" s="11">
        <f>H3228+G3229</f>
        <v/>
      </c>
    </row>
    <row r="3230">
      <c r="A3230" s="9" t="n">
        <v>3226</v>
      </c>
      <c r="B3230" s="9" t="inlineStr">
        <is>
          <t>Vanguard_M15</t>
        </is>
      </c>
      <c r="C3230" s="9" t="inlineStr">
        <is>
          <t>Trendline breakout (fractal swing line) + VWAP/S-R distance gate - M15 chart</t>
        </is>
      </c>
      <c r="D3230" s="9" t="inlineStr">
        <is>
          <t>Short</t>
        </is>
      </c>
      <c r="E3230" s="10" t="n">
        <v>45511.90625</v>
      </c>
      <c r="F3230" s="10" t="n">
        <v>45512.38541666666</v>
      </c>
      <c r="G3230" s="11" t="n">
        <v>-11.84</v>
      </c>
      <c r="H3230" s="11">
        <f>H3229+G3230</f>
        <v/>
      </c>
    </row>
    <row r="3231">
      <c r="A3231" s="9" t="n">
        <v>3227</v>
      </c>
      <c r="B3231" s="9" t="inlineStr">
        <is>
          <t>Ratchet</t>
        </is>
      </c>
      <c r="C3231" s="9" t="inlineStr">
        <is>
          <t>Stochastic scalp with give-back trail exit</t>
        </is>
      </c>
      <c r="D3231" s="9" t="inlineStr">
        <is>
          <t>Long</t>
        </is>
      </c>
      <c r="E3231" s="10" t="n">
        <v>45512.69097222222</v>
      </c>
      <c r="F3231" s="10" t="n">
        <v>45512.69791666666</v>
      </c>
      <c r="G3231" s="11" t="n">
        <v>1.54</v>
      </c>
      <c r="H3231" s="11">
        <f>H3230+G3231</f>
        <v/>
      </c>
    </row>
    <row r="3232">
      <c r="A3232" s="9" t="n">
        <v>3228</v>
      </c>
      <c r="B3232" s="9" t="inlineStr">
        <is>
          <t>Ratchet</t>
        </is>
      </c>
      <c r="C3232" s="9" t="inlineStr">
        <is>
          <t>Stochastic scalp with give-back trail exit</t>
        </is>
      </c>
      <c r="D3232" s="9" t="inlineStr">
        <is>
          <t>Long</t>
        </is>
      </c>
      <c r="E3232" s="10" t="n">
        <v>45512.71527777778</v>
      </c>
      <c r="F3232" s="10" t="n">
        <v>45512.73611111111</v>
      </c>
      <c r="G3232" s="11" t="n">
        <v>2.83</v>
      </c>
      <c r="H3232" s="11">
        <f>H3231+G3232</f>
        <v/>
      </c>
    </row>
    <row r="3233">
      <c r="A3233" s="9" t="n">
        <v>3229</v>
      </c>
      <c r="B3233" s="9" t="inlineStr">
        <is>
          <t>Ratchet</t>
        </is>
      </c>
      <c r="C3233" s="9" t="inlineStr">
        <is>
          <t>Stochastic scalp with give-back trail exit</t>
        </is>
      </c>
      <c r="D3233" s="9" t="inlineStr">
        <is>
          <t>Long</t>
        </is>
      </c>
      <c r="E3233" s="10" t="n">
        <v>45512.84722222222</v>
      </c>
      <c r="F3233" s="10" t="n">
        <v>45512.85416666666</v>
      </c>
      <c r="G3233" s="11" t="n">
        <v>0.49</v>
      </c>
      <c r="H3233" s="11">
        <f>H3232+G3233</f>
        <v/>
      </c>
    </row>
    <row r="3234">
      <c r="A3234" s="9" t="n">
        <v>3230</v>
      </c>
      <c r="B3234" s="9" t="inlineStr">
        <is>
          <t>Meridian</t>
        </is>
      </c>
      <c r="C3234" s="9" t="inlineStr">
        <is>
          <t>21/50 MA cross, 250-period confirm filter, VWAP</t>
        </is>
      </c>
      <c r="D3234" s="9" t="inlineStr">
        <is>
          <t>Long</t>
        </is>
      </c>
      <c r="E3234" s="10" t="n">
        <v>45513.20138888889</v>
      </c>
      <c r="F3234" s="10" t="n">
        <v>45513.25694444445</v>
      </c>
      <c r="G3234" s="11" t="n">
        <v>-3.27</v>
      </c>
      <c r="H3234" s="11">
        <f>H3233+G3234</f>
        <v/>
      </c>
    </row>
    <row r="3235">
      <c r="A3235" s="9" t="n">
        <v>3231</v>
      </c>
      <c r="B3235" s="9" t="inlineStr">
        <is>
          <t>Ratchet</t>
        </is>
      </c>
      <c r="C3235" s="9" t="inlineStr">
        <is>
          <t>Stochastic scalp with give-back trail exit</t>
        </is>
      </c>
      <c r="D3235" s="9" t="inlineStr">
        <is>
          <t>Long</t>
        </is>
      </c>
      <c r="E3235" s="10" t="n">
        <v>45513.6875</v>
      </c>
      <c r="F3235" s="10" t="n">
        <v>45513.69097222222</v>
      </c>
      <c r="G3235" s="11" t="n">
        <v>-3.76</v>
      </c>
      <c r="H3235" s="11">
        <f>H3234+G3235</f>
        <v/>
      </c>
    </row>
    <row r="3236">
      <c r="A3236" s="9" t="n">
        <v>3232</v>
      </c>
      <c r="B3236" s="9" t="inlineStr">
        <is>
          <t>Vanguard_M5</t>
        </is>
      </c>
      <c r="C3236" s="9" t="inlineStr">
        <is>
          <t>Trendline breakout (fractal swing line) + VWAP/S-R distance gate</t>
        </is>
      </c>
      <c r="D3236" s="9" t="inlineStr">
        <is>
          <t>Long</t>
        </is>
      </c>
      <c r="E3236" s="10" t="n">
        <v>45512.5625</v>
      </c>
      <c r="F3236" s="10" t="n">
        <v>45513.80555555555</v>
      </c>
      <c r="G3236" s="11" t="n">
        <v>28.92</v>
      </c>
      <c r="H3236" s="11">
        <f>H3235+G3236</f>
        <v/>
      </c>
    </row>
    <row r="3237">
      <c r="A3237" s="9" t="n">
        <v>3233</v>
      </c>
      <c r="B3237" s="9" t="inlineStr">
        <is>
          <t>Ratchet</t>
        </is>
      </c>
      <c r="C3237" s="9" t="inlineStr">
        <is>
          <t>Stochastic scalp with give-back trail exit</t>
        </is>
      </c>
      <c r="D3237" s="9" t="inlineStr">
        <is>
          <t>Long</t>
        </is>
      </c>
      <c r="E3237" s="10" t="n">
        <v>45513.81944444445</v>
      </c>
      <c r="F3237" s="10" t="n">
        <v>45513.82638888889</v>
      </c>
      <c r="G3237" s="11" t="n">
        <v>0.46</v>
      </c>
      <c r="H3237" s="11">
        <f>H3236+G3237</f>
        <v/>
      </c>
    </row>
    <row r="3238">
      <c r="A3238" s="9" t="n">
        <v>3234</v>
      </c>
      <c r="B3238" s="9" t="inlineStr">
        <is>
          <t>Ratchet</t>
        </is>
      </c>
      <c r="C3238" s="9" t="inlineStr">
        <is>
          <t>Stochastic scalp with give-back trail exit</t>
        </is>
      </c>
      <c r="D3238" s="9" t="inlineStr">
        <is>
          <t>Long</t>
        </is>
      </c>
      <c r="E3238" s="10" t="n">
        <v>45513.82986111111</v>
      </c>
      <c r="F3238" s="10" t="n">
        <v>45513.83680555555</v>
      </c>
      <c r="G3238" s="11" t="n">
        <v>0.49</v>
      </c>
      <c r="H3238" s="11">
        <f>H3237+G3238</f>
        <v/>
      </c>
    </row>
    <row r="3239">
      <c r="A3239" s="9" t="n">
        <v>3235</v>
      </c>
      <c r="B3239" s="9" t="inlineStr">
        <is>
          <t>Vanguard_M15</t>
        </is>
      </c>
      <c r="C3239" s="9" t="inlineStr">
        <is>
          <t>Trendline breakout (fractal swing line) + VWAP/S-R distance gate - M15 chart</t>
        </is>
      </c>
      <c r="D3239" s="9" t="inlineStr">
        <is>
          <t>Long</t>
        </is>
      </c>
      <c r="E3239" s="10" t="n">
        <v>45512.5625</v>
      </c>
      <c r="F3239" s="10" t="n">
        <v>45513.86458333334</v>
      </c>
      <c r="G3239" s="11" t="n">
        <v>30.58</v>
      </c>
      <c r="H3239" s="11">
        <f>H3238+G3239</f>
        <v/>
      </c>
    </row>
    <row r="3240">
      <c r="A3240" s="9" t="n">
        <v>3236</v>
      </c>
      <c r="B3240" s="9" t="inlineStr">
        <is>
          <t>Aurelius_M5</t>
        </is>
      </c>
      <c r="C3240" s="9" t="inlineStr">
        <is>
          <t>MA alignment (EMA21&gt;EMA50&gt;SMA250&gt;SMMA500 vs EMA2400 trend filter)</t>
        </is>
      </c>
      <c r="D3240" s="9" t="inlineStr">
        <is>
          <t>Long</t>
        </is>
      </c>
      <c r="E3240" s="10" t="n">
        <v>45513.51736111111</v>
      </c>
      <c r="F3240" s="10" t="n">
        <v>45513.89583333334</v>
      </c>
      <c r="G3240" s="11" t="n">
        <v>3.64</v>
      </c>
      <c r="H3240" s="11">
        <f>H3239+G3240</f>
        <v/>
      </c>
    </row>
    <row r="3241">
      <c r="A3241" s="9" t="n">
        <v>3237</v>
      </c>
      <c r="B3241" s="9" t="inlineStr">
        <is>
          <t>Meridian</t>
        </is>
      </c>
      <c r="C3241" s="9" t="inlineStr">
        <is>
          <t>21/50 MA cross, 250-period confirm filter, VWAP</t>
        </is>
      </c>
      <c r="D3241" s="9" t="inlineStr">
        <is>
          <t>Long</t>
        </is>
      </c>
      <c r="E3241" s="10" t="n">
        <v>45513.44097222222</v>
      </c>
      <c r="F3241" s="10" t="n">
        <v>45513.89930555555</v>
      </c>
      <c r="G3241" s="11" t="n">
        <v>4.02</v>
      </c>
      <c r="H3241" s="11">
        <f>H3240+G3241</f>
        <v/>
      </c>
    </row>
    <row r="3242">
      <c r="A3242" s="9" t="n">
        <v>3238</v>
      </c>
      <c r="B3242" s="9" t="inlineStr">
        <is>
          <t>Meridian</t>
        </is>
      </c>
      <c r="C3242" s="9" t="inlineStr">
        <is>
          <t>21/50 MA cross, 250-period confirm filter, VWAP</t>
        </is>
      </c>
      <c r="D3242" s="9" t="inlineStr">
        <is>
          <t>Long</t>
        </is>
      </c>
      <c r="E3242" s="10" t="n">
        <v>45516.05902777778</v>
      </c>
      <c r="F3242" s="10" t="n">
        <v>45516.09027777778</v>
      </c>
      <c r="G3242" s="11" t="n">
        <v>-3.57</v>
      </c>
      <c r="H3242" s="11">
        <f>H3241+G3242</f>
        <v/>
      </c>
    </row>
    <row r="3243">
      <c r="A3243" s="9" t="n">
        <v>3239</v>
      </c>
      <c r="B3243" s="9" t="inlineStr">
        <is>
          <t>Ratchet</t>
        </is>
      </c>
      <c r="C3243" s="9" t="inlineStr">
        <is>
          <t>Stochastic scalp with give-back trail exit</t>
        </is>
      </c>
      <c r="D3243" s="9" t="inlineStr">
        <is>
          <t>Long</t>
        </is>
      </c>
      <c r="E3243" s="10" t="n">
        <v>45516.32291666666</v>
      </c>
      <c r="F3243" s="10" t="n">
        <v>45516.32986111111</v>
      </c>
      <c r="G3243" s="11" t="n">
        <v>0.87</v>
      </c>
      <c r="H3243" s="11">
        <f>H3242+G3243</f>
        <v/>
      </c>
    </row>
    <row r="3244">
      <c r="A3244" s="9" t="n">
        <v>3240</v>
      </c>
      <c r="B3244" s="9" t="inlineStr">
        <is>
          <t>Ratchet</t>
        </is>
      </c>
      <c r="C3244" s="9" t="inlineStr">
        <is>
          <t>Stochastic scalp with give-back trail exit</t>
        </is>
      </c>
      <c r="D3244" s="9" t="inlineStr">
        <is>
          <t>Long</t>
        </is>
      </c>
      <c r="E3244" s="10" t="n">
        <v>45516.53472222222</v>
      </c>
      <c r="F3244" s="10" t="n">
        <v>45516.57291666666</v>
      </c>
      <c r="G3244" s="11" t="n">
        <v>0.57</v>
      </c>
      <c r="H3244" s="11">
        <f>H3243+G3244</f>
        <v/>
      </c>
    </row>
    <row r="3245">
      <c r="A3245" s="9" t="n">
        <v>3241</v>
      </c>
      <c r="B3245" s="9" t="inlineStr">
        <is>
          <t>Ratchet</t>
        </is>
      </c>
      <c r="C3245" s="9" t="inlineStr">
        <is>
          <t>Stochastic scalp with give-back trail exit</t>
        </is>
      </c>
      <c r="D3245" s="9" t="inlineStr">
        <is>
          <t>Long</t>
        </is>
      </c>
      <c r="E3245" s="10" t="n">
        <v>45516.64236111111</v>
      </c>
      <c r="F3245" s="10" t="n">
        <v>45516.64930555555</v>
      </c>
      <c r="G3245" s="11" t="n">
        <v>0.24</v>
      </c>
      <c r="H3245" s="11">
        <f>H3244+G3245</f>
        <v/>
      </c>
    </row>
    <row r="3246">
      <c r="A3246" s="9" t="n">
        <v>3242</v>
      </c>
      <c r="B3246" s="9" t="inlineStr">
        <is>
          <t>Ratchet</t>
        </is>
      </c>
      <c r="C3246" s="9" t="inlineStr">
        <is>
          <t>Stochastic scalp with give-back trail exit</t>
        </is>
      </c>
      <c r="D3246" s="9" t="inlineStr">
        <is>
          <t>Long</t>
        </is>
      </c>
      <c r="E3246" s="10" t="n">
        <v>45516.6875</v>
      </c>
      <c r="F3246" s="10" t="n">
        <v>45516.71527777778</v>
      </c>
      <c r="G3246" s="11" t="n">
        <v>3.1</v>
      </c>
      <c r="H3246" s="11">
        <f>H3245+G3246</f>
        <v/>
      </c>
    </row>
    <row r="3247">
      <c r="A3247" s="9" t="n">
        <v>3243</v>
      </c>
      <c r="B3247" s="9" t="inlineStr">
        <is>
          <t>Aurelius_M5</t>
        </is>
      </c>
      <c r="C3247" s="9" t="inlineStr">
        <is>
          <t>MA alignment (EMA21&gt;EMA50&gt;SMA250&gt;SMMA500 vs EMA2400 trend filter)</t>
        </is>
      </c>
      <c r="D3247" s="9" t="inlineStr">
        <is>
          <t>Long</t>
        </is>
      </c>
      <c r="E3247" s="10" t="n">
        <v>45516.64236111111</v>
      </c>
      <c r="F3247" s="10" t="n">
        <v>45517.04166666666</v>
      </c>
      <c r="G3247" s="11" t="n">
        <v>27.89</v>
      </c>
      <c r="H3247" s="11">
        <f>H3246+G3247</f>
        <v/>
      </c>
    </row>
    <row r="3248">
      <c r="A3248" s="9" t="n">
        <v>3244</v>
      </c>
      <c r="B3248" s="9" t="inlineStr">
        <is>
          <t>Ratchet</t>
        </is>
      </c>
      <c r="C3248" s="9" t="inlineStr">
        <is>
          <t>Stochastic scalp with give-back trail exit</t>
        </is>
      </c>
      <c r="D3248" s="9" t="inlineStr">
        <is>
          <t>Long</t>
        </is>
      </c>
      <c r="E3248" s="10" t="n">
        <v>45517.05902777778</v>
      </c>
      <c r="F3248" s="10" t="n">
        <v>45517.06944444445</v>
      </c>
      <c r="G3248" s="11" t="n">
        <v>0.3</v>
      </c>
      <c r="H3248" s="11">
        <f>H3247+G3248</f>
        <v/>
      </c>
    </row>
    <row r="3249">
      <c r="A3249" s="9" t="n">
        <v>3245</v>
      </c>
      <c r="B3249" s="9" t="inlineStr">
        <is>
          <t>Meridian</t>
        </is>
      </c>
      <c r="C3249" s="9" t="inlineStr">
        <is>
          <t>21/50 MA cross, 250-period confirm filter, VWAP</t>
        </is>
      </c>
      <c r="D3249" s="9" t="inlineStr">
        <is>
          <t>Long</t>
        </is>
      </c>
      <c r="E3249" s="10" t="n">
        <v>45516.30208333334</v>
      </c>
      <c r="F3249" s="10" t="n">
        <v>45517.18055555555</v>
      </c>
      <c r="G3249" s="11" t="n">
        <v>34.42</v>
      </c>
      <c r="H3249" s="11">
        <f>H3248+G3249</f>
        <v/>
      </c>
    </row>
    <row r="3250">
      <c r="A3250" s="9" t="n">
        <v>3246</v>
      </c>
      <c r="B3250" s="9" t="inlineStr">
        <is>
          <t>Ratchet</t>
        </is>
      </c>
      <c r="C3250" s="9" t="inlineStr">
        <is>
          <t>Stochastic scalp with give-back trail exit</t>
        </is>
      </c>
      <c r="D3250" s="9" t="inlineStr">
        <is>
          <t>Long</t>
        </is>
      </c>
      <c r="E3250" s="10" t="n">
        <v>45517.63541666666</v>
      </c>
      <c r="F3250" s="10" t="n">
        <v>45517.65972222222</v>
      </c>
      <c r="G3250" s="11" t="n">
        <v>1.49</v>
      </c>
      <c r="H3250" s="11">
        <f>H3249+G3250</f>
        <v/>
      </c>
    </row>
    <row r="3251">
      <c r="A3251" s="9" t="n">
        <v>3247</v>
      </c>
      <c r="B3251" s="9" t="inlineStr">
        <is>
          <t>Aurelius_M5</t>
        </is>
      </c>
      <c r="C3251" s="9" t="inlineStr">
        <is>
          <t>MA alignment (EMA21&gt;EMA50&gt;SMA250&gt;SMMA500 vs EMA2400 trend filter)</t>
        </is>
      </c>
      <c r="D3251" s="9" t="inlineStr">
        <is>
          <t>Long</t>
        </is>
      </c>
      <c r="E3251" s="10" t="n">
        <v>45517.73611111111</v>
      </c>
      <c r="F3251" s="10" t="n">
        <v>45517.86111111111</v>
      </c>
      <c r="G3251" s="11" t="n">
        <v>-1.08</v>
      </c>
      <c r="H3251" s="11">
        <f>H3250+G3251</f>
        <v/>
      </c>
    </row>
    <row r="3252">
      <c r="A3252" s="9" t="n">
        <v>3248</v>
      </c>
      <c r="B3252" s="9" t="inlineStr">
        <is>
          <t>Aurelius_M5</t>
        </is>
      </c>
      <c r="C3252" s="9" t="inlineStr">
        <is>
          <t>MA alignment (EMA21&gt;EMA50&gt;SMA250&gt;SMMA500 vs EMA2400 trend filter)</t>
        </is>
      </c>
      <c r="D3252" s="9" t="inlineStr">
        <is>
          <t>Long</t>
        </is>
      </c>
      <c r="E3252" s="10" t="n">
        <v>45518.18402777778</v>
      </c>
      <c r="F3252" s="10" t="n">
        <v>45518.19791666666</v>
      </c>
      <c r="G3252" s="11" t="n">
        <v>-3.23</v>
      </c>
      <c r="H3252" s="11">
        <f>H3251+G3252</f>
        <v/>
      </c>
    </row>
    <row r="3253">
      <c r="A3253" s="9" t="n">
        <v>3249</v>
      </c>
      <c r="B3253" s="9" t="inlineStr">
        <is>
          <t>Ratchet</t>
        </is>
      </c>
      <c r="C3253" s="9" t="inlineStr">
        <is>
          <t>Stochastic scalp with give-back trail exit</t>
        </is>
      </c>
      <c r="D3253" s="9" t="inlineStr">
        <is>
          <t>Long</t>
        </is>
      </c>
      <c r="E3253" s="10" t="n">
        <v>45518.19444444445</v>
      </c>
      <c r="F3253" s="10" t="n">
        <v>45518.19791666666</v>
      </c>
      <c r="G3253" s="11" t="n">
        <v>-2.8</v>
      </c>
      <c r="H3253" s="11">
        <f>H3252+G3253</f>
        <v/>
      </c>
    </row>
    <row r="3254">
      <c r="A3254" s="9" t="n">
        <v>3250</v>
      </c>
      <c r="B3254" s="9" t="inlineStr">
        <is>
          <t>Meridian</t>
        </is>
      </c>
      <c r="C3254" s="9" t="inlineStr">
        <is>
          <t>21/50 MA cross, 250-period confirm filter, VWAP</t>
        </is>
      </c>
      <c r="D3254" s="9" t="inlineStr">
        <is>
          <t>Long</t>
        </is>
      </c>
      <c r="E3254" s="10" t="n">
        <v>45518.17013888889</v>
      </c>
      <c r="F3254" s="10" t="n">
        <v>45518.20138888889</v>
      </c>
      <c r="G3254" s="11" t="n">
        <v>-2.56</v>
      </c>
      <c r="H3254" s="11">
        <f>H3253+G3254</f>
        <v/>
      </c>
    </row>
    <row r="3255">
      <c r="A3255" s="9" t="n">
        <v>3251</v>
      </c>
      <c r="B3255" s="9" t="inlineStr">
        <is>
          <t>Meridian</t>
        </is>
      </c>
      <c r="C3255" s="9" t="inlineStr">
        <is>
          <t>21/50 MA cross, 250-period confirm filter, VWAP</t>
        </is>
      </c>
      <c r="D3255" s="9" t="inlineStr">
        <is>
          <t>Short</t>
        </is>
      </c>
      <c r="E3255" s="10" t="n">
        <v>45518.21875</v>
      </c>
      <c r="F3255" s="10" t="n">
        <v>45518.39236111111</v>
      </c>
      <c r="G3255" s="11" t="n">
        <v>-4.64</v>
      </c>
      <c r="H3255" s="11">
        <f>H3254+G3255</f>
        <v/>
      </c>
    </row>
    <row r="3256">
      <c r="A3256" s="9" t="n">
        <v>3252</v>
      </c>
      <c r="B3256" s="9" t="inlineStr">
        <is>
          <t>Ratchet</t>
        </is>
      </c>
      <c r="C3256" s="9" t="inlineStr">
        <is>
          <t>Stochastic scalp with give-back trail exit</t>
        </is>
      </c>
      <c r="D3256" s="9" t="inlineStr">
        <is>
          <t>Long</t>
        </is>
      </c>
      <c r="E3256" s="10" t="n">
        <v>45518.45486111111</v>
      </c>
      <c r="F3256" s="10" t="n">
        <v>45518.46527777778</v>
      </c>
      <c r="G3256" s="11" t="n">
        <v>-2.22</v>
      </c>
      <c r="H3256" s="11">
        <f>H3255+G3256</f>
        <v/>
      </c>
    </row>
    <row r="3257">
      <c r="A3257" s="9" t="n">
        <v>3253</v>
      </c>
      <c r="B3257" s="9" t="inlineStr">
        <is>
          <t>Ratchet</t>
        </is>
      </c>
      <c r="C3257" s="9" t="inlineStr">
        <is>
          <t>Stochastic scalp with give-back trail exit</t>
        </is>
      </c>
      <c r="D3257" s="9" t="inlineStr">
        <is>
          <t>Long</t>
        </is>
      </c>
      <c r="E3257" s="10" t="n">
        <v>45518.61458333334</v>
      </c>
      <c r="F3257" s="10" t="n">
        <v>45518.61805555555</v>
      </c>
      <c r="G3257" s="11" t="n">
        <v>-0</v>
      </c>
      <c r="H3257" s="11">
        <f>H3256+G3257</f>
        <v/>
      </c>
    </row>
    <row r="3258">
      <c r="A3258" s="9" t="n">
        <v>3254</v>
      </c>
      <c r="B3258" s="9" t="inlineStr">
        <is>
          <t>Meridian</t>
        </is>
      </c>
      <c r="C3258" s="9" t="inlineStr">
        <is>
          <t>21/50 MA cross, 250-period confirm filter, VWAP</t>
        </is>
      </c>
      <c r="D3258" s="9" t="inlineStr">
        <is>
          <t>Long</t>
        </is>
      </c>
      <c r="E3258" s="10" t="n">
        <v>45518.39930555555</v>
      </c>
      <c r="F3258" s="10" t="n">
        <v>45518.64583333334</v>
      </c>
      <c r="G3258" s="11" t="n">
        <v>-3.62</v>
      </c>
      <c r="H3258" s="11">
        <f>H3257+G3258</f>
        <v/>
      </c>
    </row>
    <row r="3259">
      <c r="A3259" s="9" t="n">
        <v>3255</v>
      </c>
      <c r="B3259" s="9" t="inlineStr">
        <is>
          <t>Vanguard_M5</t>
        </is>
      </c>
      <c r="C3259" s="9" t="inlineStr">
        <is>
          <t>Trendline breakout (fractal swing line) + VWAP/S-R distance gate</t>
        </is>
      </c>
      <c r="D3259" s="9" t="inlineStr">
        <is>
          <t>Long</t>
        </is>
      </c>
      <c r="E3259" s="10" t="n">
        <v>45518.48611111111</v>
      </c>
      <c r="F3259" s="10" t="n">
        <v>45518.64583333334</v>
      </c>
      <c r="G3259" s="11" t="n">
        <v>-6.36</v>
      </c>
      <c r="H3259" s="11">
        <f>H3258+G3259</f>
        <v/>
      </c>
    </row>
    <row r="3260">
      <c r="A3260" s="9" t="n">
        <v>3256</v>
      </c>
      <c r="B3260" s="9" t="inlineStr">
        <is>
          <t>Vanguard_M15</t>
        </is>
      </c>
      <c r="C3260" s="9" t="inlineStr">
        <is>
          <t>Trendline breakout (fractal swing line) + VWAP/S-R distance gate - M15 chart</t>
        </is>
      </c>
      <c r="D3260" s="9" t="inlineStr">
        <is>
          <t>Long</t>
        </is>
      </c>
      <c r="E3260" s="10" t="n">
        <v>45518.58333333334</v>
      </c>
      <c r="F3260" s="10" t="n">
        <v>45518.64583333334</v>
      </c>
      <c r="G3260" s="11" t="n">
        <v>-8.02</v>
      </c>
      <c r="H3260" s="11">
        <f>H3259+G3260</f>
        <v/>
      </c>
    </row>
    <row r="3261">
      <c r="A3261" s="9" t="n">
        <v>3257</v>
      </c>
      <c r="B3261" s="9" t="inlineStr">
        <is>
          <t>Meridian</t>
        </is>
      </c>
      <c r="C3261" s="9" t="inlineStr">
        <is>
          <t>21/50 MA cross, 250-period confirm filter, VWAP</t>
        </is>
      </c>
      <c r="D3261" s="9" t="inlineStr">
        <is>
          <t>Short</t>
        </is>
      </c>
      <c r="E3261" s="10" t="n">
        <v>45518.65972222222</v>
      </c>
      <c r="F3261" s="10" t="n">
        <v>45518.98611111111</v>
      </c>
      <c r="G3261" s="11" t="n">
        <v>17.96</v>
      </c>
      <c r="H3261" s="11">
        <f>H3260+G3261</f>
        <v/>
      </c>
    </row>
    <row r="3262">
      <c r="A3262" s="9" t="n">
        <v>3258</v>
      </c>
      <c r="B3262" s="9" t="inlineStr">
        <is>
          <t>Aurelius_M5</t>
        </is>
      </c>
      <c r="C3262" s="9" t="inlineStr">
        <is>
          <t>MA alignment (EMA21&gt;EMA50&gt;SMA250&gt;SMMA500 vs EMA2400 trend filter)</t>
        </is>
      </c>
      <c r="D3262" s="9" t="inlineStr">
        <is>
          <t>Long</t>
        </is>
      </c>
      <c r="E3262" s="10" t="n">
        <v>45519.43055555555</v>
      </c>
      <c r="F3262" s="10" t="n">
        <v>45519.55555555555</v>
      </c>
      <c r="G3262" s="11" t="n">
        <v>3.54</v>
      </c>
      <c r="H3262" s="11">
        <f>H3261+G3262</f>
        <v/>
      </c>
    </row>
    <row r="3263">
      <c r="A3263" s="9" t="n">
        <v>3259</v>
      </c>
      <c r="B3263" s="9" t="inlineStr">
        <is>
          <t>Meridian</t>
        </is>
      </c>
      <c r="C3263" s="9" t="inlineStr">
        <is>
          <t>21/50 MA cross, 250-period confirm filter, VWAP</t>
        </is>
      </c>
      <c r="D3263" s="9" t="inlineStr">
        <is>
          <t>Short</t>
        </is>
      </c>
      <c r="E3263" s="10" t="n">
        <v>45519.66666666666</v>
      </c>
      <c r="F3263" s="10" t="n">
        <v>45519.68402777778</v>
      </c>
      <c r="G3263" s="11" t="n">
        <v>-9.039999999999999</v>
      </c>
      <c r="H3263" s="11">
        <f>H3262+G3263</f>
        <v/>
      </c>
    </row>
    <row r="3264">
      <c r="A3264" s="9" t="n">
        <v>3260</v>
      </c>
      <c r="B3264" s="9" t="inlineStr">
        <is>
          <t>Ratchet</t>
        </is>
      </c>
      <c r="C3264" s="9" t="inlineStr">
        <is>
          <t>Stochastic scalp with give-back trail exit</t>
        </is>
      </c>
      <c r="D3264" s="9" t="inlineStr">
        <is>
          <t>Short</t>
        </is>
      </c>
      <c r="E3264" s="10" t="n">
        <v>45519.70486111111</v>
      </c>
      <c r="F3264" s="10" t="n">
        <v>45519.70833333334</v>
      </c>
      <c r="G3264" s="11" t="n">
        <v>-10.22</v>
      </c>
      <c r="H3264" s="11">
        <f>H3263+G3264</f>
        <v/>
      </c>
    </row>
    <row r="3265">
      <c r="A3265" s="9" t="n">
        <v>3261</v>
      </c>
      <c r="B3265" s="9" t="inlineStr">
        <is>
          <t>Meridian</t>
        </is>
      </c>
      <c r="C3265" s="9" t="inlineStr">
        <is>
          <t>21/50 MA cross, 250-period confirm filter, VWAP</t>
        </is>
      </c>
      <c r="D3265" s="9" t="inlineStr">
        <is>
          <t>Long</t>
        </is>
      </c>
      <c r="E3265" s="10" t="n">
        <v>45519.77083333334</v>
      </c>
      <c r="F3265" s="10" t="n">
        <v>45520.04861111111</v>
      </c>
      <c r="G3265" s="11" t="n">
        <v>-1.11</v>
      </c>
      <c r="H3265" s="11">
        <f>H3264+G3265</f>
        <v/>
      </c>
    </row>
    <row r="3266">
      <c r="A3266" s="9" t="n">
        <v>3262</v>
      </c>
      <c r="B3266" s="9" t="inlineStr">
        <is>
          <t>Meridian</t>
        </is>
      </c>
      <c r="C3266" s="9" t="inlineStr">
        <is>
          <t>21/50 MA cross, 250-period confirm filter, VWAP</t>
        </is>
      </c>
      <c r="D3266" s="9" t="inlineStr">
        <is>
          <t>Long</t>
        </is>
      </c>
      <c r="E3266" s="10" t="n">
        <v>45520.11805555555</v>
      </c>
      <c r="F3266" s="10" t="n">
        <v>45520.21527777778</v>
      </c>
      <c r="G3266" s="11" t="n">
        <v>-2.14</v>
      </c>
      <c r="H3266" s="11">
        <f>H3265+G3266</f>
        <v/>
      </c>
    </row>
    <row r="3267">
      <c r="A3267" s="9" t="n">
        <v>3263</v>
      </c>
      <c r="B3267" s="9" t="inlineStr">
        <is>
          <t>Aurelius_M5</t>
        </is>
      </c>
      <c r="C3267" s="9" t="inlineStr">
        <is>
          <t>MA alignment (EMA21&gt;EMA50&gt;SMA250&gt;SMMA500 vs EMA2400 trend filter)</t>
        </is>
      </c>
      <c r="D3267" s="9" t="inlineStr">
        <is>
          <t>Long</t>
        </is>
      </c>
      <c r="E3267" s="10" t="n">
        <v>45520.18055555555</v>
      </c>
      <c r="F3267" s="10" t="n">
        <v>45520.22222222222</v>
      </c>
      <c r="G3267" s="11" t="n">
        <v>-2.91</v>
      </c>
      <c r="H3267" s="11">
        <f>H3266+G3267</f>
        <v/>
      </c>
    </row>
    <row r="3268">
      <c r="A3268" s="9" t="n">
        <v>3264</v>
      </c>
      <c r="B3268" s="9" t="inlineStr">
        <is>
          <t>Aurelius_M15</t>
        </is>
      </c>
      <c r="C3268" s="9" t="inlineStr">
        <is>
          <t>MA alignment (EMA21&gt;EMA50&gt;SMA250&gt;SMMA500 vs EMA2400 trend filter) - M15 chart</t>
        </is>
      </c>
      <c r="D3268" s="9" t="inlineStr">
        <is>
          <t>Long</t>
        </is>
      </c>
      <c r="E3268" s="10" t="n">
        <v>45520.19791666666</v>
      </c>
      <c r="F3268" s="10" t="n">
        <v>45520.25</v>
      </c>
      <c r="G3268" s="11" t="n">
        <v>-5.7</v>
      </c>
      <c r="H3268" s="11">
        <f>H3267+G3268</f>
        <v/>
      </c>
    </row>
    <row r="3269">
      <c r="A3269" s="9" t="n">
        <v>3265</v>
      </c>
      <c r="B3269" s="9" t="inlineStr">
        <is>
          <t>Meridian</t>
        </is>
      </c>
      <c r="C3269" s="9" t="inlineStr">
        <is>
          <t>21/50 MA cross, 250-period confirm filter, VWAP</t>
        </is>
      </c>
      <c r="D3269" s="9" t="inlineStr">
        <is>
          <t>Short</t>
        </is>
      </c>
      <c r="E3269" s="10" t="n">
        <v>45520.22916666666</v>
      </c>
      <c r="F3269" s="10" t="n">
        <v>45520.38194444445</v>
      </c>
      <c r="G3269" s="11" t="n">
        <v>-0.57</v>
      </c>
      <c r="H3269" s="11">
        <f>H3268+G3269</f>
        <v/>
      </c>
    </row>
    <row r="3270">
      <c r="A3270" s="9" t="n">
        <v>3266</v>
      </c>
      <c r="B3270" s="9" t="inlineStr">
        <is>
          <t>Meridian</t>
        </is>
      </c>
      <c r="C3270" s="9" t="inlineStr">
        <is>
          <t>21/50 MA cross, 250-period confirm filter, VWAP</t>
        </is>
      </c>
      <c r="D3270" s="9" t="inlineStr">
        <is>
          <t>Short</t>
        </is>
      </c>
      <c r="E3270" s="10" t="n">
        <v>45520.4375</v>
      </c>
      <c r="F3270" s="10" t="n">
        <v>45520.44444444445</v>
      </c>
      <c r="G3270" s="11" t="n">
        <v>-3.13</v>
      </c>
      <c r="H3270" s="11">
        <f>H3269+G3270</f>
        <v/>
      </c>
    </row>
    <row r="3271">
      <c r="A3271" s="9" t="n">
        <v>3267</v>
      </c>
      <c r="B3271" s="9" t="inlineStr">
        <is>
          <t>Ratchet</t>
        </is>
      </c>
      <c r="C3271" s="9" t="inlineStr">
        <is>
          <t>Stochastic scalp with give-back trail exit</t>
        </is>
      </c>
      <c r="D3271" s="9" t="inlineStr">
        <is>
          <t>Long</t>
        </is>
      </c>
      <c r="E3271" s="10" t="n">
        <v>45520.51388888889</v>
      </c>
      <c r="F3271" s="10" t="n">
        <v>45520.54166666666</v>
      </c>
      <c r="G3271" s="11" t="n">
        <v>0.25</v>
      </c>
      <c r="H3271" s="11">
        <f>H3270+G3271</f>
        <v/>
      </c>
    </row>
    <row r="3272">
      <c r="A3272" s="9" t="n">
        <v>3268</v>
      </c>
      <c r="B3272" s="9" t="inlineStr">
        <is>
          <t>Ratchet</t>
        </is>
      </c>
      <c r="C3272" s="9" t="inlineStr">
        <is>
          <t>Stochastic scalp with give-back trail exit</t>
        </is>
      </c>
      <c r="D3272" s="9" t="inlineStr">
        <is>
          <t>Long</t>
        </is>
      </c>
      <c r="E3272" s="10" t="n">
        <v>45520.59375</v>
      </c>
      <c r="F3272" s="10" t="n">
        <v>45520.59722222222</v>
      </c>
      <c r="G3272" s="11" t="n">
        <v>0.29</v>
      </c>
      <c r="H3272" s="11">
        <f>H3271+G3272</f>
        <v/>
      </c>
    </row>
    <row r="3273">
      <c r="A3273" s="9" t="n">
        <v>3269</v>
      </c>
      <c r="B3273" s="9" t="inlineStr">
        <is>
          <t>Meridian</t>
        </is>
      </c>
      <c r="C3273" s="9" t="inlineStr">
        <is>
          <t>21/50 MA cross, 250-period confirm filter, VWAP</t>
        </is>
      </c>
      <c r="D3273" s="9" t="inlineStr">
        <is>
          <t>Long</t>
        </is>
      </c>
      <c r="E3273" s="10" t="n">
        <v>45520.45486111111</v>
      </c>
      <c r="F3273" s="10" t="n">
        <v>45520.91666666666</v>
      </c>
      <c r="G3273" s="11" t="n">
        <v>41.57</v>
      </c>
      <c r="H3273" s="11">
        <f>H3272+G3273</f>
        <v/>
      </c>
    </row>
    <row r="3274">
      <c r="A3274" s="9" t="n">
        <v>3270</v>
      </c>
      <c r="B3274" s="9" t="inlineStr">
        <is>
          <t>Aurelius_M5</t>
        </is>
      </c>
      <c r="C3274" s="9" t="inlineStr">
        <is>
          <t>MA alignment (EMA21&gt;EMA50&gt;SMA250&gt;SMMA500 vs EMA2400 trend filter)</t>
        </is>
      </c>
      <c r="D3274" s="9" t="inlineStr">
        <is>
          <t>Long</t>
        </is>
      </c>
      <c r="E3274" s="10" t="n">
        <v>45520.47222222222</v>
      </c>
      <c r="F3274" s="10" t="n">
        <v>45520.92013888889</v>
      </c>
      <c r="G3274" s="11" t="n">
        <v>42.12</v>
      </c>
      <c r="H3274" s="11">
        <f>H3273+G3274</f>
        <v/>
      </c>
    </row>
    <row r="3275">
      <c r="A3275" s="9" t="n">
        <v>3271</v>
      </c>
      <c r="B3275" s="9" t="inlineStr">
        <is>
          <t>Ratchet</t>
        </is>
      </c>
      <c r="C3275" s="9" t="inlineStr">
        <is>
          <t>Stochastic scalp with give-back trail exit</t>
        </is>
      </c>
      <c r="D3275" s="9" t="inlineStr">
        <is>
          <t>Long</t>
        </is>
      </c>
      <c r="E3275" s="10" t="n">
        <v>45523.29513888889</v>
      </c>
      <c r="F3275" s="10" t="n">
        <v>45523.30555555555</v>
      </c>
      <c r="G3275" s="11" t="n">
        <v>-2.57</v>
      </c>
      <c r="H3275" s="11">
        <f>H3274+G3275</f>
        <v/>
      </c>
    </row>
    <row r="3276">
      <c r="A3276" s="9" t="n">
        <v>3272</v>
      </c>
      <c r="B3276" s="9" t="inlineStr">
        <is>
          <t>Meridian</t>
        </is>
      </c>
      <c r="C3276" s="9" t="inlineStr">
        <is>
          <t>21/50 MA cross, 250-period confirm filter, VWAP</t>
        </is>
      </c>
      <c r="D3276" s="9" t="inlineStr">
        <is>
          <t>Long</t>
        </is>
      </c>
      <c r="E3276" s="10" t="n">
        <v>45523.27083333334</v>
      </c>
      <c r="F3276" s="10" t="n">
        <v>45523.32638888889</v>
      </c>
      <c r="G3276" s="11" t="n">
        <v>-1.28</v>
      </c>
      <c r="H3276" s="11">
        <f>H3275+G3276</f>
        <v/>
      </c>
    </row>
    <row r="3277">
      <c r="A3277" s="9" t="n">
        <v>3273</v>
      </c>
      <c r="B3277" s="9" t="inlineStr">
        <is>
          <t>Meridian</t>
        </is>
      </c>
      <c r="C3277" s="9" t="inlineStr">
        <is>
          <t>21/50 MA cross, 250-period confirm filter, VWAP</t>
        </is>
      </c>
      <c r="D3277" s="9" t="inlineStr">
        <is>
          <t>Long</t>
        </is>
      </c>
      <c r="E3277" s="10" t="n">
        <v>45523.38541666666</v>
      </c>
      <c r="F3277" s="10" t="n">
        <v>45523.38888888889</v>
      </c>
      <c r="G3277" s="11" t="n">
        <v>-4.01</v>
      </c>
      <c r="H3277" s="11">
        <f>H3276+G3277</f>
        <v/>
      </c>
    </row>
    <row r="3278">
      <c r="A3278" s="9" t="n">
        <v>3274</v>
      </c>
      <c r="B3278" s="9" t="inlineStr">
        <is>
          <t>Ratchet</t>
        </is>
      </c>
      <c r="C3278" s="9" t="inlineStr">
        <is>
          <t>Stochastic scalp with give-back trail exit</t>
        </is>
      </c>
      <c r="D3278" s="9" t="inlineStr">
        <is>
          <t>Long</t>
        </is>
      </c>
      <c r="E3278" s="10" t="n">
        <v>45523.42708333334</v>
      </c>
      <c r="F3278" s="10" t="n">
        <v>45523.4375</v>
      </c>
      <c r="G3278" s="11" t="n">
        <v>-3.56</v>
      </c>
      <c r="H3278" s="11">
        <f>H3277+G3278</f>
        <v/>
      </c>
    </row>
    <row r="3279">
      <c r="A3279" s="9" t="n">
        <v>3275</v>
      </c>
      <c r="B3279" s="9" t="inlineStr">
        <is>
          <t>Ratchet</t>
        </is>
      </c>
      <c r="C3279" s="9" t="inlineStr">
        <is>
          <t>Stochastic scalp with give-back trail exit</t>
        </is>
      </c>
      <c r="D3279" s="9" t="inlineStr">
        <is>
          <t>Long</t>
        </is>
      </c>
      <c r="E3279" s="10" t="n">
        <v>45523.46527777778</v>
      </c>
      <c r="F3279" s="10" t="n">
        <v>45523.48611111111</v>
      </c>
      <c r="G3279" s="11" t="n">
        <v>0.74</v>
      </c>
      <c r="H3279" s="11">
        <f>H3278+G3279</f>
        <v/>
      </c>
    </row>
    <row r="3280">
      <c r="A3280" s="9" t="n">
        <v>3276</v>
      </c>
      <c r="B3280" s="9" t="inlineStr">
        <is>
          <t>Aurelius_M5</t>
        </is>
      </c>
      <c r="C3280" s="9" t="inlineStr">
        <is>
          <t>MA alignment (EMA21&gt;EMA50&gt;SMA250&gt;SMMA500 vs EMA2400 trend filter)</t>
        </is>
      </c>
      <c r="D3280" s="9" t="inlineStr">
        <is>
          <t>Long</t>
        </is>
      </c>
      <c r="E3280" s="10" t="n">
        <v>45523.45833333334</v>
      </c>
      <c r="F3280" s="10" t="n">
        <v>45523.52777777778</v>
      </c>
      <c r="G3280" s="11" t="n">
        <v>-2.32</v>
      </c>
      <c r="H3280" s="11">
        <f>H3279+G3280</f>
        <v/>
      </c>
    </row>
    <row r="3281">
      <c r="A3281" s="9" t="n">
        <v>3277</v>
      </c>
      <c r="B3281" s="9" t="inlineStr">
        <is>
          <t>Aurelius_M15</t>
        </is>
      </c>
      <c r="C3281" s="9" t="inlineStr">
        <is>
          <t>MA alignment (EMA21&gt;EMA50&gt;SMA250&gt;SMMA500 vs EMA2400 trend filter) - M15 chart</t>
        </is>
      </c>
      <c r="D3281" s="9" t="inlineStr">
        <is>
          <t>Long</t>
        </is>
      </c>
      <c r="E3281" s="10" t="n">
        <v>45523.38541666666</v>
      </c>
      <c r="F3281" s="10" t="n">
        <v>45523.54166666666</v>
      </c>
      <c r="G3281" s="11" t="n">
        <v>-7.62</v>
      </c>
      <c r="H3281" s="11">
        <f>H3280+G3281</f>
        <v/>
      </c>
    </row>
    <row r="3282">
      <c r="A3282" s="9" t="n">
        <v>3278</v>
      </c>
      <c r="B3282" s="9" t="inlineStr">
        <is>
          <t>Vanguard_M15</t>
        </is>
      </c>
      <c r="C3282" s="9" t="inlineStr">
        <is>
          <t>Trendline breakout (fractal swing line) + VWAP/S-R distance gate - M15 chart</t>
        </is>
      </c>
      <c r="D3282" s="9" t="inlineStr">
        <is>
          <t>Long</t>
        </is>
      </c>
      <c r="E3282" s="10" t="n">
        <v>45520.47916666666</v>
      </c>
      <c r="F3282" s="10" t="n">
        <v>45523.5625</v>
      </c>
      <c r="G3282" s="11" t="n">
        <v>28.86</v>
      </c>
      <c r="H3282" s="11">
        <f>H3281+G3282</f>
        <v/>
      </c>
    </row>
    <row r="3283">
      <c r="A3283" s="9" t="n">
        <v>3279</v>
      </c>
      <c r="B3283" s="9" t="inlineStr">
        <is>
          <t>Vanguard_M5</t>
        </is>
      </c>
      <c r="C3283" s="9" t="inlineStr">
        <is>
          <t>Trendline breakout (fractal swing line) + VWAP/S-R distance gate</t>
        </is>
      </c>
      <c r="D3283" s="9" t="inlineStr">
        <is>
          <t>Long</t>
        </is>
      </c>
      <c r="E3283" s="10" t="n">
        <v>45520.46180555555</v>
      </c>
      <c r="F3283" s="10" t="n">
        <v>45523.56597222222</v>
      </c>
      <c r="G3283" s="11" t="n">
        <v>30.24</v>
      </c>
      <c r="H3283" s="11">
        <f>H3282+G3283</f>
        <v/>
      </c>
    </row>
    <row r="3284">
      <c r="A3284" s="9" t="n">
        <v>3280</v>
      </c>
      <c r="B3284" s="9" t="inlineStr">
        <is>
          <t>Vanguard_M5</t>
        </is>
      </c>
      <c r="C3284" s="9" t="inlineStr">
        <is>
          <t>Trendline breakout (fractal swing line) + VWAP/S-R distance gate</t>
        </is>
      </c>
      <c r="D3284" s="9" t="inlineStr">
        <is>
          <t>Short</t>
        </is>
      </c>
      <c r="E3284" s="10" t="n">
        <v>45523.56944444445</v>
      </c>
      <c r="F3284" s="10" t="n">
        <v>45523.71180555555</v>
      </c>
      <c r="G3284" s="11" t="n">
        <v>-6.33</v>
      </c>
      <c r="H3284" s="11">
        <f>H3283+G3284</f>
        <v/>
      </c>
    </row>
    <row r="3285">
      <c r="A3285" s="9" t="n">
        <v>3281</v>
      </c>
      <c r="B3285" s="9" t="inlineStr">
        <is>
          <t>Vanguard_M15</t>
        </is>
      </c>
      <c r="C3285" s="9" t="inlineStr">
        <is>
          <t>Trendline breakout (fractal swing line) + VWAP/S-R distance gate - M15 chart</t>
        </is>
      </c>
      <c r="D3285" s="9" t="inlineStr">
        <is>
          <t>Short</t>
        </is>
      </c>
      <c r="E3285" s="10" t="n">
        <v>45523.57291666666</v>
      </c>
      <c r="F3285" s="10" t="n">
        <v>45523.72916666666</v>
      </c>
      <c r="G3285" s="11" t="n">
        <v>-8.93</v>
      </c>
      <c r="H3285" s="11">
        <f>H3284+G3285</f>
        <v/>
      </c>
    </row>
    <row r="3286">
      <c r="A3286" s="9" t="n">
        <v>3282</v>
      </c>
      <c r="B3286" s="9" t="inlineStr">
        <is>
          <t>Ratchet</t>
        </is>
      </c>
      <c r="C3286" s="9" t="inlineStr">
        <is>
          <t>Stochastic scalp with give-back trail exit</t>
        </is>
      </c>
      <c r="D3286" s="9" t="inlineStr">
        <is>
          <t>Long</t>
        </is>
      </c>
      <c r="E3286" s="10" t="n">
        <v>45523.79166666666</v>
      </c>
      <c r="F3286" s="10" t="n">
        <v>45523.79513888889</v>
      </c>
      <c r="G3286" s="11" t="n">
        <v>0</v>
      </c>
      <c r="H3286" s="11">
        <f>H3285+G3286</f>
        <v/>
      </c>
    </row>
    <row r="3287">
      <c r="A3287" s="9" t="n">
        <v>3283</v>
      </c>
      <c r="B3287" s="9" t="inlineStr">
        <is>
          <t>Ratchet</t>
        </is>
      </c>
      <c r="C3287" s="9" t="inlineStr">
        <is>
          <t>Stochastic scalp with give-back trail exit</t>
        </is>
      </c>
      <c r="D3287" s="9" t="inlineStr">
        <is>
          <t>Long</t>
        </is>
      </c>
      <c r="E3287" s="10" t="n">
        <v>45523.93402777778</v>
      </c>
      <c r="F3287" s="10" t="n">
        <v>45523.96527777778</v>
      </c>
      <c r="G3287" s="11" t="n">
        <v>-1.78</v>
      </c>
      <c r="H3287" s="11">
        <f>H3286+G3287</f>
        <v/>
      </c>
    </row>
    <row r="3288">
      <c r="A3288" s="9" t="n">
        <v>3284</v>
      </c>
      <c r="B3288" s="9" t="inlineStr">
        <is>
          <t>Ratchet</t>
        </is>
      </c>
      <c r="C3288" s="9" t="inlineStr">
        <is>
          <t>Stochastic scalp with give-back trail exit</t>
        </is>
      </c>
      <c r="D3288" s="9" t="inlineStr">
        <is>
          <t>Long</t>
        </is>
      </c>
      <c r="E3288" s="10" t="n">
        <v>45524.13888888889</v>
      </c>
      <c r="F3288" s="10" t="n">
        <v>45524.16319444445</v>
      </c>
      <c r="G3288" s="11" t="n">
        <v>0.55</v>
      </c>
      <c r="H3288" s="11">
        <f>H3287+G3288</f>
        <v/>
      </c>
    </row>
    <row r="3289">
      <c r="A3289" s="9" t="n">
        <v>3285</v>
      </c>
      <c r="B3289" s="9" t="inlineStr">
        <is>
          <t>Aurelius_M5</t>
        </is>
      </c>
      <c r="C3289" s="9" t="inlineStr">
        <is>
          <t>MA alignment (EMA21&gt;EMA50&gt;SMA250&gt;SMMA500 vs EMA2400 trend filter)</t>
        </is>
      </c>
      <c r="D3289" s="9" t="inlineStr">
        <is>
          <t>Long</t>
        </is>
      </c>
      <c r="E3289" s="10" t="n">
        <v>45524.17013888889</v>
      </c>
      <c r="F3289" s="10" t="n">
        <v>45524.17013888889</v>
      </c>
      <c r="G3289" s="11" t="n">
        <v>-2.56</v>
      </c>
      <c r="H3289" s="11">
        <f>H3288+G3289</f>
        <v/>
      </c>
    </row>
    <row r="3290">
      <c r="A3290" s="9" t="n">
        <v>3286</v>
      </c>
      <c r="B3290" s="9" t="inlineStr">
        <is>
          <t>Meridian</t>
        </is>
      </c>
      <c r="C3290" s="9" t="inlineStr">
        <is>
          <t>21/50 MA cross, 250-period confirm filter, VWAP</t>
        </is>
      </c>
      <c r="D3290" s="9" t="inlineStr">
        <is>
          <t>Long</t>
        </is>
      </c>
      <c r="E3290" s="10" t="n">
        <v>45524.13194444445</v>
      </c>
      <c r="F3290" s="10" t="n">
        <v>45524.17361111111</v>
      </c>
      <c r="G3290" s="11" t="n">
        <v>-1.84</v>
      </c>
      <c r="H3290" s="11">
        <f>H3289+G3290</f>
        <v/>
      </c>
    </row>
    <row r="3291">
      <c r="A3291" s="9" t="n">
        <v>3287</v>
      </c>
      <c r="B3291" s="9" t="inlineStr">
        <is>
          <t>Aurelius_M5</t>
        </is>
      </c>
      <c r="C3291" s="9" t="inlineStr">
        <is>
          <t>MA alignment (EMA21&gt;EMA50&gt;SMA250&gt;SMMA500 vs EMA2400 trend filter)</t>
        </is>
      </c>
      <c r="D3291" s="9" t="inlineStr">
        <is>
          <t>Long</t>
        </is>
      </c>
      <c r="E3291" s="10" t="n">
        <v>45524.1875</v>
      </c>
      <c r="F3291" s="10" t="n">
        <v>45524.20833333334</v>
      </c>
      <c r="G3291" s="11" t="n">
        <v>-3.77</v>
      </c>
      <c r="H3291" s="11">
        <f>H3290+G3291</f>
        <v/>
      </c>
    </row>
    <row r="3292">
      <c r="A3292" s="9" t="n">
        <v>3288</v>
      </c>
      <c r="B3292" s="9" t="inlineStr">
        <is>
          <t>Meridian</t>
        </is>
      </c>
      <c r="C3292" s="9" t="inlineStr">
        <is>
          <t>21/50 MA cross, 250-period confirm filter, VWAP</t>
        </is>
      </c>
      <c r="D3292" s="9" t="inlineStr">
        <is>
          <t>Short</t>
        </is>
      </c>
      <c r="E3292" s="10" t="n">
        <v>45524.21180555555</v>
      </c>
      <c r="F3292" s="10" t="n">
        <v>45524.35763888889</v>
      </c>
      <c r="G3292" s="11" t="n">
        <v>-1.69</v>
      </c>
      <c r="H3292" s="11">
        <f>H3291+G3292</f>
        <v/>
      </c>
    </row>
    <row r="3293">
      <c r="A3293" s="9" t="n">
        <v>3289</v>
      </c>
      <c r="B3293" s="9" t="inlineStr">
        <is>
          <t>Vanguard_M15</t>
        </is>
      </c>
      <c r="C3293" s="9" t="inlineStr">
        <is>
          <t>Trendline breakout (fractal swing line) + VWAP/S-R distance gate - M15 chart</t>
        </is>
      </c>
      <c r="D3293" s="9" t="inlineStr">
        <is>
          <t>Short</t>
        </is>
      </c>
      <c r="E3293" s="10" t="n">
        <v>45524.3125</v>
      </c>
      <c r="F3293" s="10" t="n">
        <v>45524.42708333334</v>
      </c>
      <c r="G3293" s="11" t="n">
        <v>-6.59</v>
      </c>
      <c r="H3293" s="11">
        <f>H3292+G3293</f>
        <v/>
      </c>
    </row>
    <row r="3294">
      <c r="A3294" s="9" t="n">
        <v>3290</v>
      </c>
      <c r="B3294" s="9" t="inlineStr">
        <is>
          <t>Ratchet</t>
        </is>
      </c>
      <c r="C3294" s="9" t="inlineStr">
        <is>
          <t>Stochastic scalp with give-back trail exit</t>
        </is>
      </c>
      <c r="D3294" s="9" t="inlineStr">
        <is>
          <t>Long</t>
        </is>
      </c>
      <c r="E3294" s="10" t="n">
        <v>45524.43055555555</v>
      </c>
      <c r="F3294" s="10" t="n">
        <v>45524.43402777778</v>
      </c>
      <c r="G3294" s="11" t="n">
        <v>0</v>
      </c>
      <c r="H3294" s="11">
        <f>H3293+G3294</f>
        <v/>
      </c>
    </row>
    <row r="3295">
      <c r="A3295" s="9" t="n">
        <v>3291</v>
      </c>
      <c r="B3295" s="9" t="inlineStr">
        <is>
          <t>Vanguard_M5</t>
        </is>
      </c>
      <c r="C3295" s="9" t="inlineStr">
        <is>
          <t>Trendline breakout (fractal swing line) + VWAP/S-R distance gate</t>
        </is>
      </c>
      <c r="D3295" s="9" t="inlineStr">
        <is>
          <t>Short</t>
        </is>
      </c>
      <c r="E3295" s="10" t="n">
        <v>45523.71875</v>
      </c>
      <c r="F3295" s="10" t="n">
        <v>45524.44097222222</v>
      </c>
      <c r="G3295" s="11" t="n">
        <v>-11.62</v>
      </c>
      <c r="H3295" s="11">
        <f>H3294+G3295</f>
        <v/>
      </c>
    </row>
    <row r="3296">
      <c r="A3296" s="9" t="n">
        <v>3292</v>
      </c>
      <c r="B3296" s="9" t="inlineStr">
        <is>
          <t>Ratchet</t>
        </is>
      </c>
      <c r="C3296" s="9" t="inlineStr">
        <is>
          <t>Stochastic scalp with give-back trail exit</t>
        </is>
      </c>
      <c r="D3296" s="9" t="inlineStr">
        <is>
          <t>Long</t>
        </is>
      </c>
      <c r="E3296" s="10" t="n">
        <v>45524.44097222222</v>
      </c>
      <c r="F3296" s="10" t="n">
        <v>45524.71875</v>
      </c>
      <c r="G3296" s="11" t="n">
        <v>21.82</v>
      </c>
      <c r="H3296" s="11">
        <f>H3295+G3296</f>
        <v/>
      </c>
    </row>
    <row r="3297">
      <c r="A3297" s="9" t="n">
        <v>3293</v>
      </c>
      <c r="B3297" s="9" t="inlineStr">
        <is>
          <t>Aurelius_M15</t>
        </is>
      </c>
      <c r="C3297" s="9" t="inlineStr">
        <is>
          <t>MA alignment (EMA21&gt;EMA50&gt;SMA250&gt;SMMA500 vs EMA2400 trend filter) - M15 chart</t>
        </is>
      </c>
      <c r="D3297" s="9" t="inlineStr">
        <is>
          <t>Long</t>
        </is>
      </c>
      <c r="E3297" s="10" t="n">
        <v>45524.48958333334</v>
      </c>
      <c r="F3297" s="10" t="n">
        <v>45524.75</v>
      </c>
      <c r="G3297" s="11" t="n">
        <v>-9.27</v>
      </c>
      <c r="H3297" s="11">
        <f>H3296+G3297</f>
        <v/>
      </c>
    </row>
    <row r="3298">
      <c r="A3298" s="9" t="n">
        <v>3294</v>
      </c>
      <c r="B3298" s="9" t="inlineStr">
        <is>
          <t>Aurelius_M5</t>
        </is>
      </c>
      <c r="C3298" s="9" t="inlineStr">
        <is>
          <t>MA alignment (EMA21&gt;EMA50&gt;SMA250&gt;SMMA500 vs EMA2400 trend filter)</t>
        </is>
      </c>
      <c r="D3298" s="9" t="inlineStr">
        <is>
          <t>Long</t>
        </is>
      </c>
      <c r="E3298" s="10" t="n">
        <v>45524.73263888889</v>
      </c>
      <c r="F3298" s="10" t="n">
        <v>45524.75</v>
      </c>
      <c r="G3298" s="11" t="n">
        <v>-7.79</v>
      </c>
      <c r="H3298" s="11">
        <f>H3297+G3298</f>
        <v/>
      </c>
    </row>
    <row r="3299">
      <c r="A3299" s="9" t="n">
        <v>3295</v>
      </c>
      <c r="B3299" s="9" t="inlineStr">
        <is>
          <t>Meridian</t>
        </is>
      </c>
      <c r="C3299" s="9" t="inlineStr">
        <is>
          <t>21/50 MA cross, 250-period confirm filter, VWAP</t>
        </is>
      </c>
      <c r="D3299" s="9" t="inlineStr">
        <is>
          <t>Long</t>
        </is>
      </c>
      <c r="E3299" s="10" t="n">
        <v>45524.40972222222</v>
      </c>
      <c r="F3299" s="10" t="n">
        <v>45524.75694444445</v>
      </c>
      <c r="G3299" s="11" t="n">
        <v>7.97</v>
      </c>
      <c r="H3299" s="11">
        <f>H3298+G3299</f>
        <v/>
      </c>
    </row>
    <row r="3300">
      <c r="A3300" s="9" t="n">
        <v>3296</v>
      </c>
      <c r="B3300" s="9" t="inlineStr">
        <is>
          <t>Meridian</t>
        </is>
      </c>
      <c r="C3300" s="9" t="inlineStr">
        <is>
          <t>21/50 MA cross, 250-period confirm filter, VWAP</t>
        </is>
      </c>
      <c r="D3300" s="9" t="inlineStr">
        <is>
          <t>Long</t>
        </is>
      </c>
      <c r="E3300" s="10" t="n">
        <v>45524.96527777778</v>
      </c>
      <c r="F3300" s="10" t="n">
        <v>45525.04166666666</v>
      </c>
      <c r="G3300" s="11" t="n">
        <v>-3.22</v>
      </c>
      <c r="H3300" s="11">
        <f>H3299+G3300</f>
        <v/>
      </c>
    </row>
    <row r="3301">
      <c r="A3301" s="9" t="n">
        <v>3297</v>
      </c>
      <c r="B3301" s="9" t="inlineStr">
        <is>
          <t>Vanguard_M5</t>
        </is>
      </c>
      <c r="C3301" s="9" t="inlineStr">
        <is>
          <t>Trendline breakout (fractal swing line) + VWAP/S-R distance gate</t>
        </is>
      </c>
      <c r="D3301" s="9" t="inlineStr">
        <is>
          <t>Short</t>
        </is>
      </c>
      <c r="E3301" s="10" t="n">
        <v>45524.81597222222</v>
      </c>
      <c r="F3301" s="10" t="n">
        <v>45525.21180555555</v>
      </c>
      <c r="G3301" s="11" t="n">
        <v>-13.92</v>
      </c>
      <c r="H3301" s="11">
        <f>H3300+G3301</f>
        <v/>
      </c>
    </row>
    <row r="3302">
      <c r="A3302" s="9" t="n">
        <v>3298</v>
      </c>
      <c r="B3302" s="9" t="inlineStr">
        <is>
          <t>Ratchet</t>
        </is>
      </c>
      <c r="C3302" s="9" t="inlineStr">
        <is>
          <t>Stochastic scalp with give-back trail exit</t>
        </is>
      </c>
      <c r="D3302" s="9" t="inlineStr">
        <is>
          <t>Long</t>
        </is>
      </c>
      <c r="E3302" s="10" t="n">
        <v>45525.23263888889</v>
      </c>
      <c r="F3302" s="10" t="n">
        <v>45525.25</v>
      </c>
      <c r="G3302" s="11" t="n">
        <v>0</v>
      </c>
      <c r="H3302" s="11">
        <f>H3301+G3302</f>
        <v/>
      </c>
    </row>
    <row r="3303">
      <c r="A3303" s="9" t="n">
        <v>3299</v>
      </c>
      <c r="B3303" s="9" t="inlineStr">
        <is>
          <t>Aurelius_M5</t>
        </is>
      </c>
      <c r="C3303" s="9" t="inlineStr">
        <is>
          <t>MA alignment (EMA21&gt;EMA50&gt;SMA250&gt;SMMA500 vs EMA2400 trend filter)</t>
        </is>
      </c>
      <c r="D3303" s="9" t="inlineStr">
        <is>
          <t>Long</t>
        </is>
      </c>
      <c r="E3303" s="10" t="n">
        <v>45525.23263888889</v>
      </c>
      <c r="F3303" s="10" t="n">
        <v>45525.26041666666</v>
      </c>
      <c r="G3303" s="11" t="n">
        <v>-3.94</v>
      </c>
      <c r="H3303" s="11">
        <f>H3302+G3303</f>
        <v/>
      </c>
    </row>
    <row r="3304">
      <c r="A3304" s="9" t="n">
        <v>3300</v>
      </c>
      <c r="B3304" s="9" t="inlineStr">
        <is>
          <t>Meridian</t>
        </is>
      </c>
      <c r="C3304" s="9" t="inlineStr">
        <is>
          <t>21/50 MA cross, 250-period confirm filter, VWAP</t>
        </is>
      </c>
      <c r="D3304" s="9" t="inlineStr">
        <is>
          <t>Long</t>
        </is>
      </c>
      <c r="E3304" s="10" t="n">
        <v>45525.20833333334</v>
      </c>
      <c r="F3304" s="10" t="n">
        <v>45525.27083333334</v>
      </c>
      <c r="G3304" s="11" t="n">
        <v>-3.85</v>
      </c>
      <c r="H3304" s="11">
        <f>H3303+G3304</f>
        <v/>
      </c>
    </row>
    <row r="3305">
      <c r="A3305" s="9" t="n">
        <v>3301</v>
      </c>
      <c r="B3305" s="9" t="inlineStr">
        <is>
          <t>Ratchet</t>
        </is>
      </c>
      <c r="C3305" s="9" t="inlineStr">
        <is>
          <t>Stochastic scalp with give-back trail exit</t>
        </is>
      </c>
      <c r="D3305" s="9" t="inlineStr">
        <is>
          <t>Long</t>
        </is>
      </c>
      <c r="E3305" s="10" t="n">
        <v>45525.36111111111</v>
      </c>
      <c r="F3305" s="10" t="n">
        <v>45525.36458333334</v>
      </c>
      <c r="G3305" s="11" t="n">
        <v>0</v>
      </c>
      <c r="H3305" s="11">
        <f>H3304+G3305</f>
        <v/>
      </c>
    </row>
    <row r="3306">
      <c r="A3306" s="9" t="n">
        <v>3302</v>
      </c>
      <c r="B3306" s="9" t="inlineStr">
        <is>
          <t>Meridian</t>
        </is>
      </c>
      <c r="C3306" s="9" t="inlineStr">
        <is>
          <t>21/50 MA cross, 250-period confirm filter, VWAP</t>
        </is>
      </c>
      <c r="D3306" s="9" t="inlineStr">
        <is>
          <t>Short</t>
        </is>
      </c>
      <c r="E3306" s="10" t="n">
        <v>45525.38541666666</v>
      </c>
      <c r="F3306" s="10" t="n">
        <v>45525.38888888889</v>
      </c>
      <c r="G3306" s="11" t="n">
        <v>-3.52</v>
      </c>
      <c r="H3306" s="11">
        <f>H3305+G3306</f>
        <v/>
      </c>
    </row>
    <row r="3307">
      <c r="A3307" s="9" t="n">
        <v>3303</v>
      </c>
      <c r="B3307" s="9" t="inlineStr">
        <is>
          <t>Meridian</t>
        </is>
      </c>
      <c r="C3307" s="9" t="inlineStr">
        <is>
          <t>21/50 MA cross, 250-period confirm filter, VWAP</t>
        </is>
      </c>
      <c r="D3307" s="9" t="inlineStr">
        <is>
          <t>Long</t>
        </is>
      </c>
      <c r="E3307" s="10" t="n">
        <v>45525.39583333334</v>
      </c>
      <c r="F3307" s="10" t="n">
        <v>45525.40277777778</v>
      </c>
      <c r="G3307" s="11" t="n">
        <v>-4.07</v>
      </c>
      <c r="H3307" s="11">
        <f>H3306+G3307</f>
        <v/>
      </c>
    </row>
    <row r="3308">
      <c r="A3308" s="9" t="n">
        <v>3304</v>
      </c>
      <c r="B3308" s="9" t="inlineStr">
        <is>
          <t>Ratchet</t>
        </is>
      </c>
      <c r="C3308" s="9" t="inlineStr">
        <is>
          <t>Stochastic scalp with give-back trail exit</t>
        </is>
      </c>
      <c r="D3308" s="9" t="inlineStr">
        <is>
          <t>Long</t>
        </is>
      </c>
      <c r="E3308" s="10" t="n">
        <v>45525.40277777778</v>
      </c>
      <c r="F3308" s="10" t="n">
        <v>45525.41319444445</v>
      </c>
      <c r="G3308" s="11" t="n">
        <v>-3.35</v>
      </c>
      <c r="H3308" s="11">
        <f>H3307+G3308</f>
        <v/>
      </c>
    </row>
    <row r="3309">
      <c r="A3309" s="9" t="n">
        <v>3305</v>
      </c>
      <c r="B3309" s="9" t="inlineStr">
        <is>
          <t>Vanguard_M15</t>
        </is>
      </c>
      <c r="C3309" s="9" t="inlineStr">
        <is>
          <t>Trendline breakout (fractal swing line) + VWAP/S-R distance gate - M15 chart</t>
        </is>
      </c>
      <c r="D3309" s="9" t="inlineStr">
        <is>
          <t>Short</t>
        </is>
      </c>
      <c r="E3309" s="10" t="n">
        <v>45525.53125</v>
      </c>
      <c r="F3309" s="10" t="n">
        <v>45525.60416666666</v>
      </c>
      <c r="G3309" s="11" t="n">
        <v>-5.21</v>
      </c>
      <c r="H3309" s="11">
        <f>H3308+G3309</f>
        <v/>
      </c>
    </row>
    <row r="3310">
      <c r="A3310" s="9" t="n">
        <v>3306</v>
      </c>
      <c r="B3310" s="9" t="inlineStr">
        <is>
          <t>Vanguard_M5</t>
        </is>
      </c>
      <c r="C3310" s="9" t="inlineStr">
        <is>
          <t>Trendline breakout (fractal swing line) + VWAP/S-R distance gate</t>
        </is>
      </c>
      <c r="D3310" s="9" t="inlineStr">
        <is>
          <t>Short</t>
        </is>
      </c>
      <c r="E3310" s="10" t="n">
        <v>45525.53125</v>
      </c>
      <c r="F3310" s="10" t="n">
        <v>45525.60763888889</v>
      </c>
      <c r="G3310" s="11" t="n">
        <v>-4.79</v>
      </c>
      <c r="H3310" s="11">
        <f>H3309+G3310</f>
        <v/>
      </c>
    </row>
    <row r="3311">
      <c r="A3311" s="9" t="n">
        <v>3307</v>
      </c>
      <c r="B3311" s="9" t="inlineStr">
        <is>
          <t>Meridian</t>
        </is>
      </c>
      <c r="C3311" s="9" t="inlineStr">
        <is>
          <t>21/50 MA cross, 250-period confirm filter, VWAP</t>
        </is>
      </c>
      <c r="D3311" s="9" t="inlineStr">
        <is>
          <t>Short</t>
        </is>
      </c>
      <c r="E3311" s="10" t="n">
        <v>45525.41319444445</v>
      </c>
      <c r="F3311" s="10" t="n">
        <v>45525.62847222222</v>
      </c>
      <c r="G3311" s="11" t="n">
        <v>2.93</v>
      </c>
      <c r="H3311" s="11">
        <f>H3310+G3311</f>
        <v/>
      </c>
    </row>
    <row r="3312">
      <c r="A3312" s="9" t="n">
        <v>3308</v>
      </c>
      <c r="B3312" s="9" t="inlineStr">
        <is>
          <t>Vanguard_M5</t>
        </is>
      </c>
      <c r="C3312" s="9" t="inlineStr">
        <is>
          <t>Trendline breakout (fractal swing line) + VWAP/S-R distance gate</t>
        </is>
      </c>
      <c r="D3312" s="9" t="inlineStr">
        <is>
          <t>Short</t>
        </is>
      </c>
      <c r="E3312" s="10" t="n">
        <v>45525.65972222222</v>
      </c>
      <c r="F3312" s="10" t="n">
        <v>45525.65972222222</v>
      </c>
      <c r="G3312" s="11" t="n">
        <v>-2.63</v>
      </c>
      <c r="H3312" s="11">
        <f>H3311+G3312</f>
        <v/>
      </c>
    </row>
    <row r="3313">
      <c r="A3313" s="9" t="n">
        <v>3309</v>
      </c>
      <c r="B3313" s="9" t="inlineStr">
        <is>
          <t>Vanguard_M15</t>
        </is>
      </c>
      <c r="C3313" s="9" t="inlineStr">
        <is>
          <t>Trendline breakout (fractal swing line) + VWAP/S-R distance gate - M15 chart</t>
        </is>
      </c>
      <c r="D3313" s="9" t="inlineStr">
        <is>
          <t>Short</t>
        </is>
      </c>
      <c r="E3313" s="10" t="n">
        <v>45525.6875</v>
      </c>
      <c r="F3313" s="10" t="n">
        <v>45525.76041666666</v>
      </c>
      <c r="G3313" s="11" t="n">
        <v>-0.95</v>
      </c>
      <c r="H3313" s="11">
        <f>H3312+G3313</f>
        <v/>
      </c>
    </row>
    <row r="3314">
      <c r="A3314" s="9" t="n">
        <v>3310</v>
      </c>
      <c r="B3314" s="9" t="inlineStr">
        <is>
          <t>Vanguard_M5</t>
        </is>
      </c>
      <c r="C3314" s="9" t="inlineStr">
        <is>
          <t>Trendline breakout (fractal swing line) + VWAP/S-R distance gate</t>
        </is>
      </c>
      <c r="D3314" s="9" t="inlineStr">
        <is>
          <t>Short</t>
        </is>
      </c>
      <c r="E3314" s="10" t="n">
        <v>45525.68402777778</v>
      </c>
      <c r="F3314" s="10" t="n">
        <v>45525.76388888889</v>
      </c>
      <c r="G3314" s="11" t="n">
        <v>0.17</v>
      </c>
      <c r="H3314" s="11">
        <f>H3313+G3314</f>
        <v/>
      </c>
    </row>
    <row r="3315">
      <c r="A3315" s="9" t="n">
        <v>3311</v>
      </c>
      <c r="B3315" s="9" t="inlineStr">
        <is>
          <t>Meridian</t>
        </is>
      </c>
      <c r="C3315" s="9" t="inlineStr">
        <is>
          <t>21/50 MA cross, 250-period confirm filter, VWAP</t>
        </is>
      </c>
      <c r="D3315" s="9" t="inlineStr">
        <is>
          <t>Short</t>
        </is>
      </c>
      <c r="E3315" s="10" t="n">
        <v>45525.68055555555</v>
      </c>
      <c r="F3315" s="10" t="n">
        <v>45525.79166666666</v>
      </c>
      <c r="G3315" s="11" t="n">
        <v>-0.17</v>
      </c>
      <c r="H3315" s="11">
        <f>H3314+G3315</f>
        <v/>
      </c>
    </row>
    <row r="3316">
      <c r="A3316" s="9" t="n">
        <v>3312</v>
      </c>
      <c r="B3316" s="9" t="inlineStr">
        <is>
          <t>Vanguard_M15</t>
        </is>
      </c>
      <c r="C3316" s="9" t="inlineStr">
        <is>
          <t>Trendline breakout (fractal swing line) + VWAP/S-R distance gate - M15 chart</t>
        </is>
      </c>
      <c r="D3316" s="9" t="inlineStr">
        <is>
          <t>Short</t>
        </is>
      </c>
      <c r="E3316" s="10" t="n">
        <v>45525.79166666666</v>
      </c>
      <c r="F3316" s="10" t="n">
        <v>45525.80208333334</v>
      </c>
      <c r="G3316" s="11" t="n">
        <v>1.01</v>
      </c>
      <c r="H3316" s="11">
        <f>H3315+G3316</f>
        <v/>
      </c>
    </row>
    <row r="3317">
      <c r="A3317" s="9" t="n">
        <v>3313</v>
      </c>
      <c r="B3317" s="9" t="inlineStr">
        <is>
          <t>Vanguard_M5</t>
        </is>
      </c>
      <c r="C3317" s="9" t="inlineStr">
        <is>
          <t>Trendline breakout (fractal swing line) + VWAP/S-R distance gate</t>
        </is>
      </c>
      <c r="D3317" s="9" t="inlineStr">
        <is>
          <t>Short</t>
        </is>
      </c>
      <c r="E3317" s="10" t="n">
        <v>45525.78125</v>
      </c>
      <c r="F3317" s="10" t="n">
        <v>45525.80902777778</v>
      </c>
      <c r="G3317" s="11" t="n">
        <v>1.16</v>
      </c>
      <c r="H3317" s="11">
        <f>H3316+G3317</f>
        <v/>
      </c>
    </row>
    <row r="3318">
      <c r="A3318" s="9" t="n">
        <v>3314</v>
      </c>
      <c r="B3318" s="9" t="inlineStr">
        <is>
          <t>Meridian</t>
        </is>
      </c>
      <c r="C3318" s="9" t="inlineStr">
        <is>
          <t>21/50 MA cross, 250-period confirm filter, VWAP</t>
        </is>
      </c>
      <c r="D3318" s="9" t="inlineStr">
        <is>
          <t>Short</t>
        </is>
      </c>
      <c r="E3318" s="10" t="n">
        <v>45525.80555555555</v>
      </c>
      <c r="F3318" s="10" t="n">
        <v>45525.8125</v>
      </c>
      <c r="G3318" s="11" t="n">
        <v>-2.17</v>
      </c>
      <c r="H3318" s="11">
        <f>H3317+G3318</f>
        <v/>
      </c>
    </row>
    <row r="3319">
      <c r="A3319" s="9" t="n">
        <v>3315</v>
      </c>
      <c r="B3319" s="9" t="inlineStr">
        <is>
          <t>Vanguard_M5</t>
        </is>
      </c>
      <c r="C3319" s="9" t="inlineStr">
        <is>
          <t>Trendline breakout (fractal swing line) + VWAP/S-R distance gate</t>
        </is>
      </c>
      <c r="D3319" s="9" t="inlineStr">
        <is>
          <t>Short</t>
        </is>
      </c>
      <c r="E3319" s="10" t="n">
        <v>45525.875</v>
      </c>
      <c r="F3319" s="10" t="n">
        <v>45525.88541666666</v>
      </c>
      <c r="G3319" s="11" t="n">
        <v>-7.29</v>
      </c>
      <c r="H3319" s="11">
        <f>H3318+G3319</f>
        <v/>
      </c>
    </row>
    <row r="3320">
      <c r="A3320" s="9" t="n">
        <v>3316</v>
      </c>
      <c r="B3320" s="9" t="inlineStr">
        <is>
          <t>Meridian</t>
        </is>
      </c>
      <c r="C3320" s="9" t="inlineStr">
        <is>
          <t>21/50 MA cross, 250-period confirm filter, VWAP</t>
        </is>
      </c>
      <c r="D3320" s="9" t="inlineStr">
        <is>
          <t>Short</t>
        </is>
      </c>
      <c r="E3320" s="10" t="n">
        <v>45526.19097222222</v>
      </c>
      <c r="F3320" s="10" t="n">
        <v>45526.39583333334</v>
      </c>
      <c r="G3320" s="11" t="n">
        <v>-0.05</v>
      </c>
      <c r="H3320" s="11">
        <f>H3319+G3320</f>
        <v/>
      </c>
    </row>
    <row r="3321">
      <c r="A3321" s="9" t="n">
        <v>3317</v>
      </c>
      <c r="B3321" s="9" t="inlineStr">
        <is>
          <t>Meridian</t>
        </is>
      </c>
      <c r="C3321" s="9" t="inlineStr">
        <is>
          <t>21/50 MA cross, 250-period confirm filter, VWAP</t>
        </is>
      </c>
      <c r="D3321" s="9" t="inlineStr">
        <is>
          <t>Short</t>
        </is>
      </c>
      <c r="E3321" s="10" t="n">
        <v>45526.48263888889</v>
      </c>
      <c r="F3321" s="10" t="n">
        <v>45526.52777777778</v>
      </c>
      <c r="G3321" s="11" t="n">
        <v>-4.3</v>
      </c>
      <c r="H3321" s="11">
        <f>H3320+G3321</f>
        <v/>
      </c>
    </row>
    <row r="3322">
      <c r="A3322" s="9" t="n">
        <v>3318</v>
      </c>
      <c r="B3322" s="9" t="inlineStr">
        <is>
          <t>Ratchet</t>
        </is>
      </c>
      <c r="C3322" s="9" t="inlineStr">
        <is>
          <t>Stochastic scalp with give-back trail exit</t>
        </is>
      </c>
      <c r="D3322" s="9" t="inlineStr">
        <is>
          <t>Short</t>
        </is>
      </c>
      <c r="E3322" s="10" t="n">
        <v>45526.72222222222</v>
      </c>
      <c r="F3322" s="10" t="n">
        <v>45526.75</v>
      </c>
      <c r="G3322" s="11" t="n">
        <v>-7.93</v>
      </c>
      <c r="H3322" s="11">
        <f>H3321+G3322</f>
        <v/>
      </c>
    </row>
    <row r="3323">
      <c r="A3323" s="9" t="n">
        <v>3319</v>
      </c>
      <c r="B3323" s="9" t="inlineStr">
        <is>
          <t>Ratchet</t>
        </is>
      </c>
      <c r="C3323" s="9" t="inlineStr">
        <is>
          <t>Stochastic scalp with give-back trail exit</t>
        </is>
      </c>
      <c r="D3323" s="9" t="inlineStr">
        <is>
          <t>Short</t>
        </is>
      </c>
      <c r="E3323" s="10" t="n">
        <v>45526.85416666666</v>
      </c>
      <c r="F3323" s="10" t="n">
        <v>45526.88541666666</v>
      </c>
      <c r="G3323" s="11" t="n">
        <v>-3.11</v>
      </c>
      <c r="H3323" s="11">
        <f>H3322+G3323</f>
        <v/>
      </c>
    </row>
    <row r="3324">
      <c r="A3324" s="9" t="n">
        <v>3320</v>
      </c>
      <c r="B3324" s="9" t="inlineStr">
        <is>
          <t>Meridian</t>
        </is>
      </c>
      <c r="C3324" s="9" t="inlineStr">
        <is>
          <t>21/50 MA cross, 250-period confirm filter, VWAP</t>
        </is>
      </c>
      <c r="D3324" s="9" t="inlineStr">
        <is>
          <t>Short</t>
        </is>
      </c>
      <c r="E3324" s="10" t="n">
        <v>45526.60763888889</v>
      </c>
      <c r="F3324" s="10" t="n">
        <v>45526.99652777778</v>
      </c>
      <c r="G3324" s="11" t="n">
        <v>17.87</v>
      </c>
      <c r="H3324" s="11">
        <f>H3323+G3324</f>
        <v/>
      </c>
    </row>
    <row r="3325">
      <c r="A3325" s="9" t="n">
        <v>3321</v>
      </c>
      <c r="B3325" s="9" t="inlineStr">
        <is>
          <t>Vanguard_M15</t>
        </is>
      </c>
      <c r="C3325" s="9" t="inlineStr">
        <is>
          <t>Trendline breakout (fractal swing line) + VWAP/S-R distance gate - M15 chart</t>
        </is>
      </c>
      <c r="D3325" s="9" t="inlineStr">
        <is>
          <t>Short</t>
        </is>
      </c>
      <c r="E3325" s="10" t="n">
        <v>45525.875</v>
      </c>
      <c r="F3325" s="10" t="n">
        <v>45527.70833333334</v>
      </c>
      <c r="G3325" s="11" t="n">
        <v>-7.99</v>
      </c>
      <c r="H3325" s="11">
        <f>H3324+G3325</f>
        <v/>
      </c>
    </row>
    <row r="3326">
      <c r="A3326" s="9" t="n">
        <v>3322</v>
      </c>
      <c r="B3326" s="9" t="inlineStr">
        <is>
          <t>Aurelius_M15</t>
        </is>
      </c>
      <c r="C3326" s="9" t="inlineStr">
        <is>
          <t>MA alignment (EMA21&gt;EMA50&gt;SMA250&gt;SMMA500 vs EMA2400 trend filter) - M15 chart</t>
        </is>
      </c>
      <c r="D3326" s="9" t="inlineStr">
        <is>
          <t>Long</t>
        </is>
      </c>
      <c r="E3326" s="10" t="n">
        <v>45527.71875</v>
      </c>
      <c r="F3326" s="10" t="n">
        <v>45527.71875</v>
      </c>
      <c r="G3326" s="11" t="n">
        <v>-10.34</v>
      </c>
      <c r="H3326" s="11">
        <f>H3325+G3326</f>
        <v/>
      </c>
    </row>
    <row r="3327">
      <c r="A3327" s="9" t="n">
        <v>3323</v>
      </c>
      <c r="B3327" s="9" t="inlineStr">
        <is>
          <t>Ratchet</t>
        </is>
      </c>
      <c r="C3327" s="9" t="inlineStr">
        <is>
          <t>Stochastic scalp with give-back trail exit</t>
        </is>
      </c>
      <c r="D3327" s="9" t="inlineStr">
        <is>
          <t>Long</t>
        </is>
      </c>
      <c r="E3327" s="10" t="n">
        <v>45527.78125</v>
      </c>
      <c r="F3327" s="10" t="n">
        <v>45527.78819444445</v>
      </c>
      <c r="G3327" s="11" t="n">
        <v>-6.66</v>
      </c>
      <c r="H3327" s="11">
        <f>H3326+G3327</f>
        <v/>
      </c>
    </row>
    <row r="3328">
      <c r="A3328" s="9" t="n">
        <v>3324</v>
      </c>
      <c r="B3328" s="9" t="inlineStr">
        <is>
          <t>Aurelius_M15</t>
        </is>
      </c>
      <c r="C3328" s="9" t="inlineStr">
        <is>
          <t>MA alignment (EMA21&gt;EMA50&gt;SMA250&gt;SMMA500 vs EMA2400 trend filter) - M15 chart</t>
        </is>
      </c>
      <c r="D3328" s="9" t="inlineStr">
        <is>
          <t>Long</t>
        </is>
      </c>
      <c r="E3328" s="10" t="n">
        <v>45527.77083333334</v>
      </c>
      <c r="F3328" s="10" t="n">
        <v>45527.8125</v>
      </c>
      <c r="G3328" s="11" t="n">
        <v>-13.83</v>
      </c>
      <c r="H3328" s="11">
        <f>H3327+G3328</f>
        <v/>
      </c>
    </row>
    <row r="3329">
      <c r="A3329" s="9" t="n">
        <v>3325</v>
      </c>
      <c r="B3329" s="9" t="inlineStr">
        <is>
          <t>Ratchet</t>
        </is>
      </c>
      <c r="C3329" s="9" t="inlineStr">
        <is>
          <t>Stochastic scalp with give-back trail exit</t>
        </is>
      </c>
      <c r="D3329" s="9" t="inlineStr">
        <is>
          <t>Long</t>
        </is>
      </c>
      <c r="E3329" s="10" t="n">
        <v>45530.13194444445</v>
      </c>
      <c r="F3329" s="10" t="n">
        <v>45530.14930555555</v>
      </c>
      <c r="G3329" s="11" t="n">
        <v>0.27</v>
      </c>
      <c r="H3329" s="11">
        <f>H3328+G3329</f>
        <v/>
      </c>
    </row>
    <row r="3330">
      <c r="A3330" s="9" t="n">
        <v>3326</v>
      </c>
      <c r="B3330" s="9" t="inlineStr">
        <is>
          <t>Aurelius_M5</t>
        </is>
      </c>
      <c r="C3330" s="9" t="inlineStr">
        <is>
          <t>MA alignment (EMA21&gt;EMA50&gt;SMA250&gt;SMMA500 vs EMA2400 trend filter)</t>
        </is>
      </c>
      <c r="D3330" s="9" t="inlineStr">
        <is>
          <t>Long</t>
        </is>
      </c>
      <c r="E3330" s="10" t="n">
        <v>45530.17361111111</v>
      </c>
      <c r="F3330" s="10" t="n">
        <v>45530.19444444445</v>
      </c>
      <c r="G3330" s="11" t="n">
        <v>-3.45</v>
      </c>
      <c r="H3330" s="11">
        <f>H3329+G3330</f>
        <v/>
      </c>
    </row>
    <row r="3331">
      <c r="A3331" s="9" t="n">
        <v>3327</v>
      </c>
      <c r="B3331" s="9" t="inlineStr">
        <is>
          <t>Ratchet</t>
        </is>
      </c>
      <c r="C3331" s="9" t="inlineStr">
        <is>
          <t>Stochastic scalp with give-back trail exit</t>
        </is>
      </c>
      <c r="D3331" s="9" t="inlineStr">
        <is>
          <t>Long</t>
        </is>
      </c>
      <c r="E3331" s="10" t="n">
        <v>45530.5625</v>
      </c>
      <c r="F3331" s="10" t="n">
        <v>45530.5625</v>
      </c>
      <c r="G3331" s="11" t="n">
        <v>-2.28</v>
      </c>
      <c r="H3331" s="11">
        <f>H3330+G3331</f>
        <v/>
      </c>
    </row>
    <row r="3332">
      <c r="A3332" s="9" t="n">
        <v>3328</v>
      </c>
      <c r="B3332" s="9" t="inlineStr">
        <is>
          <t>Ratchet</t>
        </is>
      </c>
      <c r="C3332" s="9" t="inlineStr">
        <is>
          <t>Stochastic scalp with give-back trail exit</t>
        </is>
      </c>
      <c r="D3332" s="9" t="inlineStr">
        <is>
          <t>Long</t>
        </is>
      </c>
      <c r="E3332" s="10" t="n">
        <v>45530.58333333334</v>
      </c>
      <c r="F3332" s="10" t="n">
        <v>45530.60069444445</v>
      </c>
      <c r="G3332" s="11" t="n">
        <v>-2.4</v>
      </c>
      <c r="H3332" s="11">
        <f>H3331+G3332</f>
        <v/>
      </c>
    </row>
    <row r="3333">
      <c r="A3333" s="9" t="n">
        <v>3329</v>
      </c>
      <c r="B3333" s="9" t="inlineStr">
        <is>
          <t>Ratchet</t>
        </is>
      </c>
      <c r="C3333" s="9" t="inlineStr">
        <is>
          <t>Stochastic scalp with give-back trail exit</t>
        </is>
      </c>
      <c r="D3333" s="9" t="inlineStr">
        <is>
          <t>Long</t>
        </is>
      </c>
      <c r="E3333" s="10" t="n">
        <v>45530.625</v>
      </c>
      <c r="F3333" s="10" t="n">
        <v>45530.63888888889</v>
      </c>
      <c r="G3333" s="11" t="n">
        <v>-2.72</v>
      </c>
      <c r="H3333" s="11">
        <f>H3332+G3333</f>
        <v/>
      </c>
    </row>
    <row r="3334">
      <c r="A3334" s="9" t="n">
        <v>3330</v>
      </c>
      <c r="B3334" s="9" t="inlineStr">
        <is>
          <t>Vanguard_M15</t>
        </is>
      </c>
      <c r="C3334" s="9" t="inlineStr">
        <is>
          <t>Trendline breakout (fractal swing line) + VWAP/S-R distance gate - M15 chart</t>
        </is>
      </c>
      <c r="D3334" s="9" t="inlineStr">
        <is>
          <t>Long</t>
        </is>
      </c>
      <c r="E3334" s="10" t="n">
        <v>45530.4375</v>
      </c>
      <c r="F3334" s="10" t="n">
        <v>45530.69791666666</v>
      </c>
      <c r="G3334" s="11" t="n">
        <v>-2.38</v>
      </c>
      <c r="H3334" s="11">
        <f>H3333+G3334</f>
        <v/>
      </c>
    </row>
    <row r="3335">
      <c r="A3335" s="9" t="n">
        <v>3331</v>
      </c>
      <c r="B3335" s="9" t="inlineStr">
        <is>
          <t>Vanguard_M5</t>
        </is>
      </c>
      <c r="C3335" s="9" t="inlineStr">
        <is>
          <t>Trendline breakout (fractal swing line) + VWAP/S-R distance gate</t>
        </is>
      </c>
      <c r="D3335" s="9" t="inlineStr">
        <is>
          <t>Long</t>
        </is>
      </c>
      <c r="E3335" s="10" t="n">
        <v>45530.43402777778</v>
      </c>
      <c r="F3335" s="10" t="n">
        <v>45530.70138888889</v>
      </c>
      <c r="G3335" s="11" t="n">
        <v>-2.22</v>
      </c>
      <c r="H3335" s="11">
        <f>H3334+G3335</f>
        <v/>
      </c>
    </row>
    <row r="3336">
      <c r="A3336" s="9" t="n">
        <v>3332</v>
      </c>
      <c r="B3336" s="9" t="inlineStr">
        <is>
          <t>Meridian</t>
        </is>
      </c>
      <c r="C3336" s="9" t="inlineStr">
        <is>
          <t>21/50 MA cross, 250-period confirm filter, VWAP</t>
        </is>
      </c>
      <c r="D3336" s="9" t="inlineStr">
        <is>
          <t>Long</t>
        </is>
      </c>
      <c r="E3336" s="10" t="n">
        <v>45530.40625</v>
      </c>
      <c r="F3336" s="10" t="n">
        <v>45530.70486111111</v>
      </c>
      <c r="G3336" s="11" t="n">
        <v>2.93</v>
      </c>
      <c r="H3336" s="11">
        <f>H3335+G3336</f>
        <v/>
      </c>
    </row>
    <row r="3337">
      <c r="A3337" s="9" t="n">
        <v>3333</v>
      </c>
      <c r="B3337" s="9" t="inlineStr">
        <is>
          <t>Aurelius_M5</t>
        </is>
      </c>
      <c r="C3337" s="9" t="inlineStr">
        <is>
          <t>MA alignment (EMA21&gt;EMA50&gt;SMA250&gt;SMMA500 vs EMA2400 trend filter)</t>
        </is>
      </c>
      <c r="D3337" s="9" t="inlineStr">
        <is>
          <t>Long</t>
        </is>
      </c>
      <c r="E3337" s="10" t="n">
        <v>45530.42013888889</v>
      </c>
      <c r="F3337" s="10" t="n">
        <v>45530.70486111111</v>
      </c>
      <c r="G3337" s="11" t="n">
        <v>0.38</v>
      </c>
      <c r="H3337" s="11">
        <f>H3336+G3337</f>
        <v/>
      </c>
    </row>
    <row r="3338">
      <c r="A3338" s="9" t="n">
        <v>3334</v>
      </c>
      <c r="B3338" s="9" t="inlineStr">
        <is>
          <t>Vanguard_M5</t>
        </is>
      </c>
      <c r="C3338" s="9" t="inlineStr">
        <is>
          <t>Trendline breakout (fractal swing line) + VWAP/S-R distance gate</t>
        </is>
      </c>
      <c r="D3338" s="9" t="inlineStr">
        <is>
          <t>Short</t>
        </is>
      </c>
      <c r="E3338" s="10" t="n">
        <v>45530.70486111111</v>
      </c>
      <c r="F3338" s="10" t="n">
        <v>45530.73958333334</v>
      </c>
      <c r="G3338" s="11" t="n">
        <v>-2.4</v>
      </c>
      <c r="H3338" s="11">
        <f>H3337+G3338</f>
        <v/>
      </c>
    </row>
    <row r="3339">
      <c r="A3339" s="9" t="n">
        <v>3335</v>
      </c>
      <c r="B3339" s="9" t="inlineStr">
        <is>
          <t>Aurelius_M15</t>
        </is>
      </c>
      <c r="C3339" s="9" t="inlineStr">
        <is>
          <t>MA alignment (EMA21&gt;EMA50&gt;SMA250&gt;SMMA500 vs EMA2400 trend filter) - M15 chart</t>
        </is>
      </c>
      <c r="D3339" s="9" t="inlineStr">
        <is>
          <t>Long</t>
        </is>
      </c>
      <c r="E3339" s="10" t="n">
        <v>45530.41666666666</v>
      </c>
      <c r="F3339" s="10" t="n">
        <v>45530.78125</v>
      </c>
      <c r="G3339" s="11" t="n">
        <v>-0.9399999999999999</v>
      </c>
      <c r="H3339" s="11">
        <f>H3338+G3339</f>
        <v/>
      </c>
    </row>
    <row r="3340">
      <c r="A3340" s="9" t="n">
        <v>3336</v>
      </c>
      <c r="B3340" s="9" t="inlineStr">
        <is>
          <t>Vanguard_M15</t>
        </is>
      </c>
      <c r="C3340" s="9" t="inlineStr">
        <is>
          <t>Trendline breakout (fractal swing line) + VWAP/S-R distance gate - M15 chart</t>
        </is>
      </c>
      <c r="D3340" s="9" t="inlineStr">
        <is>
          <t>Short</t>
        </is>
      </c>
      <c r="E3340" s="10" t="n">
        <v>45530.70833333334</v>
      </c>
      <c r="F3340" s="10" t="n">
        <v>45530.82291666666</v>
      </c>
      <c r="G3340" s="11" t="n">
        <v>-4.5</v>
      </c>
      <c r="H3340" s="11">
        <f>H3339+G3340</f>
        <v/>
      </c>
    </row>
    <row r="3341">
      <c r="A3341" s="9" t="n">
        <v>3337</v>
      </c>
      <c r="B3341" s="9" t="inlineStr">
        <is>
          <t>Vanguard_M5</t>
        </is>
      </c>
      <c r="C3341" s="9" t="inlineStr">
        <is>
          <t>Trendline breakout (fractal swing line) + VWAP/S-R distance gate</t>
        </is>
      </c>
      <c r="D3341" s="9" t="inlineStr">
        <is>
          <t>Short</t>
        </is>
      </c>
      <c r="E3341" s="10" t="n">
        <v>45530.74652777778</v>
      </c>
      <c r="F3341" s="10" t="n">
        <v>45530.82291666666</v>
      </c>
      <c r="G3341" s="11" t="n">
        <v>-0.49</v>
      </c>
      <c r="H3341" s="11">
        <f>H3340+G3341</f>
        <v/>
      </c>
    </row>
    <row r="3342">
      <c r="A3342" s="9" t="n">
        <v>3338</v>
      </c>
      <c r="B3342" s="9" t="inlineStr">
        <is>
          <t>Vanguard_M5</t>
        </is>
      </c>
      <c r="C3342" s="9" t="inlineStr">
        <is>
          <t>Trendline breakout (fractal swing line) + VWAP/S-R distance gate</t>
        </is>
      </c>
      <c r="D3342" s="9" t="inlineStr">
        <is>
          <t>Long</t>
        </is>
      </c>
      <c r="E3342" s="10" t="n">
        <v>45530.82638888889</v>
      </c>
      <c r="F3342" s="10" t="n">
        <v>45530.84375</v>
      </c>
      <c r="G3342" s="11" t="n">
        <v>2.12</v>
      </c>
      <c r="H3342" s="11">
        <f>H3341+G3342</f>
        <v/>
      </c>
    </row>
    <row r="3343">
      <c r="A3343" s="9" t="n">
        <v>3339</v>
      </c>
      <c r="B3343" s="9" t="inlineStr">
        <is>
          <t>Meridian</t>
        </is>
      </c>
      <c r="C3343" s="9" t="inlineStr">
        <is>
          <t>21/50 MA cross, 250-period confirm filter, VWAP</t>
        </is>
      </c>
      <c r="D3343" s="9" t="inlineStr">
        <is>
          <t>Long</t>
        </is>
      </c>
      <c r="E3343" s="10" t="n">
        <v>45530.85069444445</v>
      </c>
      <c r="F3343" s="10" t="n">
        <v>45530.86805555555</v>
      </c>
      <c r="G3343" s="11" t="n">
        <v>-4.35</v>
      </c>
      <c r="H3343" s="11">
        <f>H3342+G3343</f>
        <v/>
      </c>
    </row>
    <row r="3344">
      <c r="A3344" s="9" t="n">
        <v>3340</v>
      </c>
      <c r="B3344" s="9" t="inlineStr">
        <is>
          <t>Ratchet</t>
        </is>
      </c>
      <c r="C3344" s="9" t="inlineStr">
        <is>
          <t>Stochastic scalp with give-back trail exit</t>
        </is>
      </c>
      <c r="D3344" s="9" t="inlineStr">
        <is>
          <t>Long</t>
        </is>
      </c>
      <c r="E3344" s="10" t="n">
        <v>45530.94444444445</v>
      </c>
      <c r="F3344" s="10" t="n">
        <v>45530.94791666666</v>
      </c>
      <c r="G3344" s="11" t="n">
        <v>-1.96</v>
      </c>
      <c r="H3344" s="11">
        <f>H3343+G3344</f>
        <v/>
      </c>
    </row>
    <row r="3345">
      <c r="A3345" s="9" t="n">
        <v>3341</v>
      </c>
      <c r="B3345" s="9" t="inlineStr">
        <is>
          <t>Vanguard_M5</t>
        </is>
      </c>
      <c r="C3345" s="9" t="inlineStr">
        <is>
          <t>Trendline breakout (fractal swing line) + VWAP/S-R distance gate</t>
        </is>
      </c>
      <c r="D3345" s="9" t="inlineStr">
        <is>
          <t>Long</t>
        </is>
      </c>
      <c r="E3345" s="10" t="n">
        <v>45530.875</v>
      </c>
      <c r="F3345" s="10" t="n">
        <v>45531.17361111111</v>
      </c>
      <c r="G3345" s="11" t="n">
        <v>-6.41</v>
      </c>
      <c r="H3345" s="11">
        <f>H3344+G3345</f>
        <v/>
      </c>
    </row>
    <row r="3346">
      <c r="A3346" s="9" t="n">
        <v>3342</v>
      </c>
      <c r="B3346" s="9" t="inlineStr">
        <is>
          <t>Meridian</t>
        </is>
      </c>
      <c r="C3346" s="9" t="inlineStr">
        <is>
          <t>21/50 MA cross, 250-period confirm filter, VWAP</t>
        </is>
      </c>
      <c r="D3346" s="9" t="inlineStr">
        <is>
          <t>Short</t>
        </is>
      </c>
      <c r="E3346" s="10" t="n">
        <v>45531.04513888889</v>
      </c>
      <c r="F3346" s="10" t="n">
        <v>45531.37152777778</v>
      </c>
      <c r="G3346" s="11" t="n">
        <v>4.68</v>
      </c>
      <c r="H3346" s="11">
        <f>H3345+G3346</f>
        <v/>
      </c>
    </row>
    <row r="3347">
      <c r="A3347" s="9" t="n">
        <v>3343</v>
      </c>
      <c r="B3347" s="9" t="inlineStr">
        <is>
          <t>Meridian</t>
        </is>
      </c>
      <c r="C3347" s="9" t="inlineStr">
        <is>
          <t>21/50 MA cross, 250-period confirm filter, VWAP</t>
        </is>
      </c>
      <c r="D3347" s="9" t="inlineStr">
        <is>
          <t>Short</t>
        </is>
      </c>
      <c r="E3347" s="10" t="n">
        <v>45531.45833333334</v>
      </c>
      <c r="F3347" s="10" t="n">
        <v>45531.45833333334</v>
      </c>
      <c r="G3347" s="11" t="n">
        <v>-4.95</v>
      </c>
      <c r="H3347" s="11">
        <f>H3346+G3347</f>
        <v/>
      </c>
    </row>
    <row r="3348">
      <c r="A3348" s="9" t="n">
        <v>3344</v>
      </c>
      <c r="B3348" s="9" t="inlineStr">
        <is>
          <t>Meridian</t>
        </is>
      </c>
      <c r="C3348" s="9" t="inlineStr">
        <is>
          <t>21/50 MA cross, 250-period confirm filter, VWAP</t>
        </is>
      </c>
      <c r="D3348" s="9" t="inlineStr">
        <is>
          <t>Short</t>
        </is>
      </c>
      <c r="E3348" s="10" t="n">
        <v>45531.52777777778</v>
      </c>
      <c r="F3348" s="10" t="n">
        <v>45531.62152777778</v>
      </c>
      <c r="G3348" s="11" t="n">
        <v>-1.91</v>
      </c>
      <c r="H3348" s="11">
        <f>H3347+G3348</f>
        <v/>
      </c>
    </row>
    <row r="3349">
      <c r="A3349" s="9" t="n">
        <v>3345</v>
      </c>
      <c r="B3349" s="9" t="inlineStr">
        <is>
          <t>Meridian</t>
        </is>
      </c>
      <c r="C3349" s="9" t="inlineStr">
        <is>
          <t>21/50 MA cross, 250-period confirm filter, VWAP</t>
        </is>
      </c>
      <c r="D3349" s="9" t="inlineStr">
        <is>
          <t>Short</t>
        </is>
      </c>
      <c r="E3349" s="10" t="n">
        <v>45531.65972222222</v>
      </c>
      <c r="F3349" s="10" t="n">
        <v>45531.69097222222</v>
      </c>
      <c r="G3349" s="11" t="n">
        <v>-3.93</v>
      </c>
      <c r="H3349" s="11">
        <f>H3348+G3349</f>
        <v/>
      </c>
    </row>
    <row r="3350">
      <c r="A3350" s="9" t="n">
        <v>3346</v>
      </c>
      <c r="B3350" s="9" t="inlineStr">
        <is>
          <t>Ratchet</t>
        </is>
      </c>
      <c r="C3350" s="9" t="inlineStr">
        <is>
          <t>Stochastic scalp with give-back trail exit</t>
        </is>
      </c>
      <c r="D3350" s="9" t="inlineStr">
        <is>
          <t>Long</t>
        </is>
      </c>
      <c r="E3350" s="10" t="n">
        <v>45531.92013888889</v>
      </c>
      <c r="F3350" s="10" t="n">
        <v>45531.97222222222</v>
      </c>
      <c r="G3350" s="11" t="n">
        <v>0</v>
      </c>
      <c r="H3350" s="11">
        <f>H3349+G3350</f>
        <v/>
      </c>
    </row>
    <row r="3351">
      <c r="A3351" s="9" t="n">
        <v>3347</v>
      </c>
      <c r="B3351" s="9" t="inlineStr">
        <is>
          <t>Meridian</t>
        </is>
      </c>
      <c r="C3351" s="9" t="inlineStr">
        <is>
          <t>21/50 MA cross, 250-period confirm filter, VWAP</t>
        </is>
      </c>
      <c r="D3351" s="9" t="inlineStr">
        <is>
          <t>Short</t>
        </is>
      </c>
      <c r="E3351" s="10" t="n">
        <v>45532.80902777778</v>
      </c>
      <c r="F3351" s="10" t="n">
        <v>45532.81944444445</v>
      </c>
      <c r="G3351" s="11" t="n">
        <v>-5.69</v>
      </c>
      <c r="H3351" s="11">
        <f>H3350+G3351</f>
        <v/>
      </c>
    </row>
    <row r="3352">
      <c r="A3352" s="9" t="n">
        <v>3348</v>
      </c>
      <c r="B3352" s="9" t="inlineStr">
        <is>
          <t>Ratchet</t>
        </is>
      </c>
      <c r="C3352" s="9" t="inlineStr">
        <is>
          <t>Stochastic scalp with give-back trail exit</t>
        </is>
      </c>
      <c r="D3352" s="9" t="inlineStr">
        <is>
          <t>Long</t>
        </is>
      </c>
      <c r="E3352" s="10" t="n">
        <v>45533.75</v>
      </c>
      <c r="F3352" s="10" t="n">
        <v>45533.76041666666</v>
      </c>
      <c r="G3352" s="11" t="n">
        <v>0.66</v>
      </c>
      <c r="H3352" s="11">
        <f>H3351+G3352</f>
        <v/>
      </c>
    </row>
    <row r="3353">
      <c r="A3353" s="9" t="n">
        <v>3349</v>
      </c>
      <c r="B3353" s="9" t="inlineStr">
        <is>
          <t>Meridian</t>
        </is>
      </c>
      <c r="C3353" s="9" t="inlineStr">
        <is>
          <t>21/50 MA cross, 250-period confirm filter, VWAP</t>
        </is>
      </c>
      <c r="D3353" s="9" t="inlineStr">
        <is>
          <t>Long</t>
        </is>
      </c>
      <c r="E3353" s="10" t="n">
        <v>45533.73958333334</v>
      </c>
      <c r="F3353" s="10" t="n">
        <v>45533.96180555555</v>
      </c>
      <c r="G3353" s="11" t="n">
        <v>2.27</v>
      </c>
      <c r="H3353" s="11">
        <f>H3352+G3353</f>
        <v/>
      </c>
    </row>
    <row r="3354">
      <c r="A3354" s="9" t="n">
        <v>3350</v>
      </c>
      <c r="B3354" s="9" t="inlineStr">
        <is>
          <t>Aurelius_M5</t>
        </is>
      </c>
      <c r="C3354" s="9" t="inlineStr">
        <is>
          <t>MA alignment (EMA21&gt;EMA50&gt;SMA250&gt;SMMA500 vs EMA2400 trend filter)</t>
        </is>
      </c>
      <c r="D3354" s="9" t="inlineStr">
        <is>
          <t>Long</t>
        </is>
      </c>
      <c r="E3354" s="10" t="n">
        <v>45533.75347222222</v>
      </c>
      <c r="F3354" s="10" t="n">
        <v>45533.96180555555</v>
      </c>
      <c r="G3354" s="11" t="n">
        <v>0.2</v>
      </c>
      <c r="H3354" s="11">
        <f>H3353+G3354</f>
        <v/>
      </c>
    </row>
    <row r="3355">
      <c r="A3355" s="9" t="n">
        <v>3351</v>
      </c>
      <c r="B3355" s="9" t="inlineStr">
        <is>
          <t>Aurelius_M15</t>
        </is>
      </c>
      <c r="C3355" s="9" t="inlineStr">
        <is>
          <t>MA alignment (EMA21&gt;EMA50&gt;SMA250&gt;SMMA500 vs EMA2400 trend filter) - M15 chart</t>
        </is>
      </c>
      <c r="D3355" s="9" t="inlineStr">
        <is>
          <t>Long</t>
        </is>
      </c>
      <c r="E3355" s="10" t="n">
        <v>45533.70833333334</v>
      </c>
      <c r="F3355" s="10" t="n">
        <v>45534.16666666666</v>
      </c>
      <c r="G3355" s="11" t="n">
        <v>0.85</v>
      </c>
      <c r="H3355" s="11">
        <f>H3354+G3355</f>
        <v/>
      </c>
    </row>
    <row r="3356">
      <c r="A3356" s="9" t="n">
        <v>3352</v>
      </c>
      <c r="B3356" s="9" t="inlineStr">
        <is>
          <t>Meridian</t>
        </is>
      </c>
      <c r="C3356" s="9" t="inlineStr">
        <is>
          <t>21/50 MA cross, 250-period confirm filter, VWAP</t>
        </is>
      </c>
      <c r="D3356" s="9" t="inlineStr">
        <is>
          <t>Long</t>
        </is>
      </c>
      <c r="E3356" s="10" t="n">
        <v>45534.39583333334</v>
      </c>
      <c r="F3356" s="10" t="n">
        <v>45534.40625</v>
      </c>
      <c r="G3356" s="11" t="n">
        <v>-3.97</v>
      </c>
      <c r="H3356" s="11">
        <f>H3355+G3356</f>
        <v/>
      </c>
    </row>
    <row r="3357">
      <c r="A3357" s="9" t="n">
        <v>3353</v>
      </c>
      <c r="B3357" s="9" t="inlineStr">
        <is>
          <t>Meridian</t>
        </is>
      </c>
      <c r="C3357" s="9" t="inlineStr">
        <is>
          <t>21/50 MA cross, 250-period confirm filter, VWAP</t>
        </is>
      </c>
      <c r="D3357" s="9" t="inlineStr">
        <is>
          <t>Short</t>
        </is>
      </c>
      <c r="E3357" s="10" t="n">
        <v>45534.57986111111</v>
      </c>
      <c r="F3357" s="10" t="n">
        <v>45534.59722222222</v>
      </c>
      <c r="G3357" s="11" t="n">
        <v>-4.03</v>
      </c>
      <c r="H3357" s="11">
        <f>H3356+G3357</f>
        <v/>
      </c>
    </row>
    <row r="3358">
      <c r="A3358" s="9" t="n">
        <v>3354</v>
      </c>
      <c r="B3358" s="9" t="inlineStr">
        <is>
          <t>Meridian</t>
        </is>
      </c>
      <c r="C3358" s="9" t="inlineStr">
        <is>
          <t>21/50 MA cross, 250-period confirm filter, VWAP</t>
        </is>
      </c>
      <c r="D3358" s="9" t="inlineStr">
        <is>
          <t>Long</t>
        </is>
      </c>
      <c r="E3358" s="10" t="n">
        <v>45534.64236111111</v>
      </c>
      <c r="F3358" s="10" t="n">
        <v>45534.64930555555</v>
      </c>
      <c r="G3358" s="11" t="n">
        <v>-4.33</v>
      </c>
      <c r="H3358" s="11">
        <f>H3357+G3358</f>
        <v/>
      </c>
    </row>
    <row r="3359">
      <c r="A3359" s="9" t="n">
        <v>3355</v>
      </c>
      <c r="B3359" s="9" t="inlineStr">
        <is>
          <t>Aurelius_M15</t>
        </is>
      </c>
      <c r="C3359" s="9" t="inlineStr">
        <is>
          <t>MA alignment (EMA21&gt;EMA50&gt;SMA250&gt;SMMA500 vs EMA2400 trend filter) - M15 chart</t>
        </is>
      </c>
      <c r="D3359" s="9" t="inlineStr">
        <is>
          <t>Long</t>
        </is>
      </c>
      <c r="E3359" s="10" t="n">
        <v>45534.64583333334</v>
      </c>
      <c r="F3359" s="10" t="n">
        <v>45534.66666666666</v>
      </c>
      <c r="G3359" s="11" t="n">
        <v>-7.32</v>
      </c>
      <c r="H3359" s="11">
        <f>H3358+G3359</f>
        <v/>
      </c>
    </row>
    <row r="3360">
      <c r="A3360" s="9" t="n">
        <v>3356</v>
      </c>
      <c r="B3360" s="9" t="inlineStr">
        <is>
          <t>Meridian</t>
        </is>
      </c>
      <c r="C3360" s="9" t="inlineStr">
        <is>
          <t>21/50 MA cross, 250-period confirm filter, VWAP</t>
        </is>
      </c>
      <c r="D3360" s="9" t="inlineStr">
        <is>
          <t>Short</t>
        </is>
      </c>
      <c r="E3360" s="10" t="n">
        <v>45534.65625</v>
      </c>
      <c r="F3360" s="10" t="n">
        <v>45534.91666666666</v>
      </c>
      <c r="G3360" s="11" t="n">
        <v>14.41</v>
      </c>
      <c r="H3360" s="11">
        <f>H3359+G3360</f>
        <v/>
      </c>
    </row>
    <row r="3361">
      <c r="A3361" s="9" t="n">
        <v>3357</v>
      </c>
      <c r="B3361" s="9" t="inlineStr">
        <is>
          <t>Meridian</t>
        </is>
      </c>
      <c r="C3361" s="9" t="inlineStr">
        <is>
          <t>21/50 MA cross, 250-period confirm filter, VWAP</t>
        </is>
      </c>
      <c r="D3361" s="9" t="inlineStr">
        <is>
          <t>Short</t>
        </is>
      </c>
      <c r="E3361" s="10" t="n">
        <v>45537.11805555555</v>
      </c>
      <c r="F3361" s="10" t="n">
        <v>45537.14930555555</v>
      </c>
      <c r="G3361" s="11" t="n">
        <v>-1.43</v>
      </c>
      <c r="H3361" s="11">
        <f>H3360+G3361</f>
        <v/>
      </c>
    </row>
    <row r="3362">
      <c r="A3362" s="9" t="n">
        <v>3358</v>
      </c>
      <c r="B3362" s="9" t="inlineStr">
        <is>
          <t>Meridian</t>
        </is>
      </c>
      <c r="C3362" s="9" t="inlineStr">
        <is>
          <t>21/50 MA cross, 250-period confirm filter, VWAP</t>
        </is>
      </c>
      <c r="D3362" s="9" t="inlineStr">
        <is>
          <t>Short</t>
        </is>
      </c>
      <c r="E3362" s="10" t="n">
        <v>45537.18055555555</v>
      </c>
      <c r="F3362" s="10" t="n">
        <v>45537.18402777778</v>
      </c>
      <c r="G3362" s="11" t="n">
        <v>-1.24</v>
      </c>
      <c r="H3362" s="11">
        <f>H3361+G3362</f>
        <v/>
      </c>
    </row>
    <row r="3363">
      <c r="A3363" s="9" t="n">
        <v>3359</v>
      </c>
      <c r="B3363" s="9" t="inlineStr">
        <is>
          <t>Meridian</t>
        </is>
      </c>
      <c r="C3363" s="9" t="inlineStr">
        <is>
          <t>21/50 MA cross, 250-period confirm filter, VWAP</t>
        </is>
      </c>
      <c r="D3363" s="9" t="inlineStr">
        <is>
          <t>Short</t>
        </is>
      </c>
      <c r="E3363" s="10" t="n">
        <v>45537.19791666666</v>
      </c>
      <c r="F3363" s="10" t="n">
        <v>45537.39236111111</v>
      </c>
      <c r="G3363" s="11" t="n">
        <v>-0.9399999999999999</v>
      </c>
      <c r="H3363" s="11">
        <f>H3362+G3363</f>
        <v/>
      </c>
    </row>
    <row r="3364">
      <c r="A3364" s="9" t="n">
        <v>3360</v>
      </c>
      <c r="B3364" s="9" t="inlineStr">
        <is>
          <t>Meridian</t>
        </is>
      </c>
      <c r="C3364" s="9" t="inlineStr">
        <is>
          <t>21/50 MA cross, 250-period confirm filter, VWAP</t>
        </is>
      </c>
      <c r="D3364" s="9" t="inlineStr">
        <is>
          <t>Short</t>
        </is>
      </c>
      <c r="E3364" s="10" t="n">
        <v>45537.59375</v>
      </c>
      <c r="F3364" s="10" t="n">
        <v>45537.63888888889</v>
      </c>
      <c r="G3364" s="11" t="n">
        <v>-3.58</v>
      </c>
      <c r="H3364" s="11">
        <f>H3363+G3364</f>
        <v/>
      </c>
    </row>
    <row r="3365">
      <c r="A3365" s="9" t="n">
        <v>3361</v>
      </c>
      <c r="B3365" s="9" t="inlineStr">
        <is>
          <t>Meridian</t>
        </is>
      </c>
      <c r="C3365" s="9" t="inlineStr">
        <is>
          <t>21/50 MA cross, 250-period confirm filter, VWAP</t>
        </is>
      </c>
      <c r="D3365" s="9" t="inlineStr">
        <is>
          <t>Short</t>
        </is>
      </c>
      <c r="E3365" s="10" t="n">
        <v>45537.71875</v>
      </c>
      <c r="F3365" s="10" t="n">
        <v>45537.73958333334</v>
      </c>
      <c r="G3365" s="11" t="n">
        <v>-3.58</v>
      </c>
      <c r="H3365" s="11">
        <f>H3364+G3365</f>
        <v/>
      </c>
    </row>
    <row r="3366">
      <c r="A3366" s="9" t="n">
        <v>3362</v>
      </c>
      <c r="B3366" s="9" t="inlineStr">
        <is>
          <t>Vanguard_M15</t>
        </is>
      </c>
      <c r="C3366" s="9" t="inlineStr">
        <is>
          <t>Trendline breakout (fractal swing line) + VWAP/S-R distance gate - M15 chart</t>
        </is>
      </c>
      <c r="D3366" s="9" t="inlineStr">
        <is>
          <t>Short</t>
        </is>
      </c>
      <c r="E3366" s="10" t="n">
        <v>45534.65625</v>
      </c>
      <c r="F3366" s="10" t="n">
        <v>45537.83333333334</v>
      </c>
      <c r="G3366" s="11" t="n">
        <v>16.32</v>
      </c>
      <c r="H3366" s="11">
        <f>H3365+G3366</f>
        <v/>
      </c>
    </row>
    <row r="3367">
      <c r="A3367" s="9" t="n">
        <v>3363</v>
      </c>
      <c r="B3367" s="9" t="inlineStr">
        <is>
          <t>Vanguard_M5</t>
        </is>
      </c>
      <c r="C3367" s="9" t="inlineStr">
        <is>
          <t>Trendline breakout (fractal swing line) + VWAP/S-R distance gate</t>
        </is>
      </c>
      <c r="D3367" s="9" t="inlineStr">
        <is>
          <t>Short</t>
        </is>
      </c>
      <c r="E3367" s="10" t="n">
        <v>45534.65625</v>
      </c>
      <c r="F3367" s="10" t="n">
        <v>45537.84375</v>
      </c>
      <c r="G3367" s="11" t="n">
        <v>16.37</v>
      </c>
      <c r="H3367" s="11">
        <f>H3366+G3367</f>
        <v/>
      </c>
    </row>
    <row r="3368">
      <c r="A3368" s="9" t="n">
        <v>3364</v>
      </c>
      <c r="B3368" s="9" t="inlineStr">
        <is>
          <t>Ratchet</t>
        </is>
      </c>
      <c r="C3368" s="9" t="inlineStr">
        <is>
          <t>Stochastic scalp with give-back trail exit</t>
        </is>
      </c>
      <c r="D3368" s="9" t="inlineStr">
        <is>
          <t>Short</t>
        </is>
      </c>
      <c r="E3368" s="10" t="n">
        <v>45538.06597222222</v>
      </c>
      <c r="F3368" s="10" t="n">
        <v>45538.06944444445</v>
      </c>
      <c r="G3368" s="11" t="n">
        <v>0.16</v>
      </c>
      <c r="H3368" s="11">
        <f>H3367+G3368</f>
        <v/>
      </c>
    </row>
    <row r="3369">
      <c r="A3369" s="9" t="n">
        <v>3365</v>
      </c>
      <c r="B3369" s="9" t="inlineStr">
        <is>
          <t>Vanguard_M5</t>
        </is>
      </c>
      <c r="C3369" s="9" t="inlineStr">
        <is>
          <t>Trendline breakout (fractal swing line) + VWAP/S-R distance gate</t>
        </is>
      </c>
      <c r="D3369" s="9" t="inlineStr">
        <is>
          <t>Long</t>
        </is>
      </c>
      <c r="E3369" s="10" t="n">
        <v>45537.84722222222</v>
      </c>
      <c r="F3369" s="10" t="n">
        <v>45538.11805555555</v>
      </c>
      <c r="G3369" s="11" t="n">
        <v>-3.45</v>
      </c>
      <c r="H3369" s="11">
        <f>H3368+G3369</f>
        <v/>
      </c>
    </row>
    <row r="3370">
      <c r="A3370" s="9" t="n">
        <v>3366</v>
      </c>
      <c r="B3370" s="9" t="inlineStr">
        <is>
          <t>Vanguard_M15</t>
        </is>
      </c>
      <c r="C3370" s="9" t="inlineStr">
        <is>
          <t>Trendline breakout (fractal swing line) + VWAP/S-R distance gate - M15 chart</t>
        </is>
      </c>
      <c r="D3370" s="9" t="inlineStr">
        <is>
          <t>Long</t>
        </is>
      </c>
      <c r="E3370" s="10" t="n">
        <v>45537.84375</v>
      </c>
      <c r="F3370" s="10" t="n">
        <v>45538.16666666666</v>
      </c>
      <c r="G3370" s="11" t="n">
        <v>-5.85</v>
      </c>
      <c r="H3370" s="11">
        <f>H3369+G3370</f>
        <v/>
      </c>
    </row>
    <row r="3371">
      <c r="A3371" s="9" t="n">
        <v>3367</v>
      </c>
      <c r="B3371" s="9" t="inlineStr">
        <is>
          <t>Aurelius_M15</t>
        </is>
      </c>
      <c r="C3371" s="9" t="inlineStr">
        <is>
          <t>MA alignment (EMA21&gt;EMA50&gt;SMA250&gt;SMMA500 vs EMA2400 trend filter) - M15 chart</t>
        </is>
      </c>
      <c r="D3371" s="9" t="inlineStr">
        <is>
          <t>Short</t>
        </is>
      </c>
      <c r="E3371" s="10" t="n">
        <v>45538.23958333334</v>
      </c>
      <c r="F3371" s="10" t="n">
        <v>45538.27083333334</v>
      </c>
      <c r="G3371" s="11" t="n">
        <v>-0.55</v>
      </c>
      <c r="H3371" s="11">
        <f>H3370+G3371</f>
        <v/>
      </c>
    </row>
    <row r="3372">
      <c r="A3372" s="9" t="n">
        <v>3368</v>
      </c>
      <c r="B3372" s="9" t="inlineStr">
        <is>
          <t>Aurelius_M5</t>
        </is>
      </c>
      <c r="C3372" s="9" t="inlineStr">
        <is>
          <t>MA alignment (EMA21&gt;EMA50&gt;SMA250&gt;SMMA500 vs EMA2400 trend filter)</t>
        </is>
      </c>
      <c r="D3372" s="9" t="inlineStr">
        <is>
          <t>Short</t>
        </is>
      </c>
      <c r="E3372" s="10" t="n">
        <v>45538.26041666666</v>
      </c>
      <c r="F3372" s="10" t="n">
        <v>45538.32638888889</v>
      </c>
      <c r="G3372" s="11" t="n">
        <v>-0.97</v>
      </c>
      <c r="H3372" s="11">
        <f>H3371+G3372</f>
        <v/>
      </c>
    </row>
    <row r="3373">
      <c r="A3373" s="9" t="n">
        <v>3369</v>
      </c>
      <c r="B3373" s="9" t="inlineStr">
        <is>
          <t>Aurelius_M15</t>
        </is>
      </c>
      <c r="C3373" s="9" t="inlineStr">
        <is>
          <t>MA alignment (EMA21&gt;EMA50&gt;SMA250&gt;SMMA500 vs EMA2400 trend filter) - M15 chart</t>
        </is>
      </c>
      <c r="D3373" s="9" t="inlineStr">
        <is>
          <t>Short</t>
        </is>
      </c>
      <c r="E3373" s="10" t="n">
        <v>45538.375</v>
      </c>
      <c r="F3373" s="10" t="n">
        <v>45538.39583333334</v>
      </c>
      <c r="G3373" s="11" t="n">
        <v>-1.2</v>
      </c>
      <c r="H3373" s="11">
        <f>H3372+G3373</f>
        <v/>
      </c>
    </row>
    <row r="3374">
      <c r="A3374" s="9" t="n">
        <v>3370</v>
      </c>
      <c r="B3374" s="9" t="inlineStr">
        <is>
          <t>Meridian</t>
        </is>
      </c>
      <c r="C3374" s="9" t="inlineStr">
        <is>
          <t>21/50 MA cross, 250-period confirm filter, VWAP</t>
        </is>
      </c>
      <c r="D3374" s="9" t="inlineStr">
        <is>
          <t>Short</t>
        </is>
      </c>
      <c r="E3374" s="10" t="n">
        <v>45538.56597222222</v>
      </c>
      <c r="F3374" s="10" t="n">
        <v>45538.58333333334</v>
      </c>
      <c r="G3374" s="11" t="n">
        <v>-3.48</v>
      </c>
      <c r="H3374" s="11">
        <f>H3373+G3374</f>
        <v/>
      </c>
    </row>
    <row r="3375">
      <c r="A3375" s="9" t="n">
        <v>3371</v>
      </c>
      <c r="B3375" s="9" t="inlineStr">
        <is>
          <t>Vanguard_M5</t>
        </is>
      </c>
      <c r="C3375" s="9" t="inlineStr">
        <is>
          <t>Trendline breakout (fractal swing line) + VWAP/S-R distance gate</t>
        </is>
      </c>
      <c r="D3375" s="9" t="inlineStr">
        <is>
          <t>Long</t>
        </is>
      </c>
      <c r="E3375" s="10" t="n">
        <v>45538.22222222222</v>
      </c>
      <c r="F3375" s="10" t="n">
        <v>45538.61458333334</v>
      </c>
      <c r="G3375" s="11" t="n">
        <v>-5.62</v>
      </c>
      <c r="H3375" s="11">
        <f>H3374+G3375</f>
        <v/>
      </c>
    </row>
    <row r="3376">
      <c r="A3376" s="9" t="n">
        <v>3372</v>
      </c>
      <c r="B3376" s="9" t="inlineStr">
        <is>
          <t>Vanguard_M15</t>
        </is>
      </c>
      <c r="C3376" s="9" t="inlineStr">
        <is>
          <t>Trendline breakout (fractal swing line) + VWAP/S-R distance gate - M15 chart</t>
        </is>
      </c>
      <c r="D3376" s="9" t="inlineStr">
        <is>
          <t>Long</t>
        </is>
      </c>
      <c r="E3376" s="10" t="n">
        <v>45538.23958333334</v>
      </c>
      <c r="F3376" s="10" t="n">
        <v>45538.61458333334</v>
      </c>
      <c r="G3376" s="11" t="n">
        <v>-6.44</v>
      </c>
      <c r="H3376" s="11">
        <f>H3375+G3376</f>
        <v/>
      </c>
    </row>
    <row r="3377">
      <c r="A3377" s="9" t="n">
        <v>3373</v>
      </c>
      <c r="B3377" s="9" t="inlineStr">
        <is>
          <t>Ratchet</t>
        </is>
      </c>
      <c r="C3377" s="9" t="inlineStr">
        <is>
          <t>Stochastic scalp with give-back trail exit</t>
        </is>
      </c>
      <c r="D3377" s="9" t="inlineStr">
        <is>
          <t>Short</t>
        </is>
      </c>
      <c r="E3377" s="10" t="n">
        <v>45538.62847222222</v>
      </c>
      <c r="F3377" s="10" t="n">
        <v>45538.62847222222</v>
      </c>
      <c r="G3377" s="11" t="n">
        <v>-4.92</v>
      </c>
      <c r="H3377" s="11">
        <f>H3376+G3377</f>
        <v/>
      </c>
    </row>
    <row r="3378">
      <c r="A3378" s="9" t="n">
        <v>3374</v>
      </c>
      <c r="B3378" s="9" t="inlineStr">
        <is>
          <t>Aurelius_M5</t>
        </is>
      </c>
      <c r="C3378" s="9" t="inlineStr">
        <is>
          <t>MA alignment (EMA21&gt;EMA50&gt;SMA250&gt;SMMA500 vs EMA2400 trend filter)</t>
        </is>
      </c>
      <c r="D3378" s="9" t="inlineStr">
        <is>
          <t>Short</t>
        </is>
      </c>
      <c r="E3378" s="10" t="n">
        <v>45538.65625</v>
      </c>
      <c r="F3378" s="10" t="n">
        <v>45538.80902777778</v>
      </c>
      <c r="G3378" s="11" t="n">
        <v>7.62</v>
      </c>
      <c r="H3378" s="11">
        <f>H3377+G3378</f>
        <v/>
      </c>
    </row>
    <row r="3379">
      <c r="A3379" s="9" t="n">
        <v>3375</v>
      </c>
      <c r="B3379" s="9" t="inlineStr">
        <is>
          <t>Aurelius_M15</t>
        </is>
      </c>
      <c r="C3379" s="9" t="inlineStr">
        <is>
          <t>MA alignment (EMA21&gt;EMA50&gt;SMA250&gt;SMMA500 vs EMA2400 trend filter) - M15 chart</t>
        </is>
      </c>
      <c r="D3379" s="9" t="inlineStr">
        <is>
          <t>Short</t>
        </is>
      </c>
      <c r="E3379" s="10" t="n">
        <v>45538.69791666666</v>
      </c>
      <c r="F3379" s="10" t="n">
        <v>45538.92708333334</v>
      </c>
      <c r="G3379" s="11" t="n">
        <v>-12.18</v>
      </c>
      <c r="H3379" s="11">
        <f>H3378+G3379</f>
        <v/>
      </c>
    </row>
    <row r="3380">
      <c r="A3380" s="9" t="n">
        <v>3376</v>
      </c>
      <c r="B3380" s="9" t="inlineStr">
        <is>
          <t>Ratchet</t>
        </is>
      </c>
      <c r="C3380" s="9" t="inlineStr">
        <is>
          <t>Stochastic scalp with give-back trail exit</t>
        </is>
      </c>
      <c r="D3380" s="9" t="inlineStr">
        <is>
          <t>Short</t>
        </is>
      </c>
      <c r="E3380" s="10" t="n">
        <v>45539.41319444445</v>
      </c>
      <c r="F3380" s="10" t="n">
        <v>45539.41666666666</v>
      </c>
      <c r="G3380" s="11" t="n">
        <v>-0</v>
      </c>
      <c r="H3380" s="11">
        <f>H3379+G3380</f>
        <v/>
      </c>
    </row>
    <row r="3381">
      <c r="A3381" s="9" t="n">
        <v>3377</v>
      </c>
      <c r="B3381" s="9" t="inlineStr">
        <is>
          <t>Aurelius_M15</t>
        </is>
      </c>
      <c r="C3381" s="9" t="inlineStr">
        <is>
          <t>MA alignment (EMA21&gt;EMA50&gt;SMA250&gt;SMMA500 vs EMA2400 trend filter) - M15 chart</t>
        </is>
      </c>
      <c r="D3381" s="9" t="inlineStr">
        <is>
          <t>Short</t>
        </is>
      </c>
      <c r="E3381" s="10" t="n">
        <v>45539.66666666666</v>
      </c>
      <c r="F3381" s="10" t="n">
        <v>45539.70833333334</v>
      </c>
      <c r="G3381" s="11" t="n">
        <v>-9.01</v>
      </c>
      <c r="H3381" s="11">
        <f>H3380+G3381</f>
        <v/>
      </c>
    </row>
    <row r="3382">
      <c r="A3382" s="9" t="n">
        <v>3378</v>
      </c>
      <c r="B3382" s="9" t="inlineStr">
        <is>
          <t>Meridian</t>
        </is>
      </c>
      <c r="C3382" s="9" t="inlineStr">
        <is>
          <t>21/50 MA cross, 250-period confirm filter, VWAP</t>
        </is>
      </c>
      <c r="D3382" s="9" t="inlineStr">
        <is>
          <t>Long</t>
        </is>
      </c>
      <c r="E3382" s="10" t="n">
        <v>45539.97916666666</v>
      </c>
      <c r="F3382" s="10" t="n">
        <v>45540.29513888889</v>
      </c>
      <c r="G3382" s="11" t="n">
        <v>-0.32</v>
      </c>
      <c r="H3382" s="11">
        <f>H3381+G3382</f>
        <v/>
      </c>
    </row>
    <row r="3383">
      <c r="A3383" s="9" t="n">
        <v>3379</v>
      </c>
      <c r="B3383" s="9" t="inlineStr">
        <is>
          <t>Ratchet</t>
        </is>
      </c>
      <c r="C3383" s="9" t="inlineStr">
        <is>
          <t>Stochastic scalp with give-back trail exit</t>
        </is>
      </c>
      <c r="D3383" s="9" t="inlineStr">
        <is>
          <t>Long</t>
        </is>
      </c>
      <c r="E3383" s="10" t="n">
        <v>45540.38888888889</v>
      </c>
      <c r="F3383" s="10" t="n">
        <v>45540.39583333334</v>
      </c>
      <c r="G3383" s="11" t="n">
        <v>0.63</v>
      </c>
      <c r="H3383" s="11">
        <f>H3382+G3383</f>
        <v/>
      </c>
    </row>
    <row r="3384">
      <c r="A3384" s="9" t="n">
        <v>3380</v>
      </c>
      <c r="B3384" s="9" t="inlineStr">
        <is>
          <t>Ratchet</t>
        </is>
      </c>
      <c r="C3384" s="9" t="inlineStr">
        <is>
          <t>Stochastic scalp with give-back trail exit</t>
        </is>
      </c>
      <c r="D3384" s="9" t="inlineStr">
        <is>
          <t>Long</t>
        </is>
      </c>
      <c r="E3384" s="10" t="n">
        <v>45540.46527777778</v>
      </c>
      <c r="F3384" s="10" t="n">
        <v>45540.70833333334</v>
      </c>
      <c r="G3384" s="11" t="n">
        <v>4.38</v>
      </c>
      <c r="H3384" s="11">
        <f>H3383+G3384</f>
        <v/>
      </c>
    </row>
    <row r="3385">
      <c r="A3385" s="9" t="n">
        <v>3381</v>
      </c>
      <c r="B3385" s="9" t="inlineStr">
        <is>
          <t>Aurelius_M5</t>
        </is>
      </c>
      <c r="C3385" s="9" t="inlineStr">
        <is>
          <t>MA alignment (EMA21&gt;EMA50&gt;SMA250&gt;SMMA500 vs EMA2400 trend filter)</t>
        </is>
      </c>
      <c r="D3385" s="9" t="inlineStr">
        <is>
          <t>Long</t>
        </is>
      </c>
      <c r="E3385" s="10" t="n">
        <v>45540.68055555555</v>
      </c>
      <c r="F3385" s="10" t="n">
        <v>45540.70833333334</v>
      </c>
      <c r="G3385" s="11" t="n">
        <v>-6.4</v>
      </c>
      <c r="H3385" s="11">
        <f>H3384+G3385</f>
        <v/>
      </c>
    </row>
    <row r="3386">
      <c r="A3386" s="9" t="n">
        <v>3382</v>
      </c>
      <c r="B3386" s="9" t="inlineStr">
        <is>
          <t>Meridian</t>
        </is>
      </c>
      <c r="C3386" s="9" t="inlineStr">
        <is>
          <t>21/50 MA cross, 250-period confirm filter, VWAP</t>
        </is>
      </c>
      <c r="D3386" s="9" t="inlineStr">
        <is>
          <t>Long</t>
        </is>
      </c>
      <c r="E3386" s="10" t="n">
        <v>45540.36805555555</v>
      </c>
      <c r="F3386" s="10" t="n">
        <v>45540.74652777778</v>
      </c>
      <c r="G3386" s="11" t="n">
        <v>11.59</v>
      </c>
      <c r="H3386" s="11">
        <f>H3385+G3386</f>
        <v/>
      </c>
    </row>
    <row r="3387">
      <c r="A3387" s="9" t="n">
        <v>3383</v>
      </c>
      <c r="B3387" s="9" t="inlineStr">
        <is>
          <t>Ratchet</t>
        </is>
      </c>
      <c r="C3387" s="9" t="inlineStr">
        <is>
          <t>Stochastic scalp with give-back trail exit</t>
        </is>
      </c>
      <c r="D3387" s="9" t="inlineStr">
        <is>
          <t>Long</t>
        </is>
      </c>
      <c r="E3387" s="10" t="n">
        <v>45541.05902777778</v>
      </c>
      <c r="F3387" s="10" t="n">
        <v>45541.12847222222</v>
      </c>
      <c r="G3387" s="11" t="n">
        <v>0.41</v>
      </c>
      <c r="H3387" s="11">
        <f>H3386+G3387</f>
        <v/>
      </c>
    </row>
    <row r="3388">
      <c r="A3388" s="9" t="n">
        <v>3384</v>
      </c>
      <c r="B3388" s="9" t="inlineStr">
        <is>
          <t>Aurelius_M5</t>
        </is>
      </c>
      <c r="C3388" s="9" t="inlineStr">
        <is>
          <t>MA alignment (EMA21&gt;EMA50&gt;SMA250&gt;SMMA500 vs EMA2400 trend filter)</t>
        </is>
      </c>
      <c r="D3388" s="9" t="inlineStr">
        <is>
          <t>Long</t>
        </is>
      </c>
      <c r="E3388" s="10" t="n">
        <v>45541.17013888889</v>
      </c>
      <c r="F3388" s="10" t="n">
        <v>45541.17361111111</v>
      </c>
      <c r="G3388" s="11" t="n">
        <v>-1.69</v>
      </c>
      <c r="H3388" s="11">
        <f>H3387+G3388</f>
        <v/>
      </c>
    </row>
    <row r="3389">
      <c r="A3389" s="9" t="n">
        <v>3385</v>
      </c>
      <c r="B3389" s="9" t="inlineStr">
        <is>
          <t>Meridian</t>
        </is>
      </c>
      <c r="C3389" s="9" t="inlineStr">
        <is>
          <t>21/50 MA cross, 250-period confirm filter, VWAP</t>
        </is>
      </c>
      <c r="D3389" s="9" t="inlineStr">
        <is>
          <t>Long</t>
        </is>
      </c>
      <c r="E3389" s="10" t="n">
        <v>45540.87152777778</v>
      </c>
      <c r="F3389" s="10" t="n">
        <v>45541.19097222222</v>
      </c>
      <c r="G3389" s="11" t="n">
        <v>0.18</v>
      </c>
      <c r="H3389" s="11">
        <f>H3388+G3389</f>
        <v/>
      </c>
    </row>
    <row r="3390">
      <c r="A3390" s="9" t="n">
        <v>3386</v>
      </c>
      <c r="B3390" s="9" t="inlineStr">
        <is>
          <t>Ratchet</t>
        </is>
      </c>
      <c r="C3390" s="9" t="inlineStr">
        <is>
          <t>Stochastic scalp with give-back trail exit</t>
        </is>
      </c>
      <c r="D3390" s="9" t="inlineStr">
        <is>
          <t>Long</t>
        </is>
      </c>
      <c r="E3390" s="10" t="n">
        <v>45541.375</v>
      </c>
      <c r="F3390" s="10" t="n">
        <v>45541.375</v>
      </c>
      <c r="G3390" s="11" t="n">
        <v>-1.8</v>
      </c>
      <c r="H3390" s="11">
        <f>H3389+G3390</f>
        <v/>
      </c>
    </row>
    <row r="3391">
      <c r="A3391" s="9" t="n">
        <v>3387</v>
      </c>
      <c r="B3391" s="9" t="inlineStr">
        <is>
          <t>Aurelius_M5</t>
        </is>
      </c>
      <c r="C3391" s="9" t="inlineStr">
        <is>
          <t>MA alignment (EMA21&gt;EMA50&gt;SMA250&gt;SMMA500 vs EMA2400 trend filter)</t>
        </is>
      </c>
      <c r="D3391" s="9" t="inlineStr">
        <is>
          <t>Long</t>
        </is>
      </c>
      <c r="E3391" s="10" t="n">
        <v>45541.40625</v>
      </c>
      <c r="F3391" s="10" t="n">
        <v>45541.45833333334</v>
      </c>
      <c r="G3391" s="11" t="n">
        <v>-3.22</v>
      </c>
      <c r="H3391" s="11">
        <f>H3390+G3391</f>
        <v/>
      </c>
    </row>
    <row r="3392">
      <c r="A3392" s="9" t="n">
        <v>3388</v>
      </c>
      <c r="B3392" s="9" t="inlineStr">
        <is>
          <t>Meridian</t>
        </is>
      </c>
      <c r="C3392" s="9" t="inlineStr">
        <is>
          <t>21/50 MA cross, 250-period confirm filter, VWAP</t>
        </is>
      </c>
      <c r="D3392" s="9" t="inlineStr">
        <is>
          <t>Long</t>
        </is>
      </c>
      <c r="E3392" s="10" t="n">
        <v>45541.24305555555</v>
      </c>
      <c r="F3392" s="10" t="n">
        <v>45541.46180555555</v>
      </c>
      <c r="G3392" s="11" t="n">
        <v>-0.95</v>
      </c>
      <c r="H3392" s="11">
        <f>H3391+G3392</f>
        <v/>
      </c>
    </row>
    <row r="3393">
      <c r="A3393" s="9" t="n">
        <v>3389</v>
      </c>
      <c r="B3393" s="9" t="inlineStr">
        <is>
          <t>Ratchet</t>
        </is>
      </c>
      <c r="C3393" s="9" t="inlineStr">
        <is>
          <t>Stochastic scalp with give-back trail exit</t>
        </is>
      </c>
      <c r="D3393" s="9" t="inlineStr">
        <is>
          <t>Long</t>
        </is>
      </c>
      <c r="E3393" s="10" t="n">
        <v>45541.55208333334</v>
      </c>
      <c r="F3393" s="10" t="n">
        <v>45541.56597222222</v>
      </c>
      <c r="G3393" s="11" t="n">
        <v>-1.96</v>
      </c>
      <c r="H3393" s="11">
        <f>H3392+G3393</f>
        <v/>
      </c>
    </row>
    <row r="3394">
      <c r="A3394" s="9" t="n">
        <v>3390</v>
      </c>
      <c r="B3394" s="9" t="inlineStr">
        <is>
          <t>Ratchet</t>
        </is>
      </c>
      <c r="C3394" s="9" t="inlineStr">
        <is>
          <t>Stochastic scalp with give-back trail exit</t>
        </is>
      </c>
      <c r="D3394" s="9" t="inlineStr">
        <is>
          <t>Long</t>
        </is>
      </c>
      <c r="E3394" s="10" t="n">
        <v>45541.57986111111</v>
      </c>
      <c r="F3394" s="10" t="n">
        <v>45541.60069444445</v>
      </c>
      <c r="G3394" s="11" t="n">
        <v>0</v>
      </c>
      <c r="H3394" s="11">
        <f>H3393+G3394</f>
        <v/>
      </c>
    </row>
    <row r="3395">
      <c r="A3395" s="9" t="n">
        <v>3391</v>
      </c>
      <c r="B3395" s="9" t="inlineStr">
        <is>
          <t>Meridian</t>
        </is>
      </c>
      <c r="C3395" s="9" t="inlineStr">
        <is>
          <t>21/50 MA cross, 250-period confirm filter, VWAP</t>
        </is>
      </c>
      <c r="D3395" s="9" t="inlineStr">
        <is>
          <t>Long</t>
        </is>
      </c>
      <c r="E3395" s="10" t="n">
        <v>45541.53472222222</v>
      </c>
      <c r="F3395" s="10" t="n">
        <v>45541.60763888889</v>
      </c>
      <c r="G3395" s="11" t="n">
        <v>-2.72</v>
      </c>
      <c r="H3395" s="11">
        <f>H3394+G3395</f>
        <v/>
      </c>
    </row>
    <row r="3396">
      <c r="A3396" s="9" t="n">
        <v>3392</v>
      </c>
      <c r="B3396" s="9" t="inlineStr">
        <is>
          <t>Ratchet</t>
        </is>
      </c>
      <c r="C3396" s="9" t="inlineStr">
        <is>
          <t>Stochastic scalp with give-back trail exit</t>
        </is>
      </c>
      <c r="D3396" s="9" t="inlineStr">
        <is>
          <t>Long</t>
        </is>
      </c>
      <c r="E3396" s="10" t="n">
        <v>45541.65972222222</v>
      </c>
      <c r="F3396" s="10" t="n">
        <v>45541.66666666666</v>
      </c>
      <c r="G3396" s="11" t="n">
        <v>-7.13</v>
      </c>
      <c r="H3396" s="11">
        <f>H3395+G3396</f>
        <v/>
      </c>
    </row>
    <row r="3397">
      <c r="A3397" s="9" t="n">
        <v>3393</v>
      </c>
      <c r="B3397" s="9" t="inlineStr">
        <is>
          <t>Vanguard_M5</t>
        </is>
      </c>
      <c r="C3397" s="9" t="inlineStr">
        <is>
          <t>Trendline breakout (fractal swing line) + VWAP/S-R distance gate</t>
        </is>
      </c>
      <c r="D3397" s="9" t="inlineStr">
        <is>
          <t>Long</t>
        </is>
      </c>
      <c r="E3397" s="10" t="n">
        <v>45539.71180555555</v>
      </c>
      <c r="F3397" s="10" t="n">
        <v>45541.80555555555</v>
      </c>
      <c r="G3397" s="11" t="n">
        <v>-1.29</v>
      </c>
      <c r="H3397" s="11">
        <f>H3396+G3397</f>
        <v/>
      </c>
    </row>
    <row r="3398">
      <c r="A3398" s="9" t="n">
        <v>3394</v>
      </c>
      <c r="B3398" s="9" t="inlineStr">
        <is>
          <t>Vanguard_M15</t>
        </is>
      </c>
      <c r="C3398" s="9" t="inlineStr">
        <is>
          <t>Trendline breakout (fractal swing line) + VWAP/S-R distance gate - M15 chart</t>
        </is>
      </c>
      <c r="D3398" s="9" t="inlineStr">
        <is>
          <t>Long</t>
        </is>
      </c>
      <c r="E3398" s="10" t="n">
        <v>45539.71875</v>
      </c>
      <c r="F3398" s="10" t="n">
        <v>45541.8125</v>
      </c>
      <c r="G3398" s="11" t="n">
        <v>-4.07</v>
      </c>
      <c r="H3398" s="11">
        <f>H3397+G3398</f>
        <v/>
      </c>
    </row>
    <row r="3399">
      <c r="A3399" s="9" t="n">
        <v>3395</v>
      </c>
      <c r="B3399" s="9" t="inlineStr">
        <is>
          <t>Meridian</t>
        </is>
      </c>
      <c r="C3399" s="9" t="inlineStr">
        <is>
          <t>21/50 MA cross, 250-period confirm filter, VWAP</t>
        </is>
      </c>
      <c r="D3399" s="9" t="inlineStr">
        <is>
          <t>Short</t>
        </is>
      </c>
      <c r="E3399" s="10" t="n">
        <v>45541.68055555555</v>
      </c>
      <c r="F3399" s="10" t="n">
        <v>45541.91666666666</v>
      </c>
      <c r="G3399" s="11" t="n">
        <v>16.58</v>
      </c>
      <c r="H3399" s="11">
        <f>H3398+G3399</f>
        <v/>
      </c>
    </row>
    <row r="3400">
      <c r="A3400" s="9" t="n">
        <v>3396</v>
      </c>
      <c r="B3400" s="9" t="inlineStr">
        <is>
          <t>Meridian</t>
        </is>
      </c>
      <c r="C3400" s="9" t="inlineStr">
        <is>
          <t>21/50 MA cross, 250-period confirm filter, VWAP</t>
        </is>
      </c>
      <c r="D3400" s="9" t="inlineStr">
        <is>
          <t>Short</t>
        </is>
      </c>
      <c r="E3400" s="10" t="n">
        <v>45544.12152777778</v>
      </c>
      <c r="F3400" s="10" t="n">
        <v>45544.125</v>
      </c>
      <c r="G3400" s="11" t="n">
        <v>-0.57</v>
      </c>
      <c r="H3400" s="11">
        <f>H3399+G3400</f>
        <v/>
      </c>
    </row>
    <row r="3401">
      <c r="A3401" s="9" t="n">
        <v>3397</v>
      </c>
      <c r="B3401" s="9" t="inlineStr">
        <is>
          <t>Aurelius_M5</t>
        </is>
      </c>
      <c r="C3401" s="9" t="inlineStr">
        <is>
          <t>MA alignment (EMA21&gt;EMA50&gt;SMA250&gt;SMMA500 vs EMA2400 trend filter)</t>
        </is>
      </c>
      <c r="D3401" s="9" t="inlineStr">
        <is>
          <t>Short</t>
        </is>
      </c>
      <c r="E3401" s="10" t="n">
        <v>45544.36458333334</v>
      </c>
      <c r="F3401" s="10" t="n">
        <v>45544.40277777778</v>
      </c>
      <c r="G3401" s="11" t="n">
        <v>-2.59</v>
      </c>
      <c r="H3401" s="11">
        <f>H3400+G3401</f>
        <v/>
      </c>
    </row>
    <row r="3402">
      <c r="A3402" s="9" t="n">
        <v>3398</v>
      </c>
      <c r="B3402" s="9" t="inlineStr">
        <is>
          <t>Vanguard_M5</t>
        </is>
      </c>
      <c r="C3402" s="9" t="inlineStr">
        <is>
          <t>Trendline breakout (fractal swing line) + VWAP/S-R distance gate</t>
        </is>
      </c>
      <c r="D3402" s="9" t="inlineStr">
        <is>
          <t>Short</t>
        </is>
      </c>
      <c r="E3402" s="10" t="n">
        <v>45544.375</v>
      </c>
      <c r="F3402" s="10" t="n">
        <v>45544.40277777778</v>
      </c>
      <c r="G3402" s="11" t="n">
        <v>-5.03</v>
      </c>
      <c r="H3402" s="11">
        <f>H3401+G3402</f>
        <v/>
      </c>
    </row>
    <row r="3403">
      <c r="A3403" s="9" t="n">
        <v>3399</v>
      </c>
      <c r="B3403" s="9" t="inlineStr">
        <is>
          <t>Vanguard_M15</t>
        </is>
      </c>
      <c r="C3403" s="9" t="inlineStr">
        <is>
          <t>Trendline breakout (fractal swing line) + VWAP/S-R distance gate - M15 chart</t>
        </is>
      </c>
      <c r="D3403" s="9" t="inlineStr">
        <is>
          <t>Short</t>
        </is>
      </c>
      <c r="E3403" s="10" t="n">
        <v>45544.375</v>
      </c>
      <c r="F3403" s="10" t="n">
        <v>45544.42708333334</v>
      </c>
      <c r="G3403" s="11" t="n">
        <v>-6.69</v>
      </c>
      <c r="H3403" s="11">
        <f>H3402+G3403</f>
        <v/>
      </c>
    </row>
    <row r="3404">
      <c r="A3404" s="9" t="n">
        <v>3400</v>
      </c>
      <c r="B3404" s="9" t="inlineStr">
        <is>
          <t>Ratchet</t>
        </is>
      </c>
      <c r="C3404" s="9" t="inlineStr">
        <is>
          <t>Stochastic scalp with give-back trail exit</t>
        </is>
      </c>
      <c r="D3404" s="9" t="inlineStr">
        <is>
          <t>Short</t>
        </is>
      </c>
      <c r="E3404" s="10" t="n">
        <v>45544.35416666666</v>
      </c>
      <c r="F3404" s="10" t="n">
        <v>45544.43402777778</v>
      </c>
      <c r="G3404" s="11" t="n">
        <v>3.13</v>
      </c>
      <c r="H3404" s="11">
        <f>H3403+G3404</f>
        <v/>
      </c>
    </row>
    <row r="3405">
      <c r="A3405" s="9" t="n">
        <v>3401</v>
      </c>
      <c r="B3405" s="9" t="inlineStr">
        <is>
          <t>Meridian</t>
        </is>
      </c>
      <c r="C3405" s="9" t="inlineStr">
        <is>
          <t>21/50 MA cross, 250-period confirm filter, VWAP</t>
        </is>
      </c>
      <c r="D3405" s="9" t="inlineStr">
        <is>
          <t>Short</t>
        </is>
      </c>
      <c r="E3405" s="10" t="n">
        <v>45544.35069444445</v>
      </c>
      <c r="F3405" s="10" t="n">
        <v>45544.52083333334</v>
      </c>
      <c r="G3405" s="11" t="n">
        <v>0.85</v>
      </c>
      <c r="H3405" s="11">
        <f>H3404+G3405</f>
        <v/>
      </c>
    </row>
    <row r="3406">
      <c r="A3406" s="9" t="n">
        <v>3402</v>
      </c>
      <c r="B3406" s="9" t="inlineStr">
        <is>
          <t>Aurelius_M5</t>
        </is>
      </c>
      <c r="C3406" s="9" t="inlineStr">
        <is>
          <t>MA alignment (EMA21&gt;EMA50&gt;SMA250&gt;SMMA500 vs EMA2400 trend filter)</t>
        </is>
      </c>
      <c r="D3406" s="9" t="inlineStr">
        <is>
          <t>Short</t>
        </is>
      </c>
      <c r="E3406" s="10" t="n">
        <v>45544.47222222222</v>
      </c>
      <c r="F3406" s="10" t="n">
        <v>45544.52083333334</v>
      </c>
      <c r="G3406" s="11" t="n">
        <v>-2.9</v>
      </c>
      <c r="H3406" s="11">
        <f>H3405+G3406</f>
        <v/>
      </c>
    </row>
    <row r="3407">
      <c r="A3407" s="9" t="n">
        <v>3403</v>
      </c>
      <c r="B3407" s="9" t="inlineStr">
        <is>
          <t>Meridian</t>
        </is>
      </c>
      <c r="C3407" s="9" t="inlineStr">
        <is>
          <t>21/50 MA cross, 250-period confirm filter, VWAP</t>
        </is>
      </c>
      <c r="D3407" s="9" t="inlineStr">
        <is>
          <t>Long</t>
        </is>
      </c>
      <c r="E3407" s="10" t="n">
        <v>45544.80208333334</v>
      </c>
      <c r="F3407" s="10" t="n">
        <v>45545.19791666666</v>
      </c>
      <c r="G3407" s="11" t="n">
        <v>2.06</v>
      </c>
      <c r="H3407" s="11">
        <f>H3406+G3407</f>
        <v/>
      </c>
    </row>
    <row r="3408">
      <c r="A3408" s="9" t="n">
        <v>3404</v>
      </c>
      <c r="B3408" s="9" t="inlineStr">
        <is>
          <t>Meridian</t>
        </is>
      </c>
      <c r="C3408" s="9" t="inlineStr">
        <is>
          <t>21/50 MA cross, 250-period confirm filter, VWAP</t>
        </is>
      </c>
      <c r="D3408" s="9" t="inlineStr">
        <is>
          <t>Long</t>
        </is>
      </c>
      <c r="E3408" s="10" t="n">
        <v>45545.38194444445</v>
      </c>
      <c r="F3408" s="10" t="n">
        <v>45545.41666666666</v>
      </c>
      <c r="G3408" s="11" t="n">
        <v>-2.51</v>
      </c>
      <c r="H3408" s="11">
        <f>H3407+G3408</f>
        <v/>
      </c>
    </row>
    <row r="3409">
      <c r="A3409" s="9" t="n">
        <v>3405</v>
      </c>
      <c r="B3409" s="9" t="inlineStr">
        <is>
          <t>Meridian</t>
        </is>
      </c>
      <c r="C3409" s="9" t="inlineStr">
        <is>
          <t>21/50 MA cross, 250-period confirm filter, VWAP</t>
        </is>
      </c>
      <c r="D3409" s="9" t="inlineStr">
        <is>
          <t>Short</t>
        </is>
      </c>
      <c r="E3409" s="10" t="n">
        <v>45545.46875</v>
      </c>
      <c r="F3409" s="10" t="n">
        <v>45545.53472222222</v>
      </c>
      <c r="G3409" s="11" t="n">
        <v>-3.31</v>
      </c>
      <c r="H3409" s="11">
        <f>H3408+G3409</f>
        <v/>
      </c>
    </row>
    <row r="3410">
      <c r="A3410" s="9" t="n">
        <v>3406</v>
      </c>
      <c r="B3410" s="9" t="inlineStr">
        <is>
          <t>Aurelius_M5</t>
        </is>
      </c>
      <c r="C3410" s="9" t="inlineStr">
        <is>
          <t>MA alignment (EMA21&gt;EMA50&gt;SMA250&gt;SMMA500 vs EMA2400 trend filter)</t>
        </is>
      </c>
      <c r="D3410" s="9" t="inlineStr">
        <is>
          <t>Long</t>
        </is>
      </c>
      <c r="E3410" s="10" t="n">
        <v>45545.55902777778</v>
      </c>
      <c r="F3410" s="10" t="n">
        <v>45545.57986111111</v>
      </c>
      <c r="G3410" s="11" t="n">
        <v>-3.29</v>
      </c>
      <c r="H3410" s="11">
        <f>H3409+G3410</f>
        <v/>
      </c>
    </row>
    <row r="3411">
      <c r="A3411" s="9" t="n">
        <v>3407</v>
      </c>
      <c r="B3411" s="9" t="inlineStr">
        <is>
          <t>Aurelius_M15</t>
        </is>
      </c>
      <c r="C3411" s="9" t="inlineStr">
        <is>
          <t>MA alignment (EMA21&gt;EMA50&gt;SMA250&gt;SMMA500 vs EMA2400 trend filter) - M15 chart</t>
        </is>
      </c>
      <c r="D3411" s="9" t="inlineStr">
        <is>
          <t>Long</t>
        </is>
      </c>
      <c r="E3411" s="10" t="n">
        <v>45545.65625</v>
      </c>
      <c r="F3411" s="10" t="n">
        <v>45545.70833333334</v>
      </c>
      <c r="G3411" s="11" t="n">
        <v>-5.49</v>
      </c>
      <c r="H3411" s="11">
        <f>H3410+G3411</f>
        <v/>
      </c>
    </row>
    <row r="3412">
      <c r="A3412" s="9" t="n">
        <v>3408</v>
      </c>
      <c r="B3412" s="9" t="inlineStr">
        <is>
          <t>Meridian</t>
        </is>
      </c>
      <c r="C3412" s="9" t="inlineStr">
        <is>
          <t>21/50 MA cross, 250-period confirm filter, VWAP</t>
        </is>
      </c>
      <c r="D3412" s="9" t="inlineStr">
        <is>
          <t>Long</t>
        </is>
      </c>
      <c r="E3412" s="10" t="n">
        <v>45545.54513888889</v>
      </c>
      <c r="F3412" s="10" t="n">
        <v>45545.71527777778</v>
      </c>
      <c r="G3412" s="11" t="n">
        <v>-3.17</v>
      </c>
      <c r="H3412" s="11">
        <f>H3411+G3412</f>
        <v/>
      </c>
    </row>
    <row r="3413">
      <c r="A3413" s="9" t="n">
        <v>3409</v>
      </c>
      <c r="B3413" s="9" t="inlineStr">
        <is>
          <t>Aurelius_M5</t>
        </is>
      </c>
      <c r="C3413" s="9" t="inlineStr">
        <is>
          <t>MA alignment (EMA21&gt;EMA50&gt;SMA250&gt;SMMA500 vs EMA2400 trend filter)</t>
        </is>
      </c>
      <c r="D3413" s="9" t="inlineStr">
        <is>
          <t>Long</t>
        </is>
      </c>
      <c r="E3413" s="10" t="n">
        <v>45545.64236111111</v>
      </c>
      <c r="F3413" s="10" t="n">
        <v>45545.71527777778</v>
      </c>
      <c r="G3413" s="11" t="n">
        <v>-3.13</v>
      </c>
      <c r="H3413" s="11">
        <f>H3412+G3413</f>
        <v/>
      </c>
    </row>
    <row r="3414">
      <c r="A3414" s="9" t="n">
        <v>3410</v>
      </c>
      <c r="B3414" s="9" t="inlineStr">
        <is>
          <t>Meridian</t>
        </is>
      </c>
      <c r="C3414" s="9" t="inlineStr">
        <is>
          <t>21/50 MA cross, 250-period confirm filter, VWAP</t>
        </is>
      </c>
      <c r="D3414" s="9" t="inlineStr">
        <is>
          <t>Short</t>
        </is>
      </c>
      <c r="E3414" s="10" t="n">
        <v>45545.72916666666</v>
      </c>
      <c r="F3414" s="10" t="n">
        <v>45545.74305555555</v>
      </c>
      <c r="G3414" s="11" t="n">
        <v>-6</v>
      </c>
      <c r="H3414" s="11">
        <f>H3413+G3414</f>
        <v/>
      </c>
    </row>
    <row r="3415">
      <c r="A3415" s="9" t="n">
        <v>3411</v>
      </c>
      <c r="B3415" s="9" t="inlineStr">
        <is>
          <t>Ratchet</t>
        </is>
      </c>
      <c r="C3415" s="9" t="inlineStr">
        <is>
          <t>Stochastic scalp with give-back trail exit</t>
        </is>
      </c>
      <c r="D3415" s="9" t="inlineStr">
        <is>
          <t>Long</t>
        </is>
      </c>
      <c r="E3415" s="10" t="n">
        <v>45545.75347222222</v>
      </c>
      <c r="F3415" s="10" t="n">
        <v>45545.75694444445</v>
      </c>
      <c r="G3415" s="11" t="n">
        <v>1.03</v>
      </c>
      <c r="H3415" s="11">
        <f>H3414+G3415</f>
        <v/>
      </c>
    </row>
    <row r="3416">
      <c r="A3416" s="9" t="n">
        <v>3412</v>
      </c>
      <c r="B3416" s="9" t="inlineStr">
        <is>
          <t>Ratchet</t>
        </is>
      </c>
      <c r="C3416" s="9" t="inlineStr">
        <is>
          <t>Stochastic scalp with give-back trail exit</t>
        </is>
      </c>
      <c r="D3416" s="9" t="inlineStr">
        <is>
          <t>Long</t>
        </is>
      </c>
      <c r="E3416" s="10" t="n">
        <v>45545.96180555555</v>
      </c>
      <c r="F3416" s="10" t="n">
        <v>45545.99652777778</v>
      </c>
      <c r="G3416" s="11" t="n">
        <v>-0.8100000000000001</v>
      </c>
      <c r="H3416" s="11">
        <f>H3415+G3416</f>
        <v/>
      </c>
    </row>
    <row r="3417">
      <c r="A3417" s="9" t="n">
        <v>3413</v>
      </c>
      <c r="B3417" s="9" t="inlineStr">
        <is>
          <t>Ratchet</t>
        </is>
      </c>
      <c r="C3417" s="9" t="inlineStr">
        <is>
          <t>Stochastic scalp with give-back trail exit</t>
        </is>
      </c>
      <c r="D3417" s="9" t="inlineStr">
        <is>
          <t>Long</t>
        </is>
      </c>
      <c r="E3417" s="10" t="n">
        <v>45546.11805555555</v>
      </c>
      <c r="F3417" s="10" t="n">
        <v>45546.12847222222</v>
      </c>
      <c r="G3417" s="11" t="n">
        <v>0.23</v>
      </c>
      <c r="H3417" s="11">
        <f>H3416+G3417</f>
        <v/>
      </c>
    </row>
    <row r="3418">
      <c r="A3418" s="9" t="n">
        <v>3414</v>
      </c>
      <c r="B3418" s="9" t="inlineStr">
        <is>
          <t>Ratchet</t>
        </is>
      </c>
      <c r="C3418" s="9" t="inlineStr">
        <is>
          <t>Stochastic scalp with give-back trail exit</t>
        </is>
      </c>
      <c r="D3418" s="9" t="inlineStr">
        <is>
          <t>Long</t>
        </is>
      </c>
      <c r="E3418" s="10" t="n">
        <v>45546.14583333334</v>
      </c>
      <c r="F3418" s="10" t="n">
        <v>45546.15625</v>
      </c>
      <c r="G3418" s="11" t="n">
        <v>0</v>
      </c>
      <c r="H3418" s="11">
        <f>H3417+G3418</f>
        <v/>
      </c>
    </row>
    <row r="3419">
      <c r="A3419" s="9" t="n">
        <v>3415</v>
      </c>
      <c r="B3419" s="9" t="inlineStr">
        <is>
          <t>Ratchet</t>
        </is>
      </c>
      <c r="C3419" s="9" t="inlineStr">
        <is>
          <t>Stochastic scalp with give-back trail exit</t>
        </is>
      </c>
      <c r="D3419" s="9" t="inlineStr">
        <is>
          <t>Long</t>
        </is>
      </c>
      <c r="E3419" s="10" t="n">
        <v>45546.27777777778</v>
      </c>
      <c r="F3419" s="10" t="n">
        <v>45546.35763888889</v>
      </c>
      <c r="G3419" s="11" t="n">
        <v>0.8100000000000001</v>
      </c>
      <c r="H3419" s="11">
        <f>H3418+G3419</f>
        <v/>
      </c>
    </row>
    <row r="3420">
      <c r="A3420" s="9" t="n">
        <v>3416</v>
      </c>
      <c r="B3420" s="9" t="inlineStr">
        <is>
          <t>Meridian</t>
        </is>
      </c>
      <c r="C3420" s="9" t="inlineStr">
        <is>
          <t>21/50 MA cross, 250-period confirm filter, VWAP</t>
        </is>
      </c>
      <c r="D3420" s="9" t="inlineStr">
        <is>
          <t>Long</t>
        </is>
      </c>
      <c r="E3420" s="10" t="n">
        <v>45545.75347222222</v>
      </c>
      <c r="F3420" s="10" t="n">
        <v>45546.55208333334</v>
      </c>
      <c r="G3420" s="11" t="n">
        <v>11.47</v>
      </c>
      <c r="H3420" s="11">
        <f>H3419+G3420</f>
        <v/>
      </c>
    </row>
    <row r="3421">
      <c r="A3421" s="9" t="n">
        <v>3417</v>
      </c>
      <c r="B3421" s="9" t="inlineStr">
        <is>
          <t>Aurelius_M5</t>
        </is>
      </c>
      <c r="C3421" s="9" t="inlineStr">
        <is>
          <t>MA alignment (EMA21&gt;EMA50&gt;SMA250&gt;SMMA500 vs EMA2400 trend filter)</t>
        </is>
      </c>
      <c r="D3421" s="9" t="inlineStr">
        <is>
          <t>Long</t>
        </is>
      </c>
      <c r="E3421" s="10" t="n">
        <v>45546.17708333334</v>
      </c>
      <c r="F3421" s="10" t="n">
        <v>45546.55208333334</v>
      </c>
      <c r="G3421" s="11" t="n">
        <v>3.78</v>
      </c>
      <c r="H3421" s="11">
        <f>H3420+G3421</f>
        <v/>
      </c>
    </row>
    <row r="3422">
      <c r="A3422" s="9" t="n">
        <v>3418</v>
      </c>
      <c r="B3422" s="9" t="inlineStr">
        <is>
          <t>Aurelius_M15</t>
        </is>
      </c>
      <c r="C3422" s="9" t="inlineStr">
        <is>
          <t>MA alignment (EMA21&gt;EMA50&gt;SMA250&gt;SMMA500 vs EMA2400 trend filter) - M15 chart</t>
        </is>
      </c>
      <c r="D3422" s="9" t="inlineStr">
        <is>
          <t>Long</t>
        </is>
      </c>
      <c r="E3422" s="10" t="n">
        <v>45545.76041666666</v>
      </c>
      <c r="F3422" s="10" t="n">
        <v>45546.67708333334</v>
      </c>
      <c r="G3422" s="11" t="n">
        <v>-1.21</v>
      </c>
      <c r="H3422" s="11">
        <f>H3421+G3422</f>
        <v/>
      </c>
    </row>
    <row r="3423">
      <c r="A3423" s="9" t="n">
        <v>3419</v>
      </c>
      <c r="B3423" s="9" t="inlineStr">
        <is>
          <t>Vanguard_M15</t>
        </is>
      </c>
      <c r="C3423" s="9" t="inlineStr">
        <is>
          <t>Trendline breakout (fractal swing line) + VWAP/S-R distance gate - M15 chart</t>
        </is>
      </c>
      <c r="D3423" s="9" t="inlineStr">
        <is>
          <t>Short</t>
        </is>
      </c>
      <c r="E3423" s="10" t="n">
        <v>45546.65625</v>
      </c>
      <c r="F3423" s="10" t="n">
        <v>45546.79166666666</v>
      </c>
      <c r="G3423" s="11" t="n">
        <v>-11.14</v>
      </c>
      <c r="H3423" s="11">
        <f>H3422+G3423</f>
        <v/>
      </c>
    </row>
    <row r="3424">
      <c r="A3424" s="9" t="n">
        <v>3420</v>
      </c>
      <c r="B3424" s="9" t="inlineStr">
        <is>
          <t>Meridian</t>
        </is>
      </c>
      <c r="C3424" s="9" t="inlineStr">
        <is>
          <t>21/50 MA cross, 250-period confirm filter, VWAP</t>
        </is>
      </c>
      <c r="D3424" s="9" t="inlineStr">
        <is>
          <t>Short</t>
        </is>
      </c>
      <c r="E3424" s="10" t="n">
        <v>45546.90972222222</v>
      </c>
      <c r="F3424" s="10" t="n">
        <v>45547.06597222222</v>
      </c>
      <c r="G3424" s="11" t="n">
        <v>-1.26</v>
      </c>
      <c r="H3424" s="11">
        <f>H3423+G3424</f>
        <v/>
      </c>
    </row>
    <row r="3425">
      <c r="A3425" s="9" t="n">
        <v>3421</v>
      </c>
      <c r="B3425" s="9" t="inlineStr">
        <is>
          <t>Meridian</t>
        </is>
      </c>
      <c r="C3425" s="9" t="inlineStr">
        <is>
          <t>21/50 MA cross, 250-period confirm filter, VWAP</t>
        </is>
      </c>
      <c r="D3425" s="9" t="inlineStr">
        <is>
          <t>Short</t>
        </is>
      </c>
      <c r="E3425" s="10" t="n">
        <v>45547.09375</v>
      </c>
      <c r="F3425" s="10" t="n">
        <v>45547.16666666666</v>
      </c>
      <c r="G3425" s="11" t="n">
        <v>-1.64</v>
      </c>
      <c r="H3425" s="11">
        <f>H3424+G3425</f>
        <v/>
      </c>
    </row>
    <row r="3426">
      <c r="A3426" s="9" t="n">
        <v>3422</v>
      </c>
      <c r="B3426" s="9" t="inlineStr">
        <is>
          <t>Meridian</t>
        </is>
      </c>
      <c r="C3426" s="9" t="inlineStr">
        <is>
          <t>21/50 MA cross, 250-period confirm filter, VWAP</t>
        </is>
      </c>
      <c r="D3426" s="9" t="inlineStr">
        <is>
          <t>Short</t>
        </is>
      </c>
      <c r="E3426" s="10" t="n">
        <v>45547.25</v>
      </c>
      <c r="F3426" s="10" t="n">
        <v>45547.26736111111</v>
      </c>
      <c r="G3426" s="11" t="n">
        <v>-1.75</v>
      </c>
      <c r="H3426" s="11">
        <f>H3425+G3426</f>
        <v/>
      </c>
    </row>
    <row r="3427">
      <c r="A3427" s="9" t="n">
        <v>3423</v>
      </c>
      <c r="B3427" s="9" t="inlineStr">
        <is>
          <t>Ratchet</t>
        </is>
      </c>
      <c r="C3427" s="9" t="inlineStr">
        <is>
          <t>Stochastic scalp with give-back trail exit</t>
        </is>
      </c>
      <c r="D3427" s="9" t="inlineStr">
        <is>
          <t>Long</t>
        </is>
      </c>
      <c r="E3427" s="10" t="n">
        <v>45547.31944444445</v>
      </c>
      <c r="F3427" s="10" t="n">
        <v>45547.32638888889</v>
      </c>
      <c r="G3427" s="11" t="n">
        <v>0.13</v>
      </c>
      <c r="H3427" s="11">
        <f>H3426+G3427</f>
        <v/>
      </c>
    </row>
    <row r="3428">
      <c r="A3428" s="9" t="n">
        <v>3424</v>
      </c>
      <c r="B3428" s="9" t="inlineStr">
        <is>
          <t>Vanguard_M5</t>
        </is>
      </c>
      <c r="C3428" s="9" t="inlineStr">
        <is>
          <t>Trendline breakout (fractal swing line) + VWAP/S-R distance gate</t>
        </is>
      </c>
      <c r="D3428" s="9" t="inlineStr">
        <is>
          <t>Short</t>
        </is>
      </c>
      <c r="E3428" s="10" t="n">
        <v>45546.64930555555</v>
      </c>
      <c r="F3428" s="10" t="n">
        <v>45547.37847222222</v>
      </c>
      <c r="G3428" s="11" t="n">
        <v>-9.69</v>
      </c>
      <c r="H3428" s="11">
        <f>H3427+G3428</f>
        <v/>
      </c>
    </row>
    <row r="3429">
      <c r="A3429" s="9" t="n">
        <v>3425</v>
      </c>
      <c r="B3429" s="9" t="inlineStr">
        <is>
          <t>Meridian</t>
        </is>
      </c>
      <c r="C3429" s="9" t="inlineStr">
        <is>
          <t>21/50 MA cross, 250-period confirm filter, VWAP</t>
        </is>
      </c>
      <c r="D3429" s="9" t="inlineStr">
        <is>
          <t>Long</t>
        </is>
      </c>
      <c r="E3429" s="10" t="n">
        <v>45547.46527777778</v>
      </c>
      <c r="F3429" s="10" t="n">
        <v>45547.57638888889</v>
      </c>
      <c r="G3429" s="11" t="n">
        <v>-3.1</v>
      </c>
      <c r="H3429" s="11">
        <f>H3428+G3429</f>
        <v/>
      </c>
    </row>
    <row r="3430">
      <c r="A3430" s="9" t="n">
        <v>3426</v>
      </c>
      <c r="B3430" s="9" t="inlineStr">
        <is>
          <t>Meridian</t>
        </is>
      </c>
      <c r="C3430" s="9" t="inlineStr">
        <is>
          <t>21/50 MA cross, 250-period confirm filter, VWAP</t>
        </is>
      </c>
      <c r="D3430" s="9" t="inlineStr">
        <is>
          <t>Short</t>
        </is>
      </c>
      <c r="E3430" s="10" t="n">
        <v>45547.58333333334</v>
      </c>
      <c r="F3430" s="10" t="n">
        <v>45547.59027777778</v>
      </c>
      <c r="G3430" s="11" t="n">
        <v>-3.1</v>
      </c>
      <c r="H3430" s="11">
        <f>H3429+G3430</f>
        <v/>
      </c>
    </row>
    <row r="3431">
      <c r="A3431" s="9" t="n">
        <v>3427</v>
      </c>
      <c r="B3431" s="9" t="inlineStr">
        <is>
          <t>Vanguard_M15</t>
        </is>
      </c>
      <c r="C3431" s="9" t="inlineStr">
        <is>
          <t>Trendline breakout (fractal swing line) + VWAP/S-R distance gate - M15 chart</t>
        </is>
      </c>
      <c r="D3431" s="9" t="inlineStr">
        <is>
          <t>Short</t>
        </is>
      </c>
      <c r="E3431" s="10" t="n">
        <v>45546.83333333334</v>
      </c>
      <c r="F3431" s="10" t="n">
        <v>45547.64583333334</v>
      </c>
      <c r="G3431" s="11" t="n">
        <v>-12.98</v>
      </c>
      <c r="H3431" s="11">
        <f>H3430+G3431</f>
        <v/>
      </c>
    </row>
    <row r="3432">
      <c r="A3432" s="9" t="n">
        <v>3428</v>
      </c>
      <c r="B3432" s="9" t="inlineStr">
        <is>
          <t>Ratchet</t>
        </is>
      </c>
      <c r="C3432" s="9" t="inlineStr">
        <is>
          <t>Stochastic scalp with give-back trail exit</t>
        </is>
      </c>
      <c r="D3432" s="9" t="inlineStr">
        <is>
          <t>Long</t>
        </is>
      </c>
      <c r="E3432" s="10" t="n">
        <v>45547.64236111111</v>
      </c>
      <c r="F3432" s="10" t="n">
        <v>45547.64583333334</v>
      </c>
      <c r="G3432" s="11" t="n">
        <v>-2.72</v>
      </c>
      <c r="H3432" s="11">
        <f>H3431+G3432</f>
        <v/>
      </c>
    </row>
    <row r="3433">
      <c r="A3433" s="9" t="n">
        <v>3429</v>
      </c>
      <c r="B3433" s="9" t="inlineStr">
        <is>
          <t>Ratchet</t>
        </is>
      </c>
      <c r="C3433" s="9" t="inlineStr">
        <is>
          <t>Stochastic scalp with give-back trail exit</t>
        </is>
      </c>
      <c r="D3433" s="9" t="inlineStr">
        <is>
          <t>Long</t>
        </is>
      </c>
      <c r="E3433" s="10" t="n">
        <v>45547.67013888889</v>
      </c>
      <c r="F3433" s="10" t="n">
        <v>45547.67708333334</v>
      </c>
      <c r="G3433" s="11" t="n">
        <v>2.25</v>
      </c>
      <c r="H3433" s="11">
        <f>H3432+G3433</f>
        <v/>
      </c>
    </row>
    <row r="3434">
      <c r="A3434" s="9" t="n">
        <v>3430</v>
      </c>
      <c r="B3434" s="9" t="inlineStr">
        <is>
          <t>Ratchet</t>
        </is>
      </c>
      <c r="C3434" s="9" t="inlineStr">
        <is>
          <t>Stochastic scalp with give-back trail exit</t>
        </is>
      </c>
      <c r="D3434" s="9" t="inlineStr">
        <is>
          <t>Long</t>
        </is>
      </c>
      <c r="E3434" s="10" t="n">
        <v>45547.83333333334</v>
      </c>
      <c r="F3434" s="10" t="n">
        <v>45547.84722222222</v>
      </c>
      <c r="G3434" s="11" t="n">
        <v>0.9</v>
      </c>
      <c r="H3434" s="11">
        <f>H3433+G3434</f>
        <v/>
      </c>
    </row>
    <row r="3435">
      <c r="A3435" s="9" t="n">
        <v>3431</v>
      </c>
      <c r="B3435" s="9" t="inlineStr">
        <is>
          <t>Ratchet</t>
        </is>
      </c>
      <c r="C3435" s="9" t="inlineStr">
        <is>
          <t>Stochastic scalp with give-back trail exit</t>
        </is>
      </c>
      <c r="D3435" s="9" t="inlineStr">
        <is>
          <t>Long</t>
        </is>
      </c>
      <c r="E3435" s="10" t="n">
        <v>45547.85416666666</v>
      </c>
      <c r="F3435" s="10" t="n">
        <v>45547.86458333334</v>
      </c>
      <c r="G3435" s="11" t="n">
        <v>0</v>
      </c>
      <c r="H3435" s="11">
        <f>H3434+G3435</f>
        <v/>
      </c>
    </row>
    <row r="3436">
      <c r="A3436" s="9" t="n">
        <v>3432</v>
      </c>
      <c r="B3436" s="9" t="inlineStr">
        <is>
          <t>Ratchet</t>
        </is>
      </c>
      <c r="C3436" s="9" t="inlineStr">
        <is>
          <t>Stochastic scalp with give-back trail exit</t>
        </is>
      </c>
      <c r="D3436" s="9" t="inlineStr">
        <is>
          <t>Long</t>
        </is>
      </c>
      <c r="E3436" s="10" t="n">
        <v>45547.94791666666</v>
      </c>
      <c r="F3436" s="10" t="n">
        <v>45547.95138888889</v>
      </c>
      <c r="G3436" s="11" t="n">
        <v>0.37</v>
      </c>
      <c r="H3436" s="11">
        <f>H3435+G3436</f>
        <v/>
      </c>
    </row>
    <row r="3437">
      <c r="A3437" s="9" t="n">
        <v>3433</v>
      </c>
      <c r="B3437" s="9" t="inlineStr">
        <is>
          <t>Aurelius_M5</t>
        </is>
      </c>
      <c r="C3437" s="9" t="inlineStr">
        <is>
          <t>MA alignment (EMA21&gt;EMA50&gt;SMA250&gt;SMMA500 vs EMA2400 trend filter)</t>
        </is>
      </c>
      <c r="D3437" s="9" t="inlineStr">
        <is>
          <t>Long</t>
        </is>
      </c>
      <c r="E3437" s="10" t="n">
        <v>45547.64930555555</v>
      </c>
      <c r="F3437" s="10" t="n">
        <v>45548.04166666666</v>
      </c>
      <c r="G3437" s="11" t="n">
        <v>33.95</v>
      </c>
      <c r="H3437" s="11">
        <f>H3436+G3437</f>
        <v/>
      </c>
    </row>
    <row r="3438">
      <c r="A3438" s="9" t="n">
        <v>3434</v>
      </c>
      <c r="B3438" s="9" t="inlineStr">
        <is>
          <t>Ratchet</t>
        </is>
      </c>
      <c r="C3438" s="9" t="inlineStr">
        <is>
          <t>Stochastic scalp with give-back trail exit</t>
        </is>
      </c>
      <c r="D3438" s="9" t="inlineStr">
        <is>
          <t>Long</t>
        </is>
      </c>
      <c r="E3438" s="10" t="n">
        <v>45548.19444444445</v>
      </c>
      <c r="F3438" s="10" t="n">
        <v>45548.37847222222</v>
      </c>
      <c r="G3438" s="11" t="n">
        <v>1.81</v>
      </c>
      <c r="H3438" s="11">
        <f>H3437+G3438</f>
        <v/>
      </c>
    </row>
    <row r="3439">
      <c r="A3439" s="9" t="n">
        <v>3435</v>
      </c>
      <c r="B3439" s="9" t="inlineStr">
        <is>
          <t>Ratchet</t>
        </is>
      </c>
      <c r="C3439" s="9" t="inlineStr">
        <is>
          <t>Stochastic scalp with give-back trail exit</t>
        </is>
      </c>
      <c r="D3439" s="9" t="inlineStr">
        <is>
          <t>Long</t>
        </is>
      </c>
      <c r="E3439" s="10" t="n">
        <v>45548.45833333334</v>
      </c>
      <c r="F3439" s="10" t="n">
        <v>45548.47569444445</v>
      </c>
      <c r="G3439" s="11" t="n">
        <v>-3.79</v>
      </c>
      <c r="H3439" s="11">
        <f>H3438+G3439</f>
        <v/>
      </c>
    </row>
    <row r="3440">
      <c r="A3440" s="9" t="n">
        <v>3436</v>
      </c>
      <c r="B3440" s="9" t="inlineStr">
        <is>
          <t>Ratchet</t>
        </is>
      </c>
      <c r="C3440" s="9" t="inlineStr">
        <is>
          <t>Stochastic scalp with give-back trail exit</t>
        </is>
      </c>
      <c r="D3440" s="9" t="inlineStr">
        <is>
          <t>Long</t>
        </is>
      </c>
      <c r="E3440" s="10" t="n">
        <v>45548.52430555555</v>
      </c>
      <c r="F3440" s="10" t="n">
        <v>45548.52777777778</v>
      </c>
      <c r="G3440" s="11" t="n">
        <v>0</v>
      </c>
      <c r="H3440" s="11">
        <f>H3439+G3440</f>
        <v/>
      </c>
    </row>
    <row r="3441">
      <c r="A3441" s="9" t="n">
        <v>3437</v>
      </c>
      <c r="B3441" s="9" t="inlineStr">
        <is>
          <t>Aurelius_M5</t>
        </is>
      </c>
      <c r="C3441" s="9" t="inlineStr">
        <is>
          <t>MA alignment (EMA21&gt;EMA50&gt;SMA250&gt;SMMA500 vs EMA2400 trend filter)</t>
        </is>
      </c>
      <c r="D3441" s="9" t="inlineStr">
        <is>
          <t>Long</t>
        </is>
      </c>
      <c r="E3441" s="10" t="n">
        <v>45548.39583333334</v>
      </c>
      <c r="F3441" s="10" t="n">
        <v>45548.56944444445</v>
      </c>
      <c r="G3441" s="11" t="n">
        <v>-1.01</v>
      </c>
      <c r="H3441" s="11">
        <f>H3440+G3441</f>
        <v/>
      </c>
    </row>
    <row r="3442">
      <c r="A3442" s="9" t="n">
        <v>3438</v>
      </c>
      <c r="B3442" s="9" t="inlineStr">
        <is>
          <t>Meridian</t>
        </is>
      </c>
      <c r="C3442" s="9" t="inlineStr">
        <is>
          <t>21/50 MA cross, 250-period confirm filter, VWAP</t>
        </is>
      </c>
      <c r="D3442" s="9" t="inlineStr">
        <is>
          <t>Long</t>
        </is>
      </c>
      <c r="E3442" s="10" t="n">
        <v>45547.62152777778</v>
      </c>
      <c r="F3442" s="10" t="n">
        <v>45548.57638888889</v>
      </c>
      <c r="G3442" s="11" t="n">
        <v>46.21</v>
      </c>
      <c r="H3442" s="11">
        <f>H3441+G3442</f>
        <v/>
      </c>
    </row>
    <row r="3443">
      <c r="A3443" s="9" t="n">
        <v>3439</v>
      </c>
      <c r="B3443" s="9" t="inlineStr">
        <is>
          <t>Ratchet</t>
        </is>
      </c>
      <c r="C3443" s="9" t="inlineStr">
        <is>
          <t>Stochastic scalp with give-back trail exit</t>
        </is>
      </c>
      <c r="D3443" s="9" t="inlineStr">
        <is>
          <t>Long</t>
        </is>
      </c>
      <c r="E3443" s="10" t="n">
        <v>45548.67361111111</v>
      </c>
      <c r="F3443" s="10" t="n">
        <v>45548.68402777778</v>
      </c>
      <c r="G3443" s="11" t="n">
        <v>1.7</v>
      </c>
      <c r="H3443" s="11">
        <f>H3442+G3443</f>
        <v/>
      </c>
    </row>
    <row r="3444">
      <c r="A3444" s="9" t="n">
        <v>3440</v>
      </c>
      <c r="B3444" s="9" t="inlineStr">
        <is>
          <t>Ratchet</t>
        </is>
      </c>
      <c r="C3444" s="9" t="inlineStr">
        <is>
          <t>Stochastic scalp with give-back trail exit</t>
        </is>
      </c>
      <c r="D3444" s="9" t="inlineStr">
        <is>
          <t>Long</t>
        </is>
      </c>
      <c r="E3444" s="10" t="n">
        <v>45548.78125</v>
      </c>
      <c r="F3444" s="10" t="n">
        <v>45548.81944444445</v>
      </c>
      <c r="G3444" s="11" t="n">
        <v>1.72</v>
      </c>
      <c r="H3444" s="11">
        <f>H3443+G3444</f>
        <v/>
      </c>
    </row>
    <row r="3445">
      <c r="A3445" s="9" t="n">
        <v>3441</v>
      </c>
      <c r="B3445" s="9" t="inlineStr">
        <is>
          <t>Meridian</t>
        </is>
      </c>
      <c r="C3445" s="9" t="inlineStr">
        <is>
          <t>21/50 MA cross, 250-period confirm filter, VWAP</t>
        </is>
      </c>
      <c r="D3445" s="9" t="inlineStr">
        <is>
          <t>Long</t>
        </is>
      </c>
      <c r="E3445" s="10" t="n">
        <v>45548.64930555555</v>
      </c>
      <c r="F3445" s="10" t="n">
        <v>45548.91666666666</v>
      </c>
      <c r="G3445" s="11" t="n">
        <v>12.56</v>
      </c>
      <c r="H3445" s="11">
        <f>H3444+G3445</f>
        <v/>
      </c>
    </row>
    <row r="3446">
      <c r="A3446" s="9" t="n">
        <v>3442</v>
      </c>
      <c r="B3446" s="9" t="inlineStr">
        <is>
          <t>Aurelius_M5</t>
        </is>
      </c>
      <c r="C3446" s="9" t="inlineStr">
        <is>
          <t>MA alignment (EMA21&gt;EMA50&gt;SMA250&gt;SMMA500 vs EMA2400 trend filter)</t>
        </is>
      </c>
      <c r="D3446" s="9" t="inlineStr">
        <is>
          <t>Long</t>
        </is>
      </c>
      <c r="E3446" s="10" t="n">
        <v>45548.67013888889</v>
      </c>
      <c r="F3446" s="10" t="n">
        <v>45548.92013888889</v>
      </c>
      <c r="G3446" s="11" t="n">
        <v>6.02</v>
      </c>
      <c r="H3446" s="11">
        <f>H3445+G3446</f>
        <v/>
      </c>
    </row>
    <row r="3447">
      <c r="A3447" s="9" t="n">
        <v>3443</v>
      </c>
      <c r="B3447" s="9" t="inlineStr">
        <is>
          <t>Aurelius_M15</t>
        </is>
      </c>
      <c r="C3447" s="9" t="inlineStr">
        <is>
          <t>MA alignment (EMA21&gt;EMA50&gt;SMA250&gt;SMMA500 vs EMA2400 trend filter) - M15 chart</t>
        </is>
      </c>
      <c r="D3447" s="9" t="inlineStr">
        <is>
          <t>Long</t>
        </is>
      </c>
      <c r="E3447" s="10" t="n">
        <v>45547.64583333334</v>
      </c>
      <c r="F3447" s="10" t="n">
        <v>45548.92708333334</v>
      </c>
      <c r="G3447" s="11" t="n">
        <v>58.5</v>
      </c>
      <c r="H3447" s="11">
        <f>H3446+G3447</f>
        <v/>
      </c>
    </row>
    <row r="3448">
      <c r="A3448" s="9" t="n">
        <v>3444</v>
      </c>
      <c r="B3448" s="9" t="inlineStr">
        <is>
          <t>Ratchet</t>
        </is>
      </c>
      <c r="C3448" s="9" t="inlineStr">
        <is>
          <t>Stochastic scalp with give-back trail exit</t>
        </is>
      </c>
      <c r="D3448" s="9" t="inlineStr">
        <is>
          <t>Long</t>
        </is>
      </c>
      <c r="E3448" s="10" t="n">
        <v>45551.15277777778</v>
      </c>
      <c r="F3448" s="10" t="n">
        <v>45551.17361111111</v>
      </c>
      <c r="G3448" s="11" t="n">
        <v>-1.93</v>
      </c>
      <c r="H3448" s="11">
        <f>H3447+G3448</f>
        <v/>
      </c>
    </row>
    <row r="3449">
      <c r="A3449" s="9" t="n">
        <v>3445</v>
      </c>
      <c r="B3449" s="9" t="inlineStr">
        <is>
          <t>Ratchet</t>
        </is>
      </c>
      <c r="C3449" s="9" t="inlineStr">
        <is>
          <t>Stochastic scalp with give-back trail exit</t>
        </is>
      </c>
      <c r="D3449" s="9" t="inlineStr">
        <is>
          <t>Long</t>
        </is>
      </c>
      <c r="E3449" s="10" t="n">
        <v>45551.27430555555</v>
      </c>
      <c r="F3449" s="10" t="n">
        <v>45551.38194444445</v>
      </c>
      <c r="G3449" s="11" t="n">
        <v>0.85</v>
      </c>
      <c r="H3449" s="11">
        <f>H3448+G3449</f>
        <v/>
      </c>
    </row>
    <row r="3450">
      <c r="A3450" s="9" t="n">
        <v>3446</v>
      </c>
      <c r="B3450" s="9" t="inlineStr">
        <is>
          <t>Ratchet</t>
        </is>
      </c>
      <c r="C3450" s="9" t="inlineStr">
        <is>
          <t>Stochastic scalp with give-back trail exit</t>
        </is>
      </c>
      <c r="D3450" s="9" t="inlineStr">
        <is>
          <t>Long</t>
        </is>
      </c>
      <c r="E3450" s="10" t="n">
        <v>45551.39930555555</v>
      </c>
      <c r="F3450" s="10" t="n">
        <v>45551.40972222222</v>
      </c>
      <c r="G3450" s="11" t="n">
        <v>-2.29</v>
      </c>
      <c r="H3450" s="11">
        <f>H3449+G3450</f>
        <v/>
      </c>
    </row>
    <row r="3451">
      <c r="A3451" s="9" t="n">
        <v>3447</v>
      </c>
      <c r="B3451" s="9" t="inlineStr">
        <is>
          <t>Meridian</t>
        </is>
      </c>
      <c r="C3451" s="9" t="inlineStr">
        <is>
          <t>21/50 MA cross, 250-period confirm filter, VWAP</t>
        </is>
      </c>
      <c r="D3451" s="9" t="inlineStr">
        <is>
          <t>Long</t>
        </is>
      </c>
      <c r="E3451" s="10" t="n">
        <v>45551.14583333334</v>
      </c>
      <c r="F3451" s="10" t="n">
        <v>45551.43055555555</v>
      </c>
      <c r="G3451" s="11" t="n">
        <v>-2.03</v>
      </c>
      <c r="H3451" s="11">
        <f>H3450+G3451</f>
        <v/>
      </c>
    </row>
    <row r="3452">
      <c r="A3452" s="9" t="n">
        <v>3448</v>
      </c>
      <c r="B3452" s="9" t="inlineStr">
        <is>
          <t>Aurelius_M5</t>
        </is>
      </c>
      <c r="C3452" s="9" t="inlineStr">
        <is>
          <t>MA alignment (EMA21&gt;EMA50&gt;SMA250&gt;SMMA500 vs EMA2400 trend filter)</t>
        </is>
      </c>
      <c r="D3452" s="9" t="inlineStr">
        <is>
          <t>Long</t>
        </is>
      </c>
      <c r="E3452" s="10" t="n">
        <v>45551.16666666666</v>
      </c>
      <c r="F3452" s="10" t="n">
        <v>45551.43055555555</v>
      </c>
      <c r="G3452" s="11" t="n">
        <v>-1.26</v>
      </c>
      <c r="H3452" s="11">
        <f>H3451+G3452</f>
        <v/>
      </c>
    </row>
    <row r="3453">
      <c r="A3453" s="9" t="n">
        <v>3449</v>
      </c>
      <c r="B3453" s="9" t="inlineStr">
        <is>
          <t>Ratchet</t>
        </is>
      </c>
      <c r="C3453" s="9" t="inlineStr">
        <is>
          <t>Stochastic scalp with give-back trail exit</t>
        </is>
      </c>
      <c r="D3453" s="9" t="inlineStr">
        <is>
          <t>Long</t>
        </is>
      </c>
      <c r="E3453" s="10" t="n">
        <v>45551.49305555555</v>
      </c>
      <c r="F3453" s="10" t="n">
        <v>45551.52777777778</v>
      </c>
      <c r="G3453" s="11" t="n">
        <v>-2.91</v>
      </c>
      <c r="H3453" s="11">
        <f>H3452+G3453</f>
        <v/>
      </c>
    </row>
    <row r="3454">
      <c r="A3454" s="9" t="n">
        <v>3450</v>
      </c>
      <c r="B3454" s="9" t="inlineStr">
        <is>
          <t>Meridian</t>
        </is>
      </c>
      <c r="C3454" s="9" t="inlineStr">
        <is>
          <t>21/50 MA cross, 250-period confirm filter, VWAP</t>
        </is>
      </c>
      <c r="D3454" s="9" t="inlineStr">
        <is>
          <t>Long</t>
        </is>
      </c>
      <c r="E3454" s="10" t="n">
        <v>45551.49305555555</v>
      </c>
      <c r="F3454" s="10" t="n">
        <v>45551.55902777778</v>
      </c>
      <c r="G3454" s="11" t="n">
        <v>-4.02</v>
      </c>
      <c r="H3454" s="11">
        <f>H3453+G3454</f>
        <v/>
      </c>
    </row>
    <row r="3455">
      <c r="A3455" s="9" t="n">
        <v>3451</v>
      </c>
      <c r="B3455" s="9" t="inlineStr">
        <is>
          <t>Meridian</t>
        </is>
      </c>
      <c r="C3455" s="9" t="inlineStr">
        <is>
          <t>21/50 MA cross, 250-period confirm filter, VWAP</t>
        </is>
      </c>
      <c r="D3455" s="9" t="inlineStr">
        <is>
          <t>Short</t>
        </is>
      </c>
      <c r="E3455" s="10" t="n">
        <v>45551.72916666666</v>
      </c>
      <c r="F3455" s="10" t="n">
        <v>45551.83680555555</v>
      </c>
      <c r="G3455" s="11" t="n">
        <v>-3.98</v>
      </c>
      <c r="H3455" s="11">
        <f>H3454+G3455</f>
        <v/>
      </c>
    </row>
    <row r="3456">
      <c r="A3456" s="9" t="n">
        <v>3452</v>
      </c>
      <c r="B3456" s="9" t="inlineStr">
        <is>
          <t>Meridian</t>
        </is>
      </c>
      <c r="C3456" s="9" t="inlineStr">
        <is>
          <t>21/50 MA cross, 250-period confirm filter, VWAP</t>
        </is>
      </c>
      <c r="D3456" s="9" t="inlineStr">
        <is>
          <t>Short</t>
        </is>
      </c>
      <c r="E3456" s="10" t="n">
        <v>45551.86111111111</v>
      </c>
      <c r="F3456" s="10" t="n">
        <v>45551.86458333334</v>
      </c>
      <c r="G3456" s="11" t="n">
        <v>-0.89</v>
      </c>
      <c r="H3456" s="11">
        <f>H3455+G3456</f>
        <v/>
      </c>
    </row>
    <row r="3457">
      <c r="A3457" s="9" t="n">
        <v>3453</v>
      </c>
      <c r="B3457" s="9" t="inlineStr">
        <is>
          <t>Meridian</t>
        </is>
      </c>
      <c r="C3457" s="9" t="inlineStr">
        <is>
          <t>21/50 MA cross, 250-period confirm filter, VWAP</t>
        </is>
      </c>
      <c r="D3457" s="9" t="inlineStr">
        <is>
          <t>Short</t>
        </is>
      </c>
      <c r="E3457" s="10" t="n">
        <v>45551.89236111111</v>
      </c>
      <c r="F3457" s="10" t="n">
        <v>45551.95833333334</v>
      </c>
      <c r="G3457" s="11" t="n">
        <v>-1.79</v>
      </c>
      <c r="H3457" s="11">
        <f>H3456+G3457</f>
        <v/>
      </c>
    </row>
    <row r="3458">
      <c r="A3458" s="9" t="n">
        <v>3454</v>
      </c>
      <c r="B3458" s="9" t="inlineStr">
        <is>
          <t>Vanguard_M5</t>
        </is>
      </c>
      <c r="C3458" s="9" t="inlineStr">
        <is>
          <t>Trendline breakout (fractal swing line) + VWAP/S-R distance gate</t>
        </is>
      </c>
      <c r="D3458" s="9" t="inlineStr">
        <is>
          <t>Short</t>
        </is>
      </c>
      <c r="E3458" s="10" t="n">
        <v>45551.92708333334</v>
      </c>
      <c r="F3458" s="10" t="n">
        <v>45552.11805555555</v>
      </c>
      <c r="G3458" s="11" t="n">
        <v>-3.84</v>
      </c>
      <c r="H3458" s="11">
        <f>H3457+G3458</f>
        <v/>
      </c>
    </row>
    <row r="3459">
      <c r="A3459" s="9" t="n">
        <v>3455</v>
      </c>
      <c r="B3459" s="9" t="inlineStr">
        <is>
          <t>Ratchet</t>
        </is>
      </c>
      <c r="C3459" s="9" t="inlineStr">
        <is>
          <t>Stochastic scalp with give-back trail exit</t>
        </is>
      </c>
      <c r="D3459" s="9" t="inlineStr">
        <is>
          <t>Long</t>
        </is>
      </c>
      <c r="E3459" s="10" t="n">
        <v>45552.11458333334</v>
      </c>
      <c r="F3459" s="10" t="n">
        <v>45552.12847222222</v>
      </c>
      <c r="G3459" s="11" t="n">
        <v>0.16</v>
      </c>
      <c r="H3459" s="11">
        <f>H3458+G3459</f>
        <v/>
      </c>
    </row>
    <row r="3460">
      <c r="A3460" s="9" t="n">
        <v>3456</v>
      </c>
      <c r="B3460" s="9" t="inlineStr">
        <is>
          <t>Meridian</t>
        </is>
      </c>
      <c r="C3460" s="9" t="inlineStr">
        <is>
          <t>21/50 MA cross, 250-period confirm filter, VWAP</t>
        </is>
      </c>
      <c r="D3460" s="9" t="inlineStr">
        <is>
          <t>Short</t>
        </is>
      </c>
      <c r="E3460" s="10" t="n">
        <v>45552.16666666666</v>
      </c>
      <c r="F3460" s="10" t="n">
        <v>45552.19791666666</v>
      </c>
      <c r="G3460" s="11" t="n">
        <v>-2.06</v>
      </c>
      <c r="H3460" s="11">
        <f>H3459+G3460</f>
        <v/>
      </c>
    </row>
    <row r="3461">
      <c r="A3461" s="9" t="n">
        <v>3457</v>
      </c>
      <c r="B3461" s="9" t="inlineStr">
        <is>
          <t>Meridian</t>
        </is>
      </c>
      <c r="C3461" s="9" t="inlineStr">
        <is>
          <t>21/50 MA cross, 250-period confirm filter, VWAP</t>
        </is>
      </c>
      <c r="D3461" s="9" t="inlineStr">
        <is>
          <t>Long</t>
        </is>
      </c>
      <c r="E3461" s="10" t="n">
        <v>45552.22222222222</v>
      </c>
      <c r="F3461" s="10" t="n">
        <v>45552.23958333334</v>
      </c>
      <c r="G3461" s="11" t="n">
        <v>-2.63</v>
      </c>
      <c r="H3461" s="11">
        <f>H3460+G3461</f>
        <v/>
      </c>
    </row>
    <row r="3462">
      <c r="A3462" s="9" t="n">
        <v>3458</v>
      </c>
      <c r="B3462" s="9" t="inlineStr">
        <is>
          <t>Meridian</t>
        </is>
      </c>
      <c r="C3462" s="9" t="inlineStr">
        <is>
          <t>21/50 MA cross, 250-period confirm filter, VWAP</t>
        </is>
      </c>
      <c r="D3462" s="9" t="inlineStr">
        <is>
          <t>Short</t>
        </is>
      </c>
      <c r="E3462" s="10" t="n">
        <v>45552.26041666666</v>
      </c>
      <c r="F3462" s="10" t="n">
        <v>45552.37847222222</v>
      </c>
      <c r="G3462" s="11" t="n">
        <v>-2.72</v>
      </c>
      <c r="H3462" s="11">
        <f>H3461+G3462</f>
        <v/>
      </c>
    </row>
    <row r="3463">
      <c r="A3463" s="9" t="n">
        <v>3459</v>
      </c>
      <c r="B3463" s="9" t="inlineStr">
        <is>
          <t>Meridian</t>
        </is>
      </c>
      <c r="C3463" s="9" t="inlineStr">
        <is>
          <t>21/50 MA cross, 250-period confirm filter, VWAP</t>
        </is>
      </c>
      <c r="D3463" s="9" t="inlineStr">
        <is>
          <t>Long</t>
        </is>
      </c>
      <c r="E3463" s="10" t="n">
        <v>45552.39236111111</v>
      </c>
      <c r="F3463" s="10" t="n">
        <v>45552.47916666666</v>
      </c>
      <c r="G3463" s="11" t="n">
        <v>-3.41</v>
      </c>
      <c r="H3463" s="11">
        <f>H3462+G3463</f>
        <v/>
      </c>
    </row>
    <row r="3464">
      <c r="A3464" s="9" t="n">
        <v>3460</v>
      </c>
      <c r="B3464" s="9" t="inlineStr">
        <is>
          <t>Meridian</t>
        </is>
      </c>
      <c r="C3464" s="9" t="inlineStr">
        <is>
          <t>21/50 MA cross, 250-period confirm filter, VWAP</t>
        </is>
      </c>
      <c r="D3464" s="9" t="inlineStr">
        <is>
          <t>Short</t>
        </is>
      </c>
      <c r="E3464" s="10" t="n">
        <v>45552.5</v>
      </c>
      <c r="F3464" s="10" t="n">
        <v>45552.63541666666</v>
      </c>
      <c r="G3464" s="11" t="n">
        <v>-0.85</v>
      </c>
      <c r="H3464" s="11">
        <f>H3463+G3464</f>
        <v/>
      </c>
    </row>
    <row r="3465">
      <c r="A3465" s="9" t="n">
        <v>3461</v>
      </c>
      <c r="B3465" s="9" t="inlineStr">
        <is>
          <t>Meridian</t>
        </is>
      </c>
      <c r="C3465" s="9" t="inlineStr">
        <is>
          <t>21/50 MA cross, 250-period confirm filter, VWAP</t>
        </is>
      </c>
      <c r="D3465" s="9" t="inlineStr">
        <is>
          <t>Short</t>
        </is>
      </c>
      <c r="E3465" s="10" t="n">
        <v>45552.64930555555</v>
      </c>
      <c r="F3465" s="10" t="n">
        <v>45552.68055555555</v>
      </c>
      <c r="G3465" s="11" t="n">
        <v>-5.79</v>
      </c>
      <c r="H3465" s="11">
        <f>H3464+G3465</f>
        <v/>
      </c>
    </row>
    <row r="3466">
      <c r="A3466" s="9" t="n">
        <v>3462</v>
      </c>
      <c r="B3466" s="9" t="inlineStr">
        <is>
          <t>Meridian</t>
        </is>
      </c>
      <c r="C3466" s="9" t="inlineStr">
        <is>
          <t>21/50 MA cross, 250-period confirm filter, VWAP</t>
        </is>
      </c>
      <c r="D3466" s="9" t="inlineStr">
        <is>
          <t>Long</t>
        </is>
      </c>
      <c r="E3466" s="10" t="n">
        <v>45552.71875</v>
      </c>
      <c r="F3466" s="10" t="n">
        <v>45552.73611111111</v>
      </c>
      <c r="G3466" s="11" t="n">
        <v>-7.23</v>
      </c>
      <c r="H3466" s="11">
        <f>H3465+G3466</f>
        <v/>
      </c>
    </row>
    <row r="3467">
      <c r="A3467" s="9" t="n">
        <v>3463</v>
      </c>
      <c r="B3467" s="9" t="inlineStr">
        <is>
          <t>Meridian</t>
        </is>
      </c>
      <c r="C3467" s="9" t="inlineStr">
        <is>
          <t>21/50 MA cross, 250-period confirm filter, VWAP</t>
        </is>
      </c>
      <c r="D3467" s="9" t="inlineStr">
        <is>
          <t>Short</t>
        </is>
      </c>
      <c r="E3467" s="10" t="n">
        <v>45552.74305555555</v>
      </c>
      <c r="F3467" s="10" t="n">
        <v>45552.92708333334</v>
      </c>
      <c r="G3467" s="11" t="n">
        <v>3.51</v>
      </c>
      <c r="H3467" s="11">
        <f>H3466+G3467</f>
        <v/>
      </c>
    </row>
    <row r="3468">
      <c r="A3468" s="9" t="n">
        <v>3464</v>
      </c>
      <c r="B3468" s="9" t="inlineStr">
        <is>
          <t>Meridian</t>
        </is>
      </c>
      <c r="C3468" s="9" t="inlineStr">
        <is>
          <t>21/50 MA cross, 250-period confirm filter, VWAP</t>
        </is>
      </c>
      <c r="D3468" s="9" t="inlineStr">
        <is>
          <t>Short</t>
        </is>
      </c>
      <c r="E3468" s="10" t="n">
        <v>45552.9375</v>
      </c>
      <c r="F3468" s="10" t="n">
        <v>45552.98958333334</v>
      </c>
      <c r="G3468" s="11" t="n">
        <v>-1.79</v>
      </c>
      <c r="H3468" s="11">
        <f>H3467+G3468</f>
        <v/>
      </c>
    </row>
    <row r="3469">
      <c r="A3469" s="9" t="n">
        <v>3465</v>
      </c>
      <c r="B3469" s="9" t="inlineStr">
        <is>
          <t>Meridian</t>
        </is>
      </c>
      <c r="C3469" s="9" t="inlineStr">
        <is>
          <t>21/50 MA cross, 250-period confirm filter, VWAP</t>
        </is>
      </c>
      <c r="D3469" s="9" t="inlineStr">
        <is>
          <t>Short</t>
        </is>
      </c>
      <c r="E3469" s="10" t="n">
        <v>45553.32986111111</v>
      </c>
      <c r="F3469" s="10" t="n">
        <v>45553.45486111111</v>
      </c>
      <c r="G3469" s="11" t="n">
        <v>-2.88</v>
      </c>
      <c r="H3469" s="11">
        <f>H3468+G3469</f>
        <v/>
      </c>
    </row>
    <row r="3470">
      <c r="A3470" s="9" t="n">
        <v>3466</v>
      </c>
      <c r="B3470" s="9" t="inlineStr">
        <is>
          <t>Vanguard_M15</t>
        </is>
      </c>
      <c r="C3470" s="9" t="inlineStr">
        <is>
          <t>Trendline breakout (fractal swing line) + VWAP/S-R distance gate - M15 chart</t>
        </is>
      </c>
      <c r="D3470" s="9" t="inlineStr">
        <is>
          <t>Short</t>
        </is>
      </c>
      <c r="E3470" s="10" t="n">
        <v>45551.92708333334</v>
      </c>
      <c r="F3470" s="10" t="n">
        <v>45553.53125</v>
      </c>
      <c r="G3470" s="11" t="n">
        <v>8.08</v>
      </c>
      <c r="H3470" s="11">
        <f>H3469+G3470</f>
        <v/>
      </c>
    </row>
    <row r="3471">
      <c r="A3471" s="9" t="n">
        <v>3467</v>
      </c>
      <c r="B3471" s="9" t="inlineStr">
        <is>
          <t>Aurelius_M5</t>
        </is>
      </c>
      <c r="C3471" s="9" t="inlineStr">
        <is>
          <t>MA alignment (EMA21&gt;EMA50&gt;SMA250&gt;SMMA500 vs EMA2400 trend filter)</t>
        </is>
      </c>
      <c r="D3471" s="9" t="inlineStr">
        <is>
          <t>Long</t>
        </is>
      </c>
      <c r="E3471" s="10" t="n">
        <v>45553.56944444445</v>
      </c>
      <c r="F3471" s="10" t="n">
        <v>45553.69444444445</v>
      </c>
      <c r="G3471" s="11" t="n">
        <v>-3.65</v>
      </c>
      <c r="H3471" s="11">
        <f>H3470+G3471</f>
        <v/>
      </c>
    </row>
    <row r="3472">
      <c r="A3472" s="9" t="n">
        <v>3468</v>
      </c>
      <c r="B3472" s="9" t="inlineStr">
        <is>
          <t>Vanguard_M5</t>
        </is>
      </c>
      <c r="C3472" s="9" t="inlineStr">
        <is>
          <t>Trendline breakout (fractal swing line) + VWAP/S-R distance gate</t>
        </is>
      </c>
      <c r="D3472" s="9" t="inlineStr">
        <is>
          <t>Long</t>
        </is>
      </c>
      <c r="E3472" s="10" t="n">
        <v>45553.54166666666</v>
      </c>
      <c r="F3472" s="10" t="n">
        <v>45553.70138888889</v>
      </c>
      <c r="G3472" s="11" t="n">
        <v>-2.71</v>
      </c>
      <c r="H3472" s="11">
        <f>H3471+G3472</f>
        <v/>
      </c>
    </row>
    <row r="3473">
      <c r="A3473" s="9" t="n">
        <v>3469</v>
      </c>
      <c r="B3473" s="9" t="inlineStr">
        <is>
          <t>Meridian</t>
        </is>
      </c>
      <c r="C3473" s="9" t="inlineStr">
        <is>
          <t>21/50 MA cross, 250-period confirm filter, VWAP</t>
        </is>
      </c>
      <c r="D3473" s="9" t="inlineStr">
        <is>
          <t>Long</t>
        </is>
      </c>
      <c r="E3473" s="10" t="n">
        <v>45553.54513888889</v>
      </c>
      <c r="F3473" s="10" t="n">
        <v>45553.70138888889</v>
      </c>
      <c r="G3473" s="11" t="n">
        <v>-3.14</v>
      </c>
      <c r="H3473" s="11">
        <f>H3472+G3473</f>
        <v/>
      </c>
    </row>
    <row r="3474">
      <c r="A3474" s="9" t="n">
        <v>3470</v>
      </c>
      <c r="B3474" s="9" t="inlineStr">
        <is>
          <t>Vanguard_M15</t>
        </is>
      </c>
      <c r="C3474" s="9" t="inlineStr">
        <is>
          <t>Trendline breakout (fractal swing line) + VWAP/S-R distance gate - M15 chart</t>
        </is>
      </c>
      <c r="D3474" s="9" t="inlineStr">
        <is>
          <t>Long</t>
        </is>
      </c>
      <c r="E3474" s="10" t="n">
        <v>45553.54166666666</v>
      </c>
      <c r="F3474" s="10" t="n">
        <v>45553.71875</v>
      </c>
      <c r="G3474" s="11" t="n">
        <v>-3.17</v>
      </c>
      <c r="H3474" s="11">
        <f>H3473+G3474</f>
        <v/>
      </c>
    </row>
    <row r="3475">
      <c r="A3475" s="9" t="n">
        <v>3471</v>
      </c>
      <c r="B3475" s="9" t="inlineStr">
        <is>
          <t>Vanguard_M5</t>
        </is>
      </c>
      <c r="C3475" s="9" t="inlineStr">
        <is>
          <t>Trendline breakout (fractal swing line) + VWAP/S-R distance gate</t>
        </is>
      </c>
      <c r="D3475" s="9" t="inlineStr">
        <is>
          <t>Short</t>
        </is>
      </c>
      <c r="E3475" s="10" t="n">
        <v>45553.70486111111</v>
      </c>
      <c r="F3475" s="10" t="n">
        <v>45553.875</v>
      </c>
      <c r="G3475" s="11" t="n">
        <v>-7.77</v>
      </c>
      <c r="H3475" s="11">
        <f>H3474+G3475</f>
        <v/>
      </c>
    </row>
    <row r="3476">
      <c r="A3476" s="9" t="n">
        <v>3472</v>
      </c>
      <c r="B3476" s="9" t="inlineStr">
        <is>
          <t>Vanguard_M15</t>
        </is>
      </c>
      <c r="C3476" s="9" t="inlineStr">
        <is>
          <t>Trendline breakout (fractal swing line) + VWAP/S-R distance gate - M15 chart</t>
        </is>
      </c>
      <c r="D3476" s="9" t="inlineStr">
        <is>
          <t>Short</t>
        </is>
      </c>
      <c r="E3476" s="10" t="n">
        <v>45553.72916666666</v>
      </c>
      <c r="F3476" s="10" t="n">
        <v>45553.875</v>
      </c>
      <c r="G3476" s="11" t="n">
        <v>-9.550000000000001</v>
      </c>
      <c r="H3476" s="11">
        <f>H3475+G3476</f>
        <v/>
      </c>
    </row>
    <row r="3477">
      <c r="A3477" s="9" t="n">
        <v>3473</v>
      </c>
      <c r="B3477" s="9" t="inlineStr">
        <is>
          <t>Meridian</t>
        </is>
      </c>
      <c r="C3477" s="9" t="inlineStr">
        <is>
          <t>21/50 MA cross, 250-period confirm filter, VWAP</t>
        </is>
      </c>
      <c r="D3477" s="9" t="inlineStr">
        <is>
          <t>Long</t>
        </is>
      </c>
      <c r="E3477" s="10" t="n">
        <v>45553.88194444445</v>
      </c>
      <c r="F3477" s="10" t="n">
        <v>45553.90277777778</v>
      </c>
      <c r="G3477" s="11" t="n">
        <v>-8.390000000000001</v>
      </c>
      <c r="H3477" s="11">
        <f>H3476+G3477</f>
        <v/>
      </c>
    </row>
    <row r="3478">
      <c r="A3478" s="9" t="n">
        <v>3474</v>
      </c>
      <c r="B3478" s="9" t="inlineStr">
        <is>
          <t>Aurelius_M5</t>
        </is>
      </c>
      <c r="C3478" s="9" t="inlineStr">
        <is>
          <t>MA alignment (EMA21&gt;EMA50&gt;SMA250&gt;SMMA500 vs EMA2400 trend filter)</t>
        </is>
      </c>
      <c r="D3478" s="9" t="inlineStr">
        <is>
          <t>Long</t>
        </is>
      </c>
      <c r="E3478" s="10" t="n">
        <v>45553.89236111111</v>
      </c>
      <c r="F3478" s="10" t="n">
        <v>45553.90277777778</v>
      </c>
      <c r="G3478" s="11" t="n">
        <v>-10.91</v>
      </c>
      <c r="H3478" s="11">
        <f>H3477+G3478</f>
        <v/>
      </c>
    </row>
    <row r="3479">
      <c r="A3479" s="9" t="n">
        <v>3475</v>
      </c>
      <c r="B3479" s="9" t="inlineStr">
        <is>
          <t>Vanguard_M5</t>
        </is>
      </c>
      <c r="C3479" s="9" t="inlineStr">
        <is>
          <t>Trendline breakout (fractal swing line) + VWAP/S-R distance gate</t>
        </is>
      </c>
      <c r="D3479" s="9" t="inlineStr">
        <is>
          <t>Short</t>
        </is>
      </c>
      <c r="E3479" s="10" t="n">
        <v>45553.92013888889</v>
      </c>
      <c r="F3479" s="10" t="n">
        <v>45553.92361111111</v>
      </c>
      <c r="G3479" s="11" t="n">
        <v>5.25</v>
      </c>
      <c r="H3479" s="11">
        <f>H3478+G3479</f>
        <v/>
      </c>
    </row>
    <row r="3480">
      <c r="A3480" s="9" t="n">
        <v>3476</v>
      </c>
      <c r="B3480" s="9" t="inlineStr">
        <is>
          <t>Vanguard_M15</t>
        </is>
      </c>
      <c r="C3480" s="9" t="inlineStr">
        <is>
          <t>Trendline breakout (fractal swing line) + VWAP/S-R distance gate - M15 chart</t>
        </is>
      </c>
      <c r="D3480" s="9" t="inlineStr">
        <is>
          <t>Short</t>
        </is>
      </c>
      <c r="E3480" s="10" t="n">
        <v>45553.92708333334</v>
      </c>
      <c r="F3480" s="10" t="n">
        <v>45554.22916666666</v>
      </c>
      <c r="G3480" s="11" t="n">
        <v>1.36</v>
      </c>
      <c r="H3480" s="11">
        <f>H3479+G3480</f>
        <v/>
      </c>
    </row>
    <row r="3481">
      <c r="A3481" s="9" t="n">
        <v>3477</v>
      </c>
      <c r="B3481" s="9" t="inlineStr">
        <is>
          <t>Ratchet</t>
        </is>
      </c>
      <c r="C3481" s="9" t="inlineStr">
        <is>
          <t>Stochastic scalp with give-back trail exit</t>
        </is>
      </c>
      <c r="D3481" s="9" t="inlineStr">
        <is>
          <t>Long</t>
        </is>
      </c>
      <c r="E3481" s="10" t="n">
        <v>45554.55208333334</v>
      </c>
      <c r="F3481" s="10" t="n">
        <v>45554.5625</v>
      </c>
      <c r="G3481" s="11" t="n">
        <v>-3.98</v>
      </c>
      <c r="H3481" s="11">
        <f>H3480+G3481</f>
        <v/>
      </c>
    </row>
    <row r="3482">
      <c r="A3482" s="9" t="n">
        <v>3478</v>
      </c>
      <c r="B3482" s="9" t="inlineStr">
        <is>
          <t>Ratchet</t>
        </is>
      </c>
      <c r="C3482" s="9" t="inlineStr">
        <is>
          <t>Stochastic scalp with give-back trail exit</t>
        </is>
      </c>
      <c r="D3482" s="9" t="inlineStr">
        <is>
          <t>Long</t>
        </is>
      </c>
      <c r="E3482" s="10" t="n">
        <v>45554.61805555555</v>
      </c>
      <c r="F3482" s="10" t="n">
        <v>45554.625</v>
      </c>
      <c r="G3482" s="11" t="n">
        <v>0</v>
      </c>
      <c r="H3482" s="11">
        <f>H3481+G3482</f>
        <v/>
      </c>
    </row>
    <row r="3483">
      <c r="A3483" s="9" t="n">
        <v>3479</v>
      </c>
      <c r="B3483" s="9" t="inlineStr">
        <is>
          <t>Ratchet</t>
        </is>
      </c>
      <c r="C3483" s="9" t="inlineStr">
        <is>
          <t>Stochastic scalp with give-back trail exit</t>
        </is>
      </c>
      <c r="D3483" s="9" t="inlineStr">
        <is>
          <t>Long</t>
        </is>
      </c>
      <c r="E3483" s="10" t="n">
        <v>45554.62847222222</v>
      </c>
      <c r="F3483" s="10" t="n">
        <v>45554.64236111111</v>
      </c>
      <c r="G3483" s="11" t="n">
        <v>0</v>
      </c>
      <c r="H3483" s="11">
        <f>H3482+G3483</f>
        <v/>
      </c>
    </row>
    <row r="3484">
      <c r="A3484" s="9" t="n">
        <v>3480</v>
      </c>
      <c r="B3484" s="9" t="inlineStr">
        <is>
          <t>Ratchet</t>
        </is>
      </c>
      <c r="C3484" s="9" t="inlineStr">
        <is>
          <t>Stochastic scalp with give-back trail exit</t>
        </is>
      </c>
      <c r="D3484" s="9" t="inlineStr">
        <is>
          <t>Long</t>
        </is>
      </c>
      <c r="E3484" s="10" t="n">
        <v>45554.77777777778</v>
      </c>
      <c r="F3484" s="10" t="n">
        <v>45554.93055555555</v>
      </c>
      <c r="G3484" s="11" t="n">
        <v>2.48</v>
      </c>
      <c r="H3484" s="11">
        <f>H3483+G3484</f>
        <v/>
      </c>
    </row>
    <row r="3485">
      <c r="A3485" s="9" t="n">
        <v>3481</v>
      </c>
      <c r="B3485" s="9" t="inlineStr">
        <is>
          <t>Ratchet</t>
        </is>
      </c>
      <c r="C3485" s="9" t="inlineStr">
        <is>
          <t>Stochastic scalp with give-back trail exit</t>
        </is>
      </c>
      <c r="D3485" s="9" t="inlineStr">
        <is>
          <t>Long</t>
        </is>
      </c>
      <c r="E3485" s="10" t="n">
        <v>45554.97569444445</v>
      </c>
      <c r="F3485" s="10" t="n">
        <v>45554.97569444445</v>
      </c>
      <c r="G3485" s="11" t="n">
        <v>-1.81</v>
      </c>
      <c r="H3485" s="11">
        <f>H3484+G3485</f>
        <v/>
      </c>
    </row>
    <row r="3486">
      <c r="A3486" s="9" t="n">
        <v>3482</v>
      </c>
      <c r="B3486" s="9" t="inlineStr">
        <is>
          <t>Meridian</t>
        </is>
      </c>
      <c r="C3486" s="9" t="inlineStr">
        <is>
          <t>21/50 MA cross, 250-period confirm filter, VWAP</t>
        </is>
      </c>
      <c r="D3486" s="9" t="inlineStr">
        <is>
          <t>Long</t>
        </is>
      </c>
      <c r="E3486" s="10" t="n">
        <v>45554.77777777778</v>
      </c>
      <c r="F3486" s="10" t="n">
        <v>45554.99652777778</v>
      </c>
      <c r="G3486" s="11" t="n">
        <v>1.94</v>
      </c>
      <c r="H3486" s="11">
        <f>H3485+G3486</f>
        <v/>
      </c>
    </row>
    <row r="3487">
      <c r="A3487" s="9" t="n">
        <v>3483</v>
      </c>
      <c r="B3487" s="9" t="inlineStr">
        <is>
          <t>Meridian</t>
        </is>
      </c>
      <c r="C3487" s="9" t="inlineStr">
        <is>
          <t>21/50 MA cross, 250-period confirm filter, VWAP</t>
        </is>
      </c>
      <c r="D3487" s="9" t="inlineStr">
        <is>
          <t>Long</t>
        </is>
      </c>
      <c r="E3487" s="10" t="n">
        <v>45555.16319444445</v>
      </c>
      <c r="F3487" s="10" t="n">
        <v>45555.17708333334</v>
      </c>
      <c r="G3487" s="11" t="n">
        <v>-1.59</v>
      </c>
      <c r="H3487" s="11">
        <f>H3486+G3487</f>
        <v/>
      </c>
    </row>
    <row r="3488">
      <c r="A3488" s="9" t="n">
        <v>3484</v>
      </c>
      <c r="B3488" s="9" t="inlineStr">
        <is>
          <t>Ratchet</t>
        </is>
      </c>
      <c r="C3488" s="9" t="inlineStr">
        <is>
          <t>Stochastic scalp with give-back trail exit</t>
        </is>
      </c>
      <c r="D3488" s="9" t="inlineStr">
        <is>
          <t>Long</t>
        </is>
      </c>
      <c r="E3488" s="10" t="n">
        <v>45555.21527777778</v>
      </c>
      <c r="F3488" s="10" t="n">
        <v>45555.22222222222</v>
      </c>
      <c r="G3488" s="11" t="n">
        <v>0</v>
      </c>
      <c r="H3488" s="11">
        <f>H3487+G3488</f>
        <v/>
      </c>
    </row>
    <row r="3489">
      <c r="A3489" s="9" t="n">
        <v>3485</v>
      </c>
      <c r="B3489" s="9" t="inlineStr">
        <is>
          <t>Ratchet</t>
        </is>
      </c>
      <c r="C3489" s="9" t="inlineStr">
        <is>
          <t>Stochastic scalp with give-back trail exit</t>
        </is>
      </c>
      <c r="D3489" s="9" t="inlineStr">
        <is>
          <t>Long</t>
        </is>
      </c>
      <c r="E3489" s="10" t="n">
        <v>45555.27777777778</v>
      </c>
      <c r="F3489" s="10" t="n">
        <v>45555.29513888889</v>
      </c>
      <c r="G3489" s="11" t="n">
        <v>-0</v>
      </c>
      <c r="H3489" s="11">
        <f>H3488+G3489</f>
        <v/>
      </c>
    </row>
    <row r="3490">
      <c r="A3490" s="9" t="n">
        <v>3486</v>
      </c>
      <c r="B3490" s="9" t="inlineStr">
        <is>
          <t>Ratchet</t>
        </is>
      </c>
      <c r="C3490" s="9" t="inlineStr">
        <is>
          <t>Stochastic scalp with give-back trail exit</t>
        </is>
      </c>
      <c r="D3490" s="9" t="inlineStr">
        <is>
          <t>Long</t>
        </is>
      </c>
      <c r="E3490" s="10" t="n">
        <v>45555.56944444445</v>
      </c>
      <c r="F3490" s="10" t="n">
        <v>45555.59722222222</v>
      </c>
      <c r="G3490" s="11" t="n">
        <v>1.45</v>
      </c>
      <c r="H3490" s="11">
        <f>H3489+G3490</f>
        <v/>
      </c>
    </row>
    <row r="3491">
      <c r="A3491" s="9" t="n">
        <v>3487</v>
      </c>
      <c r="B3491" s="9" t="inlineStr">
        <is>
          <t>Ratchet</t>
        </is>
      </c>
      <c r="C3491" s="9" t="inlineStr">
        <is>
          <t>Stochastic scalp with give-back trail exit</t>
        </is>
      </c>
      <c r="D3491" s="9" t="inlineStr">
        <is>
          <t>Long</t>
        </is>
      </c>
      <c r="E3491" s="10" t="n">
        <v>45555.65277777778</v>
      </c>
      <c r="F3491" s="10" t="n">
        <v>45555.66666666666</v>
      </c>
      <c r="G3491" s="11" t="n">
        <v>-3.51</v>
      </c>
      <c r="H3491" s="11">
        <f>H3490+G3491</f>
        <v/>
      </c>
    </row>
    <row r="3492">
      <c r="A3492" s="9" t="n">
        <v>3488</v>
      </c>
      <c r="B3492" s="9" t="inlineStr">
        <is>
          <t>Meridian</t>
        </is>
      </c>
      <c r="C3492" s="9" t="inlineStr">
        <is>
          <t>21/50 MA cross, 250-period confirm filter, VWAP</t>
        </is>
      </c>
      <c r="D3492" s="9" t="inlineStr">
        <is>
          <t>Long</t>
        </is>
      </c>
      <c r="E3492" s="10" t="n">
        <v>45555.20833333334</v>
      </c>
      <c r="F3492" s="10" t="n">
        <v>45555.70486111111</v>
      </c>
      <c r="G3492" s="11" t="n">
        <v>17.54</v>
      </c>
      <c r="H3492" s="11">
        <f>H3491+G3492</f>
        <v/>
      </c>
    </row>
    <row r="3493">
      <c r="A3493" s="9" t="n">
        <v>3489</v>
      </c>
      <c r="B3493" s="9" t="inlineStr">
        <is>
          <t>Aurelius_M5</t>
        </is>
      </c>
      <c r="C3493" s="9" t="inlineStr">
        <is>
          <t>MA alignment (EMA21&gt;EMA50&gt;SMA250&gt;SMMA500 vs EMA2400 trend filter)</t>
        </is>
      </c>
      <c r="D3493" s="9" t="inlineStr">
        <is>
          <t>Long</t>
        </is>
      </c>
      <c r="E3493" s="10" t="n">
        <v>45555.23263888889</v>
      </c>
      <c r="F3493" s="10" t="n">
        <v>45555.70486111111</v>
      </c>
      <c r="G3493" s="11" t="n">
        <v>14.72</v>
      </c>
      <c r="H3493" s="11">
        <f>H3492+G3493</f>
        <v/>
      </c>
    </row>
    <row r="3494">
      <c r="A3494" s="9" t="n">
        <v>3490</v>
      </c>
      <c r="B3494" s="9" t="inlineStr">
        <is>
          <t>Ratchet</t>
        </is>
      </c>
      <c r="C3494" s="9" t="inlineStr">
        <is>
          <t>Stochastic scalp with give-back trail exit</t>
        </is>
      </c>
      <c r="D3494" s="9" t="inlineStr">
        <is>
          <t>Long</t>
        </is>
      </c>
      <c r="E3494" s="10" t="n">
        <v>45555.73611111111</v>
      </c>
      <c r="F3494" s="10" t="n">
        <v>45555.75694444445</v>
      </c>
      <c r="G3494" s="11" t="n">
        <v>0.61</v>
      </c>
      <c r="H3494" s="11">
        <f>H3493+G3494</f>
        <v/>
      </c>
    </row>
    <row r="3495">
      <c r="A3495" s="9" t="n">
        <v>3491</v>
      </c>
      <c r="B3495" s="9" t="inlineStr">
        <is>
          <t>Ratchet</t>
        </is>
      </c>
      <c r="C3495" s="9" t="inlineStr">
        <is>
          <t>Stochastic scalp with give-back trail exit</t>
        </is>
      </c>
      <c r="D3495" s="9" t="inlineStr">
        <is>
          <t>Long</t>
        </is>
      </c>
      <c r="E3495" s="10" t="n">
        <v>45555.76736111111</v>
      </c>
      <c r="F3495" s="10" t="n">
        <v>45555.875</v>
      </c>
      <c r="G3495" s="11" t="n">
        <v>2.95</v>
      </c>
      <c r="H3495" s="11">
        <f>H3494+G3495</f>
        <v/>
      </c>
    </row>
    <row r="3496">
      <c r="A3496" s="9" t="n">
        <v>3492</v>
      </c>
      <c r="B3496" s="9" t="inlineStr">
        <is>
          <t>Meridian</t>
        </is>
      </c>
      <c r="C3496" s="9" t="inlineStr">
        <is>
          <t>21/50 MA cross, 250-period confirm filter, VWAP</t>
        </is>
      </c>
      <c r="D3496" s="9" t="inlineStr">
        <is>
          <t>Long</t>
        </is>
      </c>
      <c r="E3496" s="10" t="n">
        <v>45555.73611111111</v>
      </c>
      <c r="F3496" s="10" t="n">
        <v>45555.91666666666</v>
      </c>
      <c r="G3496" s="11" t="n">
        <v>7.23</v>
      </c>
      <c r="H3496" s="11">
        <f>H3495+G3496</f>
        <v/>
      </c>
    </row>
    <row r="3497">
      <c r="A3497" s="9" t="n">
        <v>3493</v>
      </c>
      <c r="B3497" s="9" t="inlineStr">
        <is>
          <t>Aurelius_M5</t>
        </is>
      </c>
      <c r="C3497" s="9" t="inlineStr">
        <is>
          <t>MA alignment (EMA21&gt;EMA50&gt;SMA250&gt;SMMA500 vs EMA2400 trend filter)</t>
        </is>
      </c>
      <c r="D3497" s="9" t="inlineStr">
        <is>
          <t>Long</t>
        </is>
      </c>
      <c r="E3497" s="10" t="n">
        <v>45555.77777777778</v>
      </c>
      <c r="F3497" s="10" t="n">
        <v>45555.92013888889</v>
      </c>
      <c r="G3497" s="11" t="n">
        <v>2.52</v>
      </c>
      <c r="H3497" s="11">
        <f>H3496+G3497</f>
        <v/>
      </c>
    </row>
    <row r="3498">
      <c r="A3498" s="9" t="n">
        <v>3494</v>
      </c>
      <c r="B3498" s="9" t="inlineStr">
        <is>
          <t>Aurelius_M15</t>
        </is>
      </c>
      <c r="C3498" s="9" t="inlineStr">
        <is>
          <t>MA alignment (EMA21&gt;EMA50&gt;SMA250&gt;SMMA500 vs EMA2400 trend filter) - M15 chart</t>
        </is>
      </c>
      <c r="D3498" s="9" t="inlineStr">
        <is>
          <t>Long</t>
        </is>
      </c>
      <c r="E3498" s="10" t="n">
        <v>45554.73958333334</v>
      </c>
      <c r="F3498" s="10" t="n">
        <v>45555.92708333334</v>
      </c>
      <c r="G3498" s="11" t="n">
        <v>38.92</v>
      </c>
      <c r="H3498" s="11">
        <f>H3497+G3498</f>
        <v/>
      </c>
    </row>
    <row r="3499">
      <c r="A3499" s="9" t="n">
        <v>3495</v>
      </c>
      <c r="B3499" s="9" t="inlineStr">
        <is>
          <t>Ratchet</t>
        </is>
      </c>
      <c r="C3499" s="9" t="inlineStr">
        <is>
          <t>Stochastic scalp with give-back trail exit</t>
        </is>
      </c>
      <c r="D3499" s="9" t="inlineStr">
        <is>
          <t>Long</t>
        </is>
      </c>
      <c r="E3499" s="10" t="n">
        <v>45558.24305555555</v>
      </c>
      <c r="F3499" s="10" t="n">
        <v>45558.40972222222</v>
      </c>
      <c r="G3499" s="11" t="n">
        <v>2.24</v>
      </c>
      <c r="H3499" s="11">
        <f>H3498+G3499</f>
        <v/>
      </c>
    </row>
    <row r="3500">
      <c r="A3500" s="9" t="n">
        <v>3496</v>
      </c>
      <c r="B3500" s="9" t="inlineStr">
        <is>
          <t>Vanguard_M5</t>
        </is>
      </c>
      <c r="C3500" s="9" t="inlineStr">
        <is>
          <t>Trendline breakout (fractal swing line) + VWAP/S-R distance gate</t>
        </is>
      </c>
      <c r="D3500" s="9" t="inlineStr">
        <is>
          <t>Long</t>
        </is>
      </c>
      <c r="E3500" s="10" t="n">
        <v>45554.23263888889</v>
      </c>
      <c r="F3500" s="10" t="n">
        <v>45558.41666666666</v>
      </c>
      <c r="G3500" s="11" t="n">
        <v>59.38</v>
      </c>
      <c r="H3500" s="11">
        <f>H3499+G3500</f>
        <v/>
      </c>
    </row>
    <row r="3501">
      <c r="A3501" s="9" t="n">
        <v>3497</v>
      </c>
      <c r="B3501" s="9" t="inlineStr">
        <is>
          <t>Vanguard_M15</t>
        </is>
      </c>
      <c r="C3501" s="9" t="inlineStr">
        <is>
          <t>Trendline breakout (fractal swing line) + VWAP/S-R distance gate - M15 chart</t>
        </is>
      </c>
      <c r="D3501" s="9" t="inlineStr">
        <is>
          <t>Long</t>
        </is>
      </c>
      <c r="E3501" s="10" t="n">
        <v>45554.23958333334</v>
      </c>
      <c r="F3501" s="10" t="n">
        <v>45558.41666666666</v>
      </c>
      <c r="G3501" s="11" t="n">
        <v>56.83</v>
      </c>
      <c r="H3501" s="11">
        <f>H3500+G3501</f>
        <v/>
      </c>
    </row>
    <row r="3502">
      <c r="A3502" s="9" t="n">
        <v>3498</v>
      </c>
      <c r="B3502" s="9" t="inlineStr">
        <is>
          <t>Meridian</t>
        </is>
      </c>
      <c r="C3502" s="9" t="inlineStr">
        <is>
          <t>21/50 MA cross, 250-period confirm filter, VWAP</t>
        </is>
      </c>
      <c r="D3502" s="9" t="inlineStr">
        <is>
          <t>Long</t>
        </is>
      </c>
      <c r="E3502" s="10" t="n">
        <v>45558.23263888889</v>
      </c>
      <c r="F3502" s="10" t="n">
        <v>45558.42361111111</v>
      </c>
      <c r="G3502" s="11" t="n">
        <v>-2.21</v>
      </c>
      <c r="H3502" s="11">
        <f>H3501+G3502</f>
        <v/>
      </c>
    </row>
    <row r="3503">
      <c r="A3503" s="9" t="n">
        <v>3499</v>
      </c>
      <c r="B3503" s="9" t="inlineStr">
        <is>
          <t>Aurelius_M5</t>
        </is>
      </c>
      <c r="C3503" s="9" t="inlineStr">
        <is>
          <t>MA alignment (EMA21&gt;EMA50&gt;SMA250&gt;SMMA500 vs EMA2400 trend filter)</t>
        </is>
      </c>
      <c r="D3503" s="9" t="inlineStr">
        <is>
          <t>Long</t>
        </is>
      </c>
      <c r="E3503" s="10" t="n">
        <v>45558.24305555555</v>
      </c>
      <c r="F3503" s="10" t="n">
        <v>45558.42361111111</v>
      </c>
      <c r="G3503" s="11" t="n">
        <v>-2.19</v>
      </c>
      <c r="H3503" s="11">
        <f>H3502+G3503</f>
        <v/>
      </c>
    </row>
    <row r="3504">
      <c r="A3504" s="9" t="n">
        <v>3500</v>
      </c>
      <c r="B3504" s="9" t="inlineStr">
        <is>
          <t>Ratchet</t>
        </is>
      </c>
      <c r="C3504" s="9" t="inlineStr">
        <is>
          <t>Stochastic scalp with give-back trail exit</t>
        </is>
      </c>
      <c r="D3504" s="9" t="inlineStr">
        <is>
          <t>Long</t>
        </is>
      </c>
      <c r="E3504" s="10" t="n">
        <v>45558.61805555555</v>
      </c>
      <c r="F3504" s="10" t="n">
        <v>45558.63194444445</v>
      </c>
      <c r="G3504" s="11" t="n">
        <v>0</v>
      </c>
      <c r="H3504" s="11">
        <f>H3503+G3504</f>
        <v/>
      </c>
    </row>
    <row r="3505">
      <c r="A3505" s="9" t="n">
        <v>3501</v>
      </c>
      <c r="B3505" s="9" t="inlineStr">
        <is>
          <t>Vanguard_M15</t>
        </is>
      </c>
      <c r="C3505" s="9" t="inlineStr">
        <is>
          <t>Trendline breakout (fractal swing line) + VWAP/S-R distance gate - M15 chart</t>
        </is>
      </c>
      <c r="D3505" s="9" t="inlineStr">
        <is>
          <t>Short</t>
        </is>
      </c>
      <c r="E3505" s="10" t="n">
        <v>45558.42708333334</v>
      </c>
      <c r="F3505" s="10" t="n">
        <v>45558.66666666666</v>
      </c>
      <c r="G3505" s="11" t="n">
        <v>-7.91</v>
      </c>
      <c r="H3505" s="11">
        <f>H3504+G3505</f>
        <v/>
      </c>
    </row>
    <row r="3506">
      <c r="A3506" s="9" t="n">
        <v>3502</v>
      </c>
      <c r="B3506" s="9" t="inlineStr">
        <is>
          <t>Vanguard_M5</t>
        </is>
      </c>
      <c r="C3506" s="9" t="inlineStr">
        <is>
          <t>Trendline breakout (fractal swing line) + VWAP/S-R distance gate</t>
        </is>
      </c>
      <c r="D3506" s="9" t="inlineStr">
        <is>
          <t>Short</t>
        </is>
      </c>
      <c r="E3506" s="10" t="n">
        <v>45558.42013888889</v>
      </c>
      <c r="F3506" s="10" t="n">
        <v>45558.67013888889</v>
      </c>
      <c r="G3506" s="11" t="n">
        <v>-6.12</v>
      </c>
      <c r="H3506" s="11">
        <f>H3505+G3506</f>
        <v/>
      </c>
    </row>
    <row r="3507">
      <c r="A3507" s="9" t="n">
        <v>3503</v>
      </c>
      <c r="B3507" s="9" t="inlineStr">
        <is>
          <t>Ratchet</t>
        </is>
      </c>
      <c r="C3507" s="9" t="inlineStr">
        <is>
          <t>Stochastic scalp with give-back trail exit</t>
        </is>
      </c>
      <c r="D3507" s="9" t="inlineStr">
        <is>
          <t>Long</t>
        </is>
      </c>
      <c r="E3507" s="10" t="n">
        <v>45558.69791666666</v>
      </c>
      <c r="F3507" s="10" t="n">
        <v>45558.69791666666</v>
      </c>
      <c r="G3507" s="11" t="n">
        <v>-3.77</v>
      </c>
      <c r="H3507" s="11">
        <f>H3506+G3507</f>
        <v/>
      </c>
    </row>
    <row r="3508">
      <c r="A3508" s="9" t="n">
        <v>3504</v>
      </c>
      <c r="B3508" s="9" t="inlineStr">
        <is>
          <t>Ratchet</t>
        </is>
      </c>
      <c r="C3508" s="9" t="inlineStr">
        <is>
          <t>Stochastic scalp with give-back trail exit</t>
        </is>
      </c>
      <c r="D3508" s="9" t="inlineStr">
        <is>
          <t>Long</t>
        </is>
      </c>
      <c r="E3508" s="10" t="n">
        <v>45558.70138888889</v>
      </c>
      <c r="F3508" s="10" t="n">
        <v>45558.70833333334</v>
      </c>
      <c r="G3508" s="11" t="n">
        <v>0.96</v>
      </c>
      <c r="H3508" s="11">
        <f>H3507+G3508</f>
        <v/>
      </c>
    </row>
    <row r="3509">
      <c r="A3509" s="9" t="n">
        <v>3505</v>
      </c>
      <c r="B3509" s="9" t="inlineStr">
        <is>
          <t>Ratchet</t>
        </is>
      </c>
      <c r="C3509" s="9" t="inlineStr">
        <is>
          <t>Stochastic scalp with give-back trail exit</t>
        </is>
      </c>
      <c r="D3509" s="9" t="inlineStr">
        <is>
          <t>Long</t>
        </is>
      </c>
      <c r="E3509" s="10" t="n">
        <v>45558.71527777778</v>
      </c>
      <c r="F3509" s="10" t="n">
        <v>45558.73263888889</v>
      </c>
      <c r="G3509" s="11" t="n">
        <v>0.93</v>
      </c>
      <c r="H3509" s="11">
        <f>H3508+G3509</f>
        <v/>
      </c>
    </row>
    <row r="3510">
      <c r="A3510" s="9" t="n">
        <v>3506</v>
      </c>
      <c r="B3510" s="9" t="inlineStr">
        <is>
          <t>Meridian</t>
        </is>
      </c>
      <c r="C3510" s="9" t="inlineStr">
        <is>
          <t>21/50 MA cross, 250-period confirm filter, VWAP</t>
        </is>
      </c>
      <c r="D3510" s="9" t="inlineStr">
        <is>
          <t>Long</t>
        </is>
      </c>
      <c r="E3510" s="10" t="n">
        <v>45558.57291666666</v>
      </c>
      <c r="F3510" s="10" t="n">
        <v>45558.85763888889</v>
      </c>
      <c r="G3510" s="11" t="n">
        <v>4.03</v>
      </c>
      <c r="H3510" s="11">
        <f>H3509+G3510</f>
        <v/>
      </c>
    </row>
    <row r="3511">
      <c r="A3511" s="9" t="n">
        <v>3507</v>
      </c>
      <c r="B3511" s="9" t="inlineStr">
        <is>
          <t>Aurelius_M5</t>
        </is>
      </c>
      <c r="C3511" s="9" t="inlineStr">
        <is>
          <t>MA alignment (EMA21&gt;EMA50&gt;SMA250&gt;SMMA500 vs EMA2400 trend filter)</t>
        </is>
      </c>
      <c r="D3511" s="9" t="inlineStr">
        <is>
          <t>Long</t>
        </is>
      </c>
      <c r="E3511" s="10" t="n">
        <v>45558.58333333334</v>
      </c>
      <c r="F3511" s="10" t="n">
        <v>45558.85763888889</v>
      </c>
      <c r="G3511" s="11" t="n">
        <v>5.23</v>
      </c>
      <c r="H3511" s="11">
        <f>H3510+G3511</f>
        <v/>
      </c>
    </row>
    <row r="3512">
      <c r="A3512" s="9" t="n">
        <v>3508</v>
      </c>
      <c r="B3512" s="9" t="inlineStr">
        <is>
          <t>Meridian</t>
        </is>
      </c>
      <c r="C3512" s="9" t="inlineStr">
        <is>
          <t>21/50 MA cross, 250-period confirm filter, VWAP</t>
        </is>
      </c>
      <c r="D3512" s="9" t="inlineStr">
        <is>
          <t>Long</t>
        </is>
      </c>
      <c r="E3512" s="10" t="n">
        <v>45559.07986111111</v>
      </c>
      <c r="F3512" s="10" t="n">
        <v>45559.08680555555</v>
      </c>
      <c r="G3512" s="11" t="n">
        <v>-1.03</v>
      </c>
      <c r="H3512" s="11">
        <f>H3511+G3512</f>
        <v/>
      </c>
    </row>
    <row r="3513">
      <c r="A3513" s="9" t="n">
        <v>3509</v>
      </c>
      <c r="B3513" s="9" t="inlineStr">
        <is>
          <t>Vanguard_M5</t>
        </is>
      </c>
      <c r="C3513" s="9" t="inlineStr">
        <is>
          <t>Trendline breakout (fractal swing line) + VWAP/S-R distance gate</t>
        </is>
      </c>
      <c r="D3513" s="9" t="inlineStr">
        <is>
          <t>Short</t>
        </is>
      </c>
      <c r="E3513" s="10" t="n">
        <v>45559.07291666666</v>
      </c>
      <c r="F3513" s="10" t="n">
        <v>45559.17708333334</v>
      </c>
      <c r="G3513" s="11" t="n">
        <v>-2.63</v>
      </c>
      <c r="H3513" s="11">
        <f>H3512+G3513</f>
        <v/>
      </c>
    </row>
    <row r="3514">
      <c r="A3514" s="9" t="n">
        <v>3510</v>
      </c>
      <c r="B3514" s="9" t="inlineStr">
        <is>
          <t>Vanguard_M15</t>
        </is>
      </c>
      <c r="C3514" s="9" t="inlineStr">
        <is>
          <t>Trendline breakout (fractal swing line) + VWAP/S-R distance gate - M15 chart</t>
        </is>
      </c>
      <c r="D3514" s="9" t="inlineStr">
        <is>
          <t>Short</t>
        </is>
      </c>
      <c r="E3514" s="10" t="n">
        <v>45559.08333333334</v>
      </c>
      <c r="F3514" s="10" t="n">
        <v>45559.27083333334</v>
      </c>
      <c r="G3514" s="11" t="n">
        <v>-5.15</v>
      </c>
      <c r="H3514" s="11">
        <f>H3513+G3514</f>
        <v/>
      </c>
    </row>
    <row r="3515">
      <c r="A3515" s="9" t="n">
        <v>3511</v>
      </c>
      <c r="B3515" s="9" t="inlineStr">
        <is>
          <t>Ratchet</t>
        </is>
      </c>
      <c r="C3515" s="9" t="inlineStr">
        <is>
          <t>Stochastic scalp with give-back trail exit</t>
        </is>
      </c>
      <c r="D3515" s="9" t="inlineStr">
        <is>
          <t>Long</t>
        </is>
      </c>
      <c r="E3515" s="10" t="n">
        <v>45559.25694444445</v>
      </c>
      <c r="F3515" s="10" t="n">
        <v>45559.36458333334</v>
      </c>
      <c r="G3515" s="11" t="n">
        <v>2.68</v>
      </c>
      <c r="H3515" s="11">
        <f>H3514+G3515</f>
        <v/>
      </c>
    </row>
    <row r="3516">
      <c r="A3516" s="9" t="n">
        <v>3512</v>
      </c>
      <c r="B3516" s="9" t="inlineStr">
        <is>
          <t>Meridian</t>
        </is>
      </c>
      <c r="C3516" s="9" t="inlineStr">
        <is>
          <t>21/50 MA cross, 250-period confirm filter, VWAP</t>
        </is>
      </c>
      <c r="D3516" s="9" t="inlineStr">
        <is>
          <t>Long</t>
        </is>
      </c>
      <c r="E3516" s="10" t="n">
        <v>45559.1875</v>
      </c>
      <c r="F3516" s="10" t="n">
        <v>45559.37152777778</v>
      </c>
      <c r="G3516" s="11" t="n">
        <v>-2.85</v>
      </c>
      <c r="H3516" s="11">
        <f>H3515+G3516</f>
        <v/>
      </c>
    </row>
    <row r="3517">
      <c r="A3517" s="9" t="n">
        <v>3513</v>
      </c>
      <c r="B3517" s="9" t="inlineStr">
        <is>
          <t>Aurelius_M5</t>
        </is>
      </c>
      <c r="C3517" s="9" t="inlineStr">
        <is>
          <t>MA alignment (EMA21&gt;EMA50&gt;SMA250&gt;SMMA500 vs EMA2400 trend filter)</t>
        </is>
      </c>
      <c r="D3517" s="9" t="inlineStr">
        <is>
          <t>Long</t>
        </is>
      </c>
      <c r="E3517" s="10" t="n">
        <v>45559.21875</v>
      </c>
      <c r="F3517" s="10" t="n">
        <v>45559.38888888889</v>
      </c>
      <c r="G3517" s="11" t="n">
        <v>0.77</v>
      </c>
      <c r="H3517" s="11">
        <f>H3516+G3517</f>
        <v/>
      </c>
    </row>
    <row r="3518">
      <c r="A3518" s="9" t="n">
        <v>3514</v>
      </c>
      <c r="B3518" s="9" t="inlineStr">
        <is>
          <t>Aurelius_M15</t>
        </is>
      </c>
      <c r="C3518" s="9" t="inlineStr">
        <is>
          <t>MA alignment (EMA21&gt;EMA50&gt;SMA250&gt;SMMA500 vs EMA2400 trend filter) - M15 chart</t>
        </is>
      </c>
      <c r="D3518" s="9" t="inlineStr">
        <is>
          <t>Long</t>
        </is>
      </c>
      <c r="E3518" s="10" t="n">
        <v>45558.70833333334</v>
      </c>
      <c r="F3518" s="10" t="n">
        <v>45559.4375</v>
      </c>
      <c r="G3518" s="11" t="n">
        <v>-8.710000000000001</v>
      </c>
      <c r="H3518" s="11">
        <f>H3517+G3518</f>
        <v/>
      </c>
    </row>
    <row r="3519">
      <c r="A3519" s="9" t="n">
        <v>3515</v>
      </c>
      <c r="B3519" s="9" t="inlineStr">
        <is>
          <t>Ratchet</t>
        </is>
      </c>
      <c r="C3519" s="9" t="inlineStr">
        <is>
          <t>Stochastic scalp with give-back trail exit</t>
        </is>
      </c>
      <c r="D3519" s="9" t="inlineStr">
        <is>
          <t>Long</t>
        </is>
      </c>
      <c r="E3519" s="10" t="n">
        <v>45559.5625</v>
      </c>
      <c r="F3519" s="10" t="n">
        <v>45559.57291666666</v>
      </c>
      <c r="G3519" s="11" t="n">
        <v>0.31</v>
      </c>
      <c r="H3519" s="11">
        <f>H3518+G3519</f>
        <v/>
      </c>
    </row>
    <row r="3520">
      <c r="A3520" s="9" t="n">
        <v>3516</v>
      </c>
      <c r="B3520" s="9" t="inlineStr">
        <is>
          <t>Meridian</t>
        </is>
      </c>
      <c r="C3520" s="9" t="inlineStr">
        <is>
          <t>21/50 MA cross, 250-period confirm filter, VWAP</t>
        </is>
      </c>
      <c r="D3520" s="9" t="inlineStr">
        <is>
          <t>Long</t>
        </is>
      </c>
      <c r="E3520" s="10" t="n">
        <v>45559.54861111111</v>
      </c>
      <c r="F3520" s="10" t="n">
        <v>45559.58680555555</v>
      </c>
      <c r="G3520" s="11" t="n">
        <v>-3.68</v>
      </c>
      <c r="H3520" s="11">
        <f>H3519+G3520</f>
        <v/>
      </c>
    </row>
    <row r="3521">
      <c r="A3521" s="9" t="n">
        <v>3517</v>
      </c>
      <c r="B3521" s="9" t="inlineStr">
        <is>
          <t>Meridian</t>
        </is>
      </c>
      <c r="C3521" s="9" t="inlineStr">
        <is>
          <t>21/50 MA cross, 250-period confirm filter, VWAP</t>
        </is>
      </c>
      <c r="D3521" s="9" t="inlineStr">
        <is>
          <t>Short</t>
        </is>
      </c>
      <c r="E3521" s="10" t="n">
        <v>45559.61805555555</v>
      </c>
      <c r="F3521" s="10" t="n">
        <v>45559.65972222222</v>
      </c>
      <c r="G3521" s="11" t="n">
        <v>-4.87</v>
      </c>
      <c r="H3521" s="11">
        <f>H3520+G3521</f>
        <v/>
      </c>
    </row>
    <row r="3522">
      <c r="A3522" s="9" t="n">
        <v>3518</v>
      </c>
      <c r="B3522" s="9" t="inlineStr">
        <is>
          <t>Ratchet</t>
        </is>
      </c>
      <c r="C3522" s="9" t="inlineStr">
        <is>
          <t>Stochastic scalp with give-back trail exit</t>
        </is>
      </c>
      <c r="D3522" s="9" t="inlineStr">
        <is>
          <t>Long</t>
        </is>
      </c>
      <c r="E3522" s="10" t="n">
        <v>45559.69097222222</v>
      </c>
      <c r="F3522" s="10" t="n">
        <v>45559.96875</v>
      </c>
      <c r="G3522" s="11" t="n">
        <v>28.59</v>
      </c>
      <c r="H3522" s="11">
        <f>H3521+G3522</f>
        <v/>
      </c>
    </row>
    <row r="3523">
      <c r="A3523" s="9" t="n">
        <v>3519</v>
      </c>
      <c r="B3523" s="9" t="inlineStr">
        <is>
          <t>Aurelius_M5</t>
        </is>
      </c>
      <c r="C3523" s="9" t="inlineStr">
        <is>
          <t>MA alignment (EMA21&gt;EMA50&gt;SMA250&gt;SMMA500 vs EMA2400 trend filter)</t>
        </is>
      </c>
      <c r="D3523" s="9" t="inlineStr">
        <is>
          <t>Long</t>
        </is>
      </c>
      <c r="E3523" s="10" t="n">
        <v>45560.16666666666</v>
      </c>
      <c r="F3523" s="10" t="n">
        <v>45560.18402777778</v>
      </c>
      <c r="G3523" s="11" t="n">
        <v>-2.62</v>
      </c>
      <c r="H3523" s="11">
        <f>H3522+G3523</f>
        <v/>
      </c>
    </row>
    <row r="3524">
      <c r="A3524" s="9" t="n">
        <v>3520</v>
      </c>
      <c r="B3524" s="9" t="inlineStr">
        <is>
          <t>Ratchet</t>
        </is>
      </c>
      <c r="C3524" s="9" t="inlineStr">
        <is>
          <t>Stochastic scalp with give-back trail exit</t>
        </is>
      </c>
      <c r="D3524" s="9" t="inlineStr">
        <is>
          <t>Long</t>
        </is>
      </c>
      <c r="E3524" s="10" t="n">
        <v>45560.23611111111</v>
      </c>
      <c r="F3524" s="10" t="n">
        <v>45560.25347222222</v>
      </c>
      <c r="G3524" s="11" t="n">
        <v>2.31</v>
      </c>
      <c r="H3524" s="11">
        <f>H3523+G3524</f>
        <v/>
      </c>
    </row>
    <row r="3525">
      <c r="A3525" s="9" t="n">
        <v>3521</v>
      </c>
      <c r="B3525" s="9" t="inlineStr">
        <is>
          <t>Aurelius_M5</t>
        </is>
      </c>
      <c r="C3525" s="9" t="inlineStr">
        <is>
          <t>MA alignment (EMA21&gt;EMA50&gt;SMA250&gt;SMMA500 vs EMA2400 trend filter)</t>
        </is>
      </c>
      <c r="D3525" s="9" t="inlineStr">
        <is>
          <t>Long</t>
        </is>
      </c>
      <c r="E3525" s="10" t="n">
        <v>45560.20486111111</v>
      </c>
      <c r="F3525" s="10" t="n">
        <v>45560.32291666666</v>
      </c>
      <c r="G3525" s="11" t="n">
        <v>-1.83</v>
      </c>
      <c r="H3525" s="11">
        <f>H3524+G3525</f>
        <v/>
      </c>
    </row>
    <row r="3526">
      <c r="A3526" s="9" t="n">
        <v>3522</v>
      </c>
      <c r="B3526" s="9" t="inlineStr">
        <is>
          <t>Aurelius_M15</t>
        </is>
      </c>
      <c r="C3526" s="9" t="inlineStr">
        <is>
          <t>MA alignment (EMA21&gt;EMA50&gt;SMA250&gt;SMMA500 vs EMA2400 trend filter) - M15 chart</t>
        </is>
      </c>
      <c r="D3526" s="9" t="inlineStr">
        <is>
          <t>Long</t>
        </is>
      </c>
      <c r="E3526" s="10" t="n">
        <v>45559.75</v>
      </c>
      <c r="F3526" s="10" t="n">
        <v>45560.38541666666</v>
      </c>
      <c r="G3526" s="11" t="n">
        <v>11.71</v>
      </c>
      <c r="H3526" s="11">
        <f>H3525+G3526</f>
        <v/>
      </c>
    </row>
    <row r="3527">
      <c r="A3527" s="9" t="n">
        <v>3523</v>
      </c>
      <c r="B3527" s="9" t="inlineStr">
        <is>
          <t>Ratchet</t>
        </is>
      </c>
      <c r="C3527" s="9" t="inlineStr">
        <is>
          <t>Stochastic scalp with give-back trail exit</t>
        </is>
      </c>
      <c r="D3527" s="9" t="inlineStr">
        <is>
          <t>Long</t>
        </is>
      </c>
      <c r="E3527" s="10" t="n">
        <v>45560.63541666666</v>
      </c>
      <c r="F3527" s="10" t="n">
        <v>45560.64583333334</v>
      </c>
      <c r="G3527" s="11" t="n">
        <v>0</v>
      </c>
      <c r="H3527" s="11">
        <f>H3526+G3527</f>
        <v/>
      </c>
    </row>
    <row r="3528">
      <c r="A3528" s="9" t="n">
        <v>3524</v>
      </c>
      <c r="B3528" s="9" t="inlineStr">
        <is>
          <t>Ratchet</t>
        </is>
      </c>
      <c r="C3528" s="9" t="inlineStr">
        <is>
          <t>Stochastic scalp with give-back trail exit</t>
        </is>
      </c>
      <c r="D3528" s="9" t="inlineStr">
        <is>
          <t>Long</t>
        </is>
      </c>
      <c r="E3528" s="10" t="n">
        <v>45560.66666666666</v>
      </c>
      <c r="F3528" s="10" t="n">
        <v>45560.6875</v>
      </c>
      <c r="G3528" s="11" t="n">
        <v>1.51</v>
      </c>
      <c r="H3528" s="11">
        <f>H3527+G3528</f>
        <v/>
      </c>
    </row>
    <row r="3529">
      <c r="A3529" s="9" t="n">
        <v>3525</v>
      </c>
      <c r="B3529" s="9" t="inlineStr">
        <is>
          <t>Ratchet</t>
        </is>
      </c>
      <c r="C3529" s="9" t="inlineStr">
        <is>
          <t>Stochastic scalp with give-back trail exit</t>
        </is>
      </c>
      <c r="D3529" s="9" t="inlineStr">
        <is>
          <t>Long</t>
        </is>
      </c>
      <c r="E3529" s="10" t="n">
        <v>45560.70486111111</v>
      </c>
      <c r="F3529" s="10" t="n">
        <v>45560.71527777778</v>
      </c>
      <c r="G3529" s="11" t="n">
        <v>0</v>
      </c>
      <c r="H3529" s="11">
        <f>H3528+G3529</f>
        <v/>
      </c>
    </row>
    <row r="3530">
      <c r="A3530" s="9" t="n">
        <v>3526</v>
      </c>
      <c r="B3530" s="9" t="inlineStr">
        <is>
          <t>Ratchet</t>
        </is>
      </c>
      <c r="C3530" s="9" t="inlineStr">
        <is>
          <t>Stochastic scalp with give-back trail exit</t>
        </is>
      </c>
      <c r="D3530" s="9" t="inlineStr">
        <is>
          <t>Long</t>
        </is>
      </c>
      <c r="E3530" s="10" t="n">
        <v>45560.73263888889</v>
      </c>
      <c r="F3530" s="10" t="n">
        <v>45560.73611111111</v>
      </c>
      <c r="G3530" s="11" t="n">
        <v>-5.17</v>
      </c>
      <c r="H3530" s="11">
        <f>H3529+G3530</f>
        <v/>
      </c>
    </row>
    <row r="3531">
      <c r="A3531" s="9" t="n">
        <v>3527</v>
      </c>
      <c r="B3531" s="9" t="inlineStr">
        <is>
          <t>Aurelius_M5</t>
        </is>
      </c>
      <c r="C3531" s="9" t="inlineStr">
        <is>
          <t>MA alignment (EMA21&gt;EMA50&gt;SMA250&gt;SMMA500 vs EMA2400 trend filter)</t>
        </is>
      </c>
      <c r="D3531" s="9" t="inlineStr">
        <is>
          <t>Long</t>
        </is>
      </c>
      <c r="E3531" s="10" t="n">
        <v>45560.65277777778</v>
      </c>
      <c r="F3531" s="10" t="n">
        <v>45560.74305555555</v>
      </c>
      <c r="G3531" s="11" t="n">
        <v>-4.31</v>
      </c>
      <c r="H3531" s="11">
        <f>H3530+G3531</f>
        <v/>
      </c>
    </row>
    <row r="3532">
      <c r="A3532" s="9" t="n">
        <v>3528</v>
      </c>
      <c r="B3532" s="9" t="inlineStr">
        <is>
          <t>Meridian</t>
        </is>
      </c>
      <c r="C3532" s="9" t="inlineStr">
        <is>
          <t>21/50 MA cross, 250-period confirm filter, VWAP</t>
        </is>
      </c>
      <c r="D3532" s="9" t="inlineStr">
        <is>
          <t>Short</t>
        </is>
      </c>
      <c r="E3532" s="10" t="n">
        <v>45560.77430555555</v>
      </c>
      <c r="F3532" s="10" t="n">
        <v>45560.87152777778</v>
      </c>
      <c r="G3532" s="11" t="n">
        <v>-5.34</v>
      </c>
      <c r="H3532" s="11">
        <f>H3531+G3532</f>
        <v/>
      </c>
    </row>
    <row r="3533">
      <c r="A3533" s="9" t="n">
        <v>3529</v>
      </c>
      <c r="B3533" s="9" t="inlineStr">
        <is>
          <t>Ratchet</t>
        </is>
      </c>
      <c r="C3533" s="9" t="inlineStr">
        <is>
          <t>Stochastic scalp with give-back trail exit</t>
        </is>
      </c>
      <c r="D3533" s="9" t="inlineStr">
        <is>
          <t>Long</t>
        </is>
      </c>
      <c r="E3533" s="10" t="n">
        <v>45560.87847222222</v>
      </c>
      <c r="F3533" s="10" t="n">
        <v>45560.97916666666</v>
      </c>
      <c r="G3533" s="11" t="n">
        <v>-3.04</v>
      </c>
      <c r="H3533" s="11">
        <f>H3532+G3533</f>
        <v/>
      </c>
    </row>
    <row r="3534">
      <c r="A3534" s="9" t="n">
        <v>3530</v>
      </c>
      <c r="B3534" s="9" t="inlineStr">
        <is>
          <t>Meridian</t>
        </is>
      </c>
      <c r="C3534" s="9" t="inlineStr">
        <is>
          <t>21/50 MA cross, 250-period confirm filter, VWAP</t>
        </is>
      </c>
      <c r="D3534" s="9" t="inlineStr">
        <is>
          <t>Short</t>
        </is>
      </c>
      <c r="E3534" s="10" t="n">
        <v>45560.98611111111</v>
      </c>
      <c r="F3534" s="10" t="n">
        <v>45561.07291666666</v>
      </c>
      <c r="G3534" s="11" t="n">
        <v>-2.22</v>
      </c>
      <c r="H3534" s="11">
        <f>H3533+G3534</f>
        <v/>
      </c>
    </row>
    <row r="3535">
      <c r="A3535" s="9" t="n">
        <v>3531</v>
      </c>
      <c r="B3535" s="9" t="inlineStr">
        <is>
          <t>Meridian</t>
        </is>
      </c>
      <c r="C3535" s="9" t="inlineStr">
        <is>
          <t>21/50 MA cross, 250-period confirm filter, VWAP</t>
        </is>
      </c>
      <c r="D3535" s="9" t="inlineStr">
        <is>
          <t>Long</t>
        </is>
      </c>
      <c r="E3535" s="10" t="n">
        <v>45561.17708333334</v>
      </c>
      <c r="F3535" s="10" t="n">
        <v>45561.18402777778</v>
      </c>
      <c r="G3535" s="11" t="n">
        <v>-2.79</v>
      </c>
      <c r="H3535" s="11">
        <f>H3534+G3535</f>
        <v/>
      </c>
    </row>
    <row r="3536">
      <c r="A3536" s="9" t="n">
        <v>3532</v>
      </c>
      <c r="B3536" s="9" t="inlineStr">
        <is>
          <t>Ratchet</t>
        </is>
      </c>
      <c r="C3536" s="9" t="inlineStr">
        <is>
          <t>Stochastic scalp with give-back trail exit</t>
        </is>
      </c>
      <c r="D3536" s="9" t="inlineStr">
        <is>
          <t>Long</t>
        </is>
      </c>
      <c r="E3536" s="10" t="n">
        <v>45561.34722222222</v>
      </c>
      <c r="F3536" s="10" t="n">
        <v>45561.35069444445</v>
      </c>
      <c r="G3536" s="11" t="n">
        <v>0</v>
      </c>
      <c r="H3536" s="11">
        <f>H3535+G3536</f>
        <v/>
      </c>
    </row>
    <row r="3537">
      <c r="A3537" s="9" t="n">
        <v>3533</v>
      </c>
      <c r="B3537" s="9" t="inlineStr">
        <is>
          <t>Ratchet</t>
        </is>
      </c>
      <c r="C3537" s="9" t="inlineStr">
        <is>
          <t>Stochastic scalp with give-back trail exit</t>
        </is>
      </c>
      <c r="D3537" s="9" t="inlineStr">
        <is>
          <t>Long</t>
        </is>
      </c>
      <c r="E3537" s="10" t="n">
        <v>45561.36805555555</v>
      </c>
      <c r="F3537" s="10" t="n">
        <v>45561.36805555555</v>
      </c>
      <c r="G3537" s="11" t="n">
        <v>-2.04</v>
      </c>
      <c r="H3537" s="11">
        <f>H3536+G3537</f>
        <v/>
      </c>
    </row>
    <row r="3538">
      <c r="A3538" s="9" t="n">
        <v>3534</v>
      </c>
      <c r="B3538" s="9" t="inlineStr">
        <is>
          <t>Vanguard_M5</t>
        </is>
      </c>
      <c r="C3538" s="9" t="inlineStr">
        <is>
          <t>Trendline breakout (fractal swing line) + VWAP/S-R distance gate</t>
        </is>
      </c>
      <c r="D3538" s="9" t="inlineStr">
        <is>
          <t>Short</t>
        </is>
      </c>
      <c r="E3538" s="10" t="n">
        <v>45560.77083333334</v>
      </c>
      <c r="F3538" s="10" t="n">
        <v>45561.41666666666</v>
      </c>
      <c r="G3538" s="11" t="n">
        <v>-6.4</v>
      </c>
      <c r="H3538" s="11">
        <f>H3537+G3538</f>
        <v/>
      </c>
    </row>
    <row r="3539">
      <c r="A3539" s="9" t="n">
        <v>3535</v>
      </c>
      <c r="B3539" s="9" t="inlineStr">
        <is>
          <t>Vanguard_M15</t>
        </is>
      </c>
      <c r="C3539" s="9" t="inlineStr">
        <is>
          <t>Trendline breakout (fractal swing line) + VWAP/S-R distance gate - M15 chart</t>
        </is>
      </c>
      <c r="D3539" s="9" t="inlineStr">
        <is>
          <t>Short</t>
        </is>
      </c>
      <c r="E3539" s="10" t="n">
        <v>45560.77083333334</v>
      </c>
      <c r="F3539" s="10" t="n">
        <v>45561.4375</v>
      </c>
      <c r="G3539" s="11" t="n">
        <v>-6.67</v>
      </c>
      <c r="H3539" s="11">
        <f>H3538+G3539</f>
        <v/>
      </c>
    </row>
    <row r="3540">
      <c r="A3540" s="9" t="n">
        <v>3536</v>
      </c>
      <c r="B3540" s="9" t="inlineStr">
        <is>
          <t>Ratchet</t>
        </is>
      </c>
      <c r="C3540" s="9" t="inlineStr">
        <is>
          <t>Stochastic scalp with give-back trail exit</t>
        </is>
      </c>
      <c r="D3540" s="9" t="inlineStr">
        <is>
          <t>Long</t>
        </is>
      </c>
      <c r="E3540" s="10" t="n">
        <v>45561.54513888889</v>
      </c>
      <c r="F3540" s="10" t="n">
        <v>45561.63194444445</v>
      </c>
      <c r="G3540" s="11" t="n">
        <v>4.92</v>
      </c>
      <c r="H3540" s="11">
        <f>H3539+G3540</f>
        <v/>
      </c>
    </row>
    <row r="3541">
      <c r="A3541" s="9" t="n">
        <v>3537</v>
      </c>
      <c r="B3541" s="9" t="inlineStr">
        <is>
          <t>Aurelius_M5</t>
        </is>
      </c>
      <c r="C3541" s="9" t="inlineStr">
        <is>
          <t>MA alignment (EMA21&gt;EMA50&gt;SMA250&gt;SMMA500 vs EMA2400 trend filter)</t>
        </is>
      </c>
      <c r="D3541" s="9" t="inlineStr">
        <is>
          <t>Long</t>
        </is>
      </c>
      <c r="E3541" s="10" t="n">
        <v>45561.21180555555</v>
      </c>
      <c r="F3541" s="10" t="n">
        <v>45561.68402777778</v>
      </c>
      <c r="G3541" s="11" t="n">
        <v>4.23</v>
      </c>
      <c r="H3541" s="11">
        <f>H3540+G3541</f>
        <v/>
      </c>
    </row>
    <row r="3542">
      <c r="A3542" s="9" t="n">
        <v>3538</v>
      </c>
      <c r="B3542" s="9" t="inlineStr">
        <is>
          <t>Aurelius_M15</t>
        </is>
      </c>
      <c r="C3542" s="9" t="inlineStr">
        <is>
          <t>MA alignment (EMA21&gt;EMA50&gt;SMA250&gt;SMMA500 vs EMA2400 trend filter) - M15 chart</t>
        </is>
      </c>
      <c r="D3542" s="9" t="inlineStr">
        <is>
          <t>Long</t>
        </is>
      </c>
      <c r="E3542" s="10" t="n">
        <v>45561.39583333334</v>
      </c>
      <c r="F3542" s="10" t="n">
        <v>45561.69791666666</v>
      </c>
      <c r="G3542" s="11" t="n">
        <v>-5.84</v>
      </c>
      <c r="H3542" s="11">
        <f>H3541+G3542</f>
        <v/>
      </c>
    </row>
    <row r="3543">
      <c r="A3543" s="9" t="n">
        <v>3539</v>
      </c>
      <c r="B3543" s="9" t="inlineStr">
        <is>
          <t>Vanguard_M15</t>
        </is>
      </c>
      <c r="C3543" s="9" t="inlineStr">
        <is>
          <t>Trendline breakout (fractal swing line) + VWAP/S-R distance gate - M15 chart</t>
        </is>
      </c>
      <c r="D3543" s="9" t="inlineStr">
        <is>
          <t>Long</t>
        </is>
      </c>
      <c r="E3543" s="10" t="n">
        <v>45561.44791666666</v>
      </c>
      <c r="F3543" s="10" t="n">
        <v>45561.69791666666</v>
      </c>
      <c r="G3543" s="11" t="n">
        <v>-7.24</v>
      </c>
      <c r="H3543" s="11">
        <f>H3542+G3543</f>
        <v/>
      </c>
    </row>
    <row r="3544">
      <c r="A3544" s="9" t="n">
        <v>3540</v>
      </c>
      <c r="B3544" s="9" t="inlineStr">
        <is>
          <t>Vanguard_M5</t>
        </is>
      </c>
      <c r="C3544" s="9" t="inlineStr">
        <is>
          <t>Trendline breakout (fractal swing line) + VWAP/S-R distance gate</t>
        </is>
      </c>
      <c r="D3544" s="9" t="inlineStr">
        <is>
          <t>Long</t>
        </is>
      </c>
      <c r="E3544" s="10" t="n">
        <v>45561.42013888889</v>
      </c>
      <c r="F3544" s="10" t="n">
        <v>45561.70138888889</v>
      </c>
      <c r="G3544" s="11" t="n">
        <v>-5.76</v>
      </c>
      <c r="H3544" s="11">
        <f>H3543+G3544</f>
        <v/>
      </c>
    </row>
    <row r="3545">
      <c r="A3545" s="9" t="n">
        <v>3541</v>
      </c>
      <c r="B3545" s="9" t="inlineStr">
        <is>
          <t>Meridian</t>
        </is>
      </c>
      <c r="C3545" s="9" t="inlineStr">
        <is>
          <t>21/50 MA cross, 250-period confirm filter, VWAP</t>
        </is>
      </c>
      <c r="D3545" s="9" t="inlineStr">
        <is>
          <t>Long</t>
        </is>
      </c>
      <c r="E3545" s="10" t="n">
        <v>45562.11111111111</v>
      </c>
      <c r="F3545" s="10" t="n">
        <v>45562.125</v>
      </c>
      <c r="G3545" s="11" t="n">
        <v>-1.51</v>
      </c>
      <c r="H3545" s="11">
        <f>H3544+G3545</f>
        <v/>
      </c>
    </row>
    <row r="3546">
      <c r="A3546" s="9" t="n">
        <v>3542</v>
      </c>
      <c r="B3546" s="9" t="inlineStr">
        <is>
          <t>Meridian</t>
        </is>
      </c>
      <c r="C3546" s="9" t="inlineStr">
        <is>
          <t>21/50 MA cross, 250-period confirm filter, VWAP</t>
        </is>
      </c>
      <c r="D3546" s="9" t="inlineStr">
        <is>
          <t>Long</t>
        </is>
      </c>
      <c r="E3546" s="10" t="n">
        <v>45562.28125</v>
      </c>
      <c r="F3546" s="10" t="n">
        <v>45562.30208333334</v>
      </c>
      <c r="G3546" s="11" t="n">
        <v>-3.27</v>
      </c>
      <c r="H3546" s="11">
        <f>H3545+G3546</f>
        <v/>
      </c>
    </row>
    <row r="3547">
      <c r="A3547" s="9" t="n">
        <v>3543</v>
      </c>
      <c r="B3547" s="9" t="inlineStr">
        <is>
          <t>Vanguard_M5</t>
        </is>
      </c>
      <c r="C3547" s="9" t="inlineStr">
        <is>
          <t>Trendline breakout (fractal swing line) + VWAP/S-R distance gate</t>
        </is>
      </c>
      <c r="D3547" s="9" t="inlineStr">
        <is>
          <t>Short</t>
        </is>
      </c>
      <c r="E3547" s="10" t="n">
        <v>45562.51388888889</v>
      </c>
      <c r="F3547" s="10" t="n">
        <v>45562.59027777778</v>
      </c>
      <c r="G3547" s="11" t="n">
        <v>-7.34</v>
      </c>
      <c r="H3547" s="11">
        <f>H3546+G3547</f>
        <v/>
      </c>
    </row>
    <row r="3548">
      <c r="A3548" s="9" t="n">
        <v>3544</v>
      </c>
      <c r="B3548" s="9" t="inlineStr">
        <is>
          <t>Meridian</t>
        </is>
      </c>
      <c r="C3548" s="9" t="inlineStr">
        <is>
          <t>21/50 MA cross, 250-period confirm filter, VWAP</t>
        </is>
      </c>
      <c r="D3548" s="9" t="inlineStr">
        <is>
          <t>Short</t>
        </is>
      </c>
      <c r="E3548" s="10" t="n">
        <v>45562.72222222222</v>
      </c>
      <c r="F3548" s="10" t="n">
        <v>45562.91666666666</v>
      </c>
      <c r="G3548" s="11" t="n">
        <v>14.08</v>
      </c>
      <c r="H3548" s="11">
        <f>H3547+G3548</f>
        <v/>
      </c>
    </row>
    <row r="3549">
      <c r="A3549" s="9" t="n">
        <v>3545</v>
      </c>
      <c r="B3549" s="9" t="inlineStr">
        <is>
          <t>Meridian</t>
        </is>
      </c>
      <c r="C3549" s="9" t="inlineStr">
        <is>
          <t>21/50 MA cross, 250-period confirm filter, VWAP</t>
        </is>
      </c>
      <c r="D3549" s="9" t="inlineStr">
        <is>
          <t>Short</t>
        </is>
      </c>
      <c r="E3549" s="10" t="n">
        <v>45565.20138888889</v>
      </c>
      <c r="F3549" s="10" t="n">
        <v>45565.20486111111</v>
      </c>
      <c r="G3549" s="11" t="n">
        <v>-5.76</v>
      </c>
      <c r="H3549" s="11">
        <f>H3548+G3549</f>
        <v/>
      </c>
    </row>
    <row r="3550">
      <c r="A3550" s="9" t="n">
        <v>3546</v>
      </c>
      <c r="B3550" s="9" t="inlineStr">
        <is>
          <t>Meridian</t>
        </is>
      </c>
      <c r="C3550" s="9" t="inlineStr">
        <is>
          <t>21/50 MA cross, 250-period confirm filter, VWAP</t>
        </is>
      </c>
      <c r="D3550" s="9" t="inlineStr">
        <is>
          <t>Long</t>
        </is>
      </c>
      <c r="E3550" s="10" t="n">
        <v>45565.36111111111</v>
      </c>
      <c r="F3550" s="10" t="n">
        <v>45565.44097222222</v>
      </c>
      <c r="G3550" s="11" t="n">
        <v>-3.23</v>
      </c>
      <c r="H3550" s="11">
        <f>H3549+G3550</f>
        <v/>
      </c>
    </row>
    <row r="3551">
      <c r="A3551" s="9" t="n">
        <v>3547</v>
      </c>
      <c r="B3551" s="9" t="inlineStr">
        <is>
          <t>Meridian</t>
        </is>
      </c>
      <c r="C3551" s="9" t="inlineStr">
        <is>
          <t>21/50 MA cross, 250-period confirm filter, VWAP</t>
        </is>
      </c>
      <c r="D3551" s="9" t="inlineStr">
        <is>
          <t>Short</t>
        </is>
      </c>
      <c r="E3551" s="10" t="n">
        <v>45565.45833333334</v>
      </c>
      <c r="F3551" s="10" t="n">
        <v>45565.47569444445</v>
      </c>
      <c r="G3551" s="11" t="n">
        <v>-4.52</v>
      </c>
      <c r="H3551" s="11">
        <f>H3550+G3551</f>
        <v/>
      </c>
    </row>
    <row r="3552">
      <c r="A3552" s="9" t="n">
        <v>3548</v>
      </c>
      <c r="B3552" s="9" t="inlineStr">
        <is>
          <t>Meridian</t>
        </is>
      </c>
      <c r="C3552" s="9" t="inlineStr">
        <is>
          <t>21/50 MA cross, 250-period confirm filter, VWAP</t>
        </is>
      </c>
      <c r="D3552" s="9" t="inlineStr">
        <is>
          <t>Short</t>
        </is>
      </c>
      <c r="E3552" s="10" t="n">
        <v>45565.88541666666</v>
      </c>
      <c r="F3552" s="10" t="n">
        <v>45565.99305555555</v>
      </c>
      <c r="G3552" s="11" t="n">
        <v>-5.53</v>
      </c>
      <c r="H3552" s="11">
        <f>H3551+G3552</f>
        <v/>
      </c>
    </row>
    <row r="3553">
      <c r="A3553" s="9" t="n">
        <v>3549</v>
      </c>
      <c r="B3553" s="9" t="inlineStr">
        <is>
          <t>Vanguard_M15</t>
        </is>
      </c>
      <c r="C3553" s="9" t="inlineStr">
        <is>
          <t>Trendline breakout (fractal swing line) + VWAP/S-R distance gate - M15 chart</t>
        </is>
      </c>
      <c r="D3553" s="9" t="inlineStr">
        <is>
          <t>Short</t>
        </is>
      </c>
      <c r="E3553" s="10" t="n">
        <v>45562.73958333334</v>
      </c>
      <c r="F3553" s="10" t="n">
        <v>45566.35416666666</v>
      </c>
      <c r="G3553" s="11" t="n">
        <v>15.55</v>
      </c>
      <c r="H3553" s="11">
        <f>H3552+G3553</f>
        <v/>
      </c>
    </row>
    <row r="3554">
      <c r="A3554" s="9" t="n">
        <v>3550</v>
      </c>
      <c r="B3554" s="9" t="inlineStr">
        <is>
          <t>Vanguard_M5</t>
        </is>
      </c>
      <c r="C3554" s="9" t="inlineStr">
        <is>
          <t>Trendline breakout (fractal swing line) + VWAP/S-R distance gate</t>
        </is>
      </c>
      <c r="D3554" s="9" t="inlineStr">
        <is>
          <t>Short</t>
        </is>
      </c>
      <c r="E3554" s="10" t="n">
        <v>45562.72569444445</v>
      </c>
      <c r="F3554" s="10" t="n">
        <v>45566.36111111111</v>
      </c>
      <c r="G3554" s="11" t="n">
        <v>15.79</v>
      </c>
      <c r="H3554" s="11">
        <f>H3553+G3554</f>
        <v/>
      </c>
    </row>
    <row r="3555">
      <c r="A3555" s="9" t="n">
        <v>3551</v>
      </c>
      <c r="B3555" s="9" t="inlineStr">
        <is>
          <t>Ratchet</t>
        </is>
      </c>
      <c r="C3555" s="9" t="inlineStr">
        <is>
          <t>Stochastic scalp with give-back trail exit</t>
        </is>
      </c>
      <c r="D3555" s="9" t="inlineStr">
        <is>
          <t>Long</t>
        </is>
      </c>
      <c r="E3555" s="10" t="n">
        <v>45566.71875</v>
      </c>
      <c r="F3555" s="10" t="n">
        <v>45566.75347222222</v>
      </c>
      <c r="G3555" s="11" t="n">
        <v>-8.800000000000001</v>
      </c>
      <c r="H3555" s="11">
        <f>H3554+G3555</f>
        <v/>
      </c>
    </row>
    <row r="3556">
      <c r="A3556" s="9" t="n">
        <v>3552</v>
      </c>
      <c r="B3556" s="9" t="inlineStr">
        <is>
          <t>Ratchet</t>
        </is>
      </c>
      <c r="C3556" s="9" t="inlineStr">
        <is>
          <t>Stochastic scalp with give-back trail exit</t>
        </is>
      </c>
      <c r="D3556" s="9" t="inlineStr">
        <is>
          <t>Long</t>
        </is>
      </c>
      <c r="E3556" s="10" t="n">
        <v>45566.76736111111</v>
      </c>
      <c r="F3556" s="10" t="n">
        <v>45566.77430555555</v>
      </c>
      <c r="G3556" s="11" t="n">
        <v>0.15</v>
      </c>
      <c r="H3556" s="11">
        <f>H3555+G3556</f>
        <v/>
      </c>
    </row>
    <row r="3557">
      <c r="A3557" s="9" t="n">
        <v>3553</v>
      </c>
      <c r="B3557" s="9" t="inlineStr">
        <is>
          <t>Ratchet</t>
        </is>
      </c>
      <c r="C3557" s="9" t="inlineStr">
        <is>
          <t>Stochastic scalp with give-back trail exit</t>
        </is>
      </c>
      <c r="D3557" s="9" t="inlineStr">
        <is>
          <t>Long</t>
        </is>
      </c>
      <c r="E3557" s="10" t="n">
        <v>45566.80902777778</v>
      </c>
      <c r="F3557" s="10" t="n">
        <v>45566.82986111111</v>
      </c>
      <c r="G3557" s="11" t="n">
        <v>1.95</v>
      </c>
      <c r="H3557" s="11">
        <f>H3556+G3557</f>
        <v/>
      </c>
    </row>
    <row r="3558">
      <c r="A3558" s="9" t="n">
        <v>3554</v>
      </c>
      <c r="B3558" s="9" t="inlineStr">
        <is>
          <t>Meridian</t>
        </is>
      </c>
      <c r="C3558" s="9" t="inlineStr">
        <is>
          <t>21/50 MA cross, 250-period confirm filter, VWAP</t>
        </is>
      </c>
      <c r="D3558" s="9" t="inlineStr">
        <is>
          <t>Long</t>
        </is>
      </c>
      <c r="E3558" s="10" t="n">
        <v>45567.07291666666</v>
      </c>
      <c r="F3558" s="10" t="n">
        <v>45567.10069444445</v>
      </c>
      <c r="G3558" s="11" t="n">
        <v>-2.17</v>
      </c>
      <c r="H3558" s="11">
        <f>H3557+G3558</f>
        <v/>
      </c>
    </row>
    <row r="3559">
      <c r="A3559" s="9" t="n">
        <v>3555</v>
      </c>
      <c r="B3559" s="9" t="inlineStr">
        <is>
          <t>Meridian</t>
        </is>
      </c>
      <c r="C3559" s="9" t="inlineStr">
        <is>
          <t>21/50 MA cross, 250-period confirm filter, VWAP</t>
        </is>
      </c>
      <c r="D3559" s="9" t="inlineStr">
        <is>
          <t>Short</t>
        </is>
      </c>
      <c r="E3559" s="10" t="n">
        <v>45567.53819444445</v>
      </c>
      <c r="F3559" s="10" t="n">
        <v>45567.54513888889</v>
      </c>
      <c r="G3559" s="11" t="n">
        <v>-1.47</v>
      </c>
      <c r="H3559" s="11">
        <f>H3558+G3559</f>
        <v/>
      </c>
    </row>
    <row r="3560">
      <c r="A3560" s="9" t="n">
        <v>3556</v>
      </c>
      <c r="B3560" s="9" t="inlineStr">
        <is>
          <t>Meridian</t>
        </is>
      </c>
      <c r="C3560" s="9" t="inlineStr">
        <is>
          <t>21/50 MA cross, 250-period confirm filter, VWAP</t>
        </is>
      </c>
      <c r="D3560" s="9" t="inlineStr">
        <is>
          <t>Short</t>
        </is>
      </c>
      <c r="E3560" s="10" t="n">
        <v>45567.56944444445</v>
      </c>
      <c r="F3560" s="10" t="n">
        <v>45567.67013888889</v>
      </c>
      <c r="G3560" s="11" t="n">
        <v>-3.61</v>
      </c>
      <c r="H3560" s="11">
        <f>H3559+G3560</f>
        <v/>
      </c>
    </row>
    <row r="3561">
      <c r="A3561" s="9" t="n">
        <v>3557</v>
      </c>
      <c r="B3561" s="9" t="inlineStr">
        <is>
          <t>Meridian</t>
        </is>
      </c>
      <c r="C3561" s="9" t="inlineStr">
        <is>
          <t>21/50 MA cross, 250-period confirm filter, VWAP</t>
        </is>
      </c>
      <c r="D3561" s="9" t="inlineStr">
        <is>
          <t>Long</t>
        </is>
      </c>
      <c r="E3561" s="10" t="n">
        <v>45567.6875</v>
      </c>
      <c r="F3561" s="10" t="n">
        <v>45567.74305555555</v>
      </c>
      <c r="G3561" s="11" t="n">
        <v>-6.53</v>
      </c>
      <c r="H3561" s="11">
        <f>H3560+G3561</f>
        <v/>
      </c>
    </row>
    <row r="3562">
      <c r="A3562" s="9" t="n">
        <v>3558</v>
      </c>
      <c r="B3562" s="9" t="inlineStr">
        <is>
          <t>Vanguard_M15</t>
        </is>
      </c>
      <c r="C3562" s="9" t="inlineStr">
        <is>
          <t>Trendline breakout (fractal swing line) + VWAP/S-R distance gate - M15 chart</t>
        </is>
      </c>
      <c r="D3562" s="9" t="inlineStr">
        <is>
          <t>Long</t>
        </is>
      </c>
      <c r="E3562" s="10" t="n">
        <v>45566.36458333334</v>
      </c>
      <c r="F3562" s="10" t="n">
        <v>45567.75</v>
      </c>
      <c r="G3562" s="11" t="n">
        <v>-2.25</v>
      </c>
      <c r="H3562" s="11">
        <f>H3561+G3562</f>
        <v/>
      </c>
    </row>
    <row r="3563">
      <c r="A3563" s="9" t="n">
        <v>3559</v>
      </c>
      <c r="B3563" s="9" t="inlineStr">
        <is>
          <t>Vanguard_M5</t>
        </is>
      </c>
      <c r="C3563" s="9" t="inlineStr">
        <is>
          <t>Trendline breakout (fractal swing line) + VWAP/S-R distance gate</t>
        </is>
      </c>
      <c r="D3563" s="9" t="inlineStr">
        <is>
          <t>Long</t>
        </is>
      </c>
      <c r="E3563" s="10" t="n">
        <v>45566.36458333334</v>
      </c>
      <c r="F3563" s="10" t="n">
        <v>45567.75694444445</v>
      </c>
      <c r="G3563" s="11" t="n">
        <v>-2.25</v>
      </c>
      <c r="H3563" s="11">
        <f>H3562+G3563</f>
        <v/>
      </c>
    </row>
    <row r="3564">
      <c r="A3564" s="9" t="n">
        <v>3560</v>
      </c>
      <c r="B3564" s="9" t="inlineStr">
        <is>
          <t>Meridian</t>
        </is>
      </c>
      <c r="C3564" s="9" t="inlineStr">
        <is>
          <t>21/50 MA cross, 250-period confirm filter, VWAP</t>
        </is>
      </c>
      <c r="D3564" s="9" t="inlineStr">
        <is>
          <t>Short</t>
        </is>
      </c>
      <c r="E3564" s="10" t="n">
        <v>45567.75694444445</v>
      </c>
      <c r="F3564" s="10" t="n">
        <v>45567.79513888889</v>
      </c>
      <c r="G3564" s="11" t="n">
        <v>-7.81</v>
      </c>
      <c r="H3564" s="11">
        <f>H3563+G3564</f>
        <v/>
      </c>
    </row>
    <row r="3565">
      <c r="A3565" s="9" t="n">
        <v>3561</v>
      </c>
      <c r="B3565" s="9" t="inlineStr">
        <is>
          <t>Ratchet</t>
        </is>
      </c>
      <c r="C3565" s="9" t="inlineStr">
        <is>
          <t>Stochastic scalp with give-back trail exit</t>
        </is>
      </c>
      <c r="D3565" s="9" t="inlineStr">
        <is>
          <t>Long</t>
        </is>
      </c>
      <c r="E3565" s="10" t="n">
        <v>45567.95138888889</v>
      </c>
      <c r="F3565" s="10" t="n">
        <v>45567.96875</v>
      </c>
      <c r="G3565" s="11" t="n">
        <v>0.21</v>
      </c>
      <c r="H3565" s="11">
        <f>H3564+G3565</f>
        <v/>
      </c>
    </row>
    <row r="3566">
      <c r="A3566" s="9" t="n">
        <v>3562</v>
      </c>
      <c r="B3566" s="9" t="inlineStr">
        <is>
          <t>Ratchet</t>
        </is>
      </c>
      <c r="C3566" s="9" t="inlineStr">
        <is>
          <t>Stochastic scalp with give-back trail exit</t>
        </is>
      </c>
      <c r="D3566" s="9" t="inlineStr">
        <is>
          <t>Long</t>
        </is>
      </c>
      <c r="E3566" s="10" t="n">
        <v>45568.05555555555</v>
      </c>
      <c r="F3566" s="10" t="n">
        <v>45568.06944444445</v>
      </c>
      <c r="G3566" s="11" t="n">
        <v>0</v>
      </c>
      <c r="H3566" s="11">
        <f>H3565+G3566</f>
        <v/>
      </c>
    </row>
    <row r="3567">
      <c r="A3567" s="9" t="n">
        <v>3563</v>
      </c>
      <c r="B3567" s="9" t="inlineStr">
        <is>
          <t>Ratchet</t>
        </is>
      </c>
      <c r="C3567" s="9" t="inlineStr">
        <is>
          <t>Stochastic scalp with give-back trail exit</t>
        </is>
      </c>
      <c r="D3567" s="9" t="inlineStr">
        <is>
          <t>Long</t>
        </is>
      </c>
      <c r="E3567" s="10" t="n">
        <v>45568.12152777778</v>
      </c>
      <c r="F3567" s="10" t="n">
        <v>45568.125</v>
      </c>
      <c r="G3567" s="11" t="n">
        <v>-0.96</v>
      </c>
      <c r="H3567" s="11">
        <f>H3566+G3567</f>
        <v/>
      </c>
    </row>
    <row r="3568">
      <c r="A3568" s="9" t="n">
        <v>3564</v>
      </c>
      <c r="B3568" s="9" t="inlineStr">
        <is>
          <t>Ratchet</t>
        </is>
      </c>
      <c r="C3568" s="9" t="inlineStr">
        <is>
          <t>Stochastic scalp with give-back trail exit</t>
        </is>
      </c>
      <c r="D3568" s="9" t="inlineStr">
        <is>
          <t>Long</t>
        </is>
      </c>
      <c r="E3568" s="10" t="n">
        <v>45568.12847222222</v>
      </c>
      <c r="F3568" s="10" t="n">
        <v>45568.13194444445</v>
      </c>
      <c r="G3568" s="11" t="n">
        <v>0.37</v>
      </c>
      <c r="H3568" s="11">
        <f>H3567+G3568</f>
        <v/>
      </c>
    </row>
    <row r="3569">
      <c r="A3569" s="9" t="n">
        <v>3565</v>
      </c>
      <c r="B3569" s="9" t="inlineStr">
        <is>
          <t>Vanguard_M5</t>
        </is>
      </c>
      <c r="C3569" s="9" t="inlineStr">
        <is>
          <t>Trendline breakout (fractal swing line) + VWAP/S-R distance gate</t>
        </is>
      </c>
      <c r="D3569" s="9" t="inlineStr">
        <is>
          <t>Long</t>
        </is>
      </c>
      <c r="E3569" s="10" t="n">
        <v>45568.39236111111</v>
      </c>
      <c r="F3569" s="10" t="n">
        <v>45568.42708333334</v>
      </c>
      <c r="G3569" s="11" t="n">
        <v>-5.22</v>
      </c>
      <c r="H3569" s="11">
        <f>H3568+G3569</f>
        <v/>
      </c>
    </row>
    <row r="3570">
      <c r="A3570" s="9" t="n">
        <v>3566</v>
      </c>
      <c r="B3570" s="9" t="inlineStr">
        <is>
          <t>Vanguard_M15</t>
        </is>
      </c>
      <c r="C3570" s="9" t="inlineStr">
        <is>
          <t>Trendline breakout (fractal swing line) + VWAP/S-R distance gate - M15 chart</t>
        </is>
      </c>
      <c r="D3570" s="9" t="inlineStr">
        <is>
          <t>Long</t>
        </is>
      </c>
      <c r="E3570" s="10" t="n">
        <v>45568.40625</v>
      </c>
      <c r="F3570" s="10" t="n">
        <v>45568.42708333334</v>
      </c>
      <c r="G3570" s="11" t="n">
        <v>-6.5</v>
      </c>
      <c r="H3570" s="11">
        <f>H3569+G3570</f>
        <v/>
      </c>
    </row>
    <row r="3571">
      <c r="A3571" s="9" t="n">
        <v>3567</v>
      </c>
      <c r="B3571" s="9" t="inlineStr">
        <is>
          <t>Vanguard_M5</t>
        </is>
      </c>
      <c r="C3571" s="9" t="inlineStr">
        <is>
          <t>Trendline breakout (fractal swing line) + VWAP/S-R distance gate</t>
        </is>
      </c>
      <c r="D3571" s="9" t="inlineStr">
        <is>
          <t>Short</t>
        </is>
      </c>
      <c r="E3571" s="10" t="n">
        <v>45568.44791666666</v>
      </c>
      <c r="F3571" s="10" t="n">
        <v>45568.64583333334</v>
      </c>
      <c r="G3571" s="11" t="n">
        <v>-7.06</v>
      </c>
      <c r="H3571" s="11">
        <f>H3570+G3571</f>
        <v/>
      </c>
    </row>
    <row r="3572">
      <c r="A3572" s="9" t="n">
        <v>3568</v>
      </c>
      <c r="B3572" s="9" t="inlineStr">
        <is>
          <t>Meridian</t>
        </is>
      </c>
      <c r="C3572" s="9" t="inlineStr">
        <is>
          <t>21/50 MA cross, 250-period confirm filter, VWAP</t>
        </is>
      </c>
      <c r="D3572" s="9" t="inlineStr">
        <is>
          <t>Short</t>
        </is>
      </c>
      <c r="E3572" s="10" t="n">
        <v>45568.65972222222</v>
      </c>
      <c r="F3572" s="10" t="n">
        <v>45568.6875</v>
      </c>
      <c r="G3572" s="11" t="n">
        <v>-5.4</v>
      </c>
      <c r="H3572" s="11">
        <f>H3571+G3572</f>
        <v/>
      </c>
    </row>
    <row r="3573">
      <c r="A3573" s="9" t="n">
        <v>3569</v>
      </c>
      <c r="B3573" s="9" t="inlineStr">
        <is>
          <t>Vanguard_M15</t>
        </is>
      </c>
      <c r="C3573" s="9" t="inlineStr">
        <is>
          <t>Trendline breakout (fractal swing line) + VWAP/S-R distance gate - M15 chart</t>
        </is>
      </c>
      <c r="D3573" s="9" t="inlineStr">
        <is>
          <t>Short</t>
        </is>
      </c>
      <c r="E3573" s="10" t="n">
        <v>45568.44791666666</v>
      </c>
      <c r="F3573" s="10" t="n">
        <v>45568.70833333334</v>
      </c>
      <c r="G3573" s="11" t="n">
        <v>-7.9</v>
      </c>
      <c r="H3573" s="11">
        <f>H3572+G3573</f>
        <v/>
      </c>
    </row>
    <row r="3574">
      <c r="A3574" s="9" t="n">
        <v>3570</v>
      </c>
      <c r="B3574" s="9" t="inlineStr">
        <is>
          <t>Meridian</t>
        </is>
      </c>
      <c r="C3574" s="9" t="inlineStr">
        <is>
          <t>21/50 MA cross, 250-period confirm filter, VWAP</t>
        </is>
      </c>
      <c r="D3574" s="9" t="inlineStr">
        <is>
          <t>Short</t>
        </is>
      </c>
      <c r="E3574" s="10" t="n">
        <v>45568.71180555555</v>
      </c>
      <c r="F3574" s="10" t="n">
        <v>45568.71527777778</v>
      </c>
      <c r="G3574" s="11" t="n">
        <v>-7.84</v>
      </c>
      <c r="H3574" s="11">
        <f>H3573+G3574</f>
        <v/>
      </c>
    </row>
    <row r="3575">
      <c r="A3575" s="9" t="n">
        <v>3571</v>
      </c>
      <c r="B3575" s="9" t="inlineStr">
        <is>
          <t>Vanguard_M5</t>
        </is>
      </c>
      <c r="C3575" s="9" t="inlineStr">
        <is>
          <t>Trendline breakout (fractal swing line) + VWAP/S-R distance gate</t>
        </is>
      </c>
      <c r="D3575" s="9" t="inlineStr">
        <is>
          <t>Short</t>
        </is>
      </c>
      <c r="E3575" s="10" t="n">
        <v>45568.64930555555</v>
      </c>
      <c r="F3575" s="10" t="n">
        <v>45568.81597222222</v>
      </c>
      <c r="G3575" s="11" t="n">
        <v>-7.74</v>
      </c>
      <c r="H3575" s="11">
        <f>H3574+G3575</f>
        <v/>
      </c>
    </row>
    <row r="3576">
      <c r="A3576" s="9" t="n">
        <v>3572</v>
      </c>
      <c r="B3576" s="9" t="inlineStr">
        <is>
          <t>Vanguard_M15</t>
        </is>
      </c>
      <c r="C3576" s="9" t="inlineStr">
        <is>
          <t>Trendline breakout (fractal swing line) + VWAP/S-R distance gate - M15 chart</t>
        </is>
      </c>
      <c r="D3576" s="9" t="inlineStr">
        <is>
          <t>Short</t>
        </is>
      </c>
      <c r="E3576" s="10" t="n">
        <v>45568.72916666666</v>
      </c>
      <c r="F3576" s="10" t="n">
        <v>45569.22916666666</v>
      </c>
      <c r="G3576" s="11" t="n">
        <v>-13.99</v>
      </c>
      <c r="H3576" s="11">
        <f>H3575+G3576</f>
        <v/>
      </c>
    </row>
    <row r="3577">
      <c r="A3577" s="9" t="n">
        <v>3573</v>
      </c>
      <c r="B3577" s="9" t="inlineStr">
        <is>
          <t>Ratchet</t>
        </is>
      </c>
      <c r="C3577" s="9" t="inlineStr">
        <is>
          <t>Stochastic scalp with give-back trail exit</t>
        </is>
      </c>
      <c r="D3577" s="9" t="inlineStr">
        <is>
          <t>Long</t>
        </is>
      </c>
      <c r="E3577" s="10" t="n">
        <v>45569.30555555555</v>
      </c>
      <c r="F3577" s="10" t="n">
        <v>45569.31944444445</v>
      </c>
      <c r="G3577" s="11" t="n">
        <v>0.93</v>
      </c>
      <c r="H3577" s="11">
        <f>H3576+G3577</f>
        <v/>
      </c>
    </row>
    <row r="3578">
      <c r="A3578" s="9" t="n">
        <v>3574</v>
      </c>
      <c r="B3578" s="9" t="inlineStr">
        <is>
          <t>Ratchet</t>
        </is>
      </c>
      <c r="C3578" s="9" t="inlineStr">
        <is>
          <t>Stochastic scalp with give-back trail exit</t>
        </is>
      </c>
      <c r="D3578" s="9" t="inlineStr">
        <is>
          <t>Long</t>
        </is>
      </c>
      <c r="E3578" s="10" t="n">
        <v>45569.38541666666</v>
      </c>
      <c r="F3578" s="10" t="n">
        <v>45569.39236111111</v>
      </c>
      <c r="G3578" s="11" t="n">
        <v>-1.6</v>
      </c>
      <c r="H3578" s="11">
        <f>H3577+G3578</f>
        <v/>
      </c>
    </row>
    <row r="3579">
      <c r="A3579" s="9" t="n">
        <v>3575</v>
      </c>
      <c r="B3579" s="9" t="inlineStr">
        <is>
          <t>Meridian</t>
        </is>
      </c>
      <c r="C3579" s="9" t="inlineStr">
        <is>
          <t>21/50 MA cross, 250-period confirm filter, VWAP</t>
        </is>
      </c>
      <c r="D3579" s="9" t="inlineStr">
        <is>
          <t>Long</t>
        </is>
      </c>
      <c r="E3579" s="10" t="n">
        <v>45569.16666666666</v>
      </c>
      <c r="F3579" s="10" t="n">
        <v>45569.43055555555</v>
      </c>
      <c r="G3579" s="11" t="n">
        <v>2.76</v>
      </c>
      <c r="H3579" s="11">
        <f>H3578+G3579</f>
        <v/>
      </c>
    </row>
    <row r="3580">
      <c r="A3580" s="9" t="n">
        <v>3576</v>
      </c>
      <c r="B3580" s="9" t="inlineStr">
        <is>
          <t>Vanguard_M5</t>
        </is>
      </c>
      <c r="C3580" s="9" t="inlineStr">
        <is>
          <t>Trendline breakout (fractal swing line) + VWAP/S-R distance gate</t>
        </is>
      </c>
      <c r="D3580" s="9" t="inlineStr">
        <is>
          <t>Long</t>
        </is>
      </c>
      <c r="E3580" s="10" t="n">
        <v>45569.23611111111</v>
      </c>
      <c r="F3580" s="10" t="n">
        <v>45569.50694444445</v>
      </c>
      <c r="G3580" s="11" t="n">
        <v>-3.86</v>
      </c>
      <c r="H3580" s="11">
        <f>H3579+G3580</f>
        <v/>
      </c>
    </row>
    <row r="3581">
      <c r="A3581" s="9" t="n">
        <v>3577</v>
      </c>
      <c r="B3581" s="9" t="inlineStr">
        <is>
          <t>Vanguard_M15</t>
        </is>
      </c>
      <c r="C3581" s="9" t="inlineStr">
        <is>
          <t>Trendline breakout (fractal swing line) + VWAP/S-R distance gate - M15 chart</t>
        </is>
      </c>
      <c r="D3581" s="9" t="inlineStr">
        <is>
          <t>Long</t>
        </is>
      </c>
      <c r="E3581" s="10" t="n">
        <v>45569.23958333334</v>
      </c>
      <c r="F3581" s="10" t="n">
        <v>45569.51041666666</v>
      </c>
      <c r="G3581" s="11" t="n">
        <v>-5.68</v>
      </c>
      <c r="H3581" s="11">
        <f>H3580+G3581</f>
        <v/>
      </c>
    </row>
    <row r="3582">
      <c r="A3582" s="9" t="n">
        <v>3578</v>
      </c>
      <c r="B3582" s="9" t="inlineStr">
        <is>
          <t>Vanguard_M5</t>
        </is>
      </c>
      <c r="C3582" s="9" t="inlineStr">
        <is>
          <t>Trendline breakout (fractal swing line) + VWAP/S-R distance gate</t>
        </is>
      </c>
      <c r="D3582" s="9" t="inlineStr">
        <is>
          <t>Long</t>
        </is>
      </c>
      <c r="E3582" s="10" t="n">
        <v>45569.61805555555</v>
      </c>
      <c r="F3582" s="10" t="n">
        <v>45569.62847222222</v>
      </c>
      <c r="G3582" s="11" t="n">
        <v>-4.91</v>
      </c>
      <c r="H3582" s="11">
        <f>H3581+G3582</f>
        <v/>
      </c>
    </row>
    <row r="3583">
      <c r="A3583" s="9" t="n">
        <v>3579</v>
      </c>
      <c r="B3583" s="9" t="inlineStr">
        <is>
          <t>Vanguard_M15</t>
        </is>
      </c>
      <c r="C3583" s="9" t="inlineStr">
        <is>
          <t>Trendline breakout (fractal swing line) + VWAP/S-R distance gate - M15 chart</t>
        </is>
      </c>
      <c r="D3583" s="9" t="inlineStr">
        <is>
          <t>Long</t>
        </is>
      </c>
      <c r="E3583" s="10" t="n">
        <v>45569.61458333334</v>
      </c>
      <c r="F3583" s="10" t="n">
        <v>45569.64583333334</v>
      </c>
      <c r="G3583" s="11" t="n">
        <v>-6.13</v>
      </c>
      <c r="H3583" s="11">
        <f>H3582+G3583</f>
        <v/>
      </c>
    </row>
    <row r="3584">
      <c r="A3584" s="9" t="n">
        <v>3580</v>
      </c>
      <c r="B3584" s="9" t="inlineStr">
        <is>
          <t>Meridian</t>
        </is>
      </c>
      <c r="C3584" s="9" t="inlineStr">
        <is>
          <t>21/50 MA cross, 250-period confirm filter, VWAP</t>
        </is>
      </c>
      <c r="D3584" s="9" t="inlineStr">
        <is>
          <t>Long</t>
        </is>
      </c>
      <c r="E3584" s="10" t="n">
        <v>45569.75694444445</v>
      </c>
      <c r="F3584" s="10" t="n">
        <v>45569.77083333334</v>
      </c>
      <c r="G3584" s="11" t="n">
        <v>-10.31</v>
      </c>
      <c r="H3584" s="11">
        <f>H3583+G3584</f>
        <v/>
      </c>
    </row>
    <row r="3585">
      <c r="A3585" s="9" t="n">
        <v>3581</v>
      </c>
      <c r="B3585" s="9" t="inlineStr">
        <is>
          <t>Meridian</t>
        </is>
      </c>
      <c r="C3585" s="9" t="inlineStr">
        <is>
          <t>21/50 MA cross, 250-period confirm filter, VWAP</t>
        </is>
      </c>
      <c r="D3585" s="9" t="inlineStr">
        <is>
          <t>Short</t>
        </is>
      </c>
      <c r="E3585" s="10" t="n">
        <v>45569.79861111111</v>
      </c>
      <c r="F3585" s="10" t="n">
        <v>45569.91666666666</v>
      </c>
      <c r="G3585" s="11" t="n">
        <v>3.79</v>
      </c>
      <c r="H3585" s="11">
        <f>H3584+G3585</f>
        <v/>
      </c>
    </row>
    <row r="3586">
      <c r="A3586" s="9" t="n">
        <v>3582</v>
      </c>
      <c r="B3586" s="9" t="inlineStr">
        <is>
          <t>Meridian</t>
        </is>
      </c>
      <c r="C3586" s="9" t="inlineStr">
        <is>
          <t>21/50 MA cross, 250-period confirm filter, VWAP</t>
        </is>
      </c>
      <c r="D3586" s="9" t="inlineStr">
        <is>
          <t>Short</t>
        </is>
      </c>
      <c r="E3586" s="10" t="n">
        <v>45572.15625</v>
      </c>
      <c r="F3586" s="10" t="n">
        <v>45572.17013888889</v>
      </c>
      <c r="G3586" s="11" t="n">
        <v>-2.47</v>
      </c>
      <c r="H3586" s="11">
        <f>H3585+G3586</f>
        <v/>
      </c>
    </row>
    <row r="3587">
      <c r="A3587" s="9" t="n">
        <v>3583</v>
      </c>
      <c r="B3587" s="9" t="inlineStr">
        <is>
          <t>Aurelius_M5</t>
        </is>
      </c>
      <c r="C3587" s="9" t="inlineStr">
        <is>
          <t>MA alignment (EMA21&gt;EMA50&gt;SMA250&gt;SMMA500 vs EMA2400 trend filter)</t>
        </is>
      </c>
      <c r="D3587" s="9" t="inlineStr">
        <is>
          <t>Short</t>
        </is>
      </c>
      <c r="E3587" s="10" t="n">
        <v>45572.36111111111</v>
      </c>
      <c r="F3587" s="10" t="n">
        <v>45572.42013888889</v>
      </c>
      <c r="G3587" s="11" t="n">
        <v>-2.61</v>
      </c>
      <c r="H3587" s="11">
        <f>H3586+G3587</f>
        <v/>
      </c>
    </row>
    <row r="3588">
      <c r="A3588" s="9" t="n">
        <v>3584</v>
      </c>
      <c r="B3588" s="9" t="inlineStr">
        <is>
          <t>Meridian</t>
        </is>
      </c>
      <c r="C3588" s="9" t="inlineStr">
        <is>
          <t>21/50 MA cross, 250-period confirm filter, VWAP</t>
        </is>
      </c>
      <c r="D3588" s="9" t="inlineStr">
        <is>
          <t>Long</t>
        </is>
      </c>
      <c r="E3588" s="10" t="n">
        <v>45572.45138888889</v>
      </c>
      <c r="F3588" s="10" t="n">
        <v>45572.64930555555</v>
      </c>
      <c r="G3588" s="11" t="n">
        <v>-4.14</v>
      </c>
      <c r="H3588" s="11">
        <f>H3587+G3588</f>
        <v/>
      </c>
    </row>
    <row r="3589">
      <c r="A3589" s="9" t="n">
        <v>3585</v>
      </c>
      <c r="B3589" s="9" t="inlineStr">
        <is>
          <t>Meridian</t>
        </is>
      </c>
      <c r="C3589" s="9" t="inlineStr">
        <is>
          <t>21/50 MA cross, 250-period confirm filter, VWAP</t>
        </is>
      </c>
      <c r="D3589" s="9" t="inlineStr">
        <is>
          <t>Short</t>
        </is>
      </c>
      <c r="E3589" s="10" t="n">
        <v>45572.65625</v>
      </c>
      <c r="F3589" s="10" t="n">
        <v>45572.67361111111</v>
      </c>
      <c r="G3589" s="11" t="n">
        <v>-5.49</v>
      </c>
      <c r="H3589" s="11">
        <f>H3588+G3589</f>
        <v/>
      </c>
    </row>
    <row r="3590">
      <c r="A3590" s="9" t="n">
        <v>3586</v>
      </c>
      <c r="B3590" s="9" t="inlineStr">
        <is>
          <t>Ratchet</t>
        </is>
      </c>
      <c r="C3590" s="9" t="inlineStr">
        <is>
          <t>Stochastic scalp with give-back trail exit</t>
        </is>
      </c>
      <c r="D3590" s="9" t="inlineStr">
        <is>
          <t>Short</t>
        </is>
      </c>
      <c r="E3590" s="10" t="n">
        <v>45572.70486111111</v>
      </c>
      <c r="F3590" s="10" t="n">
        <v>45572.71180555555</v>
      </c>
      <c r="G3590" s="11" t="n">
        <v>0.66</v>
      </c>
      <c r="H3590" s="11">
        <f>H3589+G3590</f>
        <v/>
      </c>
    </row>
    <row r="3591">
      <c r="A3591" s="9" t="n">
        <v>3587</v>
      </c>
      <c r="B3591" s="9" t="inlineStr">
        <is>
          <t>Ratchet</t>
        </is>
      </c>
      <c r="C3591" s="9" t="inlineStr">
        <is>
          <t>Stochastic scalp with give-back trail exit</t>
        </is>
      </c>
      <c r="D3591" s="9" t="inlineStr">
        <is>
          <t>Short</t>
        </is>
      </c>
      <c r="E3591" s="10" t="n">
        <v>45572.75694444445</v>
      </c>
      <c r="F3591" s="10" t="n">
        <v>45572.76736111111</v>
      </c>
      <c r="G3591" s="11" t="n">
        <v>-5.19</v>
      </c>
      <c r="H3591" s="11">
        <f>H3590+G3591</f>
        <v/>
      </c>
    </row>
    <row r="3592">
      <c r="A3592" s="9" t="n">
        <v>3588</v>
      </c>
      <c r="B3592" s="9" t="inlineStr">
        <is>
          <t>Ratchet</t>
        </is>
      </c>
      <c r="C3592" s="9" t="inlineStr">
        <is>
          <t>Stochastic scalp with give-back trail exit</t>
        </is>
      </c>
      <c r="D3592" s="9" t="inlineStr">
        <is>
          <t>Short</t>
        </is>
      </c>
      <c r="E3592" s="10" t="n">
        <v>45573.12847222222</v>
      </c>
      <c r="F3592" s="10" t="n">
        <v>45573.14930555555</v>
      </c>
      <c r="G3592" s="11" t="n">
        <v>-1.55</v>
      </c>
      <c r="H3592" s="11">
        <f>H3591+G3592</f>
        <v/>
      </c>
    </row>
    <row r="3593">
      <c r="A3593" s="9" t="n">
        <v>3589</v>
      </c>
      <c r="B3593" s="9" t="inlineStr">
        <is>
          <t>Vanguard_M5</t>
        </is>
      </c>
      <c r="C3593" s="9" t="inlineStr">
        <is>
          <t>Trendline breakout (fractal swing line) + VWAP/S-R distance gate</t>
        </is>
      </c>
      <c r="D3593" s="9" t="inlineStr">
        <is>
          <t>Short</t>
        </is>
      </c>
      <c r="E3593" s="10" t="n">
        <v>45573.17013888889</v>
      </c>
      <c r="F3593" s="10" t="n">
        <v>45573.20138888889</v>
      </c>
      <c r="G3593" s="11" t="n">
        <v>-5.13</v>
      </c>
      <c r="H3593" s="11">
        <f>H3592+G3593</f>
        <v/>
      </c>
    </row>
    <row r="3594">
      <c r="A3594" s="9" t="n">
        <v>3590</v>
      </c>
      <c r="B3594" s="9" t="inlineStr">
        <is>
          <t>Aurelius_M5</t>
        </is>
      </c>
      <c r="C3594" s="9" t="inlineStr">
        <is>
          <t>MA alignment (EMA21&gt;EMA50&gt;SMA250&gt;SMMA500 vs EMA2400 trend filter)</t>
        </is>
      </c>
      <c r="D3594" s="9" t="inlineStr">
        <is>
          <t>Short</t>
        </is>
      </c>
      <c r="E3594" s="10" t="n">
        <v>45573.17708333334</v>
      </c>
      <c r="F3594" s="10" t="n">
        <v>45573.20138888889</v>
      </c>
      <c r="G3594" s="11" t="n">
        <v>-3.57</v>
      </c>
      <c r="H3594" s="11">
        <f>H3593+G3594</f>
        <v/>
      </c>
    </row>
    <row r="3595">
      <c r="A3595" s="9" t="n">
        <v>3591</v>
      </c>
      <c r="B3595" s="9" t="inlineStr">
        <is>
          <t>Ratchet</t>
        </is>
      </c>
      <c r="C3595" s="9" t="inlineStr">
        <is>
          <t>Stochastic scalp with give-back trail exit</t>
        </is>
      </c>
      <c r="D3595" s="9" t="inlineStr">
        <is>
          <t>Short</t>
        </is>
      </c>
      <c r="E3595" s="10" t="n">
        <v>45573.23958333334</v>
      </c>
      <c r="F3595" s="10" t="n">
        <v>45573.25</v>
      </c>
      <c r="G3595" s="11" t="n">
        <v>-4.76</v>
      </c>
      <c r="H3595" s="11">
        <f>H3594+G3595</f>
        <v/>
      </c>
    </row>
    <row r="3596">
      <c r="A3596" s="9" t="n">
        <v>3592</v>
      </c>
      <c r="B3596" s="9" t="inlineStr">
        <is>
          <t>Aurelius_M5</t>
        </is>
      </c>
      <c r="C3596" s="9" t="inlineStr">
        <is>
          <t>MA alignment (EMA21&gt;EMA50&gt;SMA250&gt;SMMA500 vs EMA2400 trend filter)</t>
        </is>
      </c>
      <c r="D3596" s="9" t="inlineStr">
        <is>
          <t>Short</t>
        </is>
      </c>
      <c r="E3596" s="10" t="n">
        <v>45573.22916666666</v>
      </c>
      <c r="F3596" s="10" t="n">
        <v>45573.27430555555</v>
      </c>
      <c r="G3596" s="11" t="n">
        <v>-5.57</v>
      </c>
      <c r="H3596" s="11">
        <f>H3595+G3596</f>
        <v/>
      </c>
    </row>
    <row r="3597">
      <c r="A3597" s="9" t="n">
        <v>3593</v>
      </c>
      <c r="B3597" s="9" t="inlineStr">
        <is>
          <t>Meridian</t>
        </is>
      </c>
      <c r="C3597" s="9" t="inlineStr">
        <is>
          <t>21/50 MA cross, 250-period confirm filter, VWAP</t>
        </is>
      </c>
      <c r="D3597" s="9" t="inlineStr">
        <is>
          <t>Short</t>
        </is>
      </c>
      <c r="E3597" s="10" t="n">
        <v>45572.88888888889</v>
      </c>
      <c r="F3597" s="10" t="n">
        <v>45573.30555555555</v>
      </c>
      <c r="G3597" s="11" t="n">
        <v>2.32</v>
      </c>
      <c r="H3597" s="11">
        <f>H3596+G3597</f>
        <v/>
      </c>
    </row>
    <row r="3598">
      <c r="A3598" s="9" t="n">
        <v>3594</v>
      </c>
      <c r="B3598" s="9" t="inlineStr">
        <is>
          <t>Ratchet</t>
        </is>
      </c>
      <c r="C3598" s="9" t="inlineStr">
        <is>
          <t>Stochastic scalp with give-back trail exit</t>
        </is>
      </c>
      <c r="D3598" s="9" t="inlineStr">
        <is>
          <t>Short</t>
        </is>
      </c>
      <c r="E3598" s="10" t="n">
        <v>45573.43055555555</v>
      </c>
      <c r="F3598" s="10" t="n">
        <v>45573.4375</v>
      </c>
      <c r="G3598" s="11" t="n">
        <v>0.54</v>
      </c>
      <c r="H3598" s="11">
        <f>H3597+G3598</f>
        <v/>
      </c>
    </row>
    <row r="3599">
      <c r="A3599" s="9" t="n">
        <v>3595</v>
      </c>
      <c r="B3599" s="9" t="inlineStr">
        <is>
          <t>Ratchet</t>
        </is>
      </c>
      <c r="C3599" s="9" t="inlineStr">
        <is>
          <t>Stochastic scalp with give-back trail exit</t>
        </is>
      </c>
      <c r="D3599" s="9" t="inlineStr">
        <is>
          <t>Short</t>
        </is>
      </c>
      <c r="E3599" s="10" t="n">
        <v>45573.45486111111</v>
      </c>
      <c r="F3599" s="10" t="n">
        <v>45573.45833333334</v>
      </c>
      <c r="G3599" s="11" t="n">
        <v>-0</v>
      </c>
      <c r="H3599" s="11">
        <f>H3598+G3599</f>
        <v/>
      </c>
    </row>
    <row r="3600">
      <c r="A3600" s="9" t="n">
        <v>3596</v>
      </c>
      <c r="B3600" s="9" t="inlineStr">
        <is>
          <t>Meridian</t>
        </is>
      </c>
      <c r="C3600" s="9" t="inlineStr">
        <is>
          <t>21/50 MA cross, 250-period confirm filter, VWAP</t>
        </is>
      </c>
      <c r="D3600" s="9" t="inlineStr">
        <is>
          <t>Short</t>
        </is>
      </c>
      <c r="E3600" s="10" t="n">
        <v>45573.40972222222</v>
      </c>
      <c r="F3600" s="10" t="n">
        <v>45573.53125</v>
      </c>
      <c r="G3600" s="11" t="n">
        <v>-4.84</v>
      </c>
      <c r="H3600" s="11">
        <f>H3599+G3600</f>
        <v/>
      </c>
    </row>
    <row r="3601">
      <c r="A3601" s="9" t="n">
        <v>3597</v>
      </c>
      <c r="B3601" s="9" t="inlineStr">
        <is>
          <t>Aurelius_M5</t>
        </is>
      </c>
      <c r="C3601" s="9" t="inlineStr">
        <is>
          <t>MA alignment (EMA21&gt;EMA50&gt;SMA250&gt;SMMA500 vs EMA2400 trend filter)</t>
        </is>
      </c>
      <c r="D3601" s="9" t="inlineStr">
        <is>
          <t>Short</t>
        </is>
      </c>
      <c r="E3601" s="10" t="n">
        <v>45573.42708333334</v>
      </c>
      <c r="F3601" s="10" t="n">
        <v>45573.54513888889</v>
      </c>
      <c r="G3601" s="11" t="n">
        <v>-3.83</v>
      </c>
      <c r="H3601" s="11">
        <f>H3600+G3601</f>
        <v/>
      </c>
    </row>
    <row r="3602">
      <c r="A3602" s="9" t="n">
        <v>3598</v>
      </c>
      <c r="B3602" s="9" t="inlineStr">
        <is>
          <t>Vanguard_M15</t>
        </is>
      </c>
      <c r="C3602" s="9" t="inlineStr">
        <is>
          <t>Trendline breakout (fractal swing line) + VWAP/S-R distance gate - M15 chart</t>
        </is>
      </c>
      <c r="D3602" s="9" t="inlineStr">
        <is>
          <t>Short</t>
        </is>
      </c>
      <c r="E3602" s="10" t="n">
        <v>45573.19791666666</v>
      </c>
      <c r="F3602" s="10" t="n">
        <v>45573.58333333334</v>
      </c>
      <c r="G3602" s="11" t="n">
        <v>-7.82</v>
      </c>
      <c r="H3602" s="11">
        <f>H3601+G3602</f>
        <v/>
      </c>
    </row>
    <row r="3603">
      <c r="A3603" s="9" t="n">
        <v>3599</v>
      </c>
      <c r="B3603" s="9" t="inlineStr">
        <is>
          <t>Vanguard_M5</t>
        </is>
      </c>
      <c r="C3603" s="9" t="inlineStr">
        <is>
          <t>Trendline breakout (fractal swing line) + VWAP/S-R distance gate</t>
        </is>
      </c>
      <c r="D3603" s="9" t="inlineStr">
        <is>
          <t>Short</t>
        </is>
      </c>
      <c r="E3603" s="10" t="n">
        <v>45573.22569444445</v>
      </c>
      <c r="F3603" s="10" t="n">
        <v>45573.58680555555</v>
      </c>
      <c r="G3603" s="11" t="n">
        <v>-8.890000000000001</v>
      </c>
      <c r="H3603" s="11">
        <f>H3602+G3603</f>
        <v/>
      </c>
    </row>
    <row r="3604">
      <c r="A3604" s="9" t="n">
        <v>3600</v>
      </c>
      <c r="B3604" s="9" t="inlineStr">
        <is>
          <t>Vanguard_M5</t>
        </is>
      </c>
      <c r="C3604" s="9" t="inlineStr">
        <is>
          <t>Trendline breakout (fractal swing line) + VWAP/S-R distance gate</t>
        </is>
      </c>
      <c r="D3604" s="9" t="inlineStr">
        <is>
          <t>Long</t>
        </is>
      </c>
      <c r="E3604" s="10" t="n">
        <v>45573.59027777778</v>
      </c>
      <c r="F3604" s="10" t="n">
        <v>45573.64583333334</v>
      </c>
      <c r="G3604" s="11" t="n">
        <v>-7.22</v>
      </c>
      <c r="H3604" s="11">
        <f>H3603+G3604</f>
        <v/>
      </c>
    </row>
    <row r="3605">
      <c r="A3605" s="9" t="n">
        <v>3601</v>
      </c>
      <c r="B3605" s="9" t="inlineStr">
        <is>
          <t>Vanguard_M15</t>
        </is>
      </c>
      <c r="C3605" s="9" t="inlineStr">
        <is>
          <t>Trendline breakout (fractal swing line) + VWAP/S-R distance gate - M15 chart</t>
        </is>
      </c>
      <c r="D3605" s="9" t="inlineStr">
        <is>
          <t>Long</t>
        </is>
      </c>
      <c r="E3605" s="10" t="n">
        <v>45573.60416666666</v>
      </c>
      <c r="F3605" s="10" t="n">
        <v>45573.66666666666</v>
      </c>
      <c r="G3605" s="11" t="n">
        <v>-5.63</v>
      </c>
      <c r="H3605" s="11">
        <f>H3604+G3605</f>
        <v/>
      </c>
    </row>
    <row r="3606">
      <c r="A3606" s="9" t="n">
        <v>3602</v>
      </c>
      <c r="B3606" s="9" t="inlineStr">
        <is>
          <t>Vanguard_M5</t>
        </is>
      </c>
      <c r="C3606" s="9" t="inlineStr">
        <is>
          <t>Trendline breakout (fractal swing line) + VWAP/S-R distance gate</t>
        </is>
      </c>
      <c r="D3606" s="9" t="inlineStr">
        <is>
          <t>Long</t>
        </is>
      </c>
      <c r="E3606" s="10" t="n">
        <v>45573.65277777778</v>
      </c>
      <c r="F3606" s="10" t="n">
        <v>45573.67013888889</v>
      </c>
      <c r="G3606" s="11" t="n">
        <v>-4.94</v>
      </c>
      <c r="H3606" s="11">
        <f>H3605+G3606</f>
        <v/>
      </c>
    </row>
    <row r="3607">
      <c r="A3607" s="9" t="n">
        <v>3603</v>
      </c>
      <c r="B3607" s="9" t="inlineStr">
        <is>
          <t>Meridian</t>
        </is>
      </c>
      <c r="C3607" s="9" t="inlineStr">
        <is>
          <t>21/50 MA cross, 250-period confirm filter, VWAP</t>
        </is>
      </c>
      <c r="D3607" s="9" t="inlineStr">
        <is>
          <t>Short</t>
        </is>
      </c>
      <c r="E3607" s="10" t="n">
        <v>45573.69097222222</v>
      </c>
      <c r="F3607" s="10" t="n">
        <v>45573.96527777778</v>
      </c>
      <c r="G3607" s="11" t="n">
        <v>14.99</v>
      </c>
      <c r="H3607" s="11">
        <f>H3606+G3607</f>
        <v/>
      </c>
    </row>
    <row r="3608">
      <c r="A3608" s="9" t="n">
        <v>3604</v>
      </c>
      <c r="B3608" s="9" t="inlineStr">
        <is>
          <t>Meridian</t>
        </is>
      </c>
      <c r="C3608" s="9" t="inlineStr">
        <is>
          <t>21/50 MA cross, 250-period confirm filter, VWAP</t>
        </is>
      </c>
      <c r="D3608" s="9" t="inlineStr">
        <is>
          <t>Short</t>
        </is>
      </c>
      <c r="E3608" s="10" t="n">
        <v>45574.21180555555</v>
      </c>
      <c r="F3608" s="10" t="n">
        <v>45574.35416666666</v>
      </c>
      <c r="G3608" s="11" t="n">
        <v>-4.11</v>
      </c>
      <c r="H3608" s="11">
        <f>H3607+G3608</f>
        <v/>
      </c>
    </row>
    <row r="3609">
      <c r="A3609" s="9" t="n">
        <v>3605</v>
      </c>
      <c r="B3609" s="9" t="inlineStr">
        <is>
          <t>Aurelius_M5</t>
        </is>
      </c>
      <c r="C3609" s="9" t="inlineStr">
        <is>
          <t>MA alignment (EMA21&gt;EMA50&gt;SMA250&gt;SMMA500 vs EMA2400 trend filter)</t>
        </is>
      </c>
      <c r="D3609" s="9" t="inlineStr">
        <is>
          <t>Short</t>
        </is>
      </c>
      <c r="E3609" s="10" t="n">
        <v>45574.23958333334</v>
      </c>
      <c r="F3609" s="10" t="n">
        <v>45574.35416666666</v>
      </c>
      <c r="G3609" s="11" t="n">
        <v>-3.98</v>
      </c>
      <c r="H3609" s="11">
        <f>H3608+G3609</f>
        <v/>
      </c>
    </row>
    <row r="3610">
      <c r="A3610" s="9" t="n">
        <v>3606</v>
      </c>
      <c r="B3610" s="9" t="inlineStr">
        <is>
          <t>Meridian</t>
        </is>
      </c>
      <c r="C3610" s="9" t="inlineStr">
        <is>
          <t>21/50 MA cross, 250-period confirm filter, VWAP</t>
        </is>
      </c>
      <c r="D3610" s="9" t="inlineStr">
        <is>
          <t>Short</t>
        </is>
      </c>
      <c r="E3610" s="10" t="n">
        <v>45574.38888888889</v>
      </c>
      <c r="F3610" s="10" t="n">
        <v>45574.51736111111</v>
      </c>
      <c r="G3610" s="11" t="n">
        <v>-4.01</v>
      </c>
      <c r="H3610" s="11">
        <f>H3609+G3610</f>
        <v/>
      </c>
    </row>
    <row r="3611">
      <c r="A3611" s="9" t="n">
        <v>3607</v>
      </c>
      <c r="B3611" s="9" t="inlineStr">
        <is>
          <t>Aurelius_M5</t>
        </is>
      </c>
      <c r="C3611" s="9" t="inlineStr">
        <is>
          <t>MA alignment (EMA21&gt;EMA50&gt;SMA250&gt;SMMA500 vs EMA2400 trend filter)</t>
        </is>
      </c>
      <c r="D3611" s="9" t="inlineStr">
        <is>
          <t>Short</t>
        </is>
      </c>
      <c r="E3611" s="10" t="n">
        <v>45574.69444444445</v>
      </c>
      <c r="F3611" s="10" t="n">
        <v>45574.75347222222</v>
      </c>
      <c r="G3611" s="11" t="n">
        <v>-6.53</v>
      </c>
      <c r="H3611" s="11">
        <f>H3610+G3611</f>
        <v/>
      </c>
    </row>
    <row r="3612">
      <c r="A3612" s="9" t="n">
        <v>3608</v>
      </c>
      <c r="B3612" s="9" t="inlineStr">
        <is>
          <t>Meridian</t>
        </is>
      </c>
      <c r="C3612" s="9" t="inlineStr">
        <is>
          <t>21/50 MA cross, 250-period confirm filter, VWAP</t>
        </is>
      </c>
      <c r="D3612" s="9" t="inlineStr">
        <is>
          <t>Short</t>
        </is>
      </c>
      <c r="E3612" s="10" t="n">
        <v>45574.68055555555</v>
      </c>
      <c r="F3612" s="10" t="n">
        <v>45574.76041666666</v>
      </c>
      <c r="G3612" s="11" t="n">
        <v>-5.6</v>
      </c>
      <c r="H3612" s="11">
        <f>H3611+G3612</f>
        <v/>
      </c>
    </row>
    <row r="3613">
      <c r="A3613" s="9" t="n">
        <v>3609</v>
      </c>
      <c r="B3613" s="9" t="inlineStr">
        <is>
          <t>Ratchet</t>
        </is>
      </c>
      <c r="C3613" s="9" t="inlineStr">
        <is>
          <t>Stochastic scalp with give-back trail exit</t>
        </is>
      </c>
      <c r="D3613" s="9" t="inlineStr">
        <is>
          <t>Short</t>
        </is>
      </c>
      <c r="E3613" s="10" t="n">
        <v>45574.89930555555</v>
      </c>
      <c r="F3613" s="10" t="n">
        <v>45574.91666666666</v>
      </c>
      <c r="G3613" s="11" t="n">
        <v>0.32</v>
      </c>
      <c r="H3613" s="11">
        <f>H3612+G3613</f>
        <v/>
      </c>
    </row>
    <row r="3614">
      <c r="A3614" s="9" t="n">
        <v>3610</v>
      </c>
      <c r="B3614" s="9" t="inlineStr">
        <is>
          <t>Ratchet</t>
        </is>
      </c>
      <c r="C3614" s="9" t="inlineStr">
        <is>
          <t>Stochastic scalp with give-back trail exit</t>
        </is>
      </c>
      <c r="D3614" s="9" t="inlineStr">
        <is>
          <t>Short</t>
        </is>
      </c>
      <c r="E3614" s="10" t="n">
        <v>45574.96875</v>
      </c>
      <c r="F3614" s="10" t="n">
        <v>45574.97569444445</v>
      </c>
      <c r="G3614" s="11" t="n">
        <v>-0</v>
      </c>
      <c r="H3614" s="11">
        <f>H3613+G3614</f>
        <v/>
      </c>
    </row>
    <row r="3615">
      <c r="A3615" s="9" t="n">
        <v>3611</v>
      </c>
      <c r="B3615" s="9" t="inlineStr">
        <is>
          <t>Aurelius_M15</t>
        </is>
      </c>
      <c r="C3615" s="9" t="inlineStr">
        <is>
          <t>MA alignment (EMA21&gt;EMA50&gt;SMA250&gt;SMMA500 vs EMA2400 trend filter) - M15 chart</t>
        </is>
      </c>
      <c r="D3615" s="9" t="inlineStr">
        <is>
          <t>Short</t>
        </is>
      </c>
      <c r="E3615" s="10" t="n">
        <v>45573.76041666666</v>
      </c>
      <c r="F3615" s="10" t="n">
        <v>45575.30208333334</v>
      </c>
      <c r="G3615" s="11" t="n">
        <v>-0.8</v>
      </c>
      <c r="H3615" s="11">
        <f>H3614+G3615</f>
        <v/>
      </c>
    </row>
    <row r="3616">
      <c r="A3616" s="9" t="n">
        <v>3612</v>
      </c>
      <c r="B3616" s="9" t="inlineStr">
        <is>
          <t>Meridian</t>
        </is>
      </c>
      <c r="C3616" s="9" t="inlineStr">
        <is>
          <t>21/50 MA cross, 250-period confirm filter, VWAP</t>
        </is>
      </c>
      <c r="D3616" s="9" t="inlineStr">
        <is>
          <t>Short</t>
        </is>
      </c>
      <c r="E3616" s="10" t="n">
        <v>45575.42708333334</v>
      </c>
      <c r="F3616" s="10" t="n">
        <v>45575.4375</v>
      </c>
      <c r="G3616" s="11" t="n">
        <v>-3.58</v>
      </c>
      <c r="H3616" s="11">
        <f>H3615+G3616</f>
        <v/>
      </c>
    </row>
    <row r="3617">
      <c r="A3617" s="9" t="n">
        <v>3613</v>
      </c>
      <c r="B3617" s="9" t="inlineStr">
        <is>
          <t>Meridian</t>
        </is>
      </c>
      <c r="C3617" s="9" t="inlineStr">
        <is>
          <t>21/50 MA cross, 250-period confirm filter, VWAP</t>
        </is>
      </c>
      <c r="D3617" s="9" t="inlineStr">
        <is>
          <t>Long</t>
        </is>
      </c>
      <c r="E3617" s="10" t="n">
        <v>45575.65625</v>
      </c>
      <c r="F3617" s="10" t="n">
        <v>45575.84722222222</v>
      </c>
      <c r="G3617" s="11" t="n">
        <v>-2.4</v>
      </c>
      <c r="H3617" s="11">
        <f>H3616+G3617</f>
        <v/>
      </c>
    </row>
    <row r="3618">
      <c r="A3618" s="9" t="n">
        <v>3614</v>
      </c>
      <c r="B3618" s="9" t="inlineStr">
        <is>
          <t>Ratchet</t>
        </is>
      </c>
      <c r="C3618" s="9" t="inlineStr">
        <is>
          <t>Stochastic scalp with give-back trail exit</t>
        </is>
      </c>
      <c r="D3618" s="9" t="inlineStr">
        <is>
          <t>Long</t>
        </is>
      </c>
      <c r="E3618" s="10" t="n">
        <v>45576.14236111111</v>
      </c>
      <c r="F3618" s="10" t="n">
        <v>45576.17013888889</v>
      </c>
      <c r="G3618" s="11" t="n">
        <v>0.52</v>
      </c>
      <c r="H3618" s="11">
        <f>H3617+G3618</f>
        <v/>
      </c>
    </row>
    <row r="3619">
      <c r="A3619" s="9" t="n">
        <v>3615</v>
      </c>
      <c r="B3619" s="9" t="inlineStr">
        <is>
          <t>Ratchet</t>
        </is>
      </c>
      <c r="C3619" s="9" t="inlineStr">
        <is>
          <t>Stochastic scalp with give-back trail exit</t>
        </is>
      </c>
      <c r="D3619" s="9" t="inlineStr">
        <is>
          <t>Long</t>
        </is>
      </c>
      <c r="E3619" s="10" t="n">
        <v>45576.21875</v>
      </c>
      <c r="F3619" s="10" t="n">
        <v>45576.40972222222</v>
      </c>
      <c r="G3619" s="11" t="n">
        <v>2.89</v>
      </c>
      <c r="H3619" s="11">
        <f>H3618+G3619</f>
        <v/>
      </c>
    </row>
    <row r="3620">
      <c r="A3620" s="9" t="n">
        <v>3616</v>
      </c>
      <c r="B3620" s="9" t="inlineStr">
        <is>
          <t>Meridian</t>
        </is>
      </c>
      <c r="C3620" s="9" t="inlineStr">
        <is>
          <t>21/50 MA cross, 250-period confirm filter, VWAP</t>
        </is>
      </c>
      <c r="D3620" s="9" t="inlineStr">
        <is>
          <t>Long</t>
        </is>
      </c>
      <c r="E3620" s="10" t="n">
        <v>45575.85763888889</v>
      </c>
      <c r="F3620" s="10" t="n">
        <v>45576.42361111111</v>
      </c>
      <c r="G3620" s="11" t="n">
        <v>14.49</v>
      </c>
      <c r="H3620" s="11">
        <f>H3619+G3620</f>
        <v/>
      </c>
    </row>
    <row r="3621">
      <c r="A3621" s="9" t="n">
        <v>3617</v>
      </c>
      <c r="B3621" s="9" t="inlineStr">
        <is>
          <t>Meridian</t>
        </is>
      </c>
      <c r="C3621" s="9" t="inlineStr">
        <is>
          <t>21/50 MA cross, 250-period confirm filter, VWAP</t>
        </is>
      </c>
      <c r="D3621" s="9" t="inlineStr">
        <is>
          <t>Long</t>
        </is>
      </c>
      <c r="E3621" s="10" t="n">
        <v>45576.45138888889</v>
      </c>
      <c r="F3621" s="10" t="n">
        <v>45576.46875</v>
      </c>
      <c r="G3621" s="11" t="n">
        <v>-4.13</v>
      </c>
      <c r="H3621" s="11">
        <f>H3620+G3621</f>
        <v/>
      </c>
    </row>
    <row r="3622">
      <c r="A3622" s="9" t="n">
        <v>3618</v>
      </c>
      <c r="B3622" s="9" t="inlineStr">
        <is>
          <t>Aurelius_M5</t>
        </is>
      </c>
      <c r="C3622" s="9" t="inlineStr">
        <is>
          <t>MA alignment (EMA21&gt;EMA50&gt;SMA250&gt;SMMA500 vs EMA2400 trend filter)</t>
        </is>
      </c>
      <c r="D3622" s="9" t="inlineStr">
        <is>
          <t>Long</t>
        </is>
      </c>
      <c r="E3622" s="10" t="n">
        <v>45576.62847222222</v>
      </c>
      <c r="F3622" s="10" t="n">
        <v>45576.65277777778</v>
      </c>
      <c r="G3622" s="11" t="n">
        <v>-3.53</v>
      </c>
      <c r="H3622" s="11">
        <f>H3621+G3622</f>
        <v/>
      </c>
    </row>
    <row r="3623">
      <c r="A3623" s="9" t="n">
        <v>3619</v>
      </c>
      <c r="B3623" s="9" t="inlineStr">
        <is>
          <t>Ratchet</t>
        </is>
      </c>
      <c r="C3623" s="9" t="inlineStr">
        <is>
          <t>Stochastic scalp with give-back trail exit</t>
        </is>
      </c>
      <c r="D3623" s="9" t="inlineStr">
        <is>
          <t>Long</t>
        </is>
      </c>
      <c r="E3623" s="10" t="n">
        <v>45576.70138888889</v>
      </c>
      <c r="F3623" s="10" t="n">
        <v>45576.73958333334</v>
      </c>
      <c r="G3623" s="11" t="n">
        <v>0.96</v>
      </c>
      <c r="H3623" s="11">
        <f>H3622+G3623</f>
        <v/>
      </c>
    </row>
    <row r="3624">
      <c r="A3624" s="9" t="n">
        <v>3620</v>
      </c>
      <c r="B3624" s="9" t="inlineStr">
        <is>
          <t>Meridian</t>
        </is>
      </c>
      <c r="C3624" s="9" t="inlineStr">
        <is>
          <t>21/50 MA cross, 250-period confirm filter, VWAP</t>
        </is>
      </c>
      <c r="D3624" s="9" t="inlineStr">
        <is>
          <t>Long</t>
        </is>
      </c>
      <c r="E3624" s="10" t="n">
        <v>45576.62152777778</v>
      </c>
      <c r="F3624" s="10" t="n">
        <v>45576.91666666666</v>
      </c>
      <c r="G3624" s="11" t="n">
        <v>15.13</v>
      </c>
      <c r="H3624" s="11">
        <f>H3623+G3624</f>
        <v/>
      </c>
    </row>
    <row r="3625">
      <c r="A3625" s="9" t="n">
        <v>3621</v>
      </c>
      <c r="B3625" s="9" t="inlineStr">
        <is>
          <t>Aurelius_M5</t>
        </is>
      </c>
      <c r="C3625" s="9" t="inlineStr">
        <is>
          <t>MA alignment (EMA21&gt;EMA50&gt;SMA250&gt;SMMA500 vs EMA2400 trend filter)</t>
        </is>
      </c>
      <c r="D3625" s="9" t="inlineStr">
        <is>
          <t>Long</t>
        </is>
      </c>
      <c r="E3625" s="10" t="n">
        <v>45576.67013888889</v>
      </c>
      <c r="F3625" s="10" t="n">
        <v>45576.92013888889</v>
      </c>
      <c r="G3625" s="11" t="n">
        <v>11.79</v>
      </c>
      <c r="H3625" s="11">
        <f>H3624+G3625</f>
        <v/>
      </c>
    </row>
    <row r="3626">
      <c r="A3626" s="9" t="n">
        <v>3622</v>
      </c>
      <c r="B3626" s="9" t="inlineStr">
        <is>
          <t>Aurelius_M15</t>
        </is>
      </c>
      <c r="C3626" s="9" t="inlineStr">
        <is>
          <t>MA alignment (EMA21&gt;EMA50&gt;SMA250&gt;SMMA500 vs EMA2400 trend filter) - M15 chart</t>
        </is>
      </c>
      <c r="D3626" s="9" t="inlineStr">
        <is>
          <t>Long</t>
        </is>
      </c>
      <c r="E3626" s="10" t="n">
        <v>45576.66666666666</v>
      </c>
      <c r="F3626" s="10" t="n">
        <v>45576.92708333334</v>
      </c>
      <c r="G3626" s="11" t="n">
        <v>14.23</v>
      </c>
      <c r="H3626" s="11">
        <f>H3625+G3626</f>
        <v/>
      </c>
    </row>
    <row r="3627">
      <c r="A3627" s="9" t="n">
        <v>3623</v>
      </c>
      <c r="B3627" s="9" t="inlineStr">
        <is>
          <t>Ratchet</t>
        </is>
      </c>
      <c r="C3627" s="9" t="inlineStr">
        <is>
          <t>Stochastic scalp with give-back trail exit</t>
        </is>
      </c>
      <c r="D3627" s="9" t="inlineStr">
        <is>
          <t>Long</t>
        </is>
      </c>
      <c r="E3627" s="10" t="n">
        <v>45579.27777777778</v>
      </c>
      <c r="F3627" s="10" t="n">
        <v>45579.28125</v>
      </c>
      <c r="G3627" s="11" t="n">
        <v>0</v>
      </c>
      <c r="H3627" s="11">
        <f>H3626+G3627</f>
        <v/>
      </c>
    </row>
    <row r="3628">
      <c r="A3628" s="9" t="n">
        <v>3624</v>
      </c>
      <c r="B3628" s="9" t="inlineStr">
        <is>
          <t>Ratchet</t>
        </is>
      </c>
      <c r="C3628" s="9" t="inlineStr">
        <is>
          <t>Stochastic scalp with give-back trail exit</t>
        </is>
      </c>
      <c r="D3628" s="9" t="inlineStr">
        <is>
          <t>Long</t>
        </is>
      </c>
      <c r="E3628" s="10" t="n">
        <v>45579.44791666666</v>
      </c>
      <c r="F3628" s="10" t="n">
        <v>45579.45486111111</v>
      </c>
      <c r="G3628" s="11" t="n">
        <v>-3.13</v>
      </c>
      <c r="H3628" s="11">
        <f>H3627+G3628</f>
        <v/>
      </c>
    </row>
    <row r="3629">
      <c r="A3629" s="9" t="n">
        <v>3625</v>
      </c>
      <c r="B3629" s="9" t="inlineStr">
        <is>
          <t>Ratchet</t>
        </is>
      </c>
      <c r="C3629" s="9" t="inlineStr">
        <is>
          <t>Stochastic scalp with give-back trail exit</t>
        </is>
      </c>
      <c r="D3629" s="9" t="inlineStr">
        <is>
          <t>Long</t>
        </is>
      </c>
      <c r="E3629" s="10" t="n">
        <v>45579.51388888889</v>
      </c>
      <c r="F3629" s="10" t="n">
        <v>45579.51736111111</v>
      </c>
      <c r="G3629" s="11" t="n">
        <v>-2.44</v>
      </c>
      <c r="H3629" s="11">
        <f>H3628+G3629</f>
        <v/>
      </c>
    </row>
    <row r="3630">
      <c r="A3630" s="9" t="n">
        <v>3626</v>
      </c>
      <c r="B3630" s="9" t="inlineStr">
        <is>
          <t>Meridian</t>
        </is>
      </c>
      <c r="C3630" s="9" t="inlineStr">
        <is>
          <t>21/50 MA cross, 250-period confirm filter, VWAP</t>
        </is>
      </c>
      <c r="D3630" s="9" t="inlineStr">
        <is>
          <t>Long</t>
        </is>
      </c>
      <c r="E3630" s="10" t="n">
        <v>45579.25</v>
      </c>
      <c r="F3630" s="10" t="n">
        <v>45579.54166666666</v>
      </c>
      <c r="G3630" s="11" t="n">
        <v>3.2</v>
      </c>
      <c r="H3630" s="11">
        <f>H3629+G3630</f>
        <v/>
      </c>
    </row>
    <row r="3631">
      <c r="A3631" s="9" t="n">
        <v>3627</v>
      </c>
      <c r="B3631" s="9" t="inlineStr">
        <is>
          <t>Aurelius_M5</t>
        </is>
      </c>
      <c r="C3631" s="9" t="inlineStr">
        <is>
          <t>MA alignment (EMA21&gt;EMA50&gt;SMA250&gt;SMMA500 vs EMA2400 trend filter)</t>
        </is>
      </c>
      <c r="D3631" s="9" t="inlineStr">
        <is>
          <t>Long</t>
        </is>
      </c>
      <c r="E3631" s="10" t="n">
        <v>45579.26041666666</v>
      </c>
      <c r="F3631" s="10" t="n">
        <v>45579.54166666666</v>
      </c>
      <c r="G3631" s="11" t="n">
        <v>2.24</v>
      </c>
      <c r="H3631" s="11">
        <f>H3630+G3631</f>
        <v/>
      </c>
    </row>
    <row r="3632">
      <c r="A3632" s="9" t="n">
        <v>3628</v>
      </c>
      <c r="B3632" s="9" t="inlineStr">
        <is>
          <t>Vanguard_M5</t>
        </is>
      </c>
      <c r="C3632" s="9" t="inlineStr">
        <is>
          <t>Trendline breakout (fractal swing line) + VWAP/S-R distance gate</t>
        </is>
      </c>
      <c r="D3632" s="9" t="inlineStr">
        <is>
          <t>Short</t>
        </is>
      </c>
      <c r="E3632" s="10" t="n">
        <v>45579.61805555555</v>
      </c>
      <c r="F3632" s="10" t="n">
        <v>45579.69791666666</v>
      </c>
      <c r="G3632" s="11" t="n">
        <v>-6.08</v>
      </c>
      <c r="H3632" s="11">
        <f>H3631+G3632</f>
        <v/>
      </c>
    </row>
    <row r="3633">
      <c r="A3633" s="9" t="n">
        <v>3629</v>
      </c>
      <c r="B3633" s="9" t="inlineStr">
        <is>
          <t>Vanguard_M15</t>
        </is>
      </c>
      <c r="C3633" s="9" t="inlineStr">
        <is>
          <t>Trendline breakout (fractal swing line) + VWAP/S-R distance gate - M15 chart</t>
        </is>
      </c>
      <c r="D3633" s="9" t="inlineStr">
        <is>
          <t>Short</t>
        </is>
      </c>
      <c r="E3633" s="10" t="n">
        <v>45579.625</v>
      </c>
      <c r="F3633" s="10" t="n">
        <v>45579.69791666666</v>
      </c>
      <c r="G3633" s="11" t="n">
        <v>-8.300000000000001</v>
      </c>
      <c r="H3633" s="11">
        <f>H3632+G3633</f>
        <v/>
      </c>
    </row>
    <row r="3634">
      <c r="A3634" s="9" t="n">
        <v>3630</v>
      </c>
      <c r="B3634" s="9" t="inlineStr">
        <is>
          <t>Meridian</t>
        </is>
      </c>
      <c r="C3634" s="9" t="inlineStr">
        <is>
          <t>21/50 MA cross, 250-period confirm filter, VWAP</t>
        </is>
      </c>
      <c r="D3634" s="9" t="inlineStr">
        <is>
          <t>Short</t>
        </is>
      </c>
      <c r="E3634" s="10" t="n">
        <v>45580.12152777778</v>
      </c>
      <c r="F3634" s="10" t="n">
        <v>45580.22222222222</v>
      </c>
      <c r="G3634" s="11" t="n">
        <v>-1.83</v>
      </c>
      <c r="H3634" s="11">
        <f>H3633+G3634</f>
        <v/>
      </c>
    </row>
    <row r="3635">
      <c r="A3635" s="9" t="n">
        <v>3631</v>
      </c>
      <c r="B3635" s="9" t="inlineStr">
        <is>
          <t>Meridian</t>
        </is>
      </c>
      <c r="C3635" s="9" t="inlineStr">
        <is>
          <t>21/50 MA cross, 250-period confirm filter, VWAP</t>
        </is>
      </c>
      <c r="D3635" s="9" t="inlineStr">
        <is>
          <t>Short</t>
        </is>
      </c>
      <c r="E3635" s="10" t="n">
        <v>45580.26388888889</v>
      </c>
      <c r="F3635" s="10" t="n">
        <v>45580.41666666666</v>
      </c>
      <c r="G3635" s="11" t="n">
        <v>-4</v>
      </c>
      <c r="H3635" s="11">
        <f>H3634+G3635</f>
        <v/>
      </c>
    </row>
    <row r="3636">
      <c r="A3636" s="9" t="n">
        <v>3632</v>
      </c>
      <c r="B3636" s="9" t="inlineStr">
        <is>
          <t>Vanguard_M5</t>
        </is>
      </c>
      <c r="C3636" s="9" t="inlineStr">
        <is>
          <t>Trendline breakout (fractal swing line) + VWAP/S-R distance gate</t>
        </is>
      </c>
      <c r="D3636" s="9" t="inlineStr">
        <is>
          <t>Short</t>
        </is>
      </c>
      <c r="E3636" s="10" t="n">
        <v>45580.29513888889</v>
      </c>
      <c r="F3636" s="10" t="n">
        <v>45580.41666666666</v>
      </c>
      <c r="G3636" s="11" t="n">
        <v>-5.94</v>
      </c>
      <c r="H3636" s="11">
        <f>H3635+G3636</f>
        <v/>
      </c>
    </row>
    <row r="3637">
      <c r="A3637" s="9" t="n">
        <v>3633</v>
      </c>
      <c r="B3637" s="9" t="inlineStr">
        <is>
          <t>Vanguard_M15</t>
        </is>
      </c>
      <c r="C3637" s="9" t="inlineStr">
        <is>
          <t>Trendline breakout (fractal swing line) + VWAP/S-R distance gate - M15 chart</t>
        </is>
      </c>
      <c r="D3637" s="9" t="inlineStr">
        <is>
          <t>Short</t>
        </is>
      </c>
      <c r="E3637" s="10" t="n">
        <v>45580.3125</v>
      </c>
      <c r="F3637" s="10" t="n">
        <v>45580.42708333334</v>
      </c>
      <c r="G3637" s="11" t="n">
        <v>-7.01</v>
      </c>
      <c r="H3637" s="11">
        <f>H3636+G3637</f>
        <v/>
      </c>
    </row>
    <row r="3638">
      <c r="A3638" s="9" t="n">
        <v>3634</v>
      </c>
      <c r="B3638" s="9" t="inlineStr">
        <is>
          <t>Meridian</t>
        </is>
      </c>
      <c r="C3638" s="9" t="inlineStr">
        <is>
          <t>21/50 MA cross, 250-period confirm filter, VWAP</t>
        </is>
      </c>
      <c r="D3638" s="9" t="inlineStr">
        <is>
          <t>Short</t>
        </is>
      </c>
      <c r="E3638" s="10" t="n">
        <v>45580.62152777778</v>
      </c>
      <c r="F3638" s="10" t="n">
        <v>45580.63194444445</v>
      </c>
      <c r="G3638" s="11" t="n">
        <v>-3.94</v>
      </c>
      <c r="H3638" s="11">
        <f>H3637+G3638</f>
        <v/>
      </c>
    </row>
    <row r="3639">
      <c r="A3639" s="9" t="n">
        <v>3635</v>
      </c>
      <c r="B3639" s="9" t="inlineStr">
        <is>
          <t>Aurelius_M15</t>
        </is>
      </c>
      <c r="C3639" s="9" t="inlineStr">
        <is>
          <t>MA alignment (EMA21&gt;EMA50&gt;SMA250&gt;SMMA500 vs EMA2400 trend filter) - M15 chart</t>
        </is>
      </c>
      <c r="D3639" s="9" t="inlineStr">
        <is>
          <t>Long</t>
        </is>
      </c>
      <c r="E3639" s="10" t="n">
        <v>45580.64583333334</v>
      </c>
      <c r="F3639" s="10" t="n">
        <v>45580.65625</v>
      </c>
      <c r="G3639" s="11" t="n">
        <v>-7.88</v>
      </c>
      <c r="H3639" s="11">
        <f>H3638+G3639</f>
        <v/>
      </c>
    </row>
    <row r="3640">
      <c r="A3640" s="9" t="n">
        <v>3636</v>
      </c>
      <c r="B3640" s="9" t="inlineStr">
        <is>
          <t>Meridian</t>
        </is>
      </c>
      <c r="C3640" s="9" t="inlineStr">
        <is>
          <t>21/50 MA cross, 250-period confirm filter, VWAP</t>
        </is>
      </c>
      <c r="D3640" s="9" t="inlineStr">
        <is>
          <t>Long</t>
        </is>
      </c>
      <c r="E3640" s="10" t="n">
        <v>45580.64583333334</v>
      </c>
      <c r="F3640" s="10" t="n">
        <v>45580.65972222222</v>
      </c>
      <c r="G3640" s="11" t="n">
        <v>-4.41</v>
      </c>
      <c r="H3640" s="11">
        <f>H3639+G3640</f>
        <v/>
      </c>
    </row>
    <row r="3641">
      <c r="A3641" s="9" t="n">
        <v>3637</v>
      </c>
      <c r="B3641" s="9" t="inlineStr">
        <is>
          <t>Ratchet</t>
        </is>
      </c>
      <c r="C3641" s="9" t="inlineStr">
        <is>
          <t>Stochastic scalp with give-back trail exit</t>
        </is>
      </c>
      <c r="D3641" s="9" t="inlineStr">
        <is>
          <t>Long</t>
        </is>
      </c>
      <c r="E3641" s="10" t="n">
        <v>45580.77430555555</v>
      </c>
      <c r="F3641" s="10" t="n">
        <v>45580.81597222222</v>
      </c>
      <c r="G3641" s="11" t="n">
        <v>1.57</v>
      </c>
      <c r="H3641" s="11">
        <f>H3640+G3641</f>
        <v/>
      </c>
    </row>
    <row r="3642">
      <c r="A3642" s="9" t="n">
        <v>3638</v>
      </c>
      <c r="B3642" s="9" t="inlineStr">
        <is>
          <t>Ratchet</t>
        </is>
      </c>
      <c r="C3642" s="9" t="inlineStr">
        <is>
          <t>Stochastic scalp with give-back trail exit</t>
        </is>
      </c>
      <c r="D3642" s="9" t="inlineStr">
        <is>
          <t>Long</t>
        </is>
      </c>
      <c r="E3642" s="10" t="n">
        <v>45580.86805555555</v>
      </c>
      <c r="F3642" s="10" t="n">
        <v>45580.90277777778</v>
      </c>
      <c r="G3642" s="11" t="n">
        <v>0.32</v>
      </c>
      <c r="H3642" s="11">
        <f>H3641+G3642</f>
        <v/>
      </c>
    </row>
    <row r="3643">
      <c r="A3643" s="9" t="n">
        <v>3639</v>
      </c>
      <c r="B3643" s="9" t="inlineStr">
        <is>
          <t>Ratchet</t>
        </is>
      </c>
      <c r="C3643" s="9" t="inlineStr">
        <is>
          <t>Stochastic scalp with give-back trail exit</t>
        </is>
      </c>
      <c r="D3643" s="9" t="inlineStr">
        <is>
          <t>Long</t>
        </is>
      </c>
      <c r="E3643" s="10" t="n">
        <v>45580.91319444445</v>
      </c>
      <c r="F3643" s="10" t="n">
        <v>45580.91666666666</v>
      </c>
      <c r="G3643" s="11" t="n">
        <v>-1.66</v>
      </c>
      <c r="H3643" s="11">
        <f>H3642+G3643</f>
        <v/>
      </c>
    </row>
    <row r="3644">
      <c r="A3644" s="9" t="n">
        <v>3640</v>
      </c>
      <c r="B3644" s="9" t="inlineStr">
        <is>
          <t>Meridian</t>
        </is>
      </c>
      <c r="C3644" s="9" t="inlineStr">
        <is>
          <t>21/50 MA cross, 250-period confirm filter, VWAP</t>
        </is>
      </c>
      <c r="D3644" s="9" t="inlineStr">
        <is>
          <t>Long</t>
        </is>
      </c>
      <c r="E3644" s="10" t="n">
        <v>45580.72222222222</v>
      </c>
      <c r="F3644" s="10" t="n">
        <v>45580.98263888889</v>
      </c>
      <c r="G3644" s="11" t="n">
        <v>4.78</v>
      </c>
      <c r="H3644" s="11">
        <f>H3643+G3644</f>
        <v/>
      </c>
    </row>
    <row r="3645">
      <c r="A3645" s="9" t="n">
        <v>3641</v>
      </c>
      <c r="B3645" s="9" t="inlineStr">
        <is>
          <t>Ratchet</t>
        </is>
      </c>
      <c r="C3645" s="9" t="inlineStr">
        <is>
          <t>Stochastic scalp with give-back trail exit</t>
        </is>
      </c>
      <c r="D3645" s="9" t="inlineStr">
        <is>
          <t>Long</t>
        </is>
      </c>
      <c r="E3645" s="10" t="n">
        <v>45581.1875</v>
      </c>
      <c r="F3645" s="10" t="n">
        <v>45581.19097222222</v>
      </c>
      <c r="G3645" s="11" t="n">
        <v>-2.64</v>
      </c>
      <c r="H3645" s="11">
        <f>H3644+G3645</f>
        <v/>
      </c>
    </row>
    <row r="3646">
      <c r="A3646" s="9" t="n">
        <v>3642</v>
      </c>
      <c r="B3646" s="9" t="inlineStr">
        <is>
          <t>Ratchet</t>
        </is>
      </c>
      <c r="C3646" s="9" t="inlineStr">
        <is>
          <t>Stochastic scalp with give-back trail exit</t>
        </is>
      </c>
      <c r="D3646" s="9" t="inlineStr">
        <is>
          <t>Long</t>
        </is>
      </c>
      <c r="E3646" s="10" t="n">
        <v>45581.19444444445</v>
      </c>
      <c r="F3646" s="10" t="n">
        <v>45581.19791666666</v>
      </c>
      <c r="G3646" s="11" t="n">
        <v>0.31</v>
      </c>
      <c r="H3646" s="11">
        <f>H3645+G3646</f>
        <v/>
      </c>
    </row>
    <row r="3647">
      <c r="A3647" s="9" t="n">
        <v>3643</v>
      </c>
      <c r="B3647" s="9" t="inlineStr">
        <is>
          <t>Ratchet</t>
        </is>
      </c>
      <c r="C3647" s="9" t="inlineStr">
        <is>
          <t>Stochastic scalp with give-back trail exit</t>
        </is>
      </c>
      <c r="D3647" s="9" t="inlineStr">
        <is>
          <t>Long</t>
        </is>
      </c>
      <c r="E3647" s="10" t="n">
        <v>45581.24305555555</v>
      </c>
      <c r="F3647" s="10" t="n">
        <v>45581.36805555555</v>
      </c>
      <c r="G3647" s="11" t="n">
        <v>0.4</v>
      </c>
      <c r="H3647" s="11">
        <f>H3646+G3647</f>
        <v/>
      </c>
    </row>
    <row r="3648">
      <c r="A3648" s="9" t="n">
        <v>3644</v>
      </c>
      <c r="B3648" s="9" t="inlineStr">
        <is>
          <t>Ratchet</t>
        </is>
      </c>
      <c r="C3648" s="9" t="inlineStr">
        <is>
          <t>Stochastic scalp with give-back trail exit</t>
        </is>
      </c>
      <c r="D3648" s="9" t="inlineStr">
        <is>
          <t>Long</t>
        </is>
      </c>
      <c r="E3648" s="10" t="n">
        <v>45581.45486111111</v>
      </c>
      <c r="F3648" s="10" t="n">
        <v>45581.48263888889</v>
      </c>
      <c r="G3648" s="11" t="n">
        <v>0.29</v>
      </c>
      <c r="H3648" s="11">
        <f>H3647+G3648</f>
        <v/>
      </c>
    </row>
    <row r="3649">
      <c r="A3649" s="9" t="n">
        <v>3645</v>
      </c>
      <c r="B3649" s="9" t="inlineStr">
        <is>
          <t>Aurelius_M5</t>
        </is>
      </c>
      <c r="C3649" s="9" t="inlineStr">
        <is>
          <t>MA alignment (EMA21&gt;EMA50&gt;SMA250&gt;SMMA500 vs EMA2400 trend filter)</t>
        </is>
      </c>
      <c r="D3649" s="9" t="inlineStr">
        <is>
          <t>Long</t>
        </is>
      </c>
      <c r="E3649" s="10" t="n">
        <v>45581.35763888889</v>
      </c>
      <c r="F3649" s="10" t="n">
        <v>45581.57638888889</v>
      </c>
      <c r="G3649" s="11" t="n">
        <v>7.64</v>
      </c>
      <c r="H3649" s="11">
        <f>H3648+G3649</f>
        <v/>
      </c>
    </row>
    <row r="3650">
      <c r="A3650" s="9" t="n">
        <v>3646</v>
      </c>
      <c r="B3650" s="9" t="inlineStr">
        <is>
          <t>Ratchet</t>
        </is>
      </c>
      <c r="C3650" s="9" t="inlineStr">
        <is>
          <t>Stochastic scalp with give-back trail exit</t>
        </is>
      </c>
      <c r="D3650" s="9" t="inlineStr">
        <is>
          <t>Long</t>
        </is>
      </c>
      <c r="E3650" s="10" t="n">
        <v>45581.61111111111</v>
      </c>
      <c r="F3650" s="10" t="n">
        <v>45581.61805555555</v>
      </c>
      <c r="G3650" s="11" t="n">
        <v>0.26</v>
      </c>
      <c r="H3650" s="11">
        <f>H3649+G3650</f>
        <v/>
      </c>
    </row>
    <row r="3651">
      <c r="A3651" s="9" t="n">
        <v>3647</v>
      </c>
      <c r="B3651" s="9" t="inlineStr">
        <is>
          <t>Ratchet</t>
        </is>
      </c>
      <c r="C3651" s="9" t="inlineStr">
        <is>
          <t>Stochastic scalp with give-back trail exit</t>
        </is>
      </c>
      <c r="D3651" s="9" t="inlineStr">
        <is>
          <t>Long</t>
        </is>
      </c>
      <c r="E3651" s="10" t="n">
        <v>45581.66319444445</v>
      </c>
      <c r="F3651" s="10" t="n">
        <v>45581.67013888889</v>
      </c>
      <c r="G3651" s="11" t="n">
        <v>0.4</v>
      </c>
      <c r="H3651" s="11">
        <f>H3650+G3651</f>
        <v/>
      </c>
    </row>
    <row r="3652">
      <c r="A3652" s="9" t="n">
        <v>3648</v>
      </c>
      <c r="B3652" s="9" t="inlineStr">
        <is>
          <t>Ratchet</t>
        </is>
      </c>
      <c r="C3652" s="9" t="inlineStr">
        <is>
          <t>Stochastic scalp with give-back trail exit</t>
        </is>
      </c>
      <c r="D3652" s="9" t="inlineStr">
        <is>
          <t>Long</t>
        </is>
      </c>
      <c r="E3652" s="10" t="n">
        <v>45581.68055555555</v>
      </c>
      <c r="F3652" s="10" t="n">
        <v>45581.69791666666</v>
      </c>
      <c r="G3652" s="11" t="n">
        <v>0.57</v>
      </c>
      <c r="H3652" s="11">
        <f>H3651+G3652</f>
        <v/>
      </c>
    </row>
    <row r="3653">
      <c r="A3653" s="9" t="n">
        <v>3649</v>
      </c>
      <c r="B3653" s="9" t="inlineStr">
        <is>
          <t>Aurelius_M5</t>
        </is>
      </c>
      <c r="C3653" s="9" t="inlineStr">
        <is>
          <t>MA alignment (EMA21&gt;EMA50&gt;SMA250&gt;SMMA500 vs EMA2400 trend filter)</t>
        </is>
      </c>
      <c r="D3653" s="9" t="inlineStr">
        <is>
          <t>Long</t>
        </is>
      </c>
      <c r="E3653" s="10" t="n">
        <v>45581.64236111111</v>
      </c>
      <c r="F3653" s="10" t="n">
        <v>45581.70138888889</v>
      </c>
      <c r="G3653" s="11" t="n">
        <v>-4.25</v>
      </c>
      <c r="H3653" s="11">
        <f>H3652+G3653</f>
        <v/>
      </c>
    </row>
    <row r="3654">
      <c r="A3654" s="9" t="n">
        <v>3650</v>
      </c>
      <c r="B3654" s="9" t="inlineStr">
        <is>
          <t>Aurelius_M5</t>
        </is>
      </c>
      <c r="C3654" s="9" t="inlineStr">
        <is>
          <t>MA alignment (EMA21&gt;EMA50&gt;SMA250&gt;SMMA500 vs EMA2400 trend filter)</t>
        </is>
      </c>
      <c r="D3654" s="9" t="inlineStr">
        <is>
          <t>Long</t>
        </is>
      </c>
      <c r="E3654" s="10" t="n">
        <v>45581.72222222222</v>
      </c>
      <c r="F3654" s="10" t="n">
        <v>45581.73611111111</v>
      </c>
      <c r="G3654" s="11" t="n">
        <v>-6.67</v>
      </c>
      <c r="H3654" s="11">
        <f>H3653+G3654</f>
        <v/>
      </c>
    </row>
    <row r="3655">
      <c r="A3655" s="9" t="n">
        <v>3651</v>
      </c>
      <c r="B3655" s="9" t="inlineStr">
        <is>
          <t>Meridian</t>
        </is>
      </c>
      <c r="C3655" s="9" t="inlineStr">
        <is>
          <t>21/50 MA cross, 250-period confirm filter, VWAP</t>
        </is>
      </c>
      <c r="D3655" s="9" t="inlineStr">
        <is>
          <t>Long</t>
        </is>
      </c>
      <c r="E3655" s="10" t="n">
        <v>45581.1875</v>
      </c>
      <c r="F3655" s="10" t="n">
        <v>45581.73958333334</v>
      </c>
      <c r="G3655" s="11" t="n">
        <v>8.539999999999999</v>
      </c>
      <c r="H3655" s="11">
        <f>H3654+G3655</f>
        <v/>
      </c>
    </row>
    <row r="3656">
      <c r="A3656" s="9" t="n">
        <v>3652</v>
      </c>
      <c r="B3656" s="9" t="inlineStr">
        <is>
          <t>Meridian</t>
        </is>
      </c>
      <c r="C3656" s="9" t="inlineStr">
        <is>
          <t>21/50 MA cross, 250-period confirm filter, VWAP</t>
        </is>
      </c>
      <c r="D3656" s="9" t="inlineStr">
        <is>
          <t>Long</t>
        </is>
      </c>
      <c r="E3656" s="10" t="n">
        <v>45581.88541666666</v>
      </c>
      <c r="F3656" s="10" t="n">
        <v>45581.93402777778</v>
      </c>
      <c r="G3656" s="11" t="n">
        <v>-2.54</v>
      </c>
      <c r="H3656" s="11">
        <f>H3655+G3656</f>
        <v/>
      </c>
    </row>
    <row r="3657">
      <c r="A3657" s="9" t="n">
        <v>3653</v>
      </c>
      <c r="B3657" s="9" t="inlineStr">
        <is>
          <t>Meridian</t>
        </is>
      </c>
      <c r="C3657" s="9" t="inlineStr">
        <is>
          <t>21/50 MA cross, 250-period confirm filter, VWAP</t>
        </is>
      </c>
      <c r="D3657" s="9" t="inlineStr">
        <is>
          <t>Long</t>
        </is>
      </c>
      <c r="E3657" s="10" t="n">
        <v>45581.96180555555</v>
      </c>
      <c r="F3657" s="10" t="n">
        <v>45581.96875</v>
      </c>
      <c r="G3657" s="11" t="n">
        <v>-0.82</v>
      </c>
      <c r="H3657" s="11">
        <f>H3656+G3657</f>
        <v/>
      </c>
    </row>
    <row r="3658">
      <c r="A3658" s="9" t="n">
        <v>3654</v>
      </c>
      <c r="B3658" s="9" t="inlineStr">
        <is>
          <t>Vanguard_M15</t>
        </is>
      </c>
      <c r="C3658" s="9" t="inlineStr">
        <is>
          <t>Trendline breakout (fractal swing line) + VWAP/S-R distance gate - M15 chart</t>
        </is>
      </c>
      <c r="D3658" s="9" t="inlineStr">
        <is>
          <t>Short</t>
        </is>
      </c>
      <c r="E3658" s="10" t="n">
        <v>45581.73958333334</v>
      </c>
      <c r="F3658" s="10" t="n">
        <v>45582.20833333334</v>
      </c>
      <c r="G3658" s="11" t="n">
        <v>-12.67</v>
      </c>
      <c r="H3658" s="11">
        <f>H3657+G3658</f>
        <v/>
      </c>
    </row>
    <row r="3659">
      <c r="A3659" s="9" t="n">
        <v>3655</v>
      </c>
      <c r="B3659" s="9" t="inlineStr">
        <is>
          <t>Vanguard_M5</t>
        </is>
      </c>
      <c r="C3659" s="9" t="inlineStr">
        <is>
          <t>Trendline breakout (fractal swing line) + VWAP/S-R distance gate</t>
        </is>
      </c>
      <c r="D3659" s="9" t="inlineStr">
        <is>
          <t>Short</t>
        </is>
      </c>
      <c r="E3659" s="10" t="n">
        <v>45581.73958333334</v>
      </c>
      <c r="F3659" s="10" t="n">
        <v>45582.20833333334</v>
      </c>
      <c r="G3659" s="11" t="n">
        <v>-11.26</v>
      </c>
      <c r="H3659" s="11">
        <f>H3658+G3659</f>
        <v/>
      </c>
    </row>
    <row r="3660">
      <c r="A3660" s="9" t="n">
        <v>3656</v>
      </c>
      <c r="B3660" s="9" t="inlineStr">
        <is>
          <t>Aurelius_M5</t>
        </is>
      </c>
      <c r="C3660" s="9" t="inlineStr">
        <is>
          <t>MA alignment (EMA21&gt;EMA50&gt;SMA250&gt;SMMA500 vs EMA2400 trend filter)</t>
        </is>
      </c>
      <c r="D3660" s="9" t="inlineStr">
        <is>
          <t>Long</t>
        </is>
      </c>
      <c r="E3660" s="10" t="n">
        <v>45582.14930555555</v>
      </c>
      <c r="F3660" s="10" t="n">
        <v>45582.27777777778</v>
      </c>
      <c r="G3660" s="11" t="n">
        <v>-1.62</v>
      </c>
      <c r="H3660" s="11">
        <f>H3659+G3660</f>
        <v/>
      </c>
    </row>
    <row r="3661">
      <c r="A3661" s="9" t="n">
        <v>3657</v>
      </c>
      <c r="B3661" s="9" t="inlineStr">
        <is>
          <t>Aurelius_M5</t>
        </is>
      </c>
      <c r="C3661" s="9" t="inlineStr">
        <is>
          <t>MA alignment (EMA21&gt;EMA50&gt;SMA250&gt;SMMA500 vs EMA2400 trend filter)</t>
        </is>
      </c>
      <c r="D3661" s="9" t="inlineStr">
        <is>
          <t>Long</t>
        </is>
      </c>
      <c r="E3661" s="10" t="n">
        <v>45582.36111111111</v>
      </c>
      <c r="F3661" s="10" t="n">
        <v>45582.42013888889</v>
      </c>
      <c r="G3661" s="11" t="n">
        <v>-3.46</v>
      </c>
      <c r="H3661" s="11">
        <f>H3660+G3661</f>
        <v/>
      </c>
    </row>
    <row r="3662">
      <c r="A3662" s="9" t="n">
        <v>3658</v>
      </c>
      <c r="B3662" s="9" t="inlineStr">
        <is>
          <t>Ratchet</t>
        </is>
      </c>
      <c r="C3662" s="9" t="inlineStr">
        <is>
          <t>Stochastic scalp with give-back trail exit</t>
        </is>
      </c>
      <c r="D3662" s="9" t="inlineStr">
        <is>
          <t>Long</t>
        </is>
      </c>
      <c r="E3662" s="10" t="n">
        <v>45582.47569444445</v>
      </c>
      <c r="F3662" s="10" t="n">
        <v>45582.48263888889</v>
      </c>
      <c r="G3662" s="11" t="n">
        <v>0</v>
      </c>
      <c r="H3662" s="11">
        <f>H3661+G3662</f>
        <v/>
      </c>
    </row>
    <row r="3663">
      <c r="A3663" s="9" t="n">
        <v>3659</v>
      </c>
      <c r="B3663" s="9" t="inlineStr">
        <is>
          <t>Aurelius_M5</t>
        </is>
      </c>
      <c r="C3663" s="9" t="inlineStr">
        <is>
          <t>MA alignment (EMA21&gt;EMA50&gt;SMA250&gt;SMMA500 vs EMA2400 trend filter)</t>
        </is>
      </c>
      <c r="D3663" s="9" t="inlineStr">
        <is>
          <t>Long</t>
        </is>
      </c>
      <c r="E3663" s="10" t="n">
        <v>45582.44097222222</v>
      </c>
      <c r="F3663" s="10" t="n">
        <v>45582.51388888889</v>
      </c>
      <c r="G3663" s="11" t="n">
        <v>-4.2</v>
      </c>
      <c r="H3663" s="11">
        <f>H3662+G3663</f>
        <v/>
      </c>
    </row>
    <row r="3664">
      <c r="A3664" s="9" t="n">
        <v>3660</v>
      </c>
      <c r="B3664" s="9" t="inlineStr">
        <is>
          <t>Meridian</t>
        </is>
      </c>
      <c r="C3664" s="9" t="inlineStr">
        <is>
          <t>21/50 MA cross, 250-period confirm filter, VWAP</t>
        </is>
      </c>
      <c r="D3664" s="9" t="inlineStr">
        <is>
          <t>Long</t>
        </is>
      </c>
      <c r="E3664" s="10" t="n">
        <v>45582.12847222222</v>
      </c>
      <c r="F3664" s="10" t="n">
        <v>45582.51736111111</v>
      </c>
      <c r="G3664" s="11" t="n">
        <v>2.39</v>
      </c>
      <c r="H3664" s="11">
        <f>H3663+G3664</f>
        <v/>
      </c>
    </row>
    <row r="3665">
      <c r="A3665" s="9" t="n">
        <v>3661</v>
      </c>
      <c r="B3665" s="9" t="inlineStr">
        <is>
          <t>Vanguard_M5</t>
        </is>
      </c>
      <c r="C3665" s="9" t="inlineStr">
        <is>
          <t>Trendline breakout (fractal swing line) + VWAP/S-R distance gate</t>
        </is>
      </c>
      <c r="D3665" s="9" t="inlineStr">
        <is>
          <t>Short</t>
        </is>
      </c>
      <c r="E3665" s="10" t="n">
        <v>45582.64930555555</v>
      </c>
      <c r="F3665" s="10" t="n">
        <v>45582.67708333334</v>
      </c>
      <c r="G3665" s="11" t="n">
        <v>-8.050000000000001</v>
      </c>
      <c r="H3665" s="11">
        <f>H3664+G3665</f>
        <v/>
      </c>
    </row>
    <row r="3666">
      <c r="A3666" s="9" t="n">
        <v>3662</v>
      </c>
      <c r="B3666" s="9" t="inlineStr">
        <is>
          <t>Vanguard_M15</t>
        </is>
      </c>
      <c r="C3666" s="9" t="inlineStr">
        <is>
          <t>Trendline breakout (fractal swing line) + VWAP/S-R distance gate - M15 chart</t>
        </is>
      </c>
      <c r="D3666" s="9" t="inlineStr">
        <is>
          <t>Short</t>
        </is>
      </c>
      <c r="E3666" s="10" t="n">
        <v>45582.65625</v>
      </c>
      <c r="F3666" s="10" t="n">
        <v>45582.67708333334</v>
      </c>
      <c r="G3666" s="11" t="n">
        <v>-9.859999999999999</v>
      </c>
      <c r="H3666" s="11">
        <f>H3665+G3666</f>
        <v/>
      </c>
    </row>
    <row r="3667">
      <c r="A3667" s="9" t="n">
        <v>3663</v>
      </c>
      <c r="B3667" s="9" t="inlineStr">
        <is>
          <t>Ratchet</t>
        </is>
      </c>
      <c r="C3667" s="9" t="inlineStr">
        <is>
          <t>Stochastic scalp with give-back trail exit</t>
        </is>
      </c>
      <c r="D3667" s="9" t="inlineStr">
        <is>
          <t>Long</t>
        </is>
      </c>
      <c r="E3667" s="10" t="n">
        <v>45582.71527777778</v>
      </c>
      <c r="F3667" s="10" t="n">
        <v>45582.71875</v>
      </c>
      <c r="G3667" s="11" t="n">
        <v>0.53</v>
      </c>
      <c r="H3667" s="11">
        <f>H3666+G3667</f>
        <v/>
      </c>
    </row>
    <row r="3668">
      <c r="A3668" s="9" t="n">
        <v>3664</v>
      </c>
      <c r="B3668" s="9" t="inlineStr">
        <is>
          <t>Ratchet</t>
        </is>
      </c>
      <c r="C3668" s="9" t="inlineStr">
        <is>
          <t>Stochastic scalp with give-back trail exit</t>
        </is>
      </c>
      <c r="D3668" s="9" t="inlineStr">
        <is>
          <t>Long</t>
        </is>
      </c>
      <c r="E3668" s="10" t="n">
        <v>45582.77430555555</v>
      </c>
      <c r="F3668" s="10" t="n">
        <v>45582.77777777778</v>
      </c>
      <c r="G3668" s="11" t="n">
        <v>0.68</v>
      </c>
      <c r="H3668" s="11">
        <f>H3667+G3668</f>
        <v/>
      </c>
    </row>
    <row r="3669">
      <c r="A3669" s="9" t="n">
        <v>3665</v>
      </c>
      <c r="B3669" s="9" t="inlineStr">
        <is>
          <t>Aurelius_M5</t>
        </is>
      </c>
      <c r="C3669" s="9" t="inlineStr">
        <is>
          <t>MA alignment (EMA21&gt;EMA50&gt;SMA250&gt;SMMA500 vs EMA2400 trend filter)</t>
        </is>
      </c>
      <c r="D3669" s="9" t="inlineStr">
        <is>
          <t>Long</t>
        </is>
      </c>
      <c r="E3669" s="10" t="n">
        <v>45582.72569444445</v>
      </c>
      <c r="F3669" s="10" t="n">
        <v>45583.04166666666</v>
      </c>
      <c r="G3669" s="11" t="n">
        <v>2.41</v>
      </c>
      <c r="H3669" s="11">
        <f>H3668+G3669</f>
        <v/>
      </c>
    </row>
    <row r="3670">
      <c r="A3670" s="9" t="n">
        <v>3666</v>
      </c>
      <c r="B3670" s="9" t="inlineStr">
        <is>
          <t>Ratchet</t>
        </is>
      </c>
      <c r="C3670" s="9" t="inlineStr">
        <is>
          <t>Stochastic scalp with give-back trail exit</t>
        </is>
      </c>
      <c r="D3670" s="9" t="inlineStr">
        <is>
          <t>Long</t>
        </is>
      </c>
      <c r="E3670" s="10" t="n">
        <v>45583.05902777778</v>
      </c>
      <c r="F3670" s="10" t="n">
        <v>45583.07638888889</v>
      </c>
      <c r="G3670" s="11" t="n">
        <v>0</v>
      </c>
      <c r="H3670" s="11">
        <f>H3669+G3670</f>
        <v/>
      </c>
    </row>
    <row r="3671">
      <c r="A3671" s="9" t="n">
        <v>3667</v>
      </c>
      <c r="B3671" s="9" t="inlineStr">
        <is>
          <t>Ratchet</t>
        </is>
      </c>
      <c r="C3671" s="9" t="inlineStr">
        <is>
          <t>Stochastic scalp with give-back trail exit</t>
        </is>
      </c>
      <c r="D3671" s="9" t="inlineStr">
        <is>
          <t>Long</t>
        </is>
      </c>
      <c r="E3671" s="10" t="n">
        <v>45583.36111111111</v>
      </c>
      <c r="F3671" s="10" t="n">
        <v>45583.37152777778</v>
      </c>
      <c r="G3671" s="11" t="n">
        <v>-1.88</v>
      </c>
      <c r="H3671" s="11">
        <f>H3670+G3671</f>
        <v/>
      </c>
    </row>
    <row r="3672">
      <c r="A3672" s="9" t="n">
        <v>3668</v>
      </c>
      <c r="B3672" s="9" t="inlineStr">
        <is>
          <t>Ratchet</t>
        </is>
      </c>
      <c r="C3672" s="9" t="inlineStr">
        <is>
          <t>Stochastic scalp with give-back trail exit</t>
        </is>
      </c>
      <c r="D3672" s="9" t="inlineStr">
        <is>
          <t>Long</t>
        </is>
      </c>
      <c r="E3672" s="10" t="n">
        <v>45583.52430555555</v>
      </c>
      <c r="F3672" s="10" t="n">
        <v>45583.55555555555</v>
      </c>
      <c r="G3672" s="11" t="n">
        <v>0</v>
      </c>
      <c r="H3672" s="11">
        <f>H3671+G3672</f>
        <v/>
      </c>
    </row>
    <row r="3673">
      <c r="A3673" s="9" t="n">
        <v>3669</v>
      </c>
      <c r="B3673" s="9" t="inlineStr">
        <is>
          <t>Ratchet</t>
        </is>
      </c>
      <c r="C3673" s="9" t="inlineStr">
        <is>
          <t>Stochastic scalp with give-back trail exit</t>
        </is>
      </c>
      <c r="D3673" s="9" t="inlineStr">
        <is>
          <t>Long</t>
        </is>
      </c>
      <c r="E3673" s="10" t="n">
        <v>45583.63888888889</v>
      </c>
      <c r="F3673" s="10" t="n">
        <v>45583.64236111111</v>
      </c>
      <c r="G3673" s="11" t="n">
        <v>0</v>
      </c>
      <c r="H3673" s="11">
        <f>H3672+G3673</f>
        <v/>
      </c>
    </row>
    <row r="3674">
      <c r="A3674" s="9" t="n">
        <v>3670</v>
      </c>
      <c r="B3674" s="9" t="inlineStr">
        <is>
          <t>Meridian</t>
        </is>
      </c>
      <c r="C3674" s="9" t="inlineStr">
        <is>
          <t>21/50 MA cross, 250-period confirm filter, VWAP</t>
        </is>
      </c>
      <c r="D3674" s="9" t="inlineStr">
        <is>
          <t>Long</t>
        </is>
      </c>
      <c r="E3674" s="10" t="n">
        <v>45583.51736111111</v>
      </c>
      <c r="F3674" s="10" t="n">
        <v>45583.67013888889</v>
      </c>
      <c r="G3674" s="11" t="n">
        <v>-3.99</v>
      </c>
      <c r="H3674" s="11">
        <f>H3673+G3674</f>
        <v/>
      </c>
    </row>
    <row r="3675">
      <c r="A3675" s="9" t="n">
        <v>3671</v>
      </c>
      <c r="B3675" s="9" t="inlineStr">
        <is>
          <t>Aurelius_M5</t>
        </is>
      </c>
      <c r="C3675" s="9" t="inlineStr">
        <is>
          <t>MA alignment (EMA21&gt;EMA50&gt;SMA250&gt;SMMA500 vs EMA2400 trend filter)</t>
        </is>
      </c>
      <c r="D3675" s="9" t="inlineStr">
        <is>
          <t>Long</t>
        </is>
      </c>
      <c r="E3675" s="10" t="n">
        <v>45583.625</v>
      </c>
      <c r="F3675" s="10" t="n">
        <v>45583.67361111111</v>
      </c>
      <c r="G3675" s="11" t="n">
        <v>-4.35</v>
      </c>
      <c r="H3675" s="11">
        <f>H3674+G3675</f>
        <v/>
      </c>
    </row>
    <row r="3676">
      <c r="A3676" s="9" t="n">
        <v>3672</v>
      </c>
      <c r="B3676" s="9" t="inlineStr">
        <is>
          <t>Ratchet</t>
        </is>
      </c>
      <c r="C3676" s="9" t="inlineStr">
        <is>
          <t>Stochastic scalp with give-back trail exit</t>
        </is>
      </c>
      <c r="D3676" s="9" t="inlineStr">
        <is>
          <t>Long</t>
        </is>
      </c>
      <c r="E3676" s="10" t="n">
        <v>45583.71875</v>
      </c>
      <c r="F3676" s="10" t="n">
        <v>45583.72916666666</v>
      </c>
      <c r="G3676" s="11" t="n">
        <v>0.62</v>
      </c>
      <c r="H3676" s="11">
        <f>H3675+G3676</f>
        <v/>
      </c>
    </row>
    <row r="3677">
      <c r="A3677" s="9" t="n">
        <v>3673</v>
      </c>
      <c r="B3677" s="9" t="inlineStr">
        <is>
          <t>Ratchet</t>
        </is>
      </c>
      <c r="C3677" s="9" t="inlineStr">
        <is>
          <t>Stochastic scalp with give-back trail exit</t>
        </is>
      </c>
      <c r="D3677" s="9" t="inlineStr">
        <is>
          <t>Long</t>
        </is>
      </c>
      <c r="E3677" s="10" t="n">
        <v>45583.76041666666</v>
      </c>
      <c r="F3677" s="10" t="n">
        <v>45583.77430555555</v>
      </c>
      <c r="G3677" s="11" t="n">
        <v>-4.28</v>
      </c>
      <c r="H3677" s="11">
        <f>H3676+G3677</f>
        <v/>
      </c>
    </row>
    <row r="3678">
      <c r="A3678" s="9" t="n">
        <v>3674</v>
      </c>
      <c r="B3678" s="9" t="inlineStr">
        <is>
          <t>Meridian</t>
        </is>
      </c>
      <c r="C3678" s="9" t="inlineStr">
        <is>
          <t>21/50 MA cross, 250-period confirm filter, VWAP</t>
        </is>
      </c>
      <c r="D3678" s="9" t="inlineStr">
        <is>
          <t>Long</t>
        </is>
      </c>
      <c r="E3678" s="10" t="n">
        <v>45583.70138888889</v>
      </c>
      <c r="F3678" s="10" t="n">
        <v>45583.91666666666</v>
      </c>
      <c r="G3678" s="11" t="n">
        <v>6.2</v>
      </c>
      <c r="H3678" s="11">
        <f>H3677+G3678</f>
        <v/>
      </c>
    </row>
    <row r="3679">
      <c r="A3679" s="9" t="n">
        <v>3675</v>
      </c>
      <c r="B3679" s="9" t="inlineStr">
        <is>
          <t>Aurelius_M15</t>
        </is>
      </c>
      <c r="C3679" s="9" t="inlineStr">
        <is>
          <t>MA alignment (EMA21&gt;EMA50&gt;SMA250&gt;SMMA500 vs EMA2400 trend filter) - M15 chart</t>
        </is>
      </c>
      <c r="D3679" s="9" t="inlineStr">
        <is>
          <t>Long</t>
        </is>
      </c>
      <c r="E3679" s="10" t="n">
        <v>45580.71875</v>
      </c>
      <c r="F3679" s="10" t="n">
        <v>45583.92708333334</v>
      </c>
      <c r="G3679" s="11" t="n">
        <v>63.87</v>
      </c>
      <c r="H3679" s="11">
        <f>H3678+G3679</f>
        <v/>
      </c>
    </row>
    <row r="3680">
      <c r="A3680" s="9" t="n">
        <v>3676</v>
      </c>
      <c r="B3680" s="9" t="inlineStr">
        <is>
          <t>Ratchet</t>
        </is>
      </c>
      <c r="C3680" s="9" t="inlineStr">
        <is>
          <t>Stochastic scalp with give-back trail exit</t>
        </is>
      </c>
      <c r="D3680" s="9" t="inlineStr">
        <is>
          <t>Long</t>
        </is>
      </c>
      <c r="E3680" s="10" t="n">
        <v>45586.05902777778</v>
      </c>
      <c r="F3680" s="10" t="n">
        <v>45586.10069444445</v>
      </c>
      <c r="G3680" s="11" t="n">
        <v>0.5600000000000001</v>
      </c>
      <c r="H3680" s="11">
        <f>H3679+G3680</f>
        <v/>
      </c>
    </row>
    <row r="3681">
      <c r="A3681" s="9" t="n">
        <v>3677</v>
      </c>
      <c r="B3681" s="9" t="inlineStr">
        <is>
          <t>Ratchet</t>
        </is>
      </c>
      <c r="C3681" s="9" t="inlineStr">
        <is>
          <t>Stochastic scalp with give-back trail exit</t>
        </is>
      </c>
      <c r="D3681" s="9" t="inlineStr">
        <is>
          <t>Long</t>
        </is>
      </c>
      <c r="E3681" s="10" t="n">
        <v>45586.10763888889</v>
      </c>
      <c r="F3681" s="10" t="n">
        <v>45586.11111111111</v>
      </c>
      <c r="G3681" s="11" t="n">
        <v>0.2</v>
      </c>
      <c r="H3681" s="11">
        <f>H3680+G3681</f>
        <v/>
      </c>
    </row>
    <row r="3682">
      <c r="A3682" s="9" t="n">
        <v>3678</v>
      </c>
      <c r="B3682" s="9" t="inlineStr">
        <is>
          <t>Ratchet</t>
        </is>
      </c>
      <c r="C3682" s="9" t="inlineStr">
        <is>
          <t>Stochastic scalp with give-back trail exit</t>
        </is>
      </c>
      <c r="D3682" s="9" t="inlineStr">
        <is>
          <t>Long</t>
        </is>
      </c>
      <c r="E3682" s="10" t="n">
        <v>45586.11458333334</v>
      </c>
      <c r="F3682" s="10" t="n">
        <v>45586.11458333334</v>
      </c>
      <c r="G3682" s="11" t="n">
        <v>-1.78</v>
      </c>
      <c r="H3682" s="11">
        <f>H3681+G3682</f>
        <v/>
      </c>
    </row>
    <row r="3683">
      <c r="A3683" s="9" t="n">
        <v>3679</v>
      </c>
      <c r="B3683" s="9" t="inlineStr">
        <is>
          <t>Aurelius_M5</t>
        </is>
      </c>
      <c r="C3683" s="9" t="inlineStr">
        <is>
          <t>MA alignment (EMA21&gt;EMA50&gt;SMA250&gt;SMMA500 vs EMA2400 trend filter)</t>
        </is>
      </c>
      <c r="D3683" s="9" t="inlineStr">
        <is>
          <t>Long</t>
        </is>
      </c>
      <c r="E3683" s="10" t="n">
        <v>45586.17361111111</v>
      </c>
      <c r="F3683" s="10" t="n">
        <v>45586.36458333334</v>
      </c>
      <c r="G3683" s="11" t="n">
        <v>1.49</v>
      </c>
      <c r="H3683" s="11">
        <f>H3682+G3683</f>
        <v/>
      </c>
    </row>
    <row r="3684">
      <c r="A3684" s="9" t="n">
        <v>3680</v>
      </c>
      <c r="B3684" s="9" t="inlineStr">
        <is>
          <t>Meridian</t>
        </is>
      </c>
      <c r="C3684" s="9" t="inlineStr">
        <is>
          <t>21/50 MA cross, 250-period confirm filter, VWAP</t>
        </is>
      </c>
      <c r="D3684" s="9" t="inlineStr">
        <is>
          <t>Long</t>
        </is>
      </c>
      <c r="E3684" s="10" t="n">
        <v>45586.42013888889</v>
      </c>
      <c r="F3684" s="10" t="n">
        <v>45586.43402777778</v>
      </c>
      <c r="G3684" s="11" t="n">
        <v>-3.59</v>
      </c>
      <c r="H3684" s="11">
        <f>H3683+G3684</f>
        <v/>
      </c>
    </row>
    <row r="3685">
      <c r="A3685" s="9" t="n">
        <v>3681</v>
      </c>
      <c r="B3685" s="9" t="inlineStr">
        <is>
          <t>Ratchet</t>
        </is>
      </c>
      <c r="C3685" s="9" t="inlineStr">
        <is>
          <t>Stochastic scalp with give-back trail exit</t>
        </is>
      </c>
      <c r="D3685" s="9" t="inlineStr">
        <is>
          <t>Long</t>
        </is>
      </c>
      <c r="E3685" s="10" t="n">
        <v>45586.46527777778</v>
      </c>
      <c r="F3685" s="10" t="n">
        <v>45586.48958333334</v>
      </c>
      <c r="G3685" s="11" t="n">
        <v>0.91</v>
      </c>
      <c r="H3685" s="11">
        <f>H3684+G3685</f>
        <v/>
      </c>
    </row>
    <row r="3686">
      <c r="A3686" s="9" t="n">
        <v>3682</v>
      </c>
      <c r="B3686" s="9" t="inlineStr">
        <is>
          <t>Ratchet</t>
        </is>
      </c>
      <c r="C3686" s="9" t="inlineStr">
        <is>
          <t>Stochastic scalp with give-back trail exit</t>
        </is>
      </c>
      <c r="D3686" s="9" t="inlineStr">
        <is>
          <t>Long</t>
        </is>
      </c>
      <c r="E3686" s="10" t="n">
        <v>45586.50347222222</v>
      </c>
      <c r="F3686" s="10" t="n">
        <v>45586.54166666666</v>
      </c>
      <c r="G3686" s="11" t="n">
        <v>1.36</v>
      </c>
      <c r="H3686" s="11">
        <f>H3685+G3686</f>
        <v/>
      </c>
    </row>
    <row r="3687">
      <c r="A3687" s="9" t="n">
        <v>3683</v>
      </c>
      <c r="B3687" s="9" t="inlineStr">
        <is>
          <t>Ratchet</t>
        </is>
      </c>
      <c r="C3687" s="9" t="inlineStr">
        <is>
          <t>Stochastic scalp with give-back trail exit</t>
        </is>
      </c>
      <c r="D3687" s="9" t="inlineStr">
        <is>
          <t>Long</t>
        </is>
      </c>
      <c r="E3687" s="10" t="n">
        <v>45586.66666666666</v>
      </c>
      <c r="F3687" s="10" t="n">
        <v>45586.6875</v>
      </c>
      <c r="G3687" s="11" t="n">
        <v>-3.56</v>
      </c>
      <c r="H3687" s="11">
        <f>H3686+G3687</f>
        <v/>
      </c>
    </row>
    <row r="3688">
      <c r="A3688" s="9" t="n">
        <v>3684</v>
      </c>
      <c r="B3688" s="9" t="inlineStr">
        <is>
          <t>Ratchet</t>
        </is>
      </c>
      <c r="C3688" s="9" t="inlineStr">
        <is>
          <t>Stochastic scalp with give-back trail exit</t>
        </is>
      </c>
      <c r="D3688" s="9" t="inlineStr">
        <is>
          <t>Long</t>
        </is>
      </c>
      <c r="E3688" s="10" t="n">
        <v>45586.69791666666</v>
      </c>
      <c r="F3688" s="10" t="n">
        <v>45586.72569444445</v>
      </c>
      <c r="G3688" s="11" t="n">
        <v>-5.07</v>
      </c>
      <c r="H3688" s="11">
        <f>H3687+G3688</f>
        <v/>
      </c>
    </row>
    <row r="3689">
      <c r="A3689" s="9" t="n">
        <v>3685</v>
      </c>
      <c r="B3689" s="9" t="inlineStr">
        <is>
          <t>Aurelius_M5</t>
        </is>
      </c>
      <c r="C3689" s="9" t="inlineStr">
        <is>
          <t>MA alignment (EMA21&gt;EMA50&gt;SMA250&gt;SMMA500 vs EMA2400 trend filter)</t>
        </is>
      </c>
      <c r="D3689" s="9" t="inlineStr">
        <is>
          <t>Long</t>
        </is>
      </c>
      <c r="E3689" s="10" t="n">
        <v>45586.58680555555</v>
      </c>
      <c r="F3689" s="10" t="n">
        <v>45586.73263888889</v>
      </c>
      <c r="G3689" s="11" t="n">
        <v>-4.3</v>
      </c>
      <c r="H3689" s="11">
        <f>H3688+G3689</f>
        <v/>
      </c>
    </row>
    <row r="3690">
      <c r="A3690" s="9" t="n">
        <v>3686</v>
      </c>
      <c r="B3690" s="9" t="inlineStr">
        <is>
          <t>Meridian</t>
        </is>
      </c>
      <c r="C3690" s="9" t="inlineStr">
        <is>
          <t>21/50 MA cross, 250-period confirm filter, VWAP</t>
        </is>
      </c>
      <c r="D3690" s="9" t="inlineStr">
        <is>
          <t>Long</t>
        </is>
      </c>
      <c r="E3690" s="10" t="n">
        <v>45586.45486111111</v>
      </c>
      <c r="F3690" s="10" t="n">
        <v>45586.73611111111</v>
      </c>
      <c r="G3690" s="11" t="n">
        <v>-3.93</v>
      </c>
      <c r="H3690" s="11">
        <f>H3689+G3690</f>
        <v/>
      </c>
    </row>
    <row r="3691">
      <c r="A3691" s="9" t="n">
        <v>3687</v>
      </c>
      <c r="B3691" s="9" t="inlineStr">
        <is>
          <t>Aurelius_M5</t>
        </is>
      </c>
      <c r="C3691" s="9" t="inlineStr">
        <is>
          <t>MA alignment (EMA21&gt;EMA50&gt;SMA250&gt;SMMA500 vs EMA2400 trend filter)</t>
        </is>
      </c>
      <c r="D3691" s="9" t="inlineStr">
        <is>
          <t>Long</t>
        </is>
      </c>
      <c r="E3691" s="10" t="n">
        <v>45587.39236111111</v>
      </c>
      <c r="F3691" s="10" t="n">
        <v>45587.46180555555</v>
      </c>
      <c r="G3691" s="11" t="n">
        <v>-4.11</v>
      </c>
      <c r="H3691" s="11">
        <f>H3690+G3691</f>
        <v/>
      </c>
    </row>
    <row r="3692">
      <c r="A3692" s="9" t="n">
        <v>3688</v>
      </c>
      <c r="B3692" s="9" t="inlineStr">
        <is>
          <t>Ratchet</t>
        </is>
      </c>
      <c r="C3692" s="9" t="inlineStr">
        <is>
          <t>Stochastic scalp with give-back trail exit</t>
        </is>
      </c>
      <c r="D3692" s="9" t="inlineStr">
        <is>
          <t>Long</t>
        </is>
      </c>
      <c r="E3692" s="10" t="n">
        <v>45587.41666666666</v>
      </c>
      <c r="F3692" s="10" t="n">
        <v>45587.46180555555</v>
      </c>
      <c r="G3692" s="11" t="n">
        <v>-3.07</v>
      </c>
      <c r="H3692" s="11">
        <f>H3691+G3692</f>
        <v/>
      </c>
    </row>
    <row r="3693">
      <c r="A3693" s="9" t="n">
        <v>3689</v>
      </c>
      <c r="B3693" s="9" t="inlineStr">
        <is>
          <t>Aurelius_M5</t>
        </is>
      </c>
      <c r="C3693" s="9" t="inlineStr">
        <is>
          <t>MA alignment (EMA21&gt;EMA50&gt;SMA250&gt;SMMA500 vs EMA2400 trend filter)</t>
        </is>
      </c>
      <c r="D3693" s="9" t="inlineStr">
        <is>
          <t>Long</t>
        </is>
      </c>
      <c r="E3693" s="10" t="n">
        <v>45587.47916666666</v>
      </c>
      <c r="F3693" s="10" t="n">
        <v>45587.51736111111</v>
      </c>
      <c r="G3693" s="11" t="n">
        <v>-4.05</v>
      </c>
      <c r="H3693" s="11">
        <f>H3692+G3693</f>
        <v/>
      </c>
    </row>
    <row r="3694">
      <c r="A3694" s="9" t="n">
        <v>3690</v>
      </c>
      <c r="B3694" s="9" t="inlineStr">
        <is>
          <t>Ratchet</t>
        </is>
      </c>
      <c r="C3694" s="9" t="inlineStr">
        <is>
          <t>Stochastic scalp with give-back trail exit</t>
        </is>
      </c>
      <c r="D3694" s="9" t="inlineStr">
        <is>
          <t>Long</t>
        </is>
      </c>
      <c r="E3694" s="10" t="n">
        <v>45587.55902777778</v>
      </c>
      <c r="F3694" s="10" t="n">
        <v>45587.59375</v>
      </c>
      <c r="G3694" s="11" t="n">
        <v>0.93</v>
      </c>
      <c r="H3694" s="11">
        <f>H3693+G3694</f>
        <v/>
      </c>
    </row>
    <row r="3695">
      <c r="A3695" s="9" t="n">
        <v>3691</v>
      </c>
      <c r="B3695" s="9" t="inlineStr">
        <is>
          <t>Meridian</t>
        </is>
      </c>
      <c r="C3695" s="9" t="inlineStr">
        <is>
          <t>21/50 MA cross, 250-period confirm filter, VWAP</t>
        </is>
      </c>
      <c r="D3695" s="9" t="inlineStr">
        <is>
          <t>Long</t>
        </is>
      </c>
      <c r="E3695" s="10" t="n">
        <v>45587.55902777778</v>
      </c>
      <c r="F3695" s="10" t="n">
        <v>45587.60763888889</v>
      </c>
      <c r="G3695" s="11" t="n">
        <v>-3.89</v>
      </c>
      <c r="H3695" s="11">
        <f>H3694+G3695</f>
        <v/>
      </c>
    </row>
    <row r="3696">
      <c r="A3696" s="9" t="n">
        <v>3692</v>
      </c>
      <c r="B3696" s="9" t="inlineStr">
        <is>
          <t>Aurelius_M5</t>
        </is>
      </c>
      <c r="C3696" s="9" t="inlineStr">
        <is>
          <t>MA alignment (EMA21&gt;EMA50&gt;SMA250&gt;SMMA500 vs EMA2400 trend filter)</t>
        </is>
      </c>
      <c r="D3696" s="9" t="inlineStr">
        <is>
          <t>Long</t>
        </is>
      </c>
      <c r="E3696" s="10" t="n">
        <v>45587.59722222222</v>
      </c>
      <c r="F3696" s="10" t="n">
        <v>45587.61458333334</v>
      </c>
      <c r="G3696" s="11" t="n">
        <v>-4.21</v>
      </c>
      <c r="H3696" s="11">
        <f>H3695+G3696</f>
        <v/>
      </c>
    </row>
    <row r="3697">
      <c r="A3697" s="9" t="n">
        <v>3693</v>
      </c>
      <c r="B3697" s="9" t="inlineStr">
        <is>
          <t>Meridian</t>
        </is>
      </c>
      <c r="C3697" s="9" t="inlineStr">
        <is>
          <t>21/50 MA cross, 250-period confirm filter, VWAP</t>
        </is>
      </c>
      <c r="D3697" s="9" t="inlineStr">
        <is>
          <t>Long</t>
        </is>
      </c>
      <c r="E3697" s="10" t="n">
        <v>45587.64583333334</v>
      </c>
      <c r="F3697" s="10" t="n">
        <v>45587.64930555555</v>
      </c>
      <c r="G3697" s="11" t="n">
        <v>-2.65</v>
      </c>
      <c r="H3697" s="11">
        <f>H3696+G3697</f>
        <v/>
      </c>
    </row>
    <row r="3698">
      <c r="A3698" s="9" t="n">
        <v>3694</v>
      </c>
      <c r="B3698" s="9" t="inlineStr">
        <is>
          <t>Ratchet</t>
        </is>
      </c>
      <c r="C3698" s="9" t="inlineStr">
        <is>
          <t>Stochastic scalp with give-back trail exit</t>
        </is>
      </c>
      <c r="D3698" s="9" t="inlineStr">
        <is>
          <t>Long</t>
        </is>
      </c>
      <c r="E3698" s="10" t="n">
        <v>45587.6875</v>
      </c>
      <c r="F3698" s="10" t="n">
        <v>45587.69097222222</v>
      </c>
      <c r="G3698" s="11" t="n">
        <v>0</v>
      </c>
      <c r="H3698" s="11">
        <f>H3697+G3698</f>
        <v/>
      </c>
    </row>
    <row r="3699">
      <c r="A3699" s="9" t="n">
        <v>3695</v>
      </c>
      <c r="B3699" s="9" t="inlineStr">
        <is>
          <t>Ratchet</t>
        </is>
      </c>
      <c r="C3699" s="9" t="inlineStr">
        <is>
          <t>Stochastic scalp with give-back trail exit</t>
        </is>
      </c>
      <c r="D3699" s="9" t="inlineStr">
        <is>
          <t>Long</t>
        </is>
      </c>
      <c r="E3699" s="10" t="n">
        <v>45587.69791666666</v>
      </c>
      <c r="F3699" s="10" t="n">
        <v>45587.70833333334</v>
      </c>
      <c r="G3699" s="11" t="n">
        <v>-4.21</v>
      </c>
      <c r="H3699" s="11">
        <f>H3698+G3699</f>
        <v/>
      </c>
    </row>
    <row r="3700">
      <c r="A3700" s="9" t="n">
        <v>3696</v>
      </c>
      <c r="B3700" s="9" t="inlineStr">
        <is>
          <t>Ratchet</t>
        </is>
      </c>
      <c r="C3700" s="9" t="inlineStr">
        <is>
          <t>Stochastic scalp with give-back trail exit</t>
        </is>
      </c>
      <c r="D3700" s="9" t="inlineStr">
        <is>
          <t>Long</t>
        </is>
      </c>
      <c r="E3700" s="10" t="n">
        <v>45587.73958333334</v>
      </c>
      <c r="F3700" s="10" t="n">
        <v>45587.74652777778</v>
      </c>
      <c r="G3700" s="11" t="n">
        <v>0.73</v>
      </c>
      <c r="H3700" s="11">
        <f>H3699+G3700</f>
        <v/>
      </c>
    </row>
    <row r="3701">
      <c r="A3701" s="9" t="n">
        <v>3697</v>
      </c>
      <c r="B3701" s="9" t="inlineStr">
        <is>
          <t>Ratchet</t>
        </is>
      </c>
      <c r="C3701" s="9" t="inlineStr">
        <is>
          <t>Stochastic scalp with give-back trail exit</t>
        </is>
      </c>
      <c r="D3701" s="9" t="inlineStr">
        <is>
          <t>Long</t>
        </is>
      </c>
      <c r="E3701" s="10" t="n">
        <v>45587.85763888889</v>
      </c>
      <c r="F3701" s="10" t="n">
        <v>45587.86458333334</v>
      </c>
      <c r="G3701" s="11" t="n">
        <v>0.67</v>
      </c>
      <c r="H3701" s="11">
        <f>H3700+G3701</f>
        <v/>
      </c>
    </row>
    <row r="3702">
      <c r="A3702" s="9" t="n">
        <v>3698</v>
      </c>
      <c r="B3702" s="9" t="inlineStr">
        <is>
          <t>Ratchet</t>
        </is>
      </c>
      <c r="C3702" s="9" t="inlineStr">
        <is>
          <t>Stochastic scalp with give-back trail exit</t>
        </is>
      </c>
      <c r="D3702" s="9" t="inlineStr">
        <is>
          <t>Long</t>
        </is>
      </c>
      <c r="E3702" s="10" t="n">
        <v>45587.89930555555</v>
      </c>
      <c r="F3702" s="10" t="n">
        <v>45587.91666666666</v>
      </c>
      <c r="G3702" s="11" t="n">
        <v>-2.48</v>
      </c>
      <c r="H3702" s="11">
        <f>H3701+G3702</f>
        <v/>
      </c>
    </row>
    <row r="3703">
      <c r="A3703" s="9" t="n">
        <v>3699</v>
      </c>
      <c r="B3703" s="9" t="inlineStr">
        <is>
          <t>Ratchet</t>
        </is>
      </c>
      <c r="C3703" s="9" t="inlineStr">
        <is>
          <t>Stochastic scalp with give-back trail exit</t>
        </is>
      </c>
      <c r="D3703" s="9" t="inlineStr">
        <is>
          <t>Long</t>
        </is>
      </c>
      <c r="E3703" s="10" t="n">
        <v>45587.93402777778</v>
      </c>
      <c r="F3703" s="10" t="n">
        <v>45587.94097222222</v>
      </c>
      <c r="G3703" s="11" t="n">
        <v>-2.16</v>
      </c>
      <c r="H3703" s="11">
        <f>H3702+G3703</f>
        <v/>
      </c>
    </row>
    <row r="3704">
      <c r="A3704" s="9" t="n">
        <v>3700</v>
      </c>
      <c r="B3704" s="9" t="inlineStr">
        <is>
          <t>Aurelius_M5</t>
        </is>
      </c>
      <c r="C3704" s="9" t="inlineStr">
        <is>
          <t>MA alignment (EMA21&gt;EMA50&gt;SMA250&gt;SMMA500 vs EMA2400 trend filter)</t>
        </is>
      </c>
      <c r="D3704" s="9" t="inlineStr">
        <is>
          <t>Long</t>
        </is>
      </c>
      <c r="E3704" s="10" t="n">
        <v>45587.70833333334</v>
      </c>
      <c r="F3704" s="10" t="n">
        <v>45588.04166666666</v>
      </c>
      <c r="G3704" s="11" t="n">
        <v>12.32</v>
      </c>
      <c r="H3704" s="11">
        <f>H3703+G3704</f>
        <v/>
      </c>
    </row>
    <row r="3705">
      <c r="A3705" s="9" t="n">
        <v>3701</v>
      </c>
      <c r="B3705" s="9" t="inlineStr">
        <is>
          <t>Meridian</t>
        </is>
      </c>
      <c r="C3705" s="9" t="inlineStr">
        <is>
          <t>21/50 MA cross, 250-period confirm filter, VWAP</t>
        </is>
      </c>
      <c r="D3705" s="9" t="inlineStr">
        <is>
          <t>Long</t>
        </is>
      </c>
      <c r="E3705" s="10" t="n">
        <v>45587.65277777778</v>
      </c>
      <c r="F3705" s="10" t="n">
        <v>45588.15277777778</v>
      </c>
      <c r="G3705" s="11" t="n">
        <v>9.15</v>
      </c>
      <c r="H3705" s="11">
        <f>H3704+G3705</f>
        <v/>
      </c>
    </row>
    <row r="3706">
      <c r="A3706" s="9" t="n">
        <v>3702</v>
      </c>
      <c r="B3706" s="9" t="inlineStr">
        <is>
          <t>Aurelius_M15</t>
        </is>
      </c>
      <c r="C3706" s="9" t="inlineStr">
        <is>
          <t>MA alignment (EMA21&gt;EMA50&gt;SMA250&gt;SMMA500 vs EMA2400 trend filter) - M15 chart</t>
        </is>
      </c>
      <c r="D3706" s="9" t="inlineStr">
        <is>
          <t>Long</t>
        </is>
      </c>
      <c r="E3706" s="10" t="n">
        <v>45587.63541666666</v>
      </c>
      <c r="F3706" s="10" t="n">
        <v>45588.1875</v>
      </c>
      <c r="G3706" s="11" t="n">
        <v>7.39</v>
      </c>
      <c r="H3706" s="11">
        <f>H3705+G3706</f>
        <v/>
      </c>
    </row>
    <row r="3707">
      <c r="A3707" s="9" t="n">
        <v>3703</v>
      </c>
      <c r="B3707" s="9" t="inlineStr">
        <is>
          <t>Ratchet</t>
        </is>
      </c>
      <c r="C3707" s="9" t="inlineStr">
        <is>
          <t>Stochastic scalp with give-back trail exit</t>
        </is>
      </c>
      <c r="D3707" s="9" t="inlineStr">
        <is>
          <t>Long</t>
        </is>
      </c>
      <c r="E3707" s="10" t="n">
        <v>45588.30902777778</v>
      </c>
      <c r="F3707" s="10" t="n">
        <v>45588.31944444445</v>
      </c>
      <c r="G3707" s="11" t="n">
        <v>0.33</v>
      </c>
      <c r="H3707" s="11">
        <f>H3706+G3707</f>
        <v/>
      </c>
    </row>
    <row r="3708">
      <c r="A3708" s="9" t="n">
        <v>3704</v>
      </c>
      <c r="B3708" s="9" t="inlineStr">
        <is>
          <t>Meridian</t>
        </is>
      </c>
      <c r="C3708" s="9" t="inlineStr">
        <is>
          <t>21/50 MA cross, 250-period confirm filter, VWAP</t>
        </is>
      </c>
      <c r="D3708" s="9" t="inlineStr">
        <is>
          <t>Long</t>
        </is>
      </c>
      <c r="E3708" s="10" t="n">
        <v>45588.29861111111</v>
      </c>
      <c r="F3708" s="10" t="n">
        <v>45588.56944444445</v>
      </c>
      <c r="G3708" s="11" t="n">
        <v>4.32</v>
      </c>
      <c r="H3708" s="11">
        <f>H3707+G3708</f>
        <v/>
      </c>
    </row>
    <row r="3709">
      <c r="A3709" s="9" t="n">
        <v>3705</v>
      </c>
      <c r="B3709" s="9" t="inlineStr">
        <is>
          <t>Meridian</t>
        </is>
      </c>
      <c r="C3709" s="9" t="inlineStr">
        <is>
          <t>21/50 MA cross, 250-period confirm filter, VWAP</t>
        </is>
      </c>
      <c r="D3709" s="9" t="inlineStr">
        <is>
          <t>Long</t>
        </is>
      </c>
      <c r="E3709" s="10" t="n">
        <v>45589.85763888889</v>
      </c>
      <c r="F3709" s="10" t="n">
        <v>45590.11805555555</v>
      </c>
      <c r="G3709" s="11" t="n">
        <v>-1.98</v>
      </c>
      <c r="H3709" s="11">
        <f>H3708+G3709</f>
        <v/>
      </c>
    </row>
    <row r="3710">
      <c r="A3710" s="9" t="n">
        <v>3706</v>
      </c>
      <c r="B3710" s="9" t="inlineStr">
        <is>
          <t>Aurelius_M15</t>
        </is>
      </c>
      <c r="C3710" s="9" t="inlineStr">
        <is>
          <t>MA alignment (EMA21&gt;EMA50&gt;SMA250&gt;SMMA500 vs EMA2400 trend filter) - M15 chart</t>
        </is>
      </c>
      <c r="D3710" s="9" t="inlineStr">
        <is>
          <t>Long</t>
        </is>
      </c>
      <c r="E3710" s="10" t="n">
        <v>45590.17708333334</v>
      </c>
      <c r="F3710" s="10" t="n">
        <v>45590.19791666666</v>
      </c>
      <c r="G3710" s="11" t="n">
        <v>-4.62</v>
      </c>
      <c r="H3710" s="11">
        <f>H3709+G3710</f>
        <v/>
      </c>
    </row>
    <row r="3711">
      <c r="A3711" s="9" t="n">
        <v>3707</v>
      </c>
      <c r="B3711" s="9" t="inlineStr">
        <is>
          <t>Meridian</t>
        </is>
      </c>
      <c r="C3711" s="9" t="inlineStr">
        <is>
          <t>21/50 MA cross, 250-period confirm filter, VWAP</t>
        </is>
      </c>
      <c r="D3711" s="9" t="inlineStr">
        <is>
          <t>Short</t>
        </is>
      </c>
      <c r="E3711" s="10" t="n">
        <v>45590.45486111111</v>
      </c>
      <c r="F3711" s="10" t="n">
        <v>45590.61458333334</v>
      </c>
      <c r="G3711" s="11" t="n">
        <v>-1.91</v>
      </c>
      <c r="H3711" s="11">
        <f>H3710+G3711</f>
        <v/>
      </c>
    </row>
    <row r="3712">
      <c r="A3712" s="9" t="n">
        <v>3708</v>
      </c>
      <c r="B3712" s="9" t="inlineStr">
        <is>
          <t>Vanguard_M5</t>
        </is>
      </c>
      <c r="C3712" s="9" t="inlineStr">
        <is>
          <t>Trendline breakout (fractal swing line) + VWAP/S-R distance gate</t>
        </is>
      </c>
      <c r="D3712" s="9" t="inlineStr">
        <is>
          <t>Short</t>
        </is>
      </c>
      <c r="E3712" s="10" t="n">
        <v>45588.64236111111</v>
      </c>
      <c r="F3712" s="10" t="n">
        <v>45590.65625</v>
      </c>
      <c r="G3712" s="11" t="n">
        <v>12.49</v>
      </c>
      <c r="H3712" s="11">
        <f>H3711+G3712</f>
        <v/>
      </c>
    </row>
    <row r="3713">
      <c r="A3713" s="9" t="n">
        <v>3709</v>
      </c>
      <c r="B3713" s="9" t="inlineStr">
        <is>
          <t>Vanguard_M15</t>
        </is>
      </c>
      <c r="C3713" s="9" t="inlineStr">
        <is>
          <t>Trendline breakout (fractal swing line) + VWAP/S-R distance gate - M15 chart</t>
        </is>
      </c>
      <c r="D3713" s="9" t="inlineStr">
        <is>
          <t>Short</t>
        </is>
      </c>
      <c r="E3713" s="10" t="n">
        <v>45588.64583333334</v>
      </c>
      <c r="F3713" s="10" t="n">
        <v>45590.65625</v>
      </c>
      <c r="G3713" s="11" t="n">
        <v>12.04</v>
      </c>
      <c r="H3713" s="11">
        <f>H3712+G3713</f>
        <v/>
      </c>
    </row>
    <row r="3714">
      <c r="A3714" s="9" t="n">
        <v>3710</v>
      </c>
      <c r="B3714" s="9" t="inlineStr">
        <is>
          <t>Vanguard_M15</t>
        </is>
      </c>
      <c r="C3714" s="9" t="inlineStr">
        <is>
          <t>Trendline breakout (fractal swing line) + VWAP/S-R distance gate - M15 chart</t>
        </is>
      </c>
      <c r="D3714" s="9" t="inlineStr">
        <is>
          <t>Long</t>
        </is>
      </c>
      <c r="E3714" s="10" t="n">
        <v>45590.66666666666</v>
      </c>
      <c r="F3714" s="10" t="n">
        <v>45590.71875</v>
      </c>
      <c r="G3714" s="11" t="n">
        <v>3.22</v>
      </c>
      <c r="H3714" s="11">
        <f>H3713+G3714</f>
        <v/>
      </c>
    </row>
    <row r="3715">
      <c r="A3715" s="9" t="n">
        <v>3711</v>
      </c>
      <c r="B3715" s="9" t="inlineStr">
        <is>
          <t>Vanguard_M5</t>
        </is>
      </c>
      <c r="C3715" s="9" t="inlineStr">
        <is>
          <t>Trendline breakout (fractal swing line) + VWAP/S-R distance gate</t>
        </is>
      </c>
      <c r="D3715" s="9" t="inlineStr">
        <is>
          <t>Long</t>
        </is>
      </c>
      <c r="E3715" s="10" t="n">
        <v>45590.65972222222</v>
      </c>
      <c r="F3715" s="10" t="n">
        <v>45590.72222222222</v>
      </c>
      <c r="G3715" s="11" t="n">
        <v>4.61</v>
      </c>
      <c r="H3715" s="11">
        <f>H3714+G3715</f>
        <v/>
      </c>
    </row>
    <row r="3716">
      <c r="A3716" s="9" t="n">
        <v>3712</v>
      </c>
      <c r="B3716" s="9" t="inlineStr">
        <is>
          <t>Ratchet</t>
        </is>
      </c>
      <c r="C3716" s="9" t="inlineStr">
        <is>
          <t>Stochastic scalp with give-back trail exit</t>
        </is>
      </c>
      <c r="D3716" s="9" t="inlineStr">
        <is>
          <t>Long</t>
        </is>
      </c>
      <c r="E3716" s="10" t="n">
        <v>45593.38541666666</v>
      </c>
      <c r="F3716" s="10" t="n">
        <v>45593.38888888889</v>
      </c>
      <c r="G3716" s="11" t="n">
        <v>-3.37</v>
      </c>
      <c r="H3716" s="11">
        <f>H3715+G3716</f>
        <v/>
      </c>
    </row>
    <row r="3717">
      <c r="A3717" s="9" t="n">
        <v>3713</v>
      </c>
      <c r="B3717" s="9" t="inlineStr">
        <is>
          <t>Aurelius_M5</t>
        </is>
      </c>
      <c r="C3717" s="9" t="inlineStr">
        <is>
          <t>MA alignment (EMA21&gt;EMA50&gt;SMA250&gt;SMMA500 vs EMA2400 trend filter)</t>
        </is>
      </c>
      <c r="D3717" s="9" t="inlineStr">
        <is>
          <t>Long</t>
        </is>
      </c>
      <c r="E3717" s="10" t="n">
        <v>45593.33333333334</v>
      </c>
      <c r="F3717" s="10" t="n">
        <v>45593.4375</v>
      </c>
      <c r="G3717" s="11" t="n">
        <v>-3.72</v>
      </c>
      <c r="H3717" s="11">
        <f>H3716+G3717</f>
        <v/>
      </c>
    </row>
    <row r="3718">
      <c r="A3718" s="9" t="n">
        <v>3714</v>
      </c>
      <c r="B3718" s="9" t="inlineStr">
        <is>
          <t>Meridian</t>
        </is>
      </c>
      <c r="C3718" s="9" t="inlineStr">
        <is>
          <t>21/50 MA cross, 250-period confirm filter, VWAP</t>
        </is>
      </c>
      <c r="D3718" s="9" t="inlineStr">
        <is>
          <t>Long</t>
        </is>
      </c>
      <c r="E3718" s="10" t="n">
        <v>45593.31597222222</v>
      </c>
      <c r="F3718" s="10" t="n">
        <v>45593.44097222222</v>
      </c>
      <c r="G3718" s="11" t="n">
        <v>-3.69</v>
      </c>
      <c r="H3718" s="11">
        <f>H3717+G3718</f>
        <v/>
      </c>
    </row>
    <row r="3719">
      <c r="A3719" s="9" t="n">
        <v>3715</v>
      </c>
      <c r="B3719" s="9" t="inlineStr">
        <is>
          <t>Vanguard_M5</t>
        </is>
      </c>
      <c r="C3719" s="9" t="inlineStr">
        <is>
          <t>Trendline breakout (fractal swing line) + VWAP/S-R distance gate</t>
        </is>
      </c>
      <c r="D3719" s="9" t="inlineStr">
        <is>
          <t>Short</t>
        </is>
      </c>
      <c r="E3719" s="10" t="n">
        <v>45593.51388888889</v>
      </c>
      <c r="F3719" s="10" t="n">
        <v>45593.625</v>
      </c>
      <c r="G3719" s="11" t="n">
        <v>-7.64</v>
      </c>
      <c r="H3719" s="11">
        <f>H3718+G3719</f>
        <v/>
      </c>
    </row>
    <row r="3720">
      <c r="A3720" s="9" t="n">
        <v>3716</v>
      </c>
      <c r="B3720" s="9" t="inlineStr">
        <is>
          <t>Meridian</t>
        </is>
      </c>
      <c r="C3720" s="9" t="inlineStr">
        <is>
          <t>21/50 MA cross, 250-period confirm filter, VWAP</t>
        </is>
      </c>
      <c r="D3720" s="9" t="inlineStr">
        <is>
          <t>Short</t>
        </is>
      </c>
      <c r="E3720" s="10" t="n">
        <v>45593.45486111111</v>
      </c>
      <c r="F3720" s="10" t="n">
        <v>45593.63194444445</v>
      </c>
      <c r="G3720" s="11" t="n">
        <v>-2.77</v>
      </c>
      <c r="H3720" s="11">
        <f>H3719+G3720</f>
        <v/>
      </c>
    </row>
    <row r="3721">
      <c r="A3721" s="9" t="n">
        <v>3717</v>
      </c>
      <c r="B3721" s="9" t="inlineStr">
        <is>
          <t>Ratchet</t>
        </is>
      </c>
      <c r="C3721" s="9" t="inlineStr">
        <is>
          <t>Stochastic scalp with give-back trail exit</t>
        </is>
      </c>
      <c r="D3721" s="9" t="inlineStr">
        <is>
          <t>Long</t>
        </is>
      </c>
      <c r="E3721" s="10" t="n">
        <v>45593.65972222222</v>
      </c>
      <c r="F3721" s="10" t="n">
        <v>45593.67708333334</v>
      </c>
      <c r="G3721" s="11" t="n">
        <v>0</v>
      </c>
      <c r="H3721" s="11">
        <f>H3720+G3721</f>
        <v/>
      </c>
    </row>
    <row r="3722">
      <c r="A3722" s="9" t="n">
        <v>3718</v>
      </c>
      <c r="B3722" s="9" t="inlineStr">
        <is>
          <t>Ratchet</t>
        </is>
      </c>
      <c r="C3722" s="9" t="inlineStr">
        <is>
          <t>Stochastic scalp with give-back trail exit</t>
        </is>
      </c>
      <c r="D3722" s="9" t="inlineStr">
        <is>
          <t>Long</t>
        </is>
      </c>
      <c r="E3722" s="10" t="n">
        <v>45594.375</v>
      </c>
      <c r="F3722" s="10" t="n">
        <v>45594.39930555555</v>
      </c>
      <c r="G3722" s="11" t="n">
        <v>-2.92</v>
      </c>
      <c r="H3722" s="11">
        <f>H3721+G3722</f>
        <v/>
      </c>
    </row>
    <row r="3723">
      <c r="A3723" s="9" t="n">
        <v>3719</v>
      </c>
      <c r="B3723" s="9" t="inlineStr">
        <is>
          <t>Meridian</t>
        </is>
      </c>
      <c r="C3723" s="9" t="inlineStr">
        <is>
          <t>21/50 MA cross, 250-period confirm filter, VWAP</t>
        </is>
      </c>
      <c r="D3723" s="9" t="inlineStr">
        <is>
          <t>Long</t>
        </is>
      </c>
      <c r="E3723" s="10" t="n">
        <v>45594.07986111111</v>
      </c>
      <c r="F3723" s="10" t="n">
        <v>45594.43402777778</v>
      </c>
      <c r="G3723" s="11" t="n">
        <v>4.98</v>
      </c>
      <c r="H3723" s="11">
        <f>H3722+G3723</f>
        <v/>
      </c>
    </row>
    <row r="3724">
      <c r="A3724" s="9" t="n">
        <v>3720</v>
      </c>
      <c r="B3724" s="9" t="inlineStr">
        <is>
          <t>Aurelius_M5</t>
        </is>
      </c>
      <c r="C3724" s="9" t="inlineStr">
        <is>
          <t>MA alignment (EMA21&gt;EMA50&gt;SMA250&gt;SMMA500 vs EMA2400 trend filter)</t>
        </is>
      </c>
      <c r="D3724" s="9" t="inlineStr">
        <is>
          <t>Long</t>
        </is>
      </c>
      <c r="E3724" s="10" t="n">
        <v>45594.10763888889</v>
      </c>
      <c r="F3724" s="10" t="n">
        <v>45594.43402777778</v>
      </c>
      <c r="G3724" s="11" t="n">
        <v>1.66</v>
      </c>
      <c r="H3724" s="11">
        <f>H3723+G3724</f>
        <v/>
      </c>
    </row>
    <row r="3725">
      <c r="A3725" s="9" t="n">
        <v>3721</v>
      </c>
      <c r="B3725" s="9" t="inlineStr">
        <is>
          <t>Meridian</t>
        </is>
      </c>
      <c r="C3725" s="9" t="inlineStr">
        <is>
          <t>21/50 MA cross, 250-period confirm filter, VWAP</t>
        </is>
      </c>
      <c r="D3725" s="9" t="inlineStr">
        <is>
          <t>Long</t>
        </is>
      </c>
      <c r="E3725" s="10" t="n">
        <v>45594.46180555555</v>
      </c>
      <c r="F3725" s="10" t="n">
        <v>45594.49652777778</v>
      </c>
      <c r="G3725" s="11" t="n">
        <v>-4.18</v>
      </c>
      <c r="H3725" s="11">
        <f>H3724+G3725</f>
        <v/>
      </c>
    </row>
    <row r="3726">
      <c r="A3726" s="9" t="n">
        <v>3722</v>
      </c>
      <c r="B3726" s="9" t="inlineStr">
        <is>
          <t>Meridian</t>
        </is>
      </c>
      <c r="C3726" s="9" t="inlineStr">
        <is>
          <t>21/50 MA cross, 250-period confirm filter, VWAP</t>
        </is>
      </c>
      <c r="D3726" s="9" t="inlineStr">
        <is>
          <t>Long</t>
        </is>
      </c>
      <c r="E3726" s="10" t="n">
        <v>45594.62152777778</v>
      </c>
      <c r="F3726" s="10" t="n">
        <v>45594.625</v>
      </c>
      <c r="G3726" s="11" t="n">
        <v>-3.29</v>
      </c>
      <c r="H3726" s="11">
        <f>H3725+G3726</f>
        <v/>
      </c>
    </row>
    <row r="3727">
      <c r="A3727" s="9" t="n">
        <v>3723</v>
      </c>
      <c r="B3727" s="9" t="inlineStr">
        <is>
          <t>Ratchet</t>
        </is>
      </c>
      <c r="C3727" s="9" t="inlineStr">
        <is>
          <t>Stochastic scalp with give-back trail exit</t>
        </is>
      </c>
      <c r="D3727" s="9" t="inlineStr">
        <is>
          <t>Long</t>
        </is>
      </c>
      <c r="E3727" s="10" t="n">
        <v>45594.64583333334</v>
      </c>
      <c r="F3727" s="10" t="n">
        <v>45594.64930555555</v>
      </c>
      <c r="G3727" s="11" t="n">
        <v>0.41</v>
      </c>
      <c r="H3727" s="11">
        <f>H3726+G3727</f>
        <v/>
      </c>
    </row>
    <row r="3728">
      <c r="A3728" s="9" t="n">
        <v>3724</v>
      </c>
      <c r="B3728" s="9" t="inlineStr">
        <is>
          <t>Ratchet</t>
        </is>
      </c>
      <c r="C3728" s="9" t="inlineStr">
        <is>
          <t>Stochastic scalp with give-back trail exit</t>
        </is>
      </c>
      <c r="D3728" s="9" t="inlineStr">
        <is>
          <t>Long</t>
        </is>
      </c>
      <c r="E3728" s="10" t="n">
        <v>45594.90625</v>
      </c>
      <c r="F3728" s="10" t="n">
        <v>45594.92013888889</v>
      </c>
      <c r="G3728" s="11" t="n">
        <v>0</v>
      </c>
      <c r="H3728" s="11">
        <f>H3727+G3728</f>
        <v/>
      </c>
    </row>
    <row r="3729">
      <c r="A3729" s="9" t="n">
        <v>3725</v>
      </c>
      <c r="B3729" s="9" t="inlineStr">
        <is>
          <t>Ratchet</t>
        </is>
      </c>
      <c r="C3729" s="9" t="inlineStr">
        <is>
          <t>Stochastic scalp with give-back trail exit</t>
        </is>
      </c>
      <c r="D3729" s="9" t="inlineStr">
        <is>
          <t>Long</t>
        </is>
      </c>
      <c r="E3729" s="10" t="n">
        <v>45595.08333333334</v>
      </c>
      <c r="F3729" s="10" t="n">
        <v>45595.1875</v>
      </c>
      <c r="G3729" s="11" t="n">
        <v>2</v>
      </c>
      <c r="H3729" s="11">
        <f>H3728+G3729</f>
        <v/>
      </c>
    </row>
    <row r="3730">
      <c r="A3730" s="9" t="n">
        <v>3726</v>
      </c>
      <c r="B3730" s="9" t="inlineStr">
        <is>
          <t>Meridian</t>
        </is>
      </c>
      <c r="C3730" s="9" t="inlineStr">
        <is>
          <t>21/50 MA cross, 250-period confirm filter, VWAP</t>
        </is>
      </c>
      <c r="D3730" s="9" t="inlineStr">
        <is>
          <t>Long</t>
        </is>
      </c>
      <c r="E3730" s="10" t="n">
        <v>45594.63194444445</v>
      </c>
      <c r="F3730" s="10" t="n">
        <v>45595.46875</v>
      </c>
      <c r="G3730" s="11" t="n">
        <v>27.11</v>
      </c>
      <c r="H3730" s="11">
        <f>H3729+G3730</f>
        <v/>
      </c>
    </row>
    <row r="3731">
      <c r="A3731" s="9" t="n">
        <v>3727</v>
      </c>
      <c r="B3731" s="9" t="inlineStr">
        <is>
          <t>Aurelius_M5</t>
        </is>
      </c>
      <c r="C3731" s="9" t="inlineStr">
        <is>
          <t>MA alignment (EMA21&gt;EMA50&gt;SMA250&gt;SMMA500 vs EMA2400 trend filter)</t>
        </is>
      </c>
      <c r="D3731" s="9" t="inlineStr">
        <is>
          <t>Long</t>
        </is>
      </c>
      <c r="E3731" s="10" t="n">
        <v>45594.65972222222</v>
      </c>
      <c r="F3731" s="10" t="n">
        <v>45595.46875</v>
      </c>
      <c r="G3731" s="11" t="n">
        <v>18.66</v>
      </c>
      <c r="H3731" s="11">
        <f>H3730+G3731</f>
        <v/>
      </c>
    </row>
    <row r="3732">
      <c r="A3732" s="9" t="n">
        <v>3728</v>
      </c>
      <c r="B3732" s="9" t="inlineStr">
        <is>
          <t>Ratchet</t>
        </is>
      </c>
      <c r="C3732" s="9" t="inlineStr">
        <is>
          <t>Stochastic scalp with give-back trail exit</t>
        </is>
      </c>
      <c r="D3732" s="9" t="inlineStr">
        <is>
          <t>Long</t>
        </is>
      </c>
      <c r="E3732" s="10" t="n">
        <v>45595.50347222222</v>
      </c>
      <c r="F3732" s="10" t="n">
        <v>45595.50694444445</v>
      </c>
      <c r="G3732" s="11" t="n">
        <v>0.29</v>
      </c>
      <c r="H3732" s="11">
        <f>H3731+G3732</f>
        <v/>
      </c>
    </row>
    <row r="3733">
      <c r="A3733" s="9" t="n">
        <v>3729</v>
      </c>
      <c r="B3733" s="9" t="inlineStr">
        <is>
          <t>Meridian</t>
        </is>
      </c>
      <c r="C3733" s="9" t="inlineStr">
        <is>
          <t>21/50 MA cross, 250-period confirm filter, VWAP</t>
        </is>
      </c>
      <c r="D3733" s="9" t="inlineStr">
        <is>
          <t>Long</t>
        </is>
      </c>
      <c r="E3733" s="10" t="n">
        <v>45595.49652777778</v>
      </c>
      <c r="F3733" s="10" t="n">
        <v>45595.53472222222</v>
      </c>
      <c r="G3733" s="11" t="n">
        <v>-3.5</v>
      </c>
      <c r="H3733" s="11">
        <f>H3732+G3733</f>
        <v/>
      </c>
    </row>
    <row r="3734">
      <c r="A3734" s="9" t="n">
        <v>3730</v>
      </c>
      <c r="B3734" s="9" t="inlineStr">
        <is>
          <t>Meridian</t>
        </is>
      </c>
      <c r="C3734" s="9" t="inlineStr">
        <is>
          <t>21/50 MA cross, 250-period confirm filter, VWAP</t>
        </is>
      </c>
      <c r="D3734" s="9" t="inlineStr">
        <is>
          <t>Long</t>
        </is>
      </c>
      <c r="E3734" s="10" t="n">
        <v>45595.63541666666</v>
      </c>
      <c r="F3734" s="10" t="n">
        <v>45595.64236111111</v>
      </c>
      <c r="G3734" s="11" t="n">
        <v>-5.21</v>
      </c>
      <c r="H3734" s="11">
        <f>H3733+G3734</f>
        <v/>
      </c>
    </row>
    <row r="3735">
      <c r="A3735" s="9" t="n">
        <v>3731</v>
      </c>
      <c r="B3735" s="9" t="inlineStr">
        <is>
          <t>Meridian</t>
        </is>
      </c>
      <c r="C3735" s="9" t="inlineStr">
        <is>
          <t>21/50 MA cross, 250-period confirm filter, VWAP</t>
        </is>
      </c>
      <c r="D3735" s="9" t="inlineStr">
        <is>
          <t>Short</t>
        </is>
      </c>
      <c r="E3735" s="10" t="n">
        <v>45595.64930555555</v>
      </c>
      <c r="F3735" s="10" t="n">
        <v>45595.67708333334</v>
      </c>
      <c r="G3735" s="11" t="n">
        <v>-6.82</v>
      </c>
      <c r="H3735" s="11">
        <f>H3734+G3735</f>
        <v/>
      </c>
    </row>
    <row r="3736">
      <c r="A3736" s="9" t="n">
        <v>3732</v>
      </c>
      <c r="B3736" s="9" t="inlineStr">
        <is>
          <t>Ratchet</t>
        </is>
      </c>
      <c r="C3736" s="9" t="inlineStr">
        <is>
          <t>Stochastic scalp with give-back trail exit</t>
        </is>
      </c>
      <c r="D3736" s="9" t="inlineStr">
        <is>
          <t>Long</t>
        </is>
      </c>
      <c r="E3736" s="10" t="n">
        <v>45595.75694444445</v>
      </c>
      <c r="F3736" s="10" t="n">
        <v>45595.875</v>
      </c>
      <c r="G3736" s="11" t="n">
        <v>1.06</v>
      </c>
      <c r="H3736" s="11">
        <f>H3735+G3736</f>
        <v/>
      </c>
    </row>
    <row r="3737">
      <c r="A3737" s="9" t="n">
        <v>3733</v>
      </c>
      <c r="B3737" s="9" t="inlineStr">
        <is>
          <t>Meridian</t>
        </is>
      </c>
      <c r="C3737" s="9" t="inlineStr">
        <is>
          <t>21/50 MA cross, 250-period confirm filter, VWAP</t>
        </is>
      </c>
      <c r="D3737" s="9" t="inlineStr">
        <is>
          <t>Long</t>
        </is>
      </c>
      <c r="E3737" s="10" t="n">
        <v>45595.74305555555</v>
      </c>
      <c r="F3737" s="10" t="n">
        <v>45596.09027777778</v>
      </c>
      <c r="G3737" s="11" t="n">
        <v>1.63</v>
      </c>
      <c r="H3737" s="11">
        <f>H3736+G3737</f>
        <v/>
      </c>
    </row>
    <row r="3738">
      <c r="A3738" s="9" t="n">
        <v>3734</v>
      </c>
      <c r="B3738" s="9" t="inlineStr">
        <is>
          <t>Meridian</t>
        </is>
      </c>
      <c r="C3738" s="9" t="inlineStr">
        <is>
          <t>21/50 MA cross, 250-period confirm filter, VWAP</t>
        </is>
      </c>
      <c r="D3738" s="9" t="inlineStr">
        <is>
          <t>Long</t>
        </is>
      </c>
      <c r="E3738" s="10" t="n">
        <v>45596.09722222222</v>
      </c>
      <c r="F3738" s="10" t="n">
        <v>45596.10069444445</v>
      </c>
      <c r="G3738" s="11" t="n">
        <v>-2.15</v>
      </c>
      <c r="H3738" s="11">
        <f>H3737+G3738</f>
        <v/>
      </c>
    </row>
    <row r="3739">
      <c r="A3739" s="9" t="n">
        <v>3735</v>
      </c>
      <c r="B3739" s="9" t="inlineStr">
        <is>
          <t>Ratchet</t>
        </is>
      </c>
      <c r="C3739" s="9" t="inlineStr">
        <is>
          <t>Stochastic scalp with give-back trail exit</t>
        </is>
      </c>
      <c r="D3739" s="9" t="inlineStr">
        <is>
          <t>Long</t>
        </is>
      </c>
      <c r="E3739" s="10" t="n">
        <v>45596.11805555555</v>
      </c>
      <c r="F3739" s="10" t="n">
        <v>45596.12847222222</v>
      </c>
      <c r="G3739" s="11" t="n">
        <v>0.38</v>
      </c>
      <c r="H3739" s="11">
        <f>H3738+G3739</f>
        <v/>
      </c>
    </row>
    <row r="3740">
      <c r="A3740" s="9" t="n">
        <v>3736</v>
      </c>
      <c r="B3740" s="9" t="inlineStr">
        <is>
          <t>Meridian</t>
        </is>
      </c>
      <c r="C3740" s="9" t="inlineStr">
        <is>
          <t>21/50 MA cross, 250-period confirm filter, VWAP</t>
        </is>
      </c>
      <c r="D3740" s="9" t="inlineStr">
        <is>
          <t>Long</t>
        </is>
      </c>
      <c r="E3740" s="10" t="n">
        <v>45596.21180555555</v>
      </c>
      <c r="F3740" s="10" t="n">
        <v>45596.24305555555</v>
      </c>
      <c r="G3740" s="11" t="n">
        <v>-2.36</v>
      </c>
      <c r="H3740" s="11">
        <f>H3739+G3740</f>
        <v/>
      </c>
    </row>
    <row r="3741">
      <c r="A3741" s="9" t="n">
        <v>3737</v>
      </c>
      <c r="B3741" s="9" t="inlineStr">
        <is>
          <t>Vanguard_M5</t>
        </is>
      </c>
      <c r="C3741" s="9" t="inlineStr">
        <is>
          <t>Trendline breakout (fractal swing line) + VWAP/S-R distance gate</t>
        </is>
      </c>
      <c r="D3741" s="9" t="inlineStr">
        <is>
          <t>Long</t>
        </is>
      </c>
      <c r="E3741" s="10" t="n">
        <v>45594.10763888889</v>
      </c>
      <c r="F3741" s="10" t="n">
        <v>45596.25347222222</v>
      </c>
      <c r="G3741" s="11" t="n">
        <v>37.7</v>
      </c>
      <c r="H3741" s="11">
        <f>H3740+G3741</f>
        <v/>
      </c>
    </row>
    <row r="3742">
      <c r="A3742" s="9" t="n">
        <v>3738</v>
      </c>
      <c r="B3742" s="9" t="inlineStr">
        <is>
          <t>Vanguard_M15</t>
        </is>
      </c>
      <c r="C3742" s="9" t="inlineStr">
        <is>
          <t>Trendline breakout (fractal swing line) + VWAP/S-R distance gate - M15 chart</t>
        </is>
      </c>
      <c r="D3742" s="9" t="inlineStr">
        <is>
          <t>Long</t>
        </is>
      </c>
      <c r="E3742" s="10" t="n">
        <v>45594.11458333334</v>
      </c>
      <c r="F3742" s="10" t="n">
        <v>45596.26041666666</v>
      </c>
      <c r="G3742" s="11" t="n">
        <v>36.61</v>
      </c>
      <c r="H3742" s="11">
        <f>H3741+G3742</f>
        <v/>
      </c>
    </row>
    <row r="3743">
      <c r="A3743" s="9" t="n">
        <v>3739</v>
      </c>
      <c r="B3743" s="9" t="inlineStr">
        <is>
          <t>Aurelius_M15</t>
        </is>
      </c>
      <c r="C3743" s="9" t="inlineStr">
        <is>
          <t>MA alignment (EMA21&gt;EMA50&gt;SMA250&gt;SMMA500 vs EMA2400 trend filter) - M15 chart</t>
        </is>
      </c>
      <c r="D3743" s="9" t="inlineStr">
        <is>
          <t>Long</t>
        </is>
      </c>
      <c r="E3743" s="10" t="n">
        <v>45593.70833333334</v>
      </c>
      <c r="F3743" s="10" t="n">
        <v>45596.30208333334</v>
      </c>
      <c r="G3743" s="11" t="n">
        <v>38.4</v>
      </c>
      <c r="H3743" s="11">
        <f>H3742+G3743</f>
        <v/>
      </c>
    </row>
    <row r="3744">
      <c r="A3744" s="9" t="n">
        <v>3740</v>
      </c>
      <c r="B3744" s="9" t="inlineStr">
        <is>
          <t>Ratchet</t>
        </is>
      </c>
      <c r="C3744" s="9" t="inlineStr">
        <is>
          <t>Stochastic scalp with give-back trail exit</t>
        </is>
      </c>
      <c r="D3744" s="9" t="inlineStr">
        <is>
          <t>Short</t>
        </is>
      </c>
      <c r="E3744" s="10" t="n">
        <v>45596.75347222222</v>
      </c>
      <c r="F3744" s="10" t="n">
        <v>45596.85416666666</v>
      </c>
      <c r="G3744" s="11" t="n">
        <v>-5.74</v>
      </c>
      <c r="H3744" s="11">
        <f>H3743+G3744</f>
        <v/>
      </c>
    </row>
    <row r="3745">
      <c r="A3745" s="9" t="n">
        <v>3741</v>
      </c>
      <c r="B3745" s="9" t="inlineStr">
        <is>
          <t>Meridian</t>
        </is>
      </c>
      <c r="C3745" s="9" t="inlineStr">
        <is>
          <t>21/50 MA cross, 250-period confirm filter, VWAP</t>
        </is>
      </c>
      <c r="D3745" s="9" t="inlineStr">
        <is>
          <t>Short</t>
        </is>
      </c>
      <c r="E3745" s="10" t="n">
        <v>45597.125</v>
      </c>
      <c r="F3745" s="10" t="n">
        <v>45597.13194444445</v>
      </c>
      <c r="G3745" s="11" t="n">
        <v>-1.84</v>
      </c>
      <c r="H3745" s="11">
        <f>H3744+G3745</f>
        <v/>
      </c>
    </row>
    <row r="3746">
      <c r="A3746" s="9" t="n">
        <v>3742</v>
      </c>
      <c r="B3746" s="9" t="inlineStr">
        <is>
          <t>Meridian</t>
        </is>
      </c>
      <c r="C3746" s="9" t="inlineStr">
        <is>
          <t>21/50 MA cross, 250-period confirm filter, VWAP</t>
        </is>
      </c>
      <c r="D3746" s="9" t="inlineStr">
        <is>
          <t>Short</t>
        </is>
      </c>
      <c r="E3746" s="10" t="n">
        <v>45597.40625</v>
      </c>
      <c r="F3746" s="10" t="n">
        <v>45597.41666666666</v>
      </c>
      <c r="G3746" s="11" t="n">
        <v>-3.92</v>
      </c>
      <c r="H3746" s="11">
        <f>H3745+G3746</f>
        <v/>
      </c>
    </row>
    <row r="3747">
      <c r="A3747" s="9" t="n">
        <v>3743</v>
      </c>
      <c r="B3747" s="9" t="inlineStr">
        <is>
          <t>Meridian</t>
        </is>
      </c>
      <c r="C3747" s="9" t="inlineStr">
        <is>
          <t>21/50 MA cross, 250-period confirm filter, VWAP</t>
        </is>
      </c>
      <c r="D3747" s="9" t="inlineStr">
        <is>
          <t>Long</t>
        </is>
      </c>
      <c r="E3747" s="10" t="n">
        <v>45597.43402777778</v>
      </c>
      <c r="F3747" s="10" t="n">
        <v>45597.48263888889</v>
      </c>
      <c r="G3747" s="11" t="n">
        <v>-4.16</v>
      </c>
      <c r="H3747" s="11">
        <f>H3746+G3747</f>
        <v/>
      </c>
    </row>
    <row r="3748">
      <c r="A3748" s="9" t="n">
        <v>3744</v>
      </c>
      <c r="B3748" s="9" t="inlineStr">
        <is>
          <t>Meridian</t>
        </is>
      </c>
      <c r="C3748" s="9" t="inlineStr">
        <is>
          <t>21/50 MA cross, 250-period confirm filter, VWAP</t>
        </is>
      </c>
      <c r="D3748" s="9" t="inlineStr">
        <is>
          <t>Long</t>
        </is>
      </c>
      <c r="E3748" s="10" t="n">
        <v>45597.57291666666</v>
      </c>
      <c r="F3748" s="10" t="n">
        <v>45597.60416666666</v>
      </c>
      <c r="G3748" s="11" t="n">
        <v>-4.16</v>
      </c>
      <c r="H3748" s="11">
        <f>H3747+G3748</f>
        <v/>
      </c>
    </row>
    <row r="3749">
      <c r="A3749" s="9" t="n">
        <v>3745</v>
      </c>
      <c r="B3749" s="9" t="inlineStr">
        <is>
          <t>Meridian</t>
        </is>
      </c>
      <c r="C3749" s="9" t="inlineStr">
        <is>
          <t>21/50 MA cross, 250-period confirm filter, VWAP</t>
        </is>
      </c>
      <c r="D3749" s="9" t="inlineStr">
        <is>
          <t>Short</t>
        </is>
      </c>
      <c r="E3749" s="10" t="n">
        <v>45597.69791666666</v>
      </c>
      <c r="F3749" s="10" t="n">
        <v>45597.72222222222</v>
      </c>
      <c r="G3749" s="11" t="n">
        <v>-9.630000000000001</v>
      </c>
      <c r="H3749" s="11">
        <f>H3748+G3749</f>
        <v/>
      </c>
    </row>
    <row r="3750">
      <c r="A3750" s="9" t="n">
        <v>3746</v>
      </c>
      <c r="B3750" s="9" t="inlineStr">
        <is>
          <t>Ratchet</t>
        </is>
      </c>
      <c r="C3750" s="9" t="inlineStr">
        <is>
          <t>Stochastic scalp with give-back trail exit</t>
        </is>
      </c>
      <c r="D3750" s="9" t="inlineStr">
        <is>
          <t>Short</t>
        </is>
      </c>
      <c r="E3750" s="10" t="n">
        <v>45597.76041666666</v>
      </c>
      <c r="F3750" s="10" t="n">
        <v>45597.78125</v>
      </c>
      <c r="G3750" s="11" t="n">
        <v>0.53</v>
      </c>
      <c r="H3750" s="11">
        <f>H3749+G3750</f>
        <v/>
      </c>
    </row>
    <row r="3751">
      <c r="A3751" s="9" t="n">
        <v>3747</v>
      </c>
      <c r="B3751" s="9" t="inlineStr">
        <is>
          <t>Meridian</t>
        </is>
      </c>
      <c r="C3751" s="9" t="inlineStr">
        <is>
          <t>21/50 MA cross, 250-period confirm filter, VWAP</t>
        </is>
      </c>
      <c r="D3751" s="9" t="inlineStr">
        <is>
          <t>Short</t>
        </is>
      </c>
      <c r="E3751" s="10" t="n">
        <v>45600.34375</v>
      </c>
      <c r="F3751" s="10" t="n">
        <v>45600.37152777778</v>
      </c>
      <c r="G3751" s="11" t="n">
        <v>-3.66</v>
      </c>
      <c r="H3751" s="11">
        <f>H3750+G3751</f>
        <v/>
      </c>
    </row>
    <row r="3752">
      <c r="A3752" s="9" t="n">
        <v>3748</v>
      </c>
      <c r="B3752" s="9" t="inlineStr">
        <is>
          <t>Ratchet</t>
        </is>
      </c>
      <c r="C3752" s="9" t="inlineStr">
        <is>
          <t>Stochastic scalp with give-back trail exit</t>
        </is>
      </c>
      <c r="D3752" s="9" t="inlineStr">
        <is>
          <t>Short</t>
        </is>
      </c>
      <c r="E3752" s="10" t="n">
        <v>45600.36111111111</v>
      </c>
      <c r="F3752" s="10" t="n">
        <v>45600.37152777778</v>
      </c>
      <c r="G3752" s="11" t="n">
        <v>-3.03</v>
      </c>
      <c r="H3752" s="11">
        <f>H3751+G3752</f>
        <v/>
      </c>
    </row>
    <row r="3753">
      <c r="A3753" s="9" t="n">
        <v>3749</v>
      </c>
      <c r="B3753" s="9" t="inlineStr">
        <is>
          <t>Aurelius_M5</t>
        </is>
      </c>
      <c r="C3753" s="9" t="inlineStr">
        <is>
          <t>MA alignment (EMA21&gt;EMA50&gt;SMA250&gt;SMMA500 vs EMA2400 trend filter)</t>
        </is>
      </c>
      <c r="D3753" s="9" t="inlineStr">
        <is>
          <t>Short</t>
        </is>
      </c>
      <c r="E3753" s="10" t="n">
        <v>45600.36805555555</v>
      </c>
      <c r="F3753" s="10" t="n">
        <v>45600.375</v>
      </c>
      <c r="G3753" s="11" t="n">
        <v>-3.65</v>
      </c>
      <c r="H3753" s="11">
        <f>H3752+G3753</f>
        <v/>
      </c>
    </row>
    <row r="3754">
      <c r="A3754" s="9" t="n">
        <v>3750</v>
      </c>
      <c r="B3754" s="9" t="inlineStr">
        <is>
          <t>Ratchet</t>
        </is>
      </c>
      <c r="C3754" s="9" t="inlineStr">
        <is>
          <t>Stochastic scalp with give-back trail exit</t>
        </is>
      </c>
      <c r="D3754" s="9" t="inlineStr">
        <is>
          <t>Short</t>
        </is>
      </c>
      <c r="E3754" s="10" t="n">
        <v>45600.41666666666</v>
      </c>
      <c r="F3754" s="10" t="n">
        <v>45600.43055555555</v>
      </c>
      <c r="G3754" s="11" t="n">
        <v>0.41</v>
      </c>
      <c r="H3754" s="11">
        <f>H3753+G3754</f>
        <v/>
      </c>
    </row>
    <row r="3755">
      <c r="A3755" s="9" t="n">
        <v>3751</v>
      </c>
      <c r="B3755" s="9" t="inlineStr">
        <is>
          <t>Ratchet</t>
        </is>
      </c>
      <c r="C3755" s="9" t="inlineStr">
        <is>
          <t>Stochastic scalp with give-back trail exit</t>
        </is>
      </c>
      <c r="D3755" s="9" t="inlineStr">
        <is>
          <t>Short</t>
        </is>
      </c>
      <c r="E3755" s="10" t="n">
        <v>45600.45833333334</v>
      </c>
      <c r="F3755" s="10" t="n">
        <v>45600.46875</v>
      </c>
      <c r="G3755" s="11" t="n">
        <v>-3.36</v>
      </c>
      <c r="H3755" s="11">
        <f>H3754+G3755</f>
        <v/>
      </c>
    </row>
    <row r="3756">
      <c r="A3756" s="9" t="n">
        <v>3752</v>
      </c>
      <c r="B3756" s="9" t="inlineStr">
        <is>
          <t>Aurelius_M5</t>
        </is>
      </c>
      <c r="C3756" s="9" t="inlineStr">
        <is>
          <t>MA alignment (EMA21&gt;EMA50&gt;SMA250&gt;SMMA500 vs EMA2400 trend filter)</t>
        </is>
      </c>
      <c r="D3756" s="9" t="inlineStr">
        <is>
          <t>Short</t>
        </is>
      </c>
      <c r="E3756" s="10" t="n">
        <v>45600.4375</v>
      </c>
      <c r="F3756" s="10" t="n">
        <v>45600.47222222222</v>
      </c>
      <c r="G3756" s="11" t="n">
        <v>-3.94</v>
      </c>
      <c r="H3756" s="11">
        <f>H3755+G3756</f>
        <v/>
      </c>
    </row>
    <row r="3757">
      <c r="A3757" s="9" t="n">
        <v>3753</v>
      </c>
      <c r="B3757" s="9" t="inlineStr">
        <is>
          <t>Meridian</t>
        </is>
      </c>
      <c r="C3757" s="9" t="inlineStr">
        <is>
          <t>21/50 MA cross, 250-period confirm filter, VWAP</t>
        </is>
      </c>
      <c r="D3757" s="9" t="inlineStr">
        <is>
          <t>Short</t>
        </is>
      </c>
      <c r="E3757" s="10" t="n">
        <v>45600.40972222222</v>
      </c>
      <c r="F3757" s="10" t="n">
        <v>45600.47569444445</v>
      </c>
      <c r="G3757" s="11" t="n">
        <v>-3.9</v>
      </c>
      <c r="H3757" s="11">
        <f>H3756+G3757</f>
        <v/>
      </c>
    </row>
    <row r="3758">
      <c r="A3758" s="9" t="n">
        <v>3754</v>
      </c>
      <c r="B3758" s="9" t="inlineStr">
        <is>
          <t>Meridian</t>
        </is>
      </c>
      <c r="C3758" s="9" t="inlineStr">
        <is>
          <t>21/50 MA cross, 250-period confirm filter, VWAP</t>
        </is>
      </c>
      <c r="D3758" s="9" t="inlineStr">
        <is>
          <t>Long</t>
        </is>
      </c>
      <c r="E3758" s="10" t="n">
        <v>45600.49305555555</v>
      </c>
      <c r="F3758" s="10" t="n">
        <v>45600.53472222222</v>
      </c>
      <c r="G3758" s="11" t="n">
        <v>-5.22</v>
      </c>
      <c r="H3758" s="11">
        <f>H3757+G3758</f>
        <v/>
      </c>
    </row>
    <row r="3759">
      <c r="A3759" s="9" t="n">
        <v>3755</v>
      </c>
      <c r="B3759" s="9" t="inlineStr">
        <is>
          <t>Meridian</t>
        </is>
      </c>
      <c r="C3759" s="9" t="inlineStr">
        <is>
          <t>21/50 MA cross, 250-period confirm filter, VWAP</t>
        </is>
      </c>
      <c r="D3759" s="9" t="inlineStr">
        <is>
          <t>Short</t>
        </is>
      </c>
      <c r="E3759" s="10" t="n">
        <v>45600.5625</v>
      </c>
      <c r="F3759" s="10" t="n">
        <v>45600.56944444445</v>
      </c>
      <c r="G3759" s="11" t="n">
        <v>-2.68</v>
      </c>
      <c r="H3759" s="11">
        <f>H3758+G3759</f>
        <v/>
      </c>
    </row>
    <row r="3760">
      <c r="A3760" s="9" t="n">
        <v>3756</v>
      </c>
      <c r="B3760" s="9" t="inlineStr">
        <is>
          <t>Vanguard_M5</t>
        </is>
      </c>
      <c r="C3760" s="9" t="inlineStr">
        <is>
          <t>Trendline breakout (fractal swing line) + VWAP/S-R distance gate</t>
        </is>
      </c>
      <c r="D3760" s="9" t="inlineStr">
        <is>
          <t>Short</t>
        </is>
      </c>
      <c r="E3760" s="10" t="n">
        <v>45596.25694444445</v>
      </c>
      <c r="F3760" s="10" t="n">
        <v>45600.65277777778</v>
      </c>
      <c r="G3760" s="11" t="n">
        <v>39.33</v>
      </c>
      <c r="H3760" s="11">
        <f>H3759+G3760</f>
        <v/>
      </c>
    </row>
    <row r="3761">
      <c r="A3761" s="9" t="n">
        <v>3757</v>
      </c>
      <c r="B3761" s="9" t="inlineStr">
        <is>
          <t>Vanguard_M15</t>
        </is>
      </c>
      <c r="C3761" s="9" t="inlineStr">
        <is>
          <t>Trendline breakout (fractal swing line) + VWAP/S-R distance gate - M15 chart</t>
        </is>
      </c>
      <c r="D3761" s="9" t="inlineStr">
        <is>
          <t>Short</t>
        </is>
      </c>
      <c r="E3761" s="10" t="n">
        <v>45596.27083333334</v>
      </c>
      <c r="F3761" s="10" t="n">
        <v>45600.65625</v>
      </c>
      <c r="G3761" s="11" t="n">
        <v>35.2</v>
      </c>
      <c r="H3761" s="11">
        <f>H3760+G3761</f>
        <v/>
      </c>
    </row>
    <row r="3762">
      <c r="A3762" s="9" t="n">
        <v>3758</v>
      </c>
      <c r="B3762" s="9" t="inlineStr">
        <is>
          <t>Vanguard_M5</t>
        </is>
      </c>
      <c r="C3762" s="9" t="inlineStr">
        <is>
          <t>Trendline breakout (fractal swing line) + VWAP/S-R distance gate</t>
        </is>
      </c>
      <c r="D3762" s="9" t="inlineStr">
        <is>
          <t>Long</t>
        </is>
      </c>
      <c r="E3762" s="10" t="n">
        <v>45600.65625</v>
      </c>
      <c r="F3762" s="10" t="n">
        <v>45600.75</v>
      </c>
      <c r="G3762" s="11" t="n">
        <v>-8.34</v>
      </c>
      <c r="H3762" s="11">
        <f>H3761+G3762</f>
        <v/>
      </c>
    </row>
    <row r="3763">
      <c r="A3763" s="9" t="n">
        <v>3759</v>
      </c>
      <c r="B3763" s="9" t="inlineStr">
        <is>
          <t>Vanguard_M15</t>
        </is>
      </c>
      <c r="C3763" s="9" t="inlineStr">
        <is>
          <t>Trendline breakout (fractal swing line) + VWAP/S-R distance gate - M15 chart</t>
        </is>
      </c>
      <c r="D3763" s="9" t="inlineStr">
        <is>
          <t>Long</t>
        </is>
      </c>
      <c r="E3763" s="10" t="n">
        <v>45600.66666666666</v>
      </c>
      <c r="F3763" s="10" t="n">
        <v>45600.75</v>
      </c>
      <c r="G3763" s="11" t="n">
        <v>-9.699999999999999</v>
      </c>
      <c r="H3763" s="11">
        <f>H3762+G3763</f>
        <v/>
      </c>
    </row>
    <row r="3764">
      <c r="A3764" s="9" t="n">
        <v>3760</v>
      </c>
      <c r="B3764" s="9" t="inlineStr">
        <is>
          <t>Ratchet</t>
        </is>
      </c>
      <c r="C3764" s="9" t="inlineStr">
        <is>
          <t>Stochastic scalp with give-back trail exit</t>
        </is>
      </c>
      <c r="D3764" s="9" t="inlineStr">
        <is>
          <t>Short</t>
        </is>
      </c>
      <c r="E3764" s="10" t="n">
        <v>45600.77430555555</v>
      </c>
      <c r="F3764" s="10" t="n">
        <v>45600.80208333334</v>
      </c>
      <c r="G3764" s="11" t="n">
        <v>1.12</v>
      </c>
      <c r="H3764" s="11">
        <f>H3763+G3764</f>
        <v/>
      </c>
    </row>
    <row r="3765">
      <c r="A3765" s="9" t="n">
        <v>3761</v>
      </c>
      <c r="B3765" s="9" t="inlineStr">
        <is>
          <t>Ratchet</t>
        </is>
      </c>
      <c r="C3765" s="9" t="inlineStr">
        <is>
          <t>Stochastic scalp with give-back trail exit</t>
        </is>
      </c>
      <c r="D3765" s="9" t="inlineStr">
        <is>
          <t>Short</t>
        </is>
      </c>
      <c r="E3765" s="10" t="n">
        <v>45600.92708333334</v>
      </c>
      <c r="F3765" s="10" t="n">
        <v>45600.93402777778</v>
      </c>
      <c r="G3765" s="11" t="n">
        <v>-1.79</v>
      </c>
      <c r="H3765" s="11">
        <f>H3764+G3765</f>
        <v/>
      </c>
    </row>
    <row r="3766">
      <c r="A3766" s="9" t="n">
        <v>3762</v>
      </c>
      <c r="B3766" s="9" t="inlineStr">
        <is>
          <t>Ratchet</t>
        </is>
      </c>
      <c r="C3766" s="9" t="inlineStr">
        <is>
          <t>Stochastic scalp with give-back trail exit</t>
        </is>
      </c>
      <c r="D3766" s="9" t="inlineStr">
        <is>
          <t>Short</t>
        </is>
      </c>
      <c r="E3766" s="10" t="n">
        <v>45601.12847222222</v>
      </c>
      <c r="F3766" s="10" t="n">
        <v>45601.14583333334</v>
      </c>
      <c r="G3766" s="11" t="n">
        <v>0.25</v>
      </c>
      <c r="H3766" s="11">
        <f>H3765+G3766</f>
        <v/>
      </c>
    </row>
    <row r="3767">
      <c r="A3767" s="9" t="n">
        <v>3763</v>
      </c>
      <c r="B3767" s="9" t="inlineStr">
        <is>
          <t>Aurelius_M15</t>
        </is>
      </c>
      <c r="C3767" s="9" t="inlineStr">
        <is>
          <t>MA alignment (EMA21&gt;EMA50&gt;SMA250&gt;SMMA500 vs EMA2400 trend filter) - M15 chart</t>
        </is>
      </c>
      <c r="D3767" s="9" t="inlineStr">
        <is>
          <t>Short</t>
        </is>
      </c>
      <c r="E3767" s="10" t="n">
        <v>45601.19791666666</v>
      </c>
      <c r="F3767" s="10" t="n">
        <v>45601.22916666666</v>
      </c>
      <c r="G3767" s="11" t="n">
        <v>-6.23</v>
      </c>
      <c r="H3767" s="11">
        <f>H3766+G3767</f>
        <v/>
      </c>
    </row>
    <row r="3768">
      <c r="A3768" s="9" t="n">
        <v>3764</v>
      </c>
      <c r="B3768" s="9" t="inlineStr">
        <is>
          <t>Vanguard_M15</t>
        </is>
      </c>
      <c r="C3768" s="9" t="inlineStr">
        <is>
          <t>Trendline breakout (fractal swing line) + VWAP/S-R distance gate - M15 chart</t>
        </is>
      </c>
      <c r="D3768" s="9" t="inlineStr">
        <is>
          <t>Short</t>
        </is>
      </c>
      <c r="E3768" s="10" t="n">
        <v>45601.19791666666</v>
      </c>
      <c r="F3768" s="10" t="n">
        <v>45601.22916666666</v>
      </c>
      <c r="G3768" s="11" t="n">
        <v>-7.47</v>
      </c>
      <c r="H3768" s="11">
        <f>H3767+G3768</f>
        <v/>
      </c>
    </row>
    <row r="3769">
      <c r="A3769" s="9" t="n">
        <v>3765</v>
      </c>
      <c r="B3769" s="9" t="inlineStr">
        <is>
          <t>Aurelius_M5</t>
        </is>
      </c>
      <c r="C3769" s="9" t="inlineStr">
        <is>
          <t>MA alignment (EMA21&gt;EMA50&gt;SMA250&gt;SMMA500 vs EMA2400 trend filter)</t>
        </is>
      </c>
      <c r="D3769" s="9" t="inlineStr">
        <is>
          <t>Short</t>
        </is>
      </c>
      <c r="E3769" s="10" t="n">
        <v>45601.12847222222</v>
      </c>
      <c r="F3769" s="10" t="n">
        <v>45601.26388888889</v>
      </c>
      <c r="G3769" s="11" t="n">
        <v>-0.64</v>
      </c>
      <c r="H3769" s="11">
        <f>H3768+G3769</f>
        <v/>
      </c>
    </row>
    <row r="3770">
      <c r="A3770" s="9" t="n">
        <v>3766</v>
      </c>
      <c r="B3770" s="9" t="inlineStr">
        <is>
          <t>Meridian</t>
        </is>
      </c>
      <c r="C3770" s="9" t="inlineStr">
        <is>
          <t>21/50 MA cross, 250-period confirm filter, VWAP</t>
        </is>
      </c>
      <c r="D3770" s="9" t="inlineStr">
        <is>
          <t>Short</t>
        </is>
      </c>
      <c r="E3770" s="10" t="n">
        <v>45600.75</v>
      </c>
      <c r="F3770" s="10" t="n">
        <v>45601.28125</v>
      </c>
      <c r="G3770" s="11" t="n">
        <v>3.39</v>
      </c>
      <c r="H3770" s="11">
        <f>H3769+G3770</f>
        <v/>
      </c>
    </row>
    <row r="3771">
      <c r="A3771" s="9" t="n">
        <v>3767</v>
      </c>
      <c r="B3771" s="9" t="inlineStr">
        <is>
          <t>Vanguard_M15</t>
        </is>
      </c>
      <c r="C3771" s="9" t="inlineStr">
        <is>
          <t>Trendline breakout (fractal swing line) + VWAP/S-R distance gate - M15 chart</t>
        </is>
      </c>
      <c r="D3771" s="9" t="inlineStr">
        <is>
          <t>Short</t>
        </is>
      </c>
      <c r="E3771" s="10" t="n">
        <v>45601.33333333334</v>
      </c>
      <c r="F3771" s="10" t="n">
        <v>45601.375</v>
      </c>
      <c r="G3771" s="11" t="n">
        <v>-7.18</v>
      </c>
      <c r="H3771" s="11">
        <f>H3770+G3771</f>
        <v/>
      </c>
    </row>
    <row r="3772">
      <c r="A3772" s="9" t="n">
        <v>3768</v>
      </c>
      <c r="B3772" s="9" t="inlineStr">
        <is>
          <t>Vanguard_M15</t>
        </is>
      </c>
      <c r="C3772" s="9" t="inlineStr">
        <is>
          <t>Trendline breakout (fractal swing line) + VWAP/S-R distance gate - M15 chart</t>
        </is>
      </c>
      <c r="D3772" s="9" t="inlineStr">
        <is>
          <t>Long</t>
        </is>
      </c>
      <c r="E3772" s="10" t="n">
        <v>45601.38541666666</v>
      </c>
      <c r="F3772" s="10" t="n">
        <v>45601.41666666666</v>
      </c>
      <c r="G3772" s="11" t="n">
        <v>-7.74</v>
      </c>
      <c r="H3772" s="11">
        <f>H3771+G3772</f>
        <v/>
      </c>
    </row>
    <row r="3773">
      <c r="A3773" s="9" t="n">
        <v>3769</v>
      </c>
      <c r="B3773" s="9" t="inlineStr">
        <is>
          <t>Vanguard_M5</t>
        </is>
      </c>
      <c r="C3773" s="9" t="inlineStr">
        <is>
          <t>Trendline breakout (fractal swing line) + VWAP/S-R distance gate</t>
        </is>
      </c>
      <c r="D3773" s="9" t="inlineStr">
        <is>
          <t>Long</t>
        </is>
      </c>
      <c r="E3773" s="10" t="n">
        <v>45601.37847222222</v>
      </c>
      <c r="F3773" s="10" t="n">
        <v>45601.42013888889</v>
      </c>
      <c r="G3773" s="11" t="n">
        <v>-5.71</v>
      </c>
      <c r="H3773" s="11">
        <f>H3772+G3773</f>
        <v/>
      </c>
    </row>
    <row r="3774">
      <c r="A3774" s="9" t="n">
        <v>3770</v>
      </c>
      <c r="B3774" s="9" t="inlineStr">
        <is>
          <t>Vanguard_M15</t>
        </is>
      </c>
      <c r="C3774" s="9" t="inlineStr">
        <is>
          <t>Trendline breakout (fractal swing line) + VWAP/S-R distance gate - M15 chart</t>
        </is>
      </c>
      <c r="D3774" s="9" t="inlineStr">
        <is>
          <t>Short</t>
        </is>
      </c>
      <c r="E3774" s="10" t="n">
        <v>45601.42708333334</v>
      </c>
      <c r="F3774" s="10" t="n">
        <v>45601.4375</v>
      </c>
      <c r="G3774" s="11" t="n">
        <v>-6.72</v>
      </c>
      <c r="H3774" s="11">
        <f>H3773+G3774</f>
        <v/>
      </c>
    </row>
    <row r="3775">
      <c r="A3775" s="9" t="n">
        <v>3771</v>
      </c>
      <c r="B3775" s="9" t="inlineStr">
        <is>
          <t>Meridian</t>
        </is>
      </c>
      <c r="C3775" s="9" t="inlineStr">
        <is>
          <t>21/50 MA cross, 250-period confirm filter, VWAP</t>
        </is>
      </c>
      <c r="D3775" s="9" t="inlineStr">
        <is>
          <t>Long</t>
        </is>
      </c>
      <c r="E3775" s="10" t="n">
        <v>45601.64236111111</v>
      </c>
      <c r="F3775" s="10" t="n">
        <v>45601.71875</v>
      </c>
      <c r="G3775" s="11" t="n">
        <v>-4.3</v>
      </c>
      <c r="H3775" s="11">
        <f>H3774+G3775</f>
        <v/>
      </c>
    </row>
    <row r="3776">
      <c r="A3776" s="9" t="n">
        <v>3772</v>
      </c>
      <c r="B3776" s="9" t="inlineStr">
        <is>
          <t>Meridian</t>
        </is>
      </c>
      <c r="C3776" s="9" t="inlineStr">
        <is>
          <t>21/50 MA cross, 250-period confirm filter, VWAP</t>
        </is>
      </c>
      <c r="D3776" s="9" t="inlineStr">
        <is>
          <t>Short</t>
        </is>
      </c>
      <c r="E3776" s="10" t="n">
        <v>45601.72916666666</v>
      </c>
      <c r="F3776" s="10" t="n">
        <v>45601.73958333334</v>
      </c>
      <c r="G3776" s="11" t="n">
        <v>-6.89</v>
      </c>
      <c r="H3776" s="11">
        <f>H3775+G3776</f>
        <v/>
      </c>
    </row>
    <row r="3777">
      <c r="A3777" s="9" t="n">
        <v>3773</v>
      </c>
      <c r="B3777" s="9" t="inlineStr">
        <is>
          <t>Meridian</t>
        </is>
      </c>
      <c r="C3777" s="9" t="inlineStr">
        <is>
          <t>21/50 MA cross, 250-period confirm filter, VWAP</t>
        </is>
      </c>
      <c r="D3777" s="9" t="inlineStr">
        <is>
          <t>Long</t>
        </is>
      </c>
      <c r="E3777" s="10" t="n">
        <v>45601.8125</v>
      </c>
      <c r="F3777" s="10" t="n">
        <v>45601.88194444445</v>
      </c>
      <c r="G3777" s="11" t="n">
        <v>-3.31</v>
      </c>
      <c r="H3777" s="11">
        <f>H3776+G3777</f>
        <v/>
      </c>
    </row>
    <row r="3778">
      <c r="A3778" s="9" t="n">
        <v>3774</v>
      </c>
      <c r="B3778" s="9" t="inlineStr">
        <is>
          <t>Ratchet</t>
        </is>
      </c>
      <c r="C3778" s="9" t="inlineStr">
        <is>
          <t>Stochastic scalp with give-back trail exit</t>
        </is>
      </c>
      <c r="D3778" s="9" t="inlineStr">
        <is>
          <t>Long</t>
        </is>
      </c>
      <c r="E3778" s="10" t="n">
        <v>45601.97569444445</v>
      </c>
      <c r="F3778" s="10" t="n">
        <v>45601.97916666666</v>
      </c>
      <c r="G3778" s="11" t="n">
        <v>0.12</v>
      </c>
      <c r="H3778" s="11">
        <f>H3777+G3778</f>
        <v/>
      </c>
    </row>
    <row r="3779">
      <c r="A3779" s="9" t="n">
        <v>3775</v>
      </c>
      <c r="B3779" s="9" t="inlineStr">
        <is>
          <t>Meridian</t>
        </is>
      </c>
      <c r="C3779" s="9" t="inlineStr">
        <is>
          <t>21/50 MA cross, 250-period confirm filter, VWAP</t>
        </is>
      </c>
      <c r="D3779" s="9" t="inlineStr">
        <is>
          <t>Long</t>
        </is>
      </c>
      <c r="E3779" s="10" t="n">
        <v>45601.90625</v>
      </c>
      <c r="F3779" s="10" t="n">
        <v>45602.09722222222</v>
      </c>
      <c r="G3779" s="11" t="n">
        <v>-3.51</v>
      </c>
      <c r="H3779" s="11">
        <f>H3778+G3779</f>
        <v/>
      </c>
    </row>
    <row r="3780">
      <c r="A3780" s="9" t="n">
        <v>3776</v>
      </c>
      <c r="B3780" s="9" t="inlineStr">
        <is>
          <t>Meridian</t>
        </is>
      </c>
      <c r="C3780" s="9" t="inlineStr">
        <is>
          <t>21/50 MA cross, 250-period confirm filter, VWAP</t>
        </is>
      </c>
      <c r="D3780" s="9" t="inlineStr">
        <is>
          <t>Short</t>
        </is>
      </c>
      <c r="E3780" s="10" t="n">
        <v>45602.10416666666</v>
      </c>
      <c r="F3780" s="10" t="n">
        <v>45602.14236111111</v>
      </c>
      <c r="G3780" s="11" t="n">
        <v>-4.02</v>
      </c>
      <c r="H3780" s="11">
        <f>H3779+G3780</f>
        <v/>
      </c>
    </row>
    <row r="3781">
      <c r="A3781" s="9" t="n">
        <v>3777</v>
      </c>
      <c r="B3781" s="9" t="inlineStr">
        <is>
          <t>Meridian</t>
        </is>
      </c>
      <c r="C3781" s="9" t="inlineStr">
        <is>
          <t>21/50 MA cross, 250-period confirm filter, VWAP</t>
        </is>
      </c>
      <c r="D3781" s="9" t="inlineStr">
        <is>
          <t>Long</t>
        </is>
      </c>
      <c r="E3781" s="10" t="n">
        <v>45602.16319444445</v>
      </c>
      <c r="F3781" s="10" t="n">
        <v>45602.17361111111</v>
      </c>
      <c r="G3781" s="11" t="n">
        <v>-6.6</v>
      </c>
      <c r="H3781" s="11">
        <f>H3780+G3781</f>
        <v/>
      </c>
    </row>
    <row r="3782">
      <c r="A3782" s="9" t="n">
        <v>3778</v>
      </c>
      <c r="B3782" s="9" t="inlineStr">
        <is>
          <t>Vanguard_M5</t>
        </is>
      </c>
      <c r="C3782" s="9" t="inlineStr">
        <is>
          <t>Trendline breakout (fractal swing line) + VWAP/S-R distance gate</t>
        </is>
      </c>
      <c r="D3782" s="9" t="inlineStr">
        <is>
          <t>Long</t>
        </is>
      </c>
      <c r="E3782" s="10" t="n">
        <v>45601.44097222222</v>
      </c>
      <c r="F3782" s="10" t="n">
        <v>45602.22569444445</v>
      </c>
      <c r="G3782" s="11" t="n">
        <v>-6.9</v>
      </c>
      <c r="H3782" s="11">
        <f>H3781+G3782</f>
        <v/>
      </c>
    </row>
    <row r="3783">
      <c r="A3783" s="9" t="n">
        <v>3779</v>
      </c>
      <c r="B3783" s="9" t="inlineStr">
        <is>
          <t>Aurelius_M5</t>
        </is>
      </c>
      <c r="C3783" s="9" t="inlineStr">
        <is>
          <t>MA alignment (EMA21&gt;EMA50&gt;SMA250&gt;SMMA500 vs EMA2400 trend filter)</t>
        </is>
      </c>
      <c r="D3783" s="9" t="inlineStr">
        <is>
          <t>Short</t>
        </is>
      </c>
      <c r="E3783" s="10" t="n">
        <v>45602.24305555555</v>
      </c>
      <c r="F3783" s="10" t="n">
        <v>45602.28125</v>
      </c>
      <c r="G3783" s="11" t="n">
        <v>-9.390000000000001</v>
      </c>
      <c r="H3783" s="11">
        <f>H3782+G3783</f>
        <v/>
      </c>
    </row>
    <row r="3784">
      <c r="A3784" s="9" t="n">
        <v>3780</v>
      </c>
      <c r="B3784" s="9" t="inlineStr">
        <is>
          <t>Vanguard_M15</t>
        </is>
      </c>
      <c r="C3784" s="9" t="inlineStr">
        <is>
          <t>Trendline breakout (fractal swing line) + VWAP/S-R distance gate - M15 chart</t>
        </is>
      </c>
      <c r="D3784" s="9" t="inlineStr">
        <is>
          <t>Long</t>
        </is>
      </c>
      <c r="E3784" s="10" t="n">
        <v>45601.44791666666</v>
      </c>
      <c r="F3784" s="10" t="n">
        <v>45602.29166666666</v>
      </c>
      <c r="G3784" s="11" t="n">
        <v>-0.16</v>
      </c>
      <c r="H3784" s="11">
        <f>H3783+G3784</f>
        <v/>
      </c>
    </row>
    <row r="3785">
      <c r="A3785" s="9" t="n">
        <v>3781</v>
      </c>
      <c r="B3785" s="9" t="inlineStr">
        <is>
          <t>Ratchet</t>
        </is>
      </c>
      <c r="C3785" s="9" t="inlineStr">
        <is>
          <t>Stochastic scalp with give-back trail exit</t>
        </is>
      </c>
      <c r="D3785" s="9" t="inlineStr">
        <is>
          <t>Short</t>
        </is>
      </c>
      <c r="E3785" s="10" t="n">
        <v>45602.78819444445</v>
      </c>
      <c r="F3785" s="10" t="n">
        <v>45602.83333333334</v>
      </c>
      <c r="G3785" s="11" t="n">
        <v>1.15</v>
      </c>
      <c r="H3785" s="11">
        <f>H3784+G3785</f>
        <v/>
      </c>
    </row>
    <row r="3786">
      <c r="A3786" s="9" t="n">
        <v>3782</v>
      </c>
      <c r="B3786" s="9" t="inlineStr">
        <is>
          <t>Aurelius_M5</t>
        </is>
      </c>
      <c r="C3786" s="9" t="inlineStr">
        <is>
          <t>MA alignment (EMA21&gt;EMA50&gt;SMA250&gt;SMMA500 vs EMA2400 trend filter)</t>
        </is>
      </c>
      <c r="D3786" s="9" t="inlineStr">
        <is>
          <t>Short</t>
        </is>
      </c>
      <c r="E3786" s="10" t="n">
        <v>45602.30208333334</v>
      </c>
      <c r="F3786" s="10" t="n">
        <v>45603.04166666666</v>
      </c>
      <c r="G3786" s="11" t="n">
        <v>79.90000000000001</v>
      </c>
      <c r="H3786" s="11">
        <f>H3785+G3786</f>
        <v/>
      </c>
    </row>
    <row r="3787">
      <c r="A3787" s="9" t="n">
        <v>3783</v>
      </c>
      <c r="B3787" s="9" t="inlineStr">
        <is>
          <t>Aurelius_M5</t>
        </is>
      </c>
      <c r="C3787" s="9" t="inlineStr">
        <is>
          <t>MA alignment (EMA21&gt;EMA50&gt;SMA250&gt;SMMA500 vs EMA2400 trend filter)</t>
        </is>
      </c>
      <c r="D3787" s="9" t="inlineStr">
        <is>
          <t>Short</t>
        </is>
      </c>
      <c r="E3787" s="10" t="n">
        <v>45603.14930555555</v>
      </c>
      <c r="F3787" s="10" t="n">
        <v>45603.16666666666</v>
      </c>
      <c r="G3787" s="11" t="n">
        <v>-7.07</v>
      </c>
      <c r="H3787" s="11">
        <f>H3786+G3787</f>
        <v/>
      </c>
    </row>
    <row r="3788">
      <c r="A3788" s="9" t="n">
        <v>3784</v>
      </c>
      <c r="B3788" s="9" t="inlineStr">
        <is>
          <t>Aurelius_M5</t>
        </is>
      </c>
      <c r="C3788" s="9" t="inlineStr">
        <is>
          <t>MA alignment (EMA21&gt;EMA50&gt;SMA250&gt;SMMA500 vs EMA2400 trend filter)</t>
        </is>
      </c>
      <c r="D3788" s="9" t="inlineStr">
        <is>
          <t>Short</t>
        </is>
      </c>
      <c r="E3788" s="10" t="n">
        <v>45603.22916666666</v>
      </c>
      <c r="F3788" s="10" t="n">
        <v>45603.25694444445</v>
      </c>
      <c r="G3788" s="11" t="n">
        <v>-1.3</v>
      </c>
      <c r="H3788" s="11">
        <f>H3787+G3788</f>
        <v/>
      </c>
    </row>
    <row r="3789">
      <c r="A3789" s="9" t="n">
        <v>3785</v>
      </c>
      <c r="B3789" s="9" t="inlineStr">
        <is>
          <t>Meridian</t>
        </is>
      </c>
      <c r="C3789" s="9" t="inlineStr">
        <is>
          <t>21/50 MA cross, 250-period confirm filter, VWAP</t>
        </is>
      </c>
      <c r="D3789" s="9" t="inlineStr">
        <is>
          <t>Short</t>
        </is>
      </c>
      <c r="E3789" s="10" t="n">
        <v>45602.21180555555</v>
      </c>
      <c r="F3789" s="10" t="n">
        <v>45603.32986111111</v>
      </c>
      <c r="G3789" s="11" t="n">
        <v>77.27</v>
      </c>
      <c r="H3789" s="11">
        <f>H3788+G3789</f>
        <v/>
      </c>
    </row>
    <row r="3790">
      <c r="A3790" s="9" t="n">
        <v>3786</v>
      </c>
      <c r="B3790" s="9" t="inlineStr">
        <is>
          <t>Meridian</t>
        </is>
      </c>
      <c r="C3790" s="9" t="inlineStr">
        <is>
          <t>21/50 MA cross, 250-period confirm filter, VWAP</t>
        </is>
      </c>
      <c r="D3790" s="9" t="inlineStr">
        <is>
          <t>Short</t>
        </is>
      </c>
      <c r="E3790" s="10" t="n">
        <v>45603.34027777778</v>
      </c>
      <c r="F3790" s="10" t="n">
        <v>45603.34375</v>
      </c>
      <c r="G3790" s="11" t="n">
        <v>-4.71</v>
      </c>
      <c r="H3790" s="11">
        <f>H3789+G3790</f>
        <v/>
      </c>
    </row>
    <row r="3791">
      <c r="A3791" s="9" t="n">
        <v>3787</v>
      </c>
      <c r="B3791" s="9" t="inlineStr">
        <is>
          <t>Ratchet</t>
        </is>
      </c>
      <c r="C3791" s="9" t="inlineStr">
        <is>
          <t>Stochastic scalp with give-back trail exit</t>
        </is>
      </c>
      <c r="D3791" s="9" t="inlineStr">
        <is>
          <t>Short</t>
        </is>
      </c>
      <c r="E3791" s="10" t="n">
        <v>45603.36111111111</v>
      </c>
      <c r="F3791" s="10" t="n">
        <v>45603.375</v>
      </c>
      <c r="G3791" s="11" t="n">
        <v>-3.68</v>
      </c>
      <c r="H3791" s="11">
        <f>H3790+G3791</f>
        <v/>
      </c>
    </row>
    <row r="3792">
      <c r="A3792" s="9" t="n">
        <v>3788</v>
      </c>
      <c r="B3792" s="9" t="inlineStr">
        <is>
          <t>Aurelius_M15</t>
        </is>
      </c>
      <c r="C3792" s="9" t="inlineStr">
        <is>
          <t>MA alignment (EMA21&gt;EMA50&gt;SMA250&gt;SMMA500 vs EMA2400 trend filter) - M15 chart</t>
        </is>
      </c>
      <c r="D3792" s="9" t="inlineStr">
        <is>
          <t>Short</t>
        </is>
      </c>
      <c r="E3792" s="10" t="n">
        <v>45602.34375</v>
      </c>
      <c r="F3792" s="10" t="n">
        <v>45603.44791666666</v>
      </c>
      <c r="G3792" s="11" t="n">
        <v>71.22</v>
      </c>
      <c r="H3792" s="11">
        <f>H3791+G3792</f>
        <v/>
      </c>
    </row>
    <row r="3793">
      <c r="A3793" s="9" t="n">
        <v>3789</v>
      </c>
      <c r="B3793" s="9" t="inlineStr">
        <is>
          <t>Aurelius_M5</t>
        </is>
      </c>
      <c r="C3793" s="9" t="inlineStr">
        <is>
          <t>MA alignment (EMA21&gt;EMA50&gt;SMA250&gt;SMMA500 vs EMA2400 trend filter)</t>
        </is>
      </c>
      <c r="D3793" s="9" t="inlineStr">
        <is>
          <t>Short</t>
        </is>
      </c>
      <c r="E3793" s="10" t="n">
        <v>45604.47569444445</v>
      </c>
      <c r="F3793" s="10" t="n">
        <v>45604.56944444445</v>
      </c>
      <c r="G3793" s="11" t="n">
        <v>-6.21</v>
      </c>
      <c r="H3793" s="11">
        <f>H3792+G3793</f>
        <v/>
      </c>
    </row>
    <row r="3794">
      <c r="A3794" s="9" t="n">
        <v>3790</v>
      </c>
      <c r="B3794" s="9" t="inlineStr">
        <is>
          <t>Vanguard_M5</t>
        </is>
      </c>
      <c r="C3794" s="9" t="inlineStr">
        <is>
          <t>Trendline breakout (fractal swing line) + VWAP/S-R distance gate</t>
        </is>
      </c>
      <c r="D3794" s="9" t="inlineStr">
        <is>
          <t>Long</t>
        </is>
      </c>
      <c r="E3794" s="10" t="n">
        <v>45604.66319444445</v>
      </c>
      <c r="F3794" s="10" t="n">
        <v>45604.69791666666</v>
      </c>
      <c r="G3794" s="11" t="n">
        <v>-10.28</v>
      </c>
      <c r="H3794" s="11">
        <f>H3793+G3794</f>
        <v/>
      </c>
    </row>
    <row r="3795">
      <c r="A3795" s="9" t="n">
        <v>3791</v>
      </c>
      <c r="B3795" s="9" t="inlineStr">
        <is>
          <t>Vanguard_M15</t>
        </is>
      </c>
      <c r="C3795" s="9" t="inlineStr">
        <is>
          <t>Trendline breakout (fractal swing line) + VWAP/S-R distance gate - M15 chart</t>
        </is>
      </c>
      <c r="D3795" s="9" t="inlineStr">
        <is>
          <t>Long</t>
        </is>
      </c>
      <c r="E3795" s="10" t="n">
        <v>45604.67708333334</v>
      </c>
      <c r="F3795" s="10" t="n">
        <v>45604.70833333334</v>
      </c>
      <c r="G3795" s="11" t="n">
        <v>-13.05</v>
      </c>
      <c r="H3795" s="11">
        <f>H3794+G3795</f>
        <v/>
      </c>
    </row>
    <row r="3796">
      <c r="A3796" s="9" t="n">
        <v>3792</v>
      </c>
      <c r="B3796" s="9" t="inlineStr">
        <is>
          <t>Meridian</t>
        </is>
      </c>
      <c r="C3796" s="9" t="inlineStr">
        <is>
          <t>21/50 MA cross, 250-period confirm filter, VWAP</t>
        </is>
      </c>
      <c r="D3796" s="9" t="inlineStr">
        <is>
          <t>Short</t>
        </is>
      </c>
      <c r="E3796" s="10" t="n">
        <v>45604.72222222222</v>
      </c>
      <c r="F3796" s="10" t="n">
        <v>45604.91666666666</v>
      </c>
      <c r="G3796" s="11" t="n">
        <v>-1.84</v>
      </c>
      <c r="H3796" s="11">
        <f>H3795+G3796</f>
        <v/>
      </c>
    </row>
    <row r="3797">
      <c r="A3797" s="9" t="n">
        <v>3793</v>
      </c>
      <c r="B3797" s="9" t="inlineStr">
        <is>
          <t>Ratchet</t>
        </is>
      </c>
      <c r="C3797" s="9" t="inlineStr">
        <is>
          <t>Stochastic scalp with give-back trail exit</t>
        </is>
      </c>
      <c r="D3797" s="9" t="inlineStr">
        <is>
          <t>Short</t>
        </is>
      </c>
      <c r="E3797" s="10" t="n">
        <v>45607.22569444445</v>
      </c>
      <c r="F3797" s="10" t="n">
        <v>45607.29166666666</v>
      </c>
      <c r="G3797" s="11" t="n">
        <v>-3.72</v>
      </c>
      <c r="H3797" s="11">
        <f>H3796+G3797</f>
        <v/>
      </c>
    </row>
    <row r="3798">
      <c r="A3798" s="9" t="n">
        <v>3794</v>
      </c>
      <c r="B3798" s="9" t="inlineStr">
        <is>
          <t>Ratchet</t>
        </is>
      </c>
      <c r="C3798" s="9" t="inlineStr">
        <is>
          <t>Stochastic scalp with give-back trail exit</t>
        </is>
      </c>
      <c r="D3798" s="9" t="inlineStr">
        <is>
          <t>Short</t>
        </is>
      </c>
      <c r="E3798" s="10" t="n">
        <v>45607.3125</v>
      </c>
      <c r="F3798" s="10" t="n">
        <v>45607.31944444445</v>
      </c>
      <c r="G3798" s="11" t="n">
        <v>-0</v>
      </c>
      <c r="H3798" s="11">
        <f>H3797+G3798</f>
        <v/>
      </c>
    </row>
    <row r="3799">
      <c r="A3799" s="9" t="n">
        <v>3795</v>
      </c>
      <c r="B3799" s="9" t="inlineStr">
        <is>
          <t>Ratchet</t>
        </is>
      </c>
      <c r="C3799" s="9" t="inlineStr">
        <is>
          <t>Stochastic scalp with give-back trail exit</t>
        </is>
      </c>
      <c r="D3799" s="9" t="inlineStr">
        <is>
          <t>Short</t>
        </is>
      </c>
      <c r="E3799" s="10" t="n">
        <v>45607.45486111111</v>
      </c>
      <c r="F3799" s="10" t="n">
        <v>45607.48958333334</v>
      </c>
      <c r="G3799" s="11" t="n">
        <v>0.97</v>
      </c>
      <c r="H3799" s="11">
        <f>H3798+G3799</f>
        <v/>
      </c>
    </row>
    <row r="3800">
      <c r="A3800" s="9" t="n">
        <v>3796</v>
      </c>
      <c r="B3800" s="9" t="inlineStr">
        <is>
          <t>Ratchet</t>
        </is>
      </c>
      <c r="C3800" s="9" t="inlineStr">
        <is>
          <t>Stochastic scalp with give-back trail exit</t>
        </is>
      </c>
      <c r="D3800" s="9" t="inlineStr">
        <is>
          <t>Short</t>
        </is>
      </c>
      <c r="E3800" s="10" t="n">
        <v>45607.49305555555</v>
      </c>
      <c r="F3800" s="10" t="n">
        <v>45607.49652777778</v>
      </c>
      <c r="G3800" s="11" t="n">
        <v>-0</v>
      </c>
      <c r="H3800" s="11">
        <f>H3799+G3800</f>
        <v/>
      </c>
    </row>
    <row r="3801">
      <c r="A3801" s="9" t="n">
        <v>3797</v>
      </c>
      <c r="B3801" s="9" t="inlineStr">
        <is>
          <t>Ratchet</t>
        </is>
      </c>
      <c r="C3801" s="9" t="inlineStr">
        <is>
          <t>Stochastic scalp with give-back trail exit</t>
        </is>
      </c>
      <c r="D3801" s="9" t="inlineStr">
        <is>
          <t>Short</t>
        </is>
      </c>
      <c r="E3801" s="10" t="n">
        <v>45607.57291666666</v>
      </c>
      <c r="F3801" s="10" t="n">
        <v>45607.85069444445</v>
      </c>
      <c r="G3801" s="11" t="n">
        <v>54.15</v>
      </c>
      <c r="H3801" s="11">
        <f>H3800+G3801</f>
        <v/>
      </c>
    </row>
    <row r="3802">
      <c r="A3802" s="9" t="n">
        <v>3798</v>
      </c>
      <c r="B3802" s="9" t="inlineStr">
        <is>
          <t>Aurelius_M5</t>
        </is>
      </c>
      <c r="C3802" s="9" t="inlineStr">
        <is>
          <t>MA alignment (EMA21&gt;EMA50&gt;SMA250&gt;SMMA500 vs EMA2400 trend filter)</t>
        </is>
      </c>
      <c r="D3802" s="9" t="inlineStr">
        <is>
          <t>Short</t>
        </is>
      </c>
      <c r="E3802" s="10" t="n">
        <v>45607.12847222222</v>
      </c>
      <c r="F3802" s="10" t="n">
        <v>45607.88541666666</v>
      </c>
      <c r="G3802" s="11" t="n">
        <v>60.62</v>
      </c>
      <c r="H3802" s="11">
        <f>H3801+G3802</f>
        <v/>
      </c>
    </row>
    <row r="3803">
      <c r="A3803" s="9" t="n">
        <v>3799</v>
      </c>
      <c r="B3803" s="9" t="inlineStr">
        <is>
          <t>Ratchet</t>
        </is>
      </c>
      <c r="C3803" s="9" t="inlineStr">
        <is>
          <t>Stochastic scalp with give-back trail exit</t>
        </is>
      </c>
      <c r="D3803" s="9" t="inlineStr">
        <is>
          <t>Short</t>
        </is>
      </c>
      <c r="E3803" s="10" t="n">
        <v>45608.23611111111</v>
      </c>
      <c r="F3803" s="10" t="n">
        <v>45608.23958333334</v>
      </c>
      <c r="G3803" s="11" t="n">
        <v>-0</v>
      </c>
      <c r="H3803" s="11">
        <f>H3802+G3803</f>
        <v/>
      </c>
    </row>
    <row r="3804">
      <c r="A3804" s="9" t="n">
        <v>3800</v>
      </c>
      <c r="B3804" s="9" t="inlineStr">
        <is>
          <t>Ratchet</t>
        </is>
      </c>
      <c r="C3804" s="9" t="inlineStr">
        <is>
          <t>Stochastic scalp with give-back trail exit</t>
        </is>
      </c>
      <c r="D3804" s="9" t="inlineStr">
        <is>
          <t>Short</t>
        </is>
      </c>
      <c r="E3804" s="10" t="n">
        <v>45608.38194444445</v>
      </c>
      <c r="F3804" s="10" t="n">
        <v>45608.39236111111</v>
      </c>
      <c r="G3804" s="11" t="n">
        <v>1.78</v>
      </c>
      <c r="H3804" s="11">
        <f>H3803+G3804</f>
        <v/>
      </c>
    </row>
    <row r="3805">
      <c r="A3805" s="9" t="n">
        <v>3801</v>
      </c>
      <c r="B3805" s="9" t="inlineStr">
        <is>
          <t>Ratchet</t>
        </is>
      </c>
      <c r="C3805" s="9" t="inlineStr">
        <is>
          <t>Stochastic scalp with give-back trail exit</t>
        </is>
      </c>
      <c r="D3805" s="9" t="inlineStr">
        <is>
          <t>Short</t>
        </is>
      </c>
      <c r="E3805" s="10" t="n">
        <v>45608.44791666666</v>
      </c>
      <c r="F3805" s="10" t="n">
        <v>45608.53125</v>
      </c>
      <c r="G3805" s="11" t="n">
        <v>2.76</v>
      </c>
      <c r="H3805" s="11">
        <f>H3804+G3805</f>
        <v/>
      </c>
    </row>
    <row r="3806">
      <c r="A3806" s="9" t="n">
        <v>3802</v>
      </c>
      <c r="B3806" s="9" t="inlineStr">
        <is>
          <t>Meridian</t>
        </is>
      </c>
      <c r="C3806" s="9" t="inlineStr">
        <is>
          <t>21/50 MA cross, 250-period confirm filter, VWAP</t>
        </is>
      </c>
      <c r="D3806" s="9" t="inlineStr">
        <is>
          <t>Short</t>
        </is>
      </c>
      <c r="E3806" s="10" t="n">
        <v>45608.23611111111</v>
      </c>
      <c r="F3806" s="10" t="n">
        <v>45608.60416666666</v>
      </c>
      <c r="G3806" s="11" t="n">
        <v>18.33</v>
      </c>
      <c r="H3806" s="11">
        <f>H3805+G3806</f>
        <v/>
      </c>
    </row>
    <row r="3807">
      <c r="A3807" s="9" t="n">
        <v>3803</v>
      </c>
      <c r="B3807" s="9" t="inlineStr">
        <is>
          <t>Aurelius_M5</t>
        </is>
      </c>
      <c r="C3807" s="9" t="inlineStr">
        <is>
          <t>MA alignment (EMA21&gt;EMA50&gt;SMA250&gt;SMMA500 vs EMA2400 trend filter)</t>
        </is>
      </c>
      <c r="D3807" s="9" t="inlineStr">
        <is>
          <t>Short</t>
        </is>
      </c>
      <c r="E3807" s="10" t="n">
        <v>45608.25347222222</v>
      </c>
      <c r="F3807" s="10" t="n">
        <v>45608.60416666666</v>
      </c>
      <c r="G3807" s="11" t="n">
        <v>14.76</v>
      </c>
      <c r="H3807" s="11">
        <f>H3806+G3807</f>
        <v/>
      </c>
    </row>
    <row r="3808">
      <c r="A3808" s="9" t="n">
        <v>3804</v>
      </c>
      <c r="B3808" s="9" t="inlineStr">
        <is>
          <t>Ratchet</t>
        </is>
      </c>
      <c r="C3808" s="9" t="inlineStr">
        <is>
          <t>Stochastic scalp with give-back trail exit</t>
        </is>
      </c>
      <c r="D3808" s="9" t="inlineStr">
        <is>
          <t>Short</t>
        </is>
      </c>
      <c r="E3808" s="10" t="n">
        <v>45608.76736111111</v>
      </c>
      <c r="F3808" s="10" t="n">
        <v>45608.82638888889</v>
      </c>
      <c r="G3808" s="11" t="n">
        <v>1.85</v>
      </c>
      <c r="H3808" s="11">
        <f>H3807+G3808</f>
        <v/>
      </c>
    </row>
    <row r="3809">
      <c r="A3809" s="9" t="n">
        <v>3805</v>
      </c>
      <c r="B3809" s="9" t="inlineStr">
        <is>
          <t>Ratchet</t>
        </is>
      </c>
      <c r="C3809" s="9" t="inlineStr">
        <is>
          <t>Stochastic scalp with give-back trail exit</t>
        </is>
      </c>
      <c r="D3809" s="9" t="inlineStr">
        <is>
          <t>Short</t>
        </is>
      </c>
      <c r="E3809" s="10" t="n">
        <v>45608.86111111111</v>
      </c>
      <c r="F3809" s="10" t="n">
        <v>45608.875</v>
      </c>
      <c r="G3809" s="11" t="n">
        <v>-3.71</v>
      </c>
      <c r="H3809" s="11">
        <f>H3808+G3809</f>
        <v/>
      </c>
    </row>
    <row r="3810">
      <c r="A3810" s="9" t="n">
        <v>3806</v>
      </c>
      <c r="B3810" s="9" t="inlineStr">
        <is>
          <t>Meridian</t>
        </is>
      </c>
      <c r="C3810" s="9" t="inlineStr">
        <is>
          <t>21/50 MA cross, 250-period confirm filter, VWAP</t>
        </is>
      </c>
      <c r="D3810" s="9" t="inlineStr">
        <is>
          <t>Short</t>
        </is>
      </c>
      <c r="E3810" s="10" t="n">
        <v>45608.74652777778</v>
      </c>
      <c r="F3810" s="10" t="n">
        <v>45609.125</v>
      </c>
      <c r="G3810" s="11" t="n">
        <v>-1.69</v>
      </c>
      <c r="H3810" s="11">
        <f>H3809+G3810</f>
        <v/>
      </c>
    </row>
    <row r="3811">
      <c r="A3811" s="9" t="n">
        <v>3807</v>
      </c>
      <c r="B3811" s="9" t="inlineStr">
        <is>
          <t>Aurelius_M15</t>
        </is>
      </c>
      <c r="C3811" s="9" t="inlineStr">
        <is>
          <t>MA alignment (EMA21&gt;EMA50&gt;SMA250&gt;SMMA500 vs EMA2400 trend filter) - M15 chart</t>
        </is>
      </c>
      <c r="D3811" s="9" t="inlineStr">
        <is>
          <t>Short</t>
        </is>
      </c>
      <c r="E3811" s="10" t="n">
        <v>45607.13541666666</v>
      </c>
      <c r="F3811" s="10" t="n">
        <v>45609.19791666666</v>
      </c>
      <c r="G3811" s="11" t="n">
        <v>68.95</v>
      </c>
      <c r="H3811" s="11">
        <f>H3810+G3811</f>
        <v/>
      </c>
    </row>
    <row r="3812">
      <c r="A3812" s="9" t="n">
        <v>3808</v>
      </c>
      <c r="B3812" s="9" t="inlineStr">
        <is>
          <t>Vanguard_M15</t>
        </is>
      </c>
      <c r="C3812" s="9" t="inlineStr">
        <is>
          <t>Trendline breakout (fractal swing line) + VWAP/S-R distance gate - M15 chart</t>
        </is>
      </c>
      <c r="D3812" s="9" t="inlineStr">
        <is>
          <t>Long</t>
        </is>
      </c>
      <c r="E3812" s="10" t="n">
        <v>45609.15625</v>
      </c>
      <c r="F3812" s="10" t="n">
        <v>45609.41666666666</v>
      </c>
      <c r="G3812" s="11" t="n">
        <v>-8.32</v>
      </c>
      <c r="H3812" s="11">
        <f>H3811+G3812</f>
        <v/>
      </c>
    </row>
    <row r="3813">
      <c r="A3813" s="9" t="n">
        <v>3809</v>
      </c>
      <c r="B3813" s="9" t="inlineStr">
        <is>
          <t>Vanguard_M5</t>
        </is>
      </c>
      <c r="C3813" s="9" t="inlineStr">
        <is>
          <t>Trendline breakout (fractal swing line) + VWAP/S-R distance gate</t>
        </is>
      </c>
      <c r="D3813" s="9" t="inlineStr">
        <is>
          <t>Long</t>
        </is>
      </c>
      <c r="E3813" s="10" t="n">
        <v>45609.15625</v>
      </c>
      <c r="F3813" s="10" t="n">
        <v>45609.42361111111</v>
      </c>
      <c r="G3813" s="11" t="n">
        <v>-6.83</v>
      </c>
      <c r="H3813" s="11">
        <f>H3812+G3813</f>
        <v/>
      </c>
    </row>
    <row r="3814">
      <c r="A3814" s="9" t="n">
        <v>3810</v>
      </c>
      <c r="B3814" s="9" t="inlineStr">
        <is>
          <t>Vanguard_M15</t>
        </is>
      </c>
      <c r="C3814" s="9" t="inlineStr">
        <is>
          <t>Trendline breakout (fractal swing line) + VWAP/S-R distance gate - M15 chart</t>
        </is>
      </c>
      <c r="D3814" s="9" t="inlineStr">
        <is>
          <t>Long</t>
        </is>
      </c>
      <c r="E3814" s="10" t="n">
        <v>45609.58333333334</v>
      </c>
      <c r="F3814" s="10" t="n">
        <v>45609.69791666666</v>
      </c>
      <c r="G3814" s="11" t="n">
        <v>-9.140000000000001</v>
      </c>
      <c r="H3814" s="11">
        <f>H3813+G3814</f>
        <v/>
      </c>
    </row>
    <row r="3815">
      <c r="A3815" s="9" t="n">
        <v>3811</v>
      </c>
      <c r="B3815" s="9" t="inlineStr">
        <is>
          <t>Meridian</t>
        </is>
      </c>
      <c r="C3815" s="9" t="inlineStr">
        <is>
          <t>21/50 MA cross, 250-period confirm filter, VWAP</t>
        </is>
      </c>
      <c r="D3815" s="9" t="inlineStr">
        <is>
          <t>Long</t>
        </is>
      </c>
      <c r="E3815" s="10" t="n">
        <v>45609.45138888889</v>
      </c>
      <c r="F3815" s="10" t="n">
        <v>45609.70138888889</v>
      </c>
      <c r="G3815" s="11" t="n">
        <v>-5.23</v>
      </c>
      <c r="H3815" s="11">
        <f>H3814+G3815</f>
        <v/>
      </c>
    </row>
    <row r="3816">
      <c r="A3816" s="9" t="n">
        <v>3812</v>
      </c>
      <c r="B3816" s="9" t="inlineStr">
        <is>
          <t>Vanguard_M5</t>
        </is>
      </c>
      <c r="C3816" s="9" t="inlineStr">
        <is>
          <t>Trendline breakout (fractal swing line) + VWAP/S-R distance gate</t>
        </is>
      </c>
      <c r="D3816" s="9" t="inlineStr">
        <is>
          <t>Long</t>
        </is>
      </c>
      <c r="E3816" s="10" t="n">
        <v>45609.58333333334</v>
      </c>
      <c r="F3816" s="10" t="n">
        <v>45609.70138888889</v>
      </c>
      <c r="G3816" s="11" t="n">
        <v>-6.81</v>
      </c>
      <c r="H3816" s="11">
        <f>H3815+G3816</f>
        <v/>
      </c>
    </row>
    <row r="3817">
      <c r="A3817" s="9" t="n">
        <v>3813</v>
      </c>
      <c r="B3817" s="9" t="inlineStr">
        <is>
          <t>Ratchet</t>
        </is>
      </c>
      <c r="C3817" s="9" t="inlineStr">
        <is>
          <t>Stochastic scalp with give-back trail exit</t>
        </is>
      </c>
      <c r="D3817" s="9" t="inlineStr">
        <is>
          <t>Short</t>
        </is>
      </c>
      <c r="E3817" s="10" t="n">
        <v>45609.97222222222</v>
      </c>
      <c r="F3817" s="10" t="n">
        <v>45609.98263888889</v>
      </c>
      <c r="G3817" s="11" t="n">
        <v>-0</v>
      </c>
      <c r="H3817" s="11">
        <f>H3816+G3817</f>
        <v/>
      </c>
    </row>
    <row r="3818">
      <c r="A3818" s="9" t="n">
        <v>3814</v>
      </c>
      <c r="B3818" s="9" t="inlineStr">
        <is>
          <t>Ratchet</t>
        </is>
      </c>
      <c r="C3818" s="9" t="inlineStr">
        <is>
          <t>Stochastic scalp with give-back trail exit</t>
        </is>
      </c>
      <c r="D3818" s="9" t="inlineStr">
        <is>
          <t>Short</t>
        </is>
      </c>
      <c r="E3818" s="10" t="n">
        <v>45610.06944444445</v>
      </c>
      <c r="F3818" s="10" t="n">
        <v>45610.07986111111</v>
      </c>
      <c r="G3818" s="11" t="n">
        <v>0.72</v>
      </c>
      <c r="H3818" s="11">
        <f>H3817+G3818</f>
        <v/>
      </c>
    </row>
    <row r="3819">
      <c r="A3819" s="9" t="n">
        <v>3815</v>
      </c>
      <c r="B3819" s="9" t="inlineStr">
        <is>
          <t>Ratchet</t>
        </is>
      </c>
      <c r="C3819" s="9" t="inlineStr">
        <is>
          <t>Stochastic scalp with give-back trail exit</t>
        </is>
      </c>
      <c r="D3819" s="9" t="inlineStr">
        <is>
          <t>Short</t>
        </is>
      </c>
      <c r="E3819" s="10" t="n">
        <v>45610.11458333334</v>
      </c>
      <c r="F3819" s="10" t="n">
        <v>45610.12152777778</v>
      </c>
      <c r="G3819" s="11" t="n">
        <v>0.44</v>
      </c>
      <c r="H3819" s="11">
        <f>H3818+G3819</f>
        <v/>
      </c>
    </row>
    <row r="3820">
      <c r="A3820" s="9" t="n">
        <v>3816</v>
      </c>
      <c r="B3820" s="9" t="inlineStr">
        <is>
          <t>Ratchet</t>
        </is>
      </c>
      <c r="C3820" s="9" t="inlineStr">
        <is>
          <t>Stochastic scalp with give-back trail exit</t>
        </is>
      </c>
      <c r="D3820" s="9" t="inlineStr">
        <is>
          <t>Short</t>
        </is>
      </c>
      <c r="E3820" s="10" t="n">
        <v>45610.13541666666</v>
      </c>
      <c r="F3820" s="10" t="n">
        <v>45610.15277777778</v>
      </c>
      <c r="G3820" s="11" t="n">
        <v>0.52</v>
      </c>
      <c r="H3820" s="11">
        <f>H3819+G3820</f>
        <v/>
      </c>
    </row>
    <row r="3821">
      <c r="A3821" s="9" t="n">
        <v>3817</v>
      </c>
      <c r="B3821" s="9" t="inlineStr">
        <is>
          <t>Ratchet</t>
        </is>
      </c>
      <c r="C3821" s="9" t="inlineStr">
        <is>
          <t>Stochastic scalp with give-back trail exit</t>
        </is>
      </c>
      <c r="D3821" s="9" t="inlineStr">
        <is>
          <t>Short</t>
        </is>
      </c>
      <c r="E3821" s="10" t="n">
        <v>45610.24305555555</v>
      </c>
      <c r="F3821" s="10" t="n">
        <v>45610.25347222222</v>
      </c>
      <c r="G3821" s="11" t="n">
        <v>-0</v>
      </c>
      <c r="H3821" s="11">
        <f>H3820+G3821</f>
        <v/>
      </c>
    </row>
    <row r="3822">
      <c r="A3822" s="9" t="n">
        <v>3818</v>
      </c>
      <c r="B3822" s="9" t="inlineStr">
        <is>
          <t>Ratchet</t>
        </is>
      </c>
      <c r="C3822" s="9" t="inlineStr">
        <is>
          <t>Stochastic scalp with give-back trail exit</t>
        </is>
      </c>
      <c r="D3822" s="9" t="inlineStr">
        <is>
          <t>Short</t>
        </is>
      </c>
      <c r="E3822" s="10" t="n">
        <v>45610.31597222222</v>
      </c>
      <c r="F3822" s="10" t="n">
        <v>45610.32638888889</v>
      </c>
      <c r="G3822" s="11" t="n">
        <v>0.91</v>
      </c>
      <c r="H3822" s="11">
        <f>H3821+G3822</f>
        <v/>
      </c>
    </row>
    <row r="3823">
      <c r="A3823" s="9" t="n">
        <v>3819</v>
      </c>
      <c r="B3823" s="9" t="inlineStr">
        <is>
          <t>Ratchet</t>
        </is>
      </c>
      <c r="C3823" s="9" t="inlineStr">
        <is>
          <t>Stochastic scalp with give-back trail exit</t>
        </is>
      </c>
      <c r="D3823" s="9" t="inlineStr">
        <is>
          <t>Short</t>
        </is>
      </c>
      <c r="E3823" s="10" t="n">
        <v>45610.39236111111</v>
      </c>
      <c r="F3823" s="10" t="n">
        <v>45610.39583333334</v>
      </c>
      <c r="G3823" s="11" t="n">
        <v>-4.26</v>
      </c>
      <c r="H3823" s="11">
        <f>H3822+G3823</f>
        <v/>
      </c>
    </row>
    <row r="3824">
      <c r="A3824" s="9" t="n">
        <v>3820</v>
      </c>
      <c r="B3824" s="9" t="inlineStr">
        <is>
          <t>Aurelius_M5</t>
        </is>
      </c>
      <c r="C3824" s="9" t="inlineStr">
        <is>
          <t>MA alignment (EMA21&gt;EMA50&gt;SMA250&gt;SMMA500 vs EMA2400 trend filter)</t>
        </is>
      </c>
      <c r="D3824" s="9" t="inlineStr">
        <is>
          <t>Short</t>
        </is>
      </c>
      <c r="E3824" s="10" t="n">
        <v>45610.44097222222</v>
      </c>
      <c r="F3824" s="10" t="n">
        <v>45610.59375</v>
      </c>
      <c r="G3824" s="11" t="n">
        <v>2.57</v>
      </c>
      <c r="H3824" s="11">
        <f>H3823+G3824</f>
        <v/>
      </c>
    </row>
    <row r="3825">
      <c r="A3825" s="9" t="n">
        <v>3821</v>
      </c>
      <c r="B3825" s="9" t="inlineStr">
        <is>
          <t>Meridian</t>
        </is>
      </c>
      <c r="C3825" s="9" t="inlineStr">
        <is>
          <t>21/50 MA cross, 250-period confirm filter, VWAP</t>
        </is>
      </c>
      <c r="D3825" s="9" t="inlineStr">
        <is>
          <t>Short</t>
        </is>
      </c>
      <c r="E3825" s="10" t="n">
        <v>45609.70833333334</v>
      </c>
      <c r="F3825" s="10" t="n">
        <v>45610.60069444445</v>
      </c>
      <c r="G3825" s="11" t="n">
        <v>46.37</v>
      </c>
      <c r="H3825" s="11">
        <f>H3824+G3825</f>
        <v/>
      </c>
    </row>
    <row r="3826">
      <c r="A3826" s="9" t="n">
        <v>3822</v>
      </c>
      <c r="B3826" s="9" t="inlineStr">
        <is>
          <t>Aurelius_M15</t>
        </is>
      </c>
      <c r="C3826" s="9" t="inlineStr">
        <is>
          <t>MA alignment (EMA21&gt;EMA50&gt;SMA250&gt;SMMA500 vs EMA2400 trend filter) - M15 chart</t>
        </is>
      </c>
      <c r="D3826" s="9" t="inlineStr">
        <is>
          <t>Short</t>
        </is>
      </c>
      <c r="E3826" s="10" t="n">
        <v>45609.8125</v>
      </c>
      <c r="F3826" s="10" t="n">
        <v>45610.76041666666</v>
      </c>
      <c r="G3826" s="11" t="n">
        <v>6.92</v>
      </c>
      <c r="H3826" s="11">
        <f>H3825+G3826</f>
        <v/>
      </c>
    </row>
    <row r="3827">
      <c r="A3827" s="9" t="n">
        <v>3823</v>
      </c>
      <c r="B3827" s="9" t="inlineStr">
        <is>
          <t>Meridian</t>
        </is>
      </c>
      <c r="C3827" s="9" t="inlineStr">
        <is>
          <t>21/50 MA cross, 250-period confirm filter, VWAP</t>
        </is>
      </c>
      <c r="D3827" s="9" t="inlineStr">
        <is>
          <t>Long</t>
        </is>
      </c>
      <c r="E3827" s="10" t="n">
        <v>45611.14236111111</v>
      </c>
      <c r="F3827" s="10" t="n">
        <v>45611.14583333334</v>
      </c>
      <c r="G3827" s="11" t="n">
        <v>-3.35</v>
      </c>
      <c r="H3827" s="11">
        <f>H3826+G3827</f>
        <v/>
      </c>
    </row>
    <row r="3828">
      <c r="A3828" s="9" t="n">
        <v>3824</v>
      </c>
      <c r="B3828" s="9" t="inlineStr">
        <is>
          <t>Meridian</t>
        </is>
      </c>
      <c r="C3828" s="9" t="inlineStr">
        <is>
          <t>21/50 MA cross, 250-period confirm filter, VWAP</t>
        </is>
      </c>
      <c r="D3828" s="9" t="inlineStr">
        <is>
          <t>Long</t>
        </is>
      </c>
      <c r="E3828" s="10" t="n">
        <v>45611.20138888889</v>
      </c>
      <c r="F3828" s="10" t="n">
        <v>45611.29513888889</v>
      </c>
      <c r="G3828" s="11" t="n">
        <v>-3.24</v>
      </c>
      <c r="H3828" s="11">
        <f>H3827+G3828</f>
        <v/>
      </c>
    </row>
    <row r="3829">
      <c r="A3829" s="9" t="n">
        <v>3825</v>
      </c>
      <c r="B3829" s="9" t="inlineStr">
        <is>
          <t>Meridian</t>
        </is>
      </c>
      <c r="C3829" s="9" t="inlineStr">
        <is>
          <t>21/50 MA cross, 250-period confirm filter, VWAP</t>
        </is>
      </c>
      <c r="D3829" s="9" t="inlineStr">
        <is>
          <t>Long</t>
        </is>
      </c>
      <c r="E3829" s="10" t="n">
        <v>45611.45138888889</v>
      </c>
      <c r="F3829" s="10" t="n">
        <v>45611.5</v>
      </c>
      <c r="G3829" s="11" t="n">
        <v>-4.87</v>
      </c>
      <c r="H3829" s="11">
        <f>H3828+G3829</f>
        <v/>
      </c>
    </row>
    <row r="3830">
      <c r="A3830" s="9" t="n">
        <v>3826</v>
      </c>
      <c r="B3830" s="9" t="inlineStr">
        <is>
          <t>Ratchet</t>
        </is>
      </c>
      <c r="C3830" s="9" t="inlineStr">
        <is>
          <t>Stochastic scalp with give-back trail exit</t>
        </is>
      </c>
      <c r="D3830" s="9" t="inlineStr">
        <is>
          <t>Short</t>
        </is>
      </c>
      <c r="E3830" s="10" t="n">
        <v>45611.8125</v>
      </c>
      <c r="F3830" s="10" t="n">
        <v>45611.82291666666</v>
      </c>
      <c r="G3830" s="11" t="n">
        <v>0.53</v>
      </c>
      <c r="H3830" s="11">
        <f>H3829+G3830</f>
        <v/>
      </c>
    </row>
    <row r="3831">
      <c r="A3831" s="9" t="n">
        <v>3827</v>
      </c>
      <c r="B3831" s="9" t="inlineStr">
        <is>
          <t>Meridian</t>
        </is>
      </c>
      <c r="C3831" s="9" t="inlineStr">
        <is>
          <t>21/50 MA cross, 250-period confirm filter, VWAP</t>
        </is>
      </c>
      <c r="D3831" s="9" t="inlineStr">
        <is>
          <t>Short</t>
        </is>
      </c>
      <c r="E3831" s="10" t="n">
        <v>45611.77430555555</v>
      </c>
      <c r="F3831" s="10" t="n">
        <v>45611.91666666666</v>
      </c>
      <c r="G3831" s="11" t="n">
        <v>0.11</v>
      </c>
      <c r="H3831" s="11">
        <f>H3830+G3831</f>
        <v/>
      </c>
    </row>
    <row r="3832">
      <c r="A3832" s="9" t="n">
        <v>3828</v>
      </c>
      <c r="B3832" s="9" t="inlineStr">
        <is>
          <t>Vanguard_M5</t>
        </is>
      </c>
      <c r="C3832" s="9" t="inlineStr">
        <is>
          <t>Trendline breakout (fractal swing line) + VWAP/S-R distance gate</t>
        </is>
      </c>
      <c r="D3832" s="9" t="inlineStr">
        <is>
          <t>Short</t>
        </is>
      </c>
      <c r="E3832" s="10" t="n">
        <v>45611.77777777778</v>
      </c>
      <c r="F3832" s="10" t="n">
        <v>45614.05555555555</v>
      </c>
      <c r="G3832" s="11" t="n">
        <v>-11.66</v>
      </c>
      <c r="H3832" s="11">
        <f>H3831+G3832</f>
        <v/>
      </c>
    </row>
    <row r="3833">
      <c r="A3833" s="9" t="n">
        <v>3829</v>
      </c>
      <c r="B3833" s="9" t="inlineStr">
        <is>
          <t>Vanguard_M15</t>
        </is>
      </c>
      <c r="C3833" s="9" t="inlineStr">
        <is>
          <t>Trendline breakout (fractal swing line) + VWAP/S-R distance gate - M15 chart</t>
        </is>
      </c>
      <c r="D3833" s="9" t="inlineStr">
        <is>
          <t>Short</t>
        </is>
      </c>
      <c r="E3833" s="10" t="n">
        <v>45611.78125</v>
      </c>
      <c r="F3833" s="10" t="n">
        <v>45614.11458333334</v>
      </c>
      <c r="G3833" s="11" t="n">
        <v>-13.41</v>
      </c>
      <c r="H3833" s="11">
        <f>H3832+G3833</f>
        <v/>
      </c>
    </row>
    <row r="3834">
      <c r="A3834" s="9" t="n">
        <v>3830</v>
      </c>
      <c r="B3834" s="9" t="inlineStr">
        <is>
          <t>Meridian</t>
        </is>
      </c>
      <c r="C3834" s="9" t="inlineStr">
        <is>
          <t>21/50 MA cross, 250-period confirm filter, VWAP</t>
        </is>
      </c>
      <c r="D3834" s="9" t="inlineStr">
        <is>
          <t>Long</t>
        </is>
      </c>
      <c r="E3834" s="10" t="n">
        <v>45614.05208333334</v>
      </c>
      <c r="F3834" s="10" t="n">
        <v>45614.34722222222</v>
      </c>
      <c r="G3834" s="11" t="n">
        <v>10.77</v>
      </c>
      <c r="H3834" s="11">
        <f>H3833+G3834</f>
        <v/>
      </c>
    </row>
    <row r="3835">
      <c r="A3835" s="9" t="n">
        <v>3831</v>
      </c>
      <c r="B3835" s="9" t="inlineStr">
        <is>
          <t>Aurelius_M5</t>
        </is>
      </c>
      <c r="C3835" s="9" t="inlineStr">
        <is>
          <t>MA alignment (EMA21&gt;EMA50&gt;SMA250&gt;SMMA500 vs EMA2400 trend filter)</t>
        </is>
      </c>
      <c r="D3835" s="9" t="inlineStr">
        <is>
          <t>Long</t>
        </is>
      </c>
      <c r="E3835" s="10" t="n">
        <v>45615.35416666666</v>
      </c>
      <c r="F3835" s="10" t="n">
        <v>45615.38194444445</v>
      </c>
      <c r="G3835" s="11" t="n">
        <v>-2.47</v>
      </c>
      <c r="H3835" s="11">
        <f>H3834+G3835</f>
        <v/>
      </c>
    </row>
    <row r="3836">
      <c r="A3836" s="9" t="n">
        <v>3832</v>
      </c>
      <c r="B3836" s="9" t="inlineStr">
        <is>
          <t>Meridian</t>
        </is>
      </c>
      <c r="C3836" s="9" t="inlineStr">
        <is>
          <t>21/50 MA cross, 250-period confirm filter, VWAP</t>
        </is>
      </c>
      <c r="D3836" s="9" t="inlineStr">
        <is>
          <t>Long</t>
        </is>
      </c>
      <c r="E3836" s="10" t="n">
        <v>45614.47222222222</v>
      </c>
      <c r="F3836" s="10" t="n">
        <v>45615.39930555555</v>
      </c>
      <c r="G3836" s="11" t="n">
        <v>29.92</v>
      </c>
      <c r="H3836" s="11">
        <f>H3835+G3836</f>
        <v/>
      </c>
    </row>
    <row r="3837">
      <c r="A3837" s="9" t="n">
        <v>3833</v>
      </c>
      <c r="B3837" s="9" t="inlineStr">
        <is>
          <t>Ratchet</t>
        </is>
      </c>
      <c r="C3837" s="9" t="inlineStr">
        <is>
          <t>Stochastic scalp with give-back trail exit</t>
        </is>
      </c>
      <c r="D3837" s="9" t="inlineStr">
        <is>
          <t>Long</t>
        </is>
      </c>
      <c r="E3837" s="10" t="n">
        <v>45615.63194444445</v>
      </c>
      <c r="F3837" s="10" t="n">
        <v>45615.63541666666</v>
      </c>
      <c r="G3837" s="11" t="n">
        <v>-3.44</v>
      </c>
      <c r="H3837" s="11">
        <f>H3836+G3837</f>
        <v/>
      </c>
    </row>
    <row r="3838">
      <c r="A3838" s="9" t="n">
        <v>3834</v>
      </c>
      <c r="B3838" s="9" t="inlineStr">
        <is>
          <t>Aurelius_M5</t>
        </is>
      </c>
      <c r="C3838" s="9" t="inlineStr">
        <is>
          <t>MA alignment (EMA21&gt;EMA50&gt;SMA250&gt;SMMA500 vs EMA2400 trend filter)</t>
        </is>
      </c>
      <c r="D3838" s="9" t="inlineStr">
        <is>
          <t>Long</t>
        </is>
      </c>
      <c r="E3838" s="10" t="n">
        <v>45615.47222222222</v>
      </c>
      <c r="F3838" s="10" t="n">
        <v>45615.68055555555</v>
      </c>
      <c r="G3838" s="11" t="n">
        <v>-5.57</v>
      </c>
      <c r="H3838" s="11">
        <f>H3837+G3838</f>
        <v/>
      </c>
    </row>
    <row r="3839">
      <c r="A3839" s="9" t="n">
        <v>3835</v>
      </c>
      <c r="B3839" s="9" t="inlineStr">
        <is>
          <t>Meridian</t>
        </is>
      </c>
      <c r="C3839" s="9" t="inlineStr">
        <is>
          <t>21/50 MA cross, 250-period confirm filter, VWAP</t>
        </is>
      </c>
      <c r="D3839" s="9" t="inlineStr">
        <is>
          <t>Long</t>
        </is>
      </c>
      <c r="E3839" s="10" t="n">
        <v>45615.45138888889</v>
      </c>
      <c r="F3839" s="10" t="n">
        <v>45615.6875</v>
      </c>
      <c r="G3839" s="11" t="n">
        <v>1.93</v>
      </c>
      <c r="H3839" s="11">
        <f>H3838+G3839</f>
        <v/>
      </c>
    </row>
    <row r="3840">
      <c r="A3840" s="9" t="n">
        <v>3836</v>
      </c>
      <c r="B3840" s="9" t="inlineStr">
        <is>
          <t>Meridian</t>
        </is>
      </c>
      <c r="C3840" s="9" t="inlineStr">
        <is>
          <t>21/50 MA cross, 250-period confirm filter, VWAP</t>
        </is>
      </c>
      <c r="D3840" s="9" t="inlineStr">
        <is>
          <t>Long</t>
        </is>
      </c>
      <c r="E3840" s="10" t="n">
        <v>45615.82291666666</v>
      </c>
      <c r="F3840" s="10" t="n">
        <v>45615.85763888889</v>
      </c>
      <c r="G3840" s="11" t="n">
        <v>-3.1</v>
      </c>
      <c r="H3840" s="11">
        <f>H3839+G3840</f>
        <v/>
      </c>
    </row>
    <row r="3841">
      <c r="A3841" s="9" t="n">
        <v>3837</v>
      </c>
      <c r="B3841" s="9" t="inlineStr">
        <is>
          <t>Ratchet</t>
        </is>
      </c>
      <c r="C3841" s="9" t="inlineStr">
        <is>
          <t>Stochastic scalp with give-back trail exit</t>
        </is>
      </c>
      <c r="D3841" s="9" t="inlineStr">
        <is>
          <t>Long</t>
        </is>
      </c>
      <c r="E3841" s="10" t="n">
        <v>45615.875</v>
      </c>
      <c r="F3841" s="10" t="n">
        <v>45615.87847222222</v>
      </c>
      <c r="G3841" s="11" t="n">
        <v>0</v>
      </c>
      <c r="H3841" s="11">
        <f>H3840+G3841</f>
        <v/>
      </c>
    </row>
    <row r="3842">
      <c r="A3842" s="9" t="n">
        <v>3838</v>
      </c>
      <c r="B3842" s="9" t="inlineStr">
        <is>
          <t>Ratchet</t>
        </is>
      </c>
      <c r="C3842" s="9" t="inlineStr">
        <is>
          <t>Stochastic scalp with give-back trail exit</t>
        </is>
      </c>
      <c r="D3842" s="9" t="inlineStr">
        <is>
          <t>Long</t>
        </is>
      </c>
      <c r="E3842" s="10" t="n">
        <v>45616.16666666666</v>
      </c>
      <c r="F3842" s="10" t="n">
        <v>45616.18055555555</v>
      </c>
      <c r="G3842" s="11" t="n">
        <v>0.47</v>
      </c>
      <c r="H3842" s="11">
        <f>H3841+G3842</f>
        <v/>
      </c>
    </row>
    <row r="3843">
      <c r="A3843" s="9" t="n">
        <v>3839</v>
      </c>
      <c r="B3843" s="9" t="inlineStr">
        <is>
          <t>Ratchet</t>
        </is>
      </c>
      <c r="C3843" s="9" t="inlineStr">
        <is>
          <t>Stochastic scalp with give-back trail exit</t>
        </is>
      </c>
      <c r="D3843" s="9" t="inlineStr">
        <is>
          <t>Long</t>
        </is>
      </c>
      <c r="E3843" s="10" t="n">
        <v>45616.21180555555</v>
      </c>
      <c r="F3843" s="10" t="n">
        <v>45616.24652777778</v>
      </c>
      <c r="G3843" s="11" t="n">
        <v>-2.38</v>
      </c>
      <c r="H3843" s="11">
        <f>H3842+G3843</f>
        <v/>
      </c>
    </row>
    <row r="3844">
      <c r="A3844" s="9" t="n">
        <v>3840</v>
      </c>
      <c r="B3844" s="9" t="inlineStr">
        <is>
          <t>Meridian</t>
        </is>
      </c>
      <c r="C3844" s="9" t="inlineStr">
        <is>
          <t>21/50 MA cross, 250-period confirm filter, VWAP</t>
        </is>
      </c>
      <c r="D3844" s="9" t="inlineStr">
        <is>
          <t>Long</t>
        </is>
      </c>
      <c r="E3844" s="10" t="n">
        <v>45615.86805555555</v>
      </c>
      <c r="F3844" s="10" t="n">
        <v>45616.28819444445</v>
      </c>
      <c r="G3844" s="11" t="n">
        <v>7.37</v>
      </c>
      <c r="H3844" s="11">
        <f>H3843+G3844</f>
        <v/>
      </c>
    </row>
    <row r="3845">
      <c r="A3845" s="9" t="n">
        <v>3841</v>
      </c>
      <c r="B3845" s="9" t="inlineStr">
        <is>
          <t>Ratchet</t>
        </is>
      </c>
      <c r="C3845" s="9" t="inlineStr">
        <is>
          <t>Stochastic scalp with give-back trail exit</t>
        </is>
      </c>
      <c r="D3845" s="9" t="inlineStr">
        <is>
          <t>Long</t>
        </is>
      </c>
      <c r="E3845" s="10" t="n">
        <v>45616.66666666666</v>
      </c>
      <c r="F3845" s="10" t="n">
        <v>45616.67708333334</v>
      </c>
      <c r="G3845" s="11" t="n">
        <v>0.73</v>
      </c>
      <c r="H3845" s="11">
        <f>H3844+G3845</f>
        <v/>
      </c>
    </row>
    <row r="3846">
      <c r="A3846" s="9" t="n">
        <v>3842</v>
      </c>
      <c r="B3846" s="9" t="inlineStr">
        <is>
          <t>Ratchet</t>
        </is>
      </c>
      <c r="C3846" s="9" t="inlineStr">
        <is>
          <t>Stochastic scalp with give-back trail exit</t>
        </is>
      </c>
      <c r="D3846" s="9" t="inlineStr">
        <is>
          <t>Long</t>
        </is>
      </c>
      <c r="E3846" s="10" t="n">
        <v>45616.75347222222</v>
      </c>
      <c r="F3846" s="10" t="n">
        <v>45616.80555555555</v>
      </c>
      <c r="G3846" s="11" t="n">
        <v>1.53</v>
      </c>
      <c r="H3846" s="11">
        <f>H3845+G3846</f>
        <v/>
      </c>
    </row>
    <row r="3847">
      <c r="A3847" s="9" t="n">
        <v>3843</v>
      </c>
      <c r="B3847" s="9" t="inlineStr">
        <is>
          <t>Ratchet</t>
        </is>
      </c>
      <c r="C3847" s="9" t="inlineStr">
        <is>
          <t>Stochastic scalp with give-back trail exit</t>
        </is>
      </c>
      <c r="D3847" s="9" t="inlineStr">
        <is>
          <t>Long</t>
        </is>
      </c>
      <c r="E3847" s="10" t="n">
        <v>45617.34027777778</v>
      </c>
      <c r="F3847" s="10" t="n">
        <v>45617.35763888889</v>
      </c>
      <c r="G3847" s="11" t="n">
        <v>1.07</v>
      </c>
      <c r="H3847" s="11">
        <f>H3846+G3847</f>
        <v/>
      </c>
    </row>
    <row r="3848">
      <c r="A3848" s="9" t="n">
        <v>3844</v>
      </c>
      <c r="B3848" s="9" t="inlineStr">
        <is>
          <t>Ratchet</t>
        </is>
      </c>
      <c r="C3848" s="9" t="inlineStr">
        <is>
          <t>Stochastic scalp with give-back trail exit</t>
        </is>
      </c>
      <c r="D3848" s="9" t="inlineStr">
        <is>
          <t>Long</t>
        </is>
      </c>
      <c r="E3848" s="10" t="n">
        <v>45617.57638888889</v>
      </c>
      <c r="F3848" s="10" t="n">
        <v>45617.57986111111</v>
      </c>
      <c r="G3848" s="11" t="n">
        <v>0.31</v>
      </c>
      <c r="H3848" s="11">
        <f>H3847+G3848</f>
        <v/>
      </c>
    </row>
    <row r="3849">
      <c r="A3849" s="9" t="n">
        <v>3845</v>
      </c>
      <c r="B3849" s="9" t="inlineStr">
        <is>
          <t>Aurelius_M5</t>
        </is>
      </c>
      <c r="C3849" s="9" t="inlineStr">
        <is>
          <t>MA alignment (EMA21&gt;EMA50&gt;SMA250&gt;SMMA500 vs EMA2400 trend filter)</t>
        </is>
      </c>
      <c r="D3849" s="9" t="inlineStr">
        <is>
          <t>Long</t>
        </is>
      </c>
      <c r="E3849" s="10" t="n">
        <v>45617.32638888889</v>
      </c>
      <c r="F3849" s="10" t="n">
        <v>45617.61111111111</v>
      </c>
      <c r="G3849" s="11" t="n">
        <v>7.14</v>
      </c>
      <c r="H3849" s="11">
        <f>H3848+G3849</f>
        <v/>
      </c>
    </row>
    <row r="3850">
      <c r="A3850" s="9" t="n">
        <v>3846</v>
      </c>
      <c r="B3850" s="9" t="inlineStr">
        <is>
          <t>Meridian</t>
        </is>
      </c>
      <c r="C3850" s="9" t="inlineStr">
        <is>
          <t>21/50 MA cross, 250-period confirm filter, VWAP</t>
        </is>
      </c>
      <c r="D3850" s="9" t="inlineStr">
        <is>
          <t>Long</t>
        </is>
      </c>
      <c r="E3850" s="10" t="n">
        <v>45617.68055555555</v>
      </c>
      <c r="F3850" s="10" t="n">
        <v>45617.69444444445</v>
      </c>
      <c r="G3850" s="11" t="n">
        <v>-5.43</v>
      </c>
      <c r="H3850" s="11">
        <f>H3849+G3850</f>
        <v/>
      </c>
    </row>
    <row r="3851">
      <c r="A3851" s="9" t="n">
        <v>3847</v>
      </c>
      <c r="B3851" s="9" t="inlineStr">
        <is>
          <t>Meridian</t>
        </is>
      </c>
      <c r="C3851" s="9" t="inlineStr">
        <is>
          <t>21/50 MA cross, 250-period confirm filter, VWAP</t>
        </is>
      </c>
      <c r="D3851" s="9" t="inlineStr">
        <is>
          <t>Long</t>
        </is>
      </c>
      <c r="E3851" s="10" t="n">
        <v>45617.73263888889</v>
      </c>
      <c r="F3851" s="10" t="n">
        <v>45617.78125</v>
      </c>
      <c r="G3851" s="11" t="n">
        <v>-7.53</v>
      </c>
      <c r="H3851" s="11">
        <f>H3850+G3851</f>
        <v/>
      </c>
    </row>
    <row r="3852">
      <c r="A3852" s="9" t="n">
        <v>3848</v>
      </c>
      <c r="B3852" s="9" t="inlineStr">
        <is>
          <t>Ratchet</t>
        </is>
      </c>
      <c r="C3852" s="9" t="inlineStr">
        <is>
          <t>Stochastic scalp with give-back trail exit</t>
        </is>
      </c>
      <c r="D3852" s="9" t="inlineStr">
        <is>
          <t>Long</t>
        </is>
      </c>
      <c r="E3852" s="10" t="n">
        <v>45617.73958333334</v>
      </c>
      <c r="F3852" s="10" t="n">
        <v>45617.78125</v>
      </c>
      <c r="G3852" s="11" t="n">
        <v>-5.74</v>
      </c>
      <c r="H3852" s="11">
        <f>H3851+G3852</f>
        <v/>
      </c>
    </row>
    <row r="3853">
      <c r="A3853" s="9" t="n">
        <v>3849</v>
      </c>
      <c r="B3853" s="9" t="inlineStr">
        <is>
          <t>Ratchet</t>
        </is>
      </c>
      <c r="C3853" s="9" t="inlineStr">
        <is>
          <t>Stochastic scalp with give-back trail exit</t>
        </is>
      </c>
      <c r="D3853" s="9" t="inlineStr">
        <is>
          <t>Long</t>
        </is>
      </c>
      <c r="E3853" s="10" t="n">
        <v>45617.84027777778</v>
      </c>
      <c r="F3853" s="10" t="n">
        <v>45617.85763888889</v>
      </c>
      <c r="G3853" s="11" t="n">
        <v>0.74</v>
      </c>
      <c r="H3853" s="11">
        <f>H3852+G3853</f>
        <v/>
      </c>
    </row>
    <row r="3854">
      <c r="A3854" s="9" t="n">
        <v>3850</v>
      </c>
      <c r="B3854" s="9" t="inlineStr">
        <is>
          <t>Ratchet</t>
        </is>
      </c>
      <c r="C3854" s="9" t="inlineStr">
        <is>
          <t>Stochastic scalp with give-back trail exit</t>
        </is>
      </c>
      <c r="D3854" s="9" t="inlineStr">
        <is>
          <t>Long</t>
        </is>
      </c>
      <c r="E3854" s="10" t="n">
        <v>45617.86458333334</v>
      </c>
      <c r="F3854" s="10" t="n">
        <v>45617.88541666666</v>
      </c>
      <c r="G3854" s="11" t="n">
        <v>0.51</v>
      </c>
      <c r="H3854" s="11">
        <f>H3853+G3854</f>
        <v/>
      </c>
    </row>
    <row r="3855">
      <c r="A3855" s="9" t="n">
        <v>3851</v>
      </c>
      <c r="B3855" s="9" t="inlineStr">
        <is>
          <t>Meridian</t>
        </is>
      </c>
      <c r="C3855" s="9" t="inlineStr">
        <is>
          <t>21/50 MA cross, 250-period confirm filter, VWAP</t>
        </is>
      </c>
      <c r="D3855" s="9" t="inlineStr">
        <is>
          <t>Long</t>
        </is>
      </c>
      <c r="E3855" s="10" t="n">
        <v>45617.82986111111</v>
      </c>
      <c r="F3855" s="10" t="n">
        <v>45618.05902777778</v>
      </c>
      <c r="G3855" s="11" t="n">
        <v>-2.16</v>
      </c>
      <c r="H3855" s="11">
        <f>H3854+G3855</f>
        <v/>
      </c>
    </row>
    <row r="3856">
      <c r="A3856" s="9" t="n">
        <v>3852</v>
      </c>
      <c r="B3856" s="9" t="inlineStr">
        <is>
          <t>Ratchet</t>
        </is>
      </c>
      <c r="C3856" s="9" t="inlineStr">
        <is>
          <t>Stochastic scalp with give-back trail exit</t>
        </is>
      </c>
      <c r="D3856" s="9" t="inlineStr">
        <is>
          <t>Long</t>
        </is>
      </c>
      <c r="E3856" s="10" t="n">
        <v>45618.11805555555</v>
      </c>
      <c r="F3856" s="10" t="n">
        <v>45618.39583333334</v>
      </c>
      <c r="G3856" s="11" t="n">
        <v>20.61</v>
      </c>
      <c r="H3856" s="11">
        <f>H3855+G3856</f>
        <v/>
      </c>
    </row>
    <row r="3857">
      <c r="A3857" s="9" t="n">
        <v>3853</v>
      </c>
      <c r="B3857" s="9" t="inlineStr">
        <is>
          <t>Meridian</t>
        </is>
      </c>
      <c r="C3857" s="9" t="inlineStr">
        <is>
          <t>21/50 MA cross, 250-period confirm filter, VWAP</t>
        </is>
      </c>
      <c r="D3857" s="9" t="inlineStr">
        <is>
          <t>Long</t>
        </is>
      </c>
      <c r="E3857" s="10" t="n">
        <v>45618.09375</v>
      </c>
      <c r="F3857" s="10" t="n">
        <v>45618.64583333334</v>
      </c>
      <c r="G3857" s="11" t="n">
        <v>20.15</v>
      </c>
      <c r="H3857" s="11">
        <f>H3856+G3857</f>
        <v/>
      </c>
    </row>
    <row r="3858">
      <c r="A3858" s="9" t="n">
        <v>3854</v>
      </c>
      <c r="B3858" s="9" t="inlineStr">
        <is>
          <t>Ratchet</t>
        </is>
      </c>
      <c r="C3858" s="9" t="inlineStr">
        <is>
          <t>Stochastic scalp with give-back trail exit</t>
        </is>
      </c>
      <c r="D3858" s="9" t="inlineStr">
        <is>
          <t>Long</t>
        </is>
      </c>
      <c r="E3858" s="10" t="n">
        <v>45618.77083333334</v>
      </c>
      <c r="F3858" s="10" t="n">
        <v>45618.81944444445</v>
      </c>
      <c r="G3858" s="11" t="n">
        <v>1.06</v>
      </c>
      <c r="H3858" s="11">
        <f>H3857+G3858</f>
        <v/>
      </c>
    </row>
    <row r="3859">
      <c r="A3859" s="9" t="n">
        <v>3855</v>
      </c>
      <c r="B3859" s="9" t="inlineStr">
        <is>
          <t>Meridian</t>
        </is>
      </c>
      <c r="C3859" s="9" t="inlineStr">
        <is>
          <t>21/50 MA cross, 250-period confirm filter, VWAP</t>
        </is>
      </c>
      <c r="D3859" s="9" t="inlineStr">
        <is>
          <t>Long</t>
        </is>
      </c>
      <c r="E3859" s="10" t="n">
        <v>45618.73958333334</v>
      </c>
      <c r="F3859" s="10" t="n">
        <v>45618.91666666666</v>
      </c>
      <c r="G3859" s="11" t="n">
        <v>3.03</v>
      </c>
      <c r="H3859" s="11">
        <f>H3858+G3859</f>
        <v/>
      </c>
    </row>
    <row r="3860">
      <c r="A3860" s="9" t="n">
        <v>3856</v>
      </c>
      <c r="B3860" s="9" t="inlineStr">
        <is>
          <t>Aurelius_M15</t>
        </is>
      </c>
      <c r="C3860" s="9" t="inlineStr">
        <is>
          <t>MA alignment (EMA21&gt;EMA50&gt;SMA250&gt;SMMA500 vs EMA2400 trend filter) - M15 chart</t>
        </is>
      </c>
      <c r="D3860" s="9" t="inlineStr">
        <is>
          <t>Long</t>
        </is>
      </c>
      <c r="E3860" s="10" t="n">
        <v>45617.71875</v>
      </c>
      <c r="F3860" s="10" t="n">
        <v>45618.92708333334</v>
      </c>
      <c r="G3860" s="11" t="n">
        <v>40.21</v>
      </c>
      <c r="H3860" s="11">
        <f>H3859+G3860</f>
        <v/>
      </c>
    </row>
    <row r="3861">
      <c r="A3861" s="9" t="n">
        <v>3857</v>
      </c>
      <c r="B3861" s="9" t="inlineStr">
        <is>
          <t>Vanguard_M5</t>
        </is>
      </c>
      <c r="C3861" s="9" t="inlineStr">
        <is>
          <t>Trendline breakout (fractal swing line) + VWAP/S-R distance gate</t>
        </is>
      </c>
      <c r="D3861" s="9" t="inlineStr">
        <is>
          <t>Long</t>
        </is>
      </c>
      <c r="E3861" s="10" t="n">
        <v>45614.12152777778</v>
      </c>
      <c r="F3861" s="10" t="n">
        <v>45621.14583333334</v>
      </c>
      <c r="G3861" s="11" t="n">
        <v>119.97</v>
      </c>
      <c r="H3861" s="11">
        <f>H3860+G3861</f>
        <v/>
      </c>
    </row>
    <row r="3862">
      <c r="A3862" s="9" t="n">
        <v>3858</v>
      </c>
      <c r="B3862" s="9" t="inlineStr">
        <is>
          <t>Vanguard_M15</t>
        </is>
      </c>
      <c r="C3862" s="9" t="inlineStr">
        <is>
          <t>Trendline breakout (fractal swing line) + VWAP/S-R distance gate - M15 chart</t>
        </is>
      </c>
      <c r="D3862" s="9" t="inlineStr">
        <is>
          <t>Long</t>
        </is>
      </c>
      <c r="E3862" s="10" t="n">
        <v>45614.125</v>
      </c>
      <c r="F3862" s="10" t="n">
        <v>45621.19791666666</v>
      </c>
      <c r="G3862" s="11" t="n">
        <v>118.58</v>
      </c>
      <c r="H3862" s="11">
        <f>H3861+G3862</f>
        <v/>
      </c>
    </row>
    <row r="3863">
      <c r="A3863" s="9" t="n">
        <v>3859</v>
      </c>
      <c r="B3863" s="9" t="inlineStr">
        <is>
          <t>Meridian</t>
        </is>
      </c>
      <c r="C3863" s="9" t="inlineStr">
        <is>
          <t>21/50 MA cross, 250-period confirm filter, VWAP</t>
        </is>
      </c>
      <c r="D3863" s="9" t="inlineStr">
        <is>
          <t>Short</t>
        </is>
      </c>
      <c r="E3863" s="10" t="n">
        <v>45621.51388888889</v>
      </c>
      <c r="F3863" s="10" t="n">
        <v>45621.53472222222</v>
      </c>
      <c r="G3863" s="11" t="n">
        <v>-5.5</v>
      </c>
      <c r="H3863" s="11">
        <f>H3862+G3863</f>
        <v/>
      </c>
    </row>
    <row r="3864">
      <c r="A3864" s="9" t="n">
        <v>3860</v>
      </c>
      <c r="B3864" s="9" t="inlineStr">
        <is>
          <t>Ratchet</t>
        </is>
      </c>
      <c r="C3864" s="9" t="inlineStr">
        <is>
          <t>Stochastic scalp with give-back trail exit</t>
        </is>
      </c>
      <c r="D3864" s="9" t="inlineStr">
        <is>
          <t>Short</t>
        </is>
      </c>
      <c r="E3864" s="10" t="n">
        <v>45621.69444444445</v>
      </c>
      <c r="F3864" s="10" t="n">
        <v>45621.69791666666</v>
      </c>
      <c r="G3864" s="11" t="n">
        <v>2.17</v>
      </c>
      <c r="H3864" s="11">
        <f>H3863+G3864</f>
        <v/>
      </c>
    </row>
    <row r="3865">
      <c r="A3865" s="9" t="n">
        <v>3861</v>
      </c>
      <c r="B3865" s="9" t="inlineStr">
        <is>
          <t>Aurelius_M5</t>
        </is>
      </c>
      <c r="C3865" s="9" t="inlineStr">
        <is>
          <t>MA alignment (EMA21&gt;EMA50&gt;SMA250&gt;SMMA500 vs EMA2400 trend filter)</t>
        </is>
      </c>
      <c r="D3865" s="9" t="inlineStr">
        <is>
          <t>Short</t>
        </is>
      </c>
      <c r="E3865" s="10" t="n">
        <v>45622.07291666666</v>
      </c>
      <c r="F3865" s="10" t="n">
        <v>45622.09722222222</v>
      </c>
      <c r="G3865" s="11" t="n">
        <v>-6.91</v>
      </c>
      <c r="H3865" s="11">
        <f>H3864+G3865</f>
        <v/>
      </c>
    </row>
    <row r="3866">
      <c r="A3866" s="9" t="n">
        <v>3862</v>
      </c>
      <c r="B3866" s="9" t="inlineStr">
        <is>
          <t>Meridian</t>
        </is>
      </c>
      <c r="C3866" s="9" t="inlineStr">
        <is>
          <t>21/50 MA cross, 250-period confirm filter, VWAP</t>
        </is>
      </c>
      <c r="D3866" s="9" t="inlineStr">
        <is>
          <t>Short</t>
        </is>
      </c>
      <c r="E3866" s="10" t="n">
        <v>45621.67708333334</v>
      </c>
      <c r="F3866" s="10" t="n">
        <v>45622.15277777778</v>
      </c>
      <c r="G3866" s="11" t="n">
        <v>31.47</v>
      </c>
      <c r="H3866" s="11">
        <f>H3865+G3866</f>
        <v/>
      </c>
    </row>
    <row r="3867">
      <c r="A3867" s="9" t="n">
        <v>3863</v>
      </c>
      <c r="B3867" s="9" t="inlineStr">
        <is>
          <t>Ratchet</t>
        </is>
      </c>
      <c r="C3867" s="9" t="inlineStr">
        <is>
          <t>Stochastic scalp with give-back trail exit</t>
        </is>
      </c>
      <c r="D3867" s="9" t="inlineStr">
        <is>
          <t>Short</t>
        </is>
      </c>
      <c r="E3867" s="10" t="n">
        <v>45622.32291666666</v>
      </c>
      <c r="F3867" s="10" t="n">
        <v>45622.32986111111</v>
      </c>
      <c r="G3867" s="11" t="n">
        <v>-3.69</v>
      </c>
      <c r="H3867" s="11">
        <f>H3866+G3867</f>
        <v/>
      </c>
    </row>
    <row r="3868">
      <c r="A3868" s="9" t="n">
        <v>3864</v>
      </c>
      <c r="B3868" s="9" t="inlineStr">
        <is>
          <t>Ratchet</t>
        </is>
      </c>
      <c r="C3868" s="9" t="inlineStr">
        <is>
          <t>Stochastic scalp with give-back trail exit</t>
        </is>
      </c>
      <c r="D3868" s="9" t="inlineStr">
        <is>
          <t>Short</t>
        </is>
      </c>
      <c r="E3868" s="10" t="n">
        <v>45622.35069444445</v>
      </c>
      <c r="F3868" s="10" t="n">
        <v>45622.37847222222</v>
      </c>
      <c r="G3868" s="11" t="n">
        <v>0.46</v>
      </c>
      <c r="H3868" s="11">
        <f>H3867+G3868</f>
        <v/>
      </c>
    </row>
    <row r="3869">
      <c r="A3869" s="9" t="n">
        <v>3865</v>
      </c>
      <c r="B3869" s="9" t="inlineStr">
        <is>
          <t>Meridian</t>
        </is>
      </c>
      <c r="C3869" s="9" t="inlineStr">
        <is>
          <t>21/50 MA cross, 250-period confirm filter, VWAP</t>
        </is>
      </c>
      <c r="D3869" s="9" t="inlineStr">
        <is>
          <t>Short</t>
        </is>
      </c>
      <c r="E3869" s="10" t="n">
        <v>45622.30555555555</v>
      </c>
      <c r="F3869" s="10" t="n">
        <v>45622.48263888889</v>
      </c>
      <c r="G3869" s="11" t="n">
        <v>-4.37</v>
      </c>
      <c r="H3869" s="11">
        <f>H3868+G3869</f>
        <v/>
      </c>
    </row>
    <row r="3870">
      <c r="A3870" s="9" t="n">
        <v>3866</v>
      </c>
      <c r="B3870" s="9" t="inlineStr">
        <is>
          <t>Aurelius_M5</t>
        </is>
      </c>
      <c r="C3870" s="9" t="inlineStr">
        <is>
          <t>MA alignment (EMA21&gt;EMA50&gt;SMA250&gt;SMMA500 vs EMA2400 trend filter)</t>
        </is>
      </c>
      <c r="D3870" s="9" t="inlineStr">
        <is>
          <t>Short</t>
        </is>
      </c>
      <c r="E3870" s="10" t="n">
        <v>45622.32291666666</v>
      </c>
      <c r="F3870" s="10" t="n">
        <v>45622.48263888889</v>
      </c>
      <c r="G3870" s="11" t="n">
        <v>-5.28</v>
      </c>
      <c r="H3870" s="11">
        <f>H3869+G3870</f>
        <v/>
      </c>
    </row>
    <row r="3871">
      <c r="A3871" s="9" t="n">
        <v>3867</v>
      </c>
      <c r="B3871" s="9" t="inlineStr">
        <is>
          <t>Vanguard_M5</t>
        </is>
      </c>
      <c r="C3871" s="9" t="inlineStr">
        <is>
          <t>Trendline breakout (fractal swing line) + VWAP/S-R distance gate</t>
        </is>
      </c>
      <c r="D3871" s="9" t="inlineStr">
        <is>
          <t>Short</t>
        </is>
      </c>
      <c r="E3871" s="10" t="n">
        <v>45621.14930555555</v>
      </c>
      <c r="F3871" s="10" t="n">
        <v>45622.52083333334</v>
      </c>
      <c r="G3871" s="11" t="n">
        <v>64.77</v>
      </c>
      <c r="H3871" s="11">
        <f>H3870+G3871</f>
        <v/>
      </c>
    </row>
    <row r="3872">
      <c r="A3872" s="9" t="n">
        <v>3868</v>
      </c>
      <c r="B3872" s="9" t="inlineStr">
        <is>
          <t>Vanguard_M15</t>
        </is>
      </c>
      <c r="C3872" s="9" t="inlineStr">
        <is>
          <t>Trendline breakout (fractal swing line) + VWAP/S-R distance gate - M15 chart</t>
        </is>
      </c>
      <c r="D3872" s="9" t="inlineStr">
        <is>
          <t>Short</t>
        </is>
      </c>
      <c r="E3872" s="10" t="n">
        <v>45621.20833333334</v>
      </c>
      <c r="F3872" s="10" t="n">
        <v>45622.53125</v>
      </c>
      <c r="G3872" s="11" t="n">
        <v>63.68</v>
      </c>
      <c r="H3872" s="11">
        <f>H3871+G3872</f>
        <v/>
      </c>
    </row>
    <row r="3873">
      <c r="A3873" s="9" t="n">
        <v>3869</v>
      </c>
      <c r="B3873" s="9" t="inlineStr">
        <is>
          <t>Vanguard_M5</t>
        </is>
      </c>
      <c r="C3873" s="9" t="inlineStr">
        <is>
          <t>Trendline breakout (fractal swing line) + VWAP/S-R distance gate</t>
        </is>
      </c>
      <c r="D3873" s="9" t="inlineStr">
        <is>
          <t>Long</t>
        </is>
      </c>
      <c r="E3873" s="10" t="n">
        <v>45622.52430555555</v>
      </c>
      <c r="F3873" s="10" t="n">
        <v>45622.6875</v>
      </c>
      <c r="G3873" s="11" t="n">
        <v>-9.130000000000001</v>
      </c>
      <c r="H3873" s="11">
        <f>H3872+G3873</f>
        <v/>
      </c>
    </row>
    <row r="3874">
      <c r="A3874" s="9" t="n">
        <v>3870</v>
      </c>
      <c r="B3874" s="9" t="inlineStr">
        <is>
          <t>Vanguard_M15</t>
        </is>
      </c>
      <c r="C3874" s="9" t="inlineStr">
        <is>
          <t>Trendline breakout (fractal swing line) + VWAP/S-R distance gate - M15 chart</t>
        </is>
      </c>
      <c r="D3874" s="9" t="inlineStr">
        <is>
          <t>Long</t>
        </is>
      </c>
      <c r="E3874" s="10" t="n">
        <v>45622.54166666666</v>
      </c>
      <c r="F3874" s="10" t="n">
        <v>45622.6875</v>
      </c>
      <c r="G3874" s="11" t="n">
        <v>-12.14</v>
      </c>
      <c r="H3874" s="11">
        <f>H3873+G3874</f>
        <v/>
      </c>
    </row>
    <row r="3875">
      <c r="A3875" s="9" t="n">
        <v>3871</v>
      </c>
      <c r="B3875" s="9" t="inlineStr">
        <is>
          <t>Meridian</t>
        </is>
      </c>
      <c r="C3875" s="9" t="inlineStr">
        <is>
          <t>21/50 MA cross, 250-period confirm filter, VWAP</t>
        </is>
      </c>
      <c r="D3875" s="9" t="inlineStr">
        <is>
          <t>Short</t>
        </is>
      </c>
      <c r="E3875" s="10" t="n">
        <v>45622.69791666666</v>
      </c>
      <c r="F3875" s="10" t="n">
        <v>45622.73958333334</v>
      </c>
      <c r="G3875" s="11" t="n">
        <v>-10.16</v>
      </c>
      <c r="H3875" s="11">
        <f>H3874+G3875</f>
        <v/>
      </c>
    </row>
    <row r="3876">
      <c r="A3876" s="9" t="n">
        <v>3872</v>
      </c>
      <c r="B3876" s="9" t="inlineStr">
        <is>
          <t>Meridian</t>
        </is>
      </c>
      <c r="C3876" s="9" t="inlineStr">
        <is>
          <t>21/50 MA cross, 250-period confirm filter, VWAP</t>
        </is>
      </c>
      <c r="D3876" s="9" t="inlineStr">
        <is>
          <t>Long</t>
        </is>
      </c>
      <c r="E3876" s="10" t="n">
        <v>45622.78472222222</v>
      </c>
      <c r="F3876" s="10" t="n">
        <v>45622.79861111111</v>
      </c>
      <c r="G3876" s="11" t="n">
        <v>-4.01</v>
      </c>
      <c r="H3876" s="11">
        <f>H3875+G3876</f>
        <v/>
      </c>
    </row>
    <row r="3877">
      <c r="A3877" s="9" t="n">
        <v>3873</v>
      </c>
      <c r="B3877" s="9" t="inlineStr">
        <is>
          <t>Meridian</t>
        </is>
      </c>
      <c r="C3877" s="9" t="inlineStr">
        <is>
          <t>21/50 MA cross, 250-period confirm filter, VWAP</t>
        </is>
      </c>
      <c r="D3877" s="9" t="inlineStr">
        <is>
          <t>Long</t>
        </is>
      </c>
      <c r="E3877" s="10" t="n">
        <v>45622.92013888889</v>
      </c>
      <c r="F3877" s="10" t="n">
        <v>45623.125</v>
      </c>
      <c r="G3877" s="11" t="n">
        <v>-1.13</v>
      </c>
      <c r="H3877" s="11">
        <f>H3876+G3877</f>
        <v/>
      </c>
    </row>
    <row r="3878">
      <c r="A3878" s="9" t="n">
        <v>3874</v>
      </c>
      <c r="B3878" s="9" t="inlineStr">
        <is>
          <t>Meridian</t>
        </is>
      </c>
      <c r="C3878" s="9" t="inlineStr">
        <is>
          <t>21/50 MA cross, 250-period confirm filter, VWAP</t>
        </is>
      </c>
      <c r="D3878" s="9" t="inlineStr">
        <is>
          <t>Long</t>
        </is>
      </c>
      <c r="E3878" s="10" t="n">
        <v>45623.15277777778</v>
      </c>
      <c r="F3878" s="10" t="n">
        <v>45623.15972222222</v>
      </c>
      <c r="G3878" s="11" t="n">
        <v>-3.01</v>
      </c>
      <c r="H3878" s="11">
        <f>H3877+G3878</f>
        <v/>
      </c>
    </row>
    <row r="3879">
      <c r="A3879" s="9" t="n">
        <v>3875</v>
      </c>
      <c r="B3879" s="9" t="inlineStr">
        <is>
          <t>Meridian</t>
        </is>
      </c>
      <c r="C3879" s="9" t="inlineStr">
        <is>
          <t>21/50 MA cross, 250-period confirm filter, VWAP</t>
        </is>
      </c>
      <c r="D3879" s="9" t="inlineStr">
        <is>
          <t>Long</t>
        </is>
      </c>
      <c r="E3879" s="10" t="n">
        <v>45623.16666666666</v>
      </c>
      <c r="F3879" s="10" t="n">
        <v>45623.71527777778</v>
      </c>
      <c r="G3879" s="11" t="n">
        <v>11.76</v>
      </c>
      <c r="H3879" s="11">
        <f>H3878+G3879</f>
        <v/>
      </c>
    </row>
    <row r="3880">
      <c r="A3880" s="9" t="n">
        <v>3876</v>
      </c>
      <c r="B3880" s="9" t="inlineStr">
        <is>
          <t>Vanguard_M5</t>
        </is>
      </c>
      <c r="C3880" s="9" t="inlineStr">
        <is>
          <t>Trendline breakout (fractal swing line) + VWAP/S-R distance gate</t>
        </is>
      </c>
      <c r="D3880" s="9" t="inlineStr">
        <is>
          <t>Long</t>
        </is>
      </c>
      <c r="E3880" s="10" t="n">
        <v>45624.48958333334</v>
      </c>
      <c r="F3880" s="10" t="n">
        <v>45624.72222222222</v>
      </c>
      <c r="G3880" s="11" t="n">
        <v>-6.94</v>
      </c>
      <c r="H3880" s="11">
        <f>H3879+G3880</f>
        <v/>
      </c>
    </row>
    <row r="3881">
      <c r="A3881" s="9" t="n">
        <v>3877</v>
      </c>
      <c r="B3881" s="9" t="inlineStr">
        <is>
          <t>Vanguard_M15</t>
        </is>
      </c>
      <c r="C3881" s="9" t="inlineStr">
        <is>
          <t>Trendline breakout (fractal swing line) + VWAP/S-R distance gate - M15 chart</t>
        </is>
      </c>
      <c r="D3881" s="9" t="inlineStr">
        <is>
          <t>Long</t>
        </is>
      </c>
      <c r="E3881" s="10" t="n">
        <v>45624.48958333334</v>
      </c>
      <c r="F3881" s="10" t="n">
        <v>45624.72916666666</v>
      </c>
      <c r="G3881" s="11" t="n">
        <v>-9.41</v>
      </c>
      <c r="H3881" s="11">
        <f>H3880+G3881</f>
        <v/>
      </c>
    </row>
    <row r="3882">
      <c r="A3882" s="9" t="n">
        <v>3878</v>
      </c>
      <c r="B3882" s="9" t="inlineStr">
        <is>
          <t>Vanguard_M5</t>
        </is>
      </c>
      <c r="C3882" s="9" t="inlineStr">
        <is>
          <t>Trendline breakout (fractal swing line) + VWAP/S-R distance gate</t>
        </is>
      </c>
      <c r="D3882" s="9" t="inlineStr">
        <is>
          <t>Long</t>
        </is>
      </c>
      <c r="E3882" s="10" t="n">
        <v>45624.78472222222</v>
      </c>
      <c r="F3882" s="10" t="n">
        <v>45625.11805555555</v>
      </c>
      <c r="G3882" s="11" t="n">
        <v>-5.88</v>
      </c>
      <c r="H3882" s="11">
        <f>H3881+G3882</f>
        <v/>
      </c>
    </row>
    <row r="3883">
      <c r="A3883" s="9" t="n">
        <v>3879</v>
      </c>
      <c r="B3883" s="9" t="inlineStr">
        <is>
          <t>Vanguard_M15</t>
        </is>
      </c>
      <c r="C3883" s="9" t="inlineStr">
        <is>
          <t>Trendline breakout (fractal swing line) + VWAP/S-R distance gate - M15 chart</t>
        </is>
      </c>
      <c r="D3883" s="9" t="inlineStr">
        <is>
          <t>Long</t>
        </is>
      </c>
      <c r="E3883" s="10" t="n">
        <v>45624.79166666666</v>
      </c>
      <c r="F3883" s="10" t="n">
        <v>45625.125</v>
      </c>
      <c r="G3883" s="11" t="n">
        <v>-8</v>
      </c>
      <c r="H3883" s="11">
        <f>H3882+G3883</f>
        <v/>
      </c>
    </row>
    <row r="3884">
      <c r="A3884" s="9" t="n">
        <v>3880</v>
      </c>
      <c r="B3884" s="9" t="inlineStr">
        <is>
          <t>Ratchet</t>
        </is>
      </c>
      <c r="C3884" s="9" t="inlineStr">
        <is>
          <t>Stochastic scalp with give-back trail exit</t>
        </is>
      </c>
      <c r="D3884" s="9" t="inlineStr">
        <is>
          <t>Long</t>
        </is>
      </c>
      <c r="E3884" s="10" t="n">
        <v>45625.32638888889</v>
      </c>
      <c r="F3884" s="10" t="n">
        <v>45625.34375</v>
      </c>
      <c r="G3884" s="11" t="n">
        <v>1.19</v>
      </c>
      <c r="H3884" s="11">
        <f>H3883+G3884</f>
        <v/>
      </c>
    </row>
    <row r="3885">
      <c r="A3885" s="9" t="n">
        <v>3881</v>
      </c>
      <c r="B3885" s="9" t="inlineStr">
        <is>
          <t>Meridian</t>
        </is>
      </c>
      <c r="C3885" s="9" t="inlineStr">
        <is>
          <t>21/50 MA cross, 250-period confirm filter, VWAP</t>
        </is>
      </c>
      <c r="D3885" s="9" t="inlineStr">
        <is>
          <t>Long</t>
        </is>
      </c>
      <c r="E3885" s="10" t="n">
        <v>45625.14583333334</v>
      </c>
      <c r="F3885" s="10" t="n">
        <v>45625.44791666666</v>
      </c>
      <c r="G3885" s="11" t="n">
        <v>10.45</v>
      </c>
      <c r="H3885" s="11">
        <f>H3884+G3885</f>
        <v/>
      </c>
    </row>
    <row r="3886">
      <c r="A3886" s="9" t="n">
        <v>3882</v>
      </c>
      <c r="B3886" s="9" t="inlineStr">
        <is>
          <t>Aurelius_M5</t>
        </is>
      </c>
      <c r="C3886" s="9" t="inlineStr">
        <is>
          <t>MA alignment (EMA21&gt;EMA50&gt;SMA250&gt;SMMA500 vs EMA2400 trend filter)</t>
        </is>
      </c>
      <c r="D3886" s="9" t="inlineStr">
        <is>
          <t>Long</t>
        </is>
      </c>
      <c r="E3886" s="10" t="n">
        <v>45625.52430555555</v>
      </c>
      <c r="F3886" s="10" t="n">
        <v>45625.57986111111</v>
      </c>
      <c r="G3886" s="11" t="n">
        <v>-5.12</v>
      </c>
      <c r="H3886" s="11">
        <f>H3885+G3886</f>
        <v/>
      </c>
    </row>
    <row r="3887">
      <c r="A3887" s="9" t="n">
        <v>3883</v>
      </c>
      <c r="B3887" s="9" t="inlineStr">
        <is>
          <t>Meridian</t>
        </is>
      </c>
      <c r="C3887" s="9" t="inlineStr">
        <is>
          <t>21/50 MA cross, 250-period confirm filter, VWAP</t>
        </is>
      </c>
      <c r="D3887" s="9" t="inlineStr">
        <is>
          <t>Long</t>
        </is>
      </c>
      <c r="E3887" s="10" t="n">
        <v>45625.49305555555</v>
      </c>
      <c r="F3887" s="10" t="n">
        <v>45625.625</v>
      </c>
      <c r="G3887" s="11" t="n">
        <v>-2.57</v>
      </c>
      <c r="H3887" s="11">
        <f>H3886+G3887</f>
        <v/>
      </c>
    </row>
    <row r="3888">
      <c r="A3888" s="9" t="n">
        <v>3884</v>
      </c>
      <c r="B3888" s="9" t="inlineStr">
        <is>
          <t>Ratchet</t>
        </is>
      </c>
      <c r="C3888" s="9" t="inlineStr">
        <is>
          <t>Stochastic scalp with give-back trail exit</t>
        </is>
      </c>
      <c r="D3888" s="9" t="inlineStr">
        <is>
          <t>Long</t>
        </is>
      </c>
      <c r="E3888" s="10" t="n">
        <v>45625.78472222222</v>
      </c>
      <c r="F3888" s="10" t="n">
        <v>45625.8125</v>
      </c>
      <c r="G3888" s="11" t="n">
        <v>-4.13</v>
      </c>
      <c r="H3888" s="11">
        <f>H3887+G3888</f>
        <v/>
      </c>
    </row>
    <row r="3889">
      <c r="A3889" s="9" t="n">
        <v>3885</v>
      </c>
      <c r="B3889" s="9" t="inlineStr">
        <is>
          <t>Meridian</t>
        </is>
      </c>
      <c r="C3889" s="9" t="inlineStr">
        <is>
          <t>21/50 MA cross, 250-period confirm filter, VWAP</t>
        </is>
      </c>
      <c r="D3889" s="9" t="inlineStr">
        <is>
          <t>Long</t>
        </is>
      </c>
      <c r="E3889" s="10" t="n">
        <v>45625.77777777778</v>
      </c>
      <c r="F3889" s="10" t="n">
        <v>45625.85069444445</v>
      </c>
      <c r="G3889" s="11" t="n">
        <v>-6.32</v>
      </c>
      <c r="H3889" s="11">
        <f>H3888+G3889</f>
        <v/>
      </c>
    </row>
    <row r="3890">
      <c r="A3890" s="9" t="n">
        <v>3886</v>
      </c>
      <c r="B3890" s="9" t="inlineStr">
        <is>
          <t>Ratchet</t>
        </is>
      </c>
      <c r="C3890" s="9" t="inlineStr">
        <is>
          <t>Stochastic scalp with give-back trail exit</t>
        </is>
      </c>
      <c r="D3890" s="9" t="inlineStr">
        <is>
          <t>Long</t>
        </is>
      </c>
      <c r="E3890" s="10" t="n">
        <v>45625.82291666666</v>
      </c>
      <c r="F3890" s="10" t="n">
        <v>45625.85069444445</v>
      </c>
      <c r="G3890" s="11" t="n">
        <v>-3.08</v>
      </c>
      <c r="H3890" s="11">
        <f>H3889+G3890</f>
        <v/>
      </c>
    </row>
    <row r="3891">
      <c r="A3891" s="9" t="n">
        <v>3887</v>
      </c>
      <c r="B3891" s="9" t="inlineStr">
        <is>
          <t>Vanguard_M15</t>
        </is>
      </c>
      <c r="C3891" s="9" t="inlineStr">
        <is>
          <t>Trendline breakout (fractal swing line) + VWAP/S-R distance gate - M15 chart</t>
        </is>
      </c>
      <c r="D3891" s="9" t="inlineStr">
        <is>
          <t>Long</t>
        </is>
      </c>
      <c r="E3891" s="10" t="n">
        <v>45625.14583333334</v>
      </c>
      <c r="F3891" s="10" t="n">
        <v>45628.05208333334</v>
      </c>
      <c r="G3891" s="11" t="n">
        <v>0.92</v>
      </c>
      <c r="H3891" s="11">
        <f>H3890+G3891</f>
        <v/>
      </c>
    </row>
    <row r="3892">
      <c r="A3892" s="9" t="n">
        <v>3888</v>
      </c>
      <c r="B3892" s="9" t="inlineStr">
        <is>
          <t>Vanguard_M5</t>
        </is>
      </c>
      <c r="C3892" s="9" t="inlineStr">
        <is>
          <t>Trendline breakout (fractal swing line) + VWAP/S-R distance gate</t>
        </is>
      </c>
      <c r="D3892" s="9" t="inlineStr">
        <is>
          <t>Long</t>
        </is>
      </c>
      <c r="E3892" s="10" t="n">
        <v>45625.14583333334</v>
      </c>
      <c r="F3892" s="10" t="n">
        <v>45628.05555555555</v>
      </c>
      <c r="G3892" s="11" t="n">
        <v>1.24</v>
      </c>
      <c r="H3892" s="11">
        <f>H3891+G3892</f>
        <v/>
      </c>
    </row>
    <row r="3893">
      <c r="A3893" s="9" t="n">
        <v>3889</v>
      </c>
      <c r="B3893" s="9" t="inlineStr">
        <is>
          <t>Meridian</t>
        </is>
      </c>
      <c r="C3893" s="9" t="inlineStr">
        <is>
          <t>21/50 MA cross, 250-period confirm filter, VWAP</t>
        </is>
      </c>
      <c r="D3893" s="9" t="inlineStr">
        <is>
          <t>Short</t>
        </is>
      </c>
      <c r="E3893" s="10" t="n">
        <v>45625.85763888889</v>
      </c>
      <c r="F3893" s="10" t="n">
        <v>45628.40972222222</v>
      </c>
      <c r="G3893" s="11" t="n">
        <v>22.07</v>
      </c>
      <c r="H3893" s="11">
        <f>H3892+G3893</f>
        <v/>
      </c>
    </row>
    <row r="3894">
      <c r="A3894" s="9" t="n">
        <v>3890</v>
      </c>
      <c r="B3894" s="9" t="inlineStr">
        <is>
          <t>Meridian</t>
        </is>
      </c>
      <c r="C3894" s="9" t="inlineStr">
        <is>
          <t>21/50 MA cross, 250-period confirm filter, VWAP</t>
        </is>
      </c>
      <c r="D3894" s="9" t="inlineStr">
        <is>
          <t>Long</t>
        </is>
      </c>
      <c r="E3894" s="10" t="n">
        <v>45628.94444444445</v>
      </c>
      <c r="F3894" s="10" t="n">
        <v>45628.95138888889</v>
      </c>
      <c r="G3894" s="11" t="n">
        <v>-4.34</v>
      </c>
      <c r="H3894" s="11">
        <f>H3893+G3894</f>
        <v/>
      </c>
    </row>
    <row r="3895">
      <c r="A3895" s="9" t="n">
        <v>3891</v>
      </c>
      <c r="B3895" s="9" t="inlineStr">
        <is>
          <t>Meridian</t>
        </is>
      </c>
      <c r="C3895" s="9" t="inlineStr">
        <is>
          <t>21/50 MA cross, 250-period confirm filter, VWAP</t>
        </is>
      </c>
      <c r="D3895" s="9" t="inlineStr">
        <is>
          <t>Long</t>
        </is>
      </c>
      <c r="E3895" s="10" t="n">
        <v>45629.05902777778</v>
      </c>
      <c r="F3895" s="10" t="n">
        <v>45629.14236111111</v>
      </c>
      <c r="G3895" s="11" t="n">
        <v>-2.78</v>
      </c>
      <c r="H3895" s="11">
        <f>H3894+G3895</f>
        <v/>
      </c>
    </row>
    <row r="3896">
      <c r="A3896" s="9" t="n">
        <v>3892</v>
      </c>
      <c r="B3896" s="9" t="inlineStr">
        <is>
          <t>Meridian</t>
        </is>
      </c>
      <c r="C3896" s="9" t="inlineStr">
        <is>
          <t>21/50 MA cross, 250-period confirm filter, VWAP</t>
        </is>
      </c>
      <c r="D3896" s="9" t="inlineStr">
        <is>
          <t>Short</t>
        </is>
      </c>
      <c r="E3896" s="10" t="n">
        <v>45629.16319444445</v>
      </c>
      <c r="F3896" s="10" t="n">
        <v>45629.22916666666</v>
      </c>
      <c r="G3896" s="11" t="n">
        <v>-5.23</v>
      </c>
      <c r="H3896" s="11">
        <f>H3895+G3896</f>
        <v/>
      </c>
    </row>
    <row r="3897">
      <c r="A3897" s="9" t="n">
        <v>3893</v>
      </c>
      <c r="B3897" s="9" t="inlineStr">
        <is>
          <t>Meridian</t>
        </is>
      </c>
      <c r="C3897" s="9" t="inlineStr">
        <is>
          <t>21/50 MA cross, 250-period confirm filter, VWAP</t>
        </is>
      </c>
      <c r="D3897" s="9" t="inlineStr">
        <is>
          <t>Long</t>
        </is>
      </c>
      <c r="E3897" s="10" t="n">
        <v>45629.25347222222</v>
      </c>
      <c r="F3897" s="10" t="n">
        <v>45629.28125</v>
      </c>
      <c r="G3897" s="11" t="n">
        <v>-3.76</v>
      </c>
      <c r="H3897" s="11">
        <f>H3896+G3897</f>
        <v/>
      </c>
    </row>
    <row r="3898">
      <c r="A3898" s="9" t="n">
        <v>3894</v>
      </c>
      <c r="B3898" s="9" t="inlineStr">
        <is>
          <t>Ratchet</t>
        </is>
      </c>
      <c r="C3898" s="9" t="inlineStr">
        <is>
          <t>Stochastic scalp with give-back trail exit</t>
        </is>
      </c>
      <c r="D3898" s="9" t="inlineStr">
        <is>
          <t>Short</t>
        </is>
      </c>
      <c r="E3898" s="10" t="n">
        <v>45629.30208333334</v>
      </c>
      <c r="F3898" s="10" t="n">
        <v>45629.3125</v>
      </c>
      <c r="G3898" s="11" t="n">
        <v>-2.11</v>
      </c>
      <c r="H3898" s="11">
        <f>H3897+G3898</f>
        <v/>
      </c>
    </row>
    <row r="3899">
      <c r="A3899" s="9" t="n">
        <v>3895</v>
      </c>
      <c r="B3899" s="9" t="inlineStr">
        <is>
          <t>Meridian</t>
        </is>
      </c>
      <c r="C3899" s="9" t="inlineStr">
        <is>
          <t>21/50 MA cross, 250-period confirm filter, VWAP</t>
        </is>
      </c>
      <c r="D3899" s="9" t="inlineStr">
        <is>
          <t>Short</t>
        </is>
      </c>
      <c r="E3899" s="10" t="n">
        <v>45629.30208333334</v>
      </c>
      <c r="F3899" s="10" t="n">
        <v>45629.32291666666</v>
      </c>
      <c r="G3899" s="11" t="n">
        <v>-3.26</v>
      </c>
      <c r="H3899" s="11">
        <f>H3898+G3899</f>
        <v/>
      </c>
    </row>
    <row r="3900">
      <c r="A3900" s="9" t="n">
        <v>3896</v>
      </c>
      <c r="B3900" s="9" t="inlineStr">
        <is>
          <t>Vanguard_M15</t>
        </is>
      </c>
      <c r="C3900" s="9" t="inlineStr">
        <is>
          <t>Trendline breakout (fractal swing line) + VWAP/S-R distance gate - M15 chart</t>
        </is>
      </c>
      <c r="D3900" s="9" t="inlineStr">
        <is>
          <t>Short</t>
        </is>
      </c>
      <c r="E3900" s="10" t="n">
        <v>45628.0625</v>
      </c>
      <c r="F3900" s="10" t="n">
        <v>45629.33333333334</v>
      </c>
      <c r="G3900" s="11" t="n">
        <v>0.3</v>
      </c>
      <c r="H3900" s="11">
        <f>H3899+G3900</f>
        <v/>
      </c>
    </row>
    <row r="3901">
      <c r="A3901" s="9" t="n">
        <v>3897</v>
      </c>
      <c r="B3901" s="9" t="inlineStr">
        <is>
          <t>Vanguard_M5</t>
        </is>
      </c>
      <c r="C3901" s="9" t="inlineStr">
        <is>
          <t>Trendline breakout (fractal swing line) + VWAP/S-R distance gate</t>
        </is>
      </c>
      <c r="D3901" s="9" t="inlineStr">
        <is>
          <t>Short</t>
        </is>
      </c>
      <c r="E3901" s="10" t="n">
        <v>45628.05902777778</v>
      </c>
      <c r="F3901" s="10" t="n">
        <v>45629.33680555555</v>
      </c>
      <c r="G3901" s="11" t="n">
        <v>1.54</v>
      </c>
      <c r="H3901" s="11">
        <f>H3900+G3901</f>
        <v/>
      </c>
    </row>
    <row r="3902">
      <c r="A3902" s="9" t="n">
        <v>3898</v>
      </c>
      <c r="B3902" s="9" t="inlineStr">
        <is>
          <t>Meridian</t>
        </is>
      </c>
      <c r="C3902" s="9" t="inlineStr">
        <is>
          <t>21/50 MA cross, 250-period confirm filter, VWAP</t>
        </is>
      </c>
      <c r="D3902" s="9" t="inlineStr">
        <is>
          <t>Short</t>
        </is>
      </c>
      <c r="E3902" s="10" t="n">
        <v>45629.44791666666</v>
      </c>
      <c r="F3902" s="10" t="n">
        <v>45629.45138888889</v>
      </c>
      <c r="G3902" s="11" t="n">
        <v>-4.36</v>
      </c>
      <c r="H3902" s="11">
        <f>H3901+G3902</f>
        <v/>
      </c>
    </row>
    <row r="3903">
      <c r="A3903" s="9" t="n">
        <v>3899</v>
      </c>
      <c r="B3903" s="9" t="inlineStr">
        <is>
          <t>Meridian</t>
        </is>
      </c>
      <c r="C3903" s="9" t="inlineStr">
        <is>
          <t>21/50 MA cross, 250-period confirm filter, VWAP</t>
        </is>
      </c>
      <c r="D3903" s="9" t="inlineStr">
        <is>
          <t>Long</t>
        </is>
      </c>
      <c r="E3903" s="10" t="n">
        <v>45629.46180555555</v>
      </c>
      <c r="F3903" s="10" t="n">
        <v>45629.58680555555</v>
      </c>
      <c r="G3903" s="11" t="n">
        <v>-5.35</v>
      </c>
      <c r="H3903" s="11">
        <f>H3902+G3903</f>
        <v/>
      </c>
    </row>
    <row r="3904">
      <c r="A3904" s="9" t="n">
        <v>3900</v>
      </c>
      <c r="B3904" s="9" t="inlineStr">
        <is>
          <t>Vanguard_M5</t>
        </is>
      </c>
      <c r="C3904" s="9" t="inlineStr">
        <is>
          <t>Trendline breakout (fractal swing line) + VWAP/S-R distance gate</t>
        </is>
      </c>
      <c r="D3904" s="9" t="inlineStr">
        <is>
          <t>Long</t>
        </is>
      </c>
      <c r="E3904" s="10" t="n">
        <v>45629.34027777778</v>
      </c>
      <c r="F3904" s="10" t="n">
        <v>45629.59722222222</v>
      </c>
      <c r="G3904" s="11" t="n">
        <v>-5.94</v>
      </c>
      <c r="H3904" s="11">
        <f>H3903+G3904</f>
        <v/>
      </c>
    </row>
    <row r="3905">
      <c r="A3905" s="9" t="n">
        <v>3901</v>
      </c>
      <c r="B3905" s="9" t="inlineStr">
        <is>
          <t>Meridian</t>
        </is>
      </c>
      <c r="C3905" s="9" t="inlineStr">
        <is>
          <t>21/50 MA cross, 250-period confirm filter, VWAP</t>
        </is>
      </c>
      <c r="D3905" s="9" t="inlineStr">
        <is>
          <t>Long</t>
        </is>
      </c>
      <c r="E3905" s="10" t="n">
        <v>45629.65625</v>
      </c>
      <c r="F3905" s="10" t="n">
        <v>45629.70833333334</v>
      </c>
      <c r="G3905" s="11" t="n">
        <v>-4.74</v>
      </c>
      <c r="H3905" s="11">
        <f>H3904+G3905</f>
        <v/>
      </c>
    </row>
    <row r="3906">
      <c r="A3906" s="9" t="n">
        <v>3902</v>
      </c>
      <c r="B3906" s="9" t="inlineStr">
        <is>
          <t>Vanguard_M15</t>
        </is>
      </c>
      <c r="C3906" s="9" t="inlineStr">
        <is>
          <t>Trendline breakout (fractal swing line) + VWAP/S-R distance gate - M15 chart</t>
        </is>
      </c>
      <c r="D3906" s="9" t="inlineStr">
        <is>
          <t>Long</t>
        </is>
      </c>
      <c r="E3906" s="10" t="n">
        <v>45629.34375</v>
      </c>
      <c r="F3906" s="10" t="n">
        <v>45629.71875</v>
      </c>
      <c r="G3906" s="11" t="n">
        <v>-8.550000000000001</v>
      </c>
      <c r="H3906" s="11">
        <f>H3905+G3906</f>
        <v/>
      </c>
    </row>
    <row r="3907">
      <c r="A3907" s="9" t="n">
        <v>3903</v>
      </c>
      <c r="B3907" s="9" t="inlineStr">
        <is>
          <t>Vanguard_M5</t>
        </is>
      </c>
      <c r="C3907" s="9" t="inlineStr">
        <is>
          <t>Trendline breakout (fractal swing line) + VWAP/S-R distance gate</t>
        </is>
      </c>
      <c r="D3907" s="9" t="inlineStr">
        <is>
          <t>Long</t>
        </is>
      </c>
      <c r="E3907" s="10" t="n">
        <v>45629.63194444445</v>
      </c>
      <c r="F3907" s="10" t="n">
        <v>45629.72222222222</v>
      </c>
      <c r="G3907" s="11" t="n">
        <v>-6.55</v>
      </c>
      <c r="H3907" s="11">
        <f>H3906+G3907</f>
        <v/>
      </c>
    </row>
    <row r="3908">
      <c r="A3908" s="9" t="n">
        <v>3904</v>
      </c>
      <c r="B3908" s="9" t="inlineStr">
        <is>
          <t>Meridian</t>
        </is>
      </c>
      <c r="C3908" s="9" t="inlineStr">
        <is>
          <t>21/50 MA cross, 250-period confirm filter, VWAP</t>
        </is>
      </c>
      <c r="D3908" s="9" t="inlineStr">
        <is>
          <t>Short</t>
        </is>
      </c>
      <c r="E3908" s="10" t="n">
        <v>45629.72569444445</v>
      </c>
      <c r="F3908" s="10" t="n">
        <v>45629.78472222222</v>
      </c>
      <c r="G3908" s="11" t="n">
        <v>-8.16</v>
      </c>
      <c r="H3908" s="11">
        <f>H3907+G3908</f>
        <v/>
      </c>
    </row>
    <row r="3909">
      <c r="A3909" s="9" t="n">
        <v>3905</v>
      </c>
      <c r="B3909" s="9" t="inlineStr">
        <is>
          <t>Meridian</t>
        </is>
      </c>
      <c r="C3909" s="9" t="inlineStr">
        <is>
          <t>21/50 MA cross, 250-period confirm filter, VWAP</t>
        </is>
      </c>
      <c r="D3909" s="9" t="inlineStr">
        <is>
          <t>Long</t>
        </is>
      </c>
      <c r="E3909" s="10" t="n">
        <v>45629.79166666666</v>
      </c>
      <c r="F3909" s="10" t="n">
        <v>45629.88888888889</v>
      </c>
      <c r="G3909" s="11" t="n">
        <v>-6.47</v>
      </c>
      <c r="H3909" s="11">
        <f>H3908+G3909</f>
        <v/>
      </c>
    </row>
    <row r="3910">
      <c r="A3910" s="9" t="n">
        <v>3906</v>
      </c>
      <c r="B3910" s="9" t="inlineStr">
        <is>
          <t>Ratchet</t>
        </is>
      </c>
      <c r="C3910" s="9" t="inlineStr">
        <is>
          <t>Stochastic scalp with give-back trail exit</t>
        </is>
      </c>
      <c r="D3910" s="9" t="inlineStr">
        <is>
          <t>Long</t>
        </is>
      </c>
      <c r="E3910" s="10" t="n">
        <v>45630.26041666666</v>
      </c>
      <c r="F3910" s="10" t="n">
        <v>45630.26736111111</v>
      </c>
      <c r="G3910" s="11" t="n">
        <v>0.27</v>
      </c>
      <c r="H3910" s="11">
        <f>H3909+G3910</f>
        <v/>
      </c>
    </row>
    <row r="3911">
      <c r="A3911" s="9" t="n">
        <v>3907</v>
      </c>
      <c r="B3911" s="9" t="inlineStr">
        <is>
          <t>Ratchet</t>
        </is>
      </c>
      <c r="C3911" s="9" t="inlineStr">
        <is>
          <t>Stochastic scalp with give-back trail exit</t>
        </is>
      </c>
      <c r="D3911" s="9" t="inlineStr">
        <is>
          <t>Long</t>
        </is>
      </c>
      <c r="E3911" s="10" t="n">
        <v>45630.27777777778</v>
      </c>
      <c r="F3911" s="10" t="n">
        <v>45630.28472222222</v>
      </c>
      <c r="G3911" s="11" t="n">
        <v>0.25</v>
      </c>
      <c r="H3911" s="11">
        <f>H3910+G3911</f>
        <v/>
      </c>
    </row>
    <row r="3912">
      <c r="A3912" s="9" t="n">
        <v>3908</v>
      </c>
      <c r="B3912" s="9" t="inlineStr">
        <is>
          <t>Ratchet</t>
        </is>
      </c>
      <c r="C3912" s="9" t="inlineStr">
        <is>
          <t>Stochastic scalp with give-back trail exit</t>
        </is>
      </c>
      <c r="D3912" s="9" t="inlineStr">
        <is>
          <t>Long</t>
        </is>
      </c>
      <c r="E3912" s="10" t="n">
        <v>45630.36111111111</v>
      </c>
      <c r="F3912" s="10" t="n">
        <v>45630.375</v>
      </c>
      <c r="G3912" s="11" t="n">
        <v>-2.53</v>
      </c>
      <c r="H3912" s="11">
        <f>H3911+G3912</f>
        <v/>
      </c>
    </row>
    <row r="3913">
      <c r="A3913" s="9" t="n">
        <v>3909</v>
      </c>
      <c r="B3913" s="9" t="inlineStr">
        <is>
          <t>Meridian</t>
        </is>
      </c>
      <c r="C3913" s="9" t="inlineStr">
        <is>
          <t>21/50 MA cross, 250-period confirm filter, VWAP</t>
        </is>
      </c>
      <c r="D3913" s="9" t="inlineStr">
        <is>
          <t>Long</t>
        </is>
      </c>
      <c r="E3913" s="10" t="n">
        <v>45630.17708333334</v>
      </c>
      <c r="F3913" s="10" t="n">
        <v>45630.40277777778</v>
      </c>
      <c r="G3913" s="11" t="n">
        <v>-4.47</v>
      </c>
      <c r="H3913" s="11">
        <f>H3912+G3913</f>
        <v/>
      </c>
    </row>
    <row r="3914">
      <c r="A3914" s="9" t="n">
        <v>3910</v>
      </c>
      <c r="B3914" s="9" t="inlineStr">
        <is>
          <t>Vanguard_M5</t>
        </is>
      </c>
      <c r="C3914" s="9" t="inlineStr">
        <is>
          <t>Trendline breakout (fractal swing line) + VWAP/S-R distance gate</t>
        </is>
      </c>
      <c r="D3914" s="9" t="inlineStr">
        <is>
          <t>Short</t>
        </is>
      </c>
      <c r="E3914" s="10" t="n">
        <v>45630.40625</v>
      </c>
      <c r="F3914" s="10" t="n">
        <v>45630.56597222222</v>
      </c>
      <c r="G3914" s="11" t="n">
        <v>-6.32</v>
      </c>
      <c r="H3914" s="11">
        <f>H3913+G3914</f>
        <v/>
      </c>
    </row>
    <row r="3915">
      <c r="A3915" s="9" t="n">
        <v>3911</v>
      </c>
      <c r="B3915" s="9" t="inlineStr">
        <is>
          <t>Meridian</t>
        </is>
      </c>
      <c r="C3915" s="9" t="inlineStr">
        <is>
          <t>21/50 MA cross, 250-period confirm filter, VWAP</t>
        </is>
      </c>
      <c r="D3915" s="9" t="inlineStr">
        <is>
          <t>Long</t>
        </is>
      </c>
      <c r="E3915" s="10" t="n">
        <v>45630.55555555555</v>
      </c>
      <c r="F3915" s="10" t="n">
        <v>45630.61458333334</v>
      </c>
      <c r="G3915" s="11" t="n">
        <v>-3.65</v>
      </c>
      <c r="H3915" s="11">
        <f>H3914+G3915</f>
        <v/>
      </c>
    </row>
    <row r="3916">
      <c r="A3916" s="9" t="n">
        <v>3912</v>
      </c>
      <c r="B3916" s="9" t="inlineStr">
        <is>
          <t>Meridian</t>
        </is>
      </c>
      <c r="C3916" s="9" t="inlineStr">
        <is>
          <t>21/50 MA cross, 250-period confirm filter, VWAP</t>
        </is>
      </c>
      <c r="D3916" s="9" t="inlineStr">
        <is>
          <t>Short</t>
        </is>
      </c>
      <c r="E3916" s="10" t="n">
        <v>45630.62152777778</v>
      </c>
      <c r="F3916" s="10" t="n">
        <v>45630.63888888889</v>
      </c>
      <c r="G3916" s="11" t="n">
        <v>-5.15</v>
      </c>
      <c r="H3916" s="11">
        <f>H3915+G3916</f>
        <v/>
      </c>
    </row>
    <row r="3917">
      <c r="A3917" s="9" t="n">
        <v>3913</v>
      </c>
      <c r="B3917" s="9" t="inlineStr">
        <is>
          <t>Vanguard_M15</t>
        </is>
      </c>
      <c r="C3917" s="9" t="inlineStr">
        <is>
          <t>Trendline breakout (fractal swing line) + VWAP/S-R distance gate - M15 chart</t>
        </is>
      </c>
      <c r="D3917" s="9" t="inlineStr">
        <is>
          <t>Short</t>
        </is>
      </c>
      <c r="E3917" s="10" t="n">
        <v>45630.40625</v>
      </c>
      <c r="F3917" s="10" t="n">
        <v>45630.65625</v>
      </c>
      <c r="G3917" s="11" t="n">
        <v>-7.67</v>
      </c>
      <c r="H3917" s="11">
        <f>H3916+G3917</f>
        <v/>
      </c>
    </row>
    <row r="3918">
      <c r="A3918" s="9" t="n">
        <v>3914</v>
      </c>
      <c r="B3918" s="9" t="inlineStr">
        <is>
          <t>Vanguard_M5</t>
        </is>
      </c>
      <c r="C3918" s="9" t="inlineStr">
        <is>
          <t>Trendline breakout (fractal swing line) + VWAP/S-R distance gate</t>
        </is>
      </c>
      <c r="D3918" s="9" t="inlineStr">
        <is>
          <t>Short</t>
        </is>
      </c>
      <c r="E3918" s="10" t="n">
        <v>45630.60416666666</v>
      </c>
      <c r="F3918" s="10" t="n">
        <v>45630.66666666666</v>
      </c>
      <c r="G3918" s="11" t="n">
        <v>-6.75</v>
      </c>
      <c r="H3918" s="11">
        <f>H3917+G3918</f>
        <v/>
      </c>
    </row>
    <row r="3919">
      <c r="A3919" s="9" t="n">
        <v>3915</v>
      </c>
      <c r="B3919" s="9" t="inlineStr">
        <is>
          <t>Ratchet</t>
        </is>
      </c>
      <c r="C3919" s="9" t="inlineStr">
        <is>
          <t>Stochastic scalp with give-back trail exit</t>
        </is>
      </c>
      <c r="D3919" s="9" t="inlineStr">
        <is>
          <t>Long</t>
        </is>
      </c>
      <c r="E3919" s="10" t="n">
        <v>45630.82986111111</v>
      </c>
      <c r="F3919" s="10" t="n">
        <v>45630.87152777778</v>
      </c>
      <c r="G3919" s="11" t="n">
        <v>-3.01</v>
      </c>
      <c r="H3919" s="11">
        <f>H3918+G3919</f>
        <v/>
      </c>
    </row>
    <row r="3920">
      <c r="A3920" s="9" t="n">
        <v>3916</v>
      </c>
      <c r="B3920" s="9" t="inlineStr">
        <is>
          <t>Meridian</t>
        </is>
      </c>
      <c r="C3920" s="9" t="inlineStr">
        <is>
          <t>21/50 MA cross, 250-period confirm filter, VWAP</t>
        </is>
      </c>
      <c r="D3920" s="9" t="inlineStr">
        <is>
          <t>Long</t>
        </is>
      </c>
      <c r="E3920" s="10" t="n">
        <v>45630.66319444445</v>
      </c>
      <c r="F3920" s="10" t="n">
        <v>45630.9375</v>
      </c>
      <c r="G3920" s="11" t="n">
        <v>0.82</v>
      </c>
      <c r="H3920" s="11">
        <f>H3919+G3920</f>
        <v/>
      </c>
    </row>
    <row r="3921">
      <c r="A3921" s="9" t="n">
        <v>3917</v>
      </c>
      <c r="B3921" s="9" t="inlineStr">
        <is>
          <t>Aurelius_M5</t>
        </is>
      </c>
      <c r="C3921" s="9" t="inlineStr">
        <is>
          <t>MA alignment (EMA21&gt;EMA50&gt;SMA250&gt;SMMA500 vs EMA2400 trend filter)</t>
        </is>
      </c>
      <c r="D3921" s="9" t="inlineStr">
        <is>
          <t>Long</t>
        </is>
      </c>
      <c r="E3921" s="10" t="n">
        <v>45630.69097222222</v>
      </c>
      <c r="F3921" s="10" t="n">
        <v>45630.9375</v>
      </c>
      <c r="G3921" s="11" t="n">
        <v>-3.12</v>
      </c>
      <c r="H3921" s="11">
        <f>H3920+G3921</f>
        <v/>
      </c>
    </row>
    <row r="3922">
      <c r="A3922" s="9" t="n">
        <v>3918</v>
      </c>
      <c r="B3922" s="9" t="inlineStr">
        <is>
          <t>Aurelius_M15</t>
        </is>
      </c>
      <c r="C3922" s="9" t="inlineStr">
        <is>
          <t>MA alignment (EMA21&gt;EMA50&gt;SMA250&gt;SMMA500 vs EMA2400 trend filter) - M15 chart</t>
        </is>
      </c>
      <c r="D3922" s="9" t="inlineStr">
        <is>
          <t>Long</t>
        </is>
      </c>
      <c r="E3922" s="10" t="n">
        <v>45630.71875</v>
      </c>
      <c r="F3922" s="10" t="n">
        <v>45631.29166666666</v>
      </c>
      <c r="G3922" s="11" t="n">
        <v>-4.53</v>
      </c>
      <c r="H3922" s="11">
        <f>H3921+G3922</f>
        <v/>
      </c>
    </row>
    <row r="3923">
      <c r="A3923" s="9" t="n">
        <v>3919</v>
      </c>
      <c r="B3923" s="9" t="inlineStr">
        <is>
          <t>Aurelius_M5</t>
        </is>
      </c>
      <c r="C3923" s="9" t="inlineStr">
        <is>
          <t>MA alignment (EMA21&gt;EMA50&gt;SMA250&gt;SMMA500 vs EMA2400 trend filter)</t>
        </is>
      </c>
      <c r="D3923" s="9" t="inlineStr">
        <is>
          <t>Long</t>
        </is>
      </c>
      <c r="E3923" s="10" t="n">
        <v>45631.32986111111</v>
      </c>
      <c r="F3923" s="10" t="n">
        <v>45631.33680555555</v>
      </c>
      <c r="G3923" s="11" t="n">
        <v>-3.57</v>
      </c>
      <c r="H3923" s="11">
        <f>H3922+G3923</f>
        <v/>
      </c>
    </row>
    <row r="3924">
      <c r="A3924" s="9" t="n">
        <v>3920</v>
      </c>
      <c r="B3924" s="9" t="inlineStr">
        <is>
          <t>Meridian</t>
        </is>
      </c>
      <c r="C3924" s="9" t="inlineStr">
        <is>
          <t>21/50 MA cross, 250-period confirm filter, VWAP</t>
        </is>
      </c>
      <c r="D3924" s="9" t="inlineStr">
        <is>
          <t>Long</t>
        </is>
      </c>
      <c r="E3924" s="10" t="n">
        <v>45631.31597222222</v>
      </c>
      <c r="F3924" s="10" t="n">
        <v>45631.35416666666</v>
      </c>
      <c r="G3924" s="11" t="n">
        <v>-3.17</v>
      </c>
      <c r="H3924" s="11">
        <f>H3923+G3924</f>
        <v/>
      </c>
    </row>
    <row r="3925">
      <c r="A3925" s="9" t="n">
        <v>3921</v>
      </c>
      <c r="B3925" s="9" t="inlineStr">
        <is>
          <t>Aurelius_M5</t>
        </is>
      </c>
      <c r="C3925" s="9" t="inlineStr">
        <is>
          <t>MA alignment (EMA21&gt;EMA50&gt;SMA250&gt;SMMA500 vs EMA2400 trend filter)</t>
        </is>
      </c>
      <c r="D3925" s="9" t="inlineStr">
        <is>
          <t>Long</t>
        </is>
      </c>
      <c r="E3925" s="10" t="n">
        <v>45631.35416666666</v>
      </c>
      <c r="F3925" s="10" t="n">
        <v>45631.37152777778</v>
      </c>
      <c r="G3925" s="11" t="n">
        <v>-3.78</v>
      </c>
      <c r="H3925" s="11">
        <f>H3924+G3925</f>
        <v/>
      </c>
    </row>
    <row r="3926">
      <c r="A3926" s="9" t="n">
        <v>3922</v>
      </c>
      <c r="B3926" s="9" t="inlineStr">
        <is>
          <t>Meridian</t>
        </is>
      </c>
      <c r="C3926" s="9" t="inlineStr">
        <is>
          <t>21/50 MA cross, 250-period confirm filter, VWAP</t>
        </is>
      </c>
      <c r="D3926" s="9" t="inlineStr">
        <is>
          <t>Short</t>
        </is>
      </c>
      <c r="E3926" s="10" t="n">
        <v>45631.38194444445</v>
      </c>
      <c r="F3926" s="10" t="n">
        <v>45631.53125</v>
      </c>
      <c r="G3926" s="11" t="n">
        <v>-2.51</v>
      </c>
      <c r="H3926" s="11">
        <f>H3925+G3926</f>
        <v/>
      </c>
    </row>
    <row r="3927">
      <c r="A3927" s="9" t="n">
        <v>3923</v>
      </c>
      <c r="B3927" s="9" t="inlineStr">
        <is>
          <t>Ratchet</t>
        </is>
      </c>
      <c r="C3927" s="9" t="inlineStr">
        <is>
          <t>Stochastic scalp with give-back trail exit</t>
        </is>
      </c>
      <c r="D3927" s="9" t="inlineStr">
        <is>
          <t>Long</t>
        </is>
      </c>
      <c r="E3927" s="10" t="n">
        <v>45631.61805555555</v>
      </c>
      <c r="F3927" s="10" t="n">
        <v>45631.625</v>
      </c>
      <c r="G3927" s="11" t="n">
        <v>0.66</v>
      </c>
      <c r="H3927" s="11">
        <f>H3926+G3927</f>
        <v/>
      </c>
    </row>
    <row r="3928">
      <c r="A3928" s="9" t="n">
        <v>3924</v>
      </c>
      <c r="B3928" s="9" t="inlineStr">
        <is>
          <t>Ratchet</t>
        </is>
      </c>
      <c r="C3928" s="9" t="inlineStr">
        <is>
          <t>Stochastic scalp with give-back trail exit</t>
        </is>
      </c>
      <c r="D3928" s="9" t="inlineStr">
        <is>
          <t>Short</t>
        </is>
      </c>
      <c r="E3928" s="10" t="n">
        <v>45631.77430555555</v>
      </c>
      <c r="F3928" s="10" t="n">
        <v>45631.99652777778</v>
      </c>
      <c r="G3928" s="11" t="n">
        <v>4.6</v>
      </c>
      <c r="H3928" s="11">
        <f>H3927+G3928</f>
        <v/>
      </c>
    </row>
    <row r="3929">
      <c r="A3929" s="9" t="n">
        <v>3925</v>
      </c>
      <c r="B3929" s="9" t="inlineStr">
        <is>
          <t>Aurelius_M5</t>
        </is>
      </c>
      <c r="C3929" s="9" t="inlineStr">
        <is>
          <t>MA alignment (EMA21&gt;EMA50&gt;SMA250&gt;SMMA500 vs EMA2400 trend filter)</t>
        </is>
      </c>
      <c r="D3929" s="9" t="inlineStr">
        <is>
          <t>Short</t>
        </is>
      </c>
      <c r="E3929" s="10" t="n">
        <v>45632.13541666666</v>
      </c>
      <c r="F3929" s="10" t="n">
        <v>45632.14583333334</v>
      </c>
      <c r="G3929" s="11" t="n">
        <v>-5.25</v>
      </c>
      <c r="H3929" s="11">
        <f>H3928+G3929</f>
        <v/>
      </c>
    </row>
    <row r="3930">
      <c r="A3930" s="9" t="n">
        <v>3926</v>
      </c>
      <c r="B3930" s="9" t="inlineStr">
        <is>
          <t>Ratchet</t>
        </is>
      </c>
      <c r="C3930" s="9" t="inlineStr">
        <is>
          <t>Stochastic scalp with give-back trail exit</t>
        </is>
      </c>
      <c r="D3930" s="9" t="inlineStr">
        <is>
          <t>Short</t>
        </is>
      </c>
      <c r="E3930" s="10" t="n">
        <v>45632.14583333334</v>
      </c>
      <c r="F3930" s="10" t="n">
        <v>45632.14930555555</v>
      </c>
      <c r="G3930" s="11" t="n">
        <v>-4.68</v>
      </c>
      <c r="H3930" s="11">
        <f>H3929+G3930</f>
        <v/>
      </c>
    </row>
    <row r="3931">
      <c r="A3931" s="9" t="n">
        <v>3927</v>
      </c>
      <c r="B3931" s="9" t="inlineStr">
        <is>
          <t>Ratchet</t>
        </is>
      </c>
      <c r="C3931" s="9" t="inlineStr">
        <is>
          <t>Stochastic scalp with give-back trail exit</t>
        </is>
      </c>
      <c r="D3931" s="9" t="inlineStr">
        <is>
          <t>Short</t>
        </is>
      </c>
      <c r="E3931" s="10" t="n">
        <v>45632.17708333334</v>
      </c>
      <c r="F3931" s="10" t="n">
        <v>45632.21180555555</v>
      </c>
      <c r="G3931" s="11" t="n">
        <v>-6.75</v>
      </c>
      <c r="H3931" s="11">
        <f>H3930+G3931</f>
        <v/>
      </c>
    </row>
    <row r="3932">
      <c r="A3932" s="9" t="n">
        <v>3928</v>
      </c>
      <c r="B3932" s="9" t="inlineStr">
        <is>
          <t>Meridian</t>
        </is>
      </c>
      <c r="C3932" s="9" t="inlineStr">
        <is>
          <t>21/50 MA cross, 250-period confirm filter, VWAP</t>
        </is>
      </c>
      <c r="D3932" s="9" t="inlineStr">
        <is>
          <t>Short</t>
        </is>
      </c>
      <c r="E3932" s="10" t="n">
        <v>45632.125</v>
      </c>
      <c r="F3932" s="10" t="n">
        <v>45632.22222222222</v>
      </c>
      <c r="G3932" s="11" t="n">
        <v>-2.43</v>
      </c>
      <c r="H3932" s="11">
        <f>H3931+G3932</f>
        <v/>
      </c>
    </row>
    <row r="3933">
      <c r="A3933" s="9" t="n">
        <v>3929</v>
      </c>
      <c r="B3933" s="9" t="inlineStr">
        <is>
          <t>Meridian</t>
        </is>
      </c>
      <c r="C3933" s="9" t="inlineStr">
        <is>
          <t>21/50 MA cross, 250-period confirm filter, VWAP</t>
        </is>
      </c>
      <c r="D3933" s="9" t="inlineStr">
        <is>
          <t>Long</t>
        </is>
      </c>
      <c r="E3933" s="10" t="n">
        <v>45632.61111111111</v>
      </c>
      <c r="F3933" s="10" t="n">
        <v>45632.625</v>
      </c>
      <c r="G3933" s="11" t="n">
        <v>-4.18</v>
      </c>
      <c r="H3933" s="11">
        <f>H3932+G3933</f>
        <v/>
      </c>
    </row>
    <row r="3934">
      <c r="A3934" s="9" t="n">
        <v>3930</v>
      </c>
      <c r="B3934" s="9" t="inlineStr">
        <is>
          <t>Ratchet</t>
        </is>
      </c>
      <c r="C3934" s="9" t="inlineStr">
        <is>
          <t>Stochastic scalp with give-back trail exit</t>
        </is>
      </c>
      <c r="D3934" s="9" t="inlineStr">
        <is>
          <t>Short</t>
        </is>
      </c>
      <c r="E3934" s="10" t="n">
        <v>45632.69444444445</v>
      </c>
      <c r="F3934" s="10" t="n">
        <v>45632.71180555555</v>
      </c>
      <c r="G3934" s="11" t="n">
        <v>-9.859999999999999</v>
      </c>
      <c r="H3934" s="11">
        <f>H3933+G3934</f>
        <v/>
      </c>
    </row>
    <row r="3935">
      <c r="A3935" s="9" t="n">
        <v>3931</v>
      </c>
      <c r="B3935" s="9" t="inlineStr">
        <is>
          <t>Aurelius_M15</t>
        </is>
      </c>
      <c r="C3935" s="9" t="inlineStr">
        <is>
          <t>MA alignment (EMA21&gt;EMA50&gt;SMA250&gt;SMMA500 vs EMA2400 trend filter) - M15 chart</t>
        </is>
      </c>
      <c r="D3935" s="9" t="inlineStr">
        <is>
          <t>Short</t>
        </is>
      </c>
      <c r="E3935" s="10" t="n">
        <v>45632.70833333334</v>
      </c>
      <c r="F3935" s="10" t="n">
        <v>45632.78125</v>
      </c>
      <c r="G3935" s="11" t="n">
        <v>-5</v>
      </c>
      <c r="H3935" s="11">
        <f>H3934+G3935</f>
        <v/>
      </c>
    </row>
    <row r="3936">
      <c r="A3936" s="9" t="n">
        <v>3932</v>
      </c>
      <c r="B3936" s="9" t="inlineStr">
        <is>
          <t>Meridian</t>
        </is>
      </c>
      <c r="C3936" s="9" t="inlineStr">
        <is>
          <t>21/50 MA cross, 250-period confirm filter, VWAP</t>
        </is>
      </c>
      <c r="D3936" s="9" t="inlineStr">
        <is>
          <t>Long</t>
        </is>
      </c>
      <c r="E3936" s="10" t="n">
        <v>45632.75694444445</v>
      </c>
      <c r="F3936" s="10" t="n">
        <v>45632.83333333334</v>
      </c>
      <c r="G3936" s="11" t="n">
        <v>-2.66</v>
      </c>
      <c r="H3936" s="11">
        <f>H3935+G3936</f>
        <v/>
      </c>
    </row>
    <row r="3937">
      <c r="A3937" s="9" t="n">
        <v>3933</v>
      </c>
      <c r="B3937" s="9" t="inlineStr">
        <is>
          <t>Meridian</t>
        </is>
      </c>
      <c r="C3937" s="9" t="inlineStr">
        <is>
          <t>21/50 MA cross, 250-period confirm filter, VWAP</t>
        </is>
      </c>
      <c r="D3937" s="9" t="inlineStr">
        <is>
          <t>Long</t>
        </is>
      </c>
      <c r="E3937" s="10" t="n">
        <v>45632.85069444445</v>
      </c>
      <c r="F3937" s="10" t="n">
        <v>45632.85763888889</v>
      </c>
      <c r="G3937" s="11" t="n">
        <v>-2.89</v>
      </c>
      <c r="H3937" s="11">
        <f>H3936+G3937</f>
        <v/>
      </c>
    </row>
    <row r="3938">
      <c r="A3938" s="9" t="n">
        <v>3934</v>
      </c>
      <c r="B3938" s="9" t="inlineStr">
        <is>
          <t>Vanguard_M15</t>
        </is>
      </c>
      <c r="C3938" s="9" t="inlineStr">
        <is>
          <t>Trendline breakout (fractal swing line) + VWAP/S-R distance gate - M15 chart</t>
        </is>
      </c>
      <c r="D3938" s="9" t="inlineStr">
        <is>
          <t>Short</t>
        </is>
      </c>
      <c r="E3938" s="10" t="n">
        <v>45635.10416666666</v>
      </c>
      <c r="F3938" s="10" t="n">
        <v>45635.125</v>
      </c>
      <c r="G3938" s="11" t="n">
        <v>-12.5</v>
      </c>
      <c r="H3938" s="11">
        <f>H3937+G3938</f>
        <v/>
      </c>
    </row>
    <row r="3939">
      <c r="A3939" s="9" t="n">
        <v>3935</v>
      </c>
      <c r="B3939" s="9" t="inlineStr">
        <is>
          <t>Meridian</t>
        </is>
      </c>
      <c r="C3939" s="9" t="inlineStr">
        <is>
          <t>21/50 MA cross, 250-period confirm filter, VWAP</t>
        </is>
      </c>
      <c r="D3939" s="9" t="inlineStr">
        <is>
          <t>Short</t>
        </is>
      </c>
      <c r="E3939" s="10" t="n">
        <v>45635.10763888889</v>
      </c>
      <c r="F3939" s="10" t="n">
        <v>45635.125</v>
      </c>
      <c r="G3939" s="11" t="n">
        <v>-6.64</v>
      </c>
      <c r="H3939" s="11">
        <f>H3938+G3939</f>
        <v/>
      </c>
    </row>
    <row r="3940">
      <c r="A3940" s="9" t="n">
        <v>3936</v>
      </c>
      <c r="B3940" s="9" t="inlineStr">
        <is>
          <t>Ratchet</t>
        </is>
      </c>
      <c r="C3940" s="9" t="inlineStr">
        <is>
          <t>Stochastic scalp with give-back trail exit</t>
        </is>
      </c>
      <c r="D3940" s="9" t="inlineStr">
        <is>
          <t>Short</t>
        </is>
      </c>
      <c r="E3940" s="10" t="n">
        <v>45635.12152777778</v>
      </c>
      <c r="F3940" s="10" t="n">
        <v>45635.125</v>
      </c>
      <c r="G3940" s="11" t="n">
        <v>-4.19</v>
      </c>
      <c r="H3940" s="11">
        <f>H3939+G3940</f>
        <v/>
      </c>
    </row>
    <row r="3941">
      <c r="A3941" s="9" t="n">
        <v>3937</v>
      </c>
      <c r="B3941" s="9" t="inlineStr">
        <is>
          <t>Vanguard_M5</t>
        </is>
      </c>
      <c r="C3941" s="9" t="inlineStr">
        <is>
          <t>Trendline breakout (fractal swing line) + VWAP/S-R distance gate</t>
        </is>
      </c>
      <c r="D3941" s="9" t="inlineStr">
        <is>
          <t>Short</t>
        </is>
      </c>
      <c r="E3941" s="10" t="n">
        <v>45635.10416666666</v>
      </c>
      <c r="F3941" s="10" t="n">
        <v>45635.13194444445</v>
      </c>
      <c r="G3941" s="11" t="n">
        <v>-10.58</v>
      </c>
      <c r="H3941" s="11">
        <f>H3940+G3941</f>
        <v/>
      </c>
    </row>
    <row r="3942">
      <c r="A3942" s="9" t="n">
        <v>3938</v>
      </c>
      <c r="B3942" s="9" t="inlineStr">
        <is>
          <t>Meridian</t>
        </is>
      </c>
      <c r="C3942" s="9" t="inlineStr">
        <is>
          <t>21/50 MA cross, 250-period confirm filter, VWAP</t>
        </is>
      </c>
      <c r="D3942" s="9" t="inlineStr">
        <is>
          <t>Long</t>
        </is>
      </c>
      <c r="E3942" s="10" t="n">
        <v>45635.13888888889</v>
      </c>
      <c r="F3942" s="10" t="n">
        <v>45635.24652777778</v>
      </c>
      <c r="G3942" s="11" t="n">
        <v>-7.76</v>
      </c>
      <c r="H3942" s="11">
        <f>H3941+G3942</f>
        <v/>
      </c>
    </row>
    <row r="3943">
      <c r="A3943" s="9" t="n">
        <v>3939</v>
      </c>
      <c r="B3943" s="9" t="inlineStr">
        <is>
          <t>Meridian</t>
        </is>
      </c>
      <c r="C3943" s="9" t="inlineStr">
        <is>
          <t>21/50 MA cross, 250-period confirm filter, VWAP</t>
        </is>
      </c>
      <c r="D3943" s="9" t="inlineStr">
        <is>
          <t>Short</t>
        </is>
      </c>
      <c r="E3943" s="10" t="n">
        <v>45635.26736111111</v>
      </c>
      <c r="F3943" s="10" t="n">
        <v>45635.34027777778</v>
      </c>
      <c r="G3943" s="11" t="n">
        <v>-5.13</v>
      </c>
      <c r="H3943" s="11">
        <f>H3942+G3943</f>
        <v/>
      </c>
    </row>
    <row r="3944">
      <c r="A3944" s="9" t="n">
        <v>3940</v>
      </c>
      <c r="B3944" s="9" t="inlineStr">
        <is>
          <t>Ratchet</t>
        </is>
      </c>
      <c r="C3944" s="9" t="inlineStr">
        <is>
          <t>Stochastic scalp with give-back trail exit</t>
        </is>
      </c>
      <c r="D3944" s="9" t="inlineStr">
        <is>
          <t>Long</t>
        </is>
      </c>
      <c r="E3944" s="10" t="n">
        <v>45635.35763888889</v>
      </c>
      <c r="F3944" s="10" t="n">
        <v>45635.36111111111</v>
      </c>
      <c r="G3944" s="11" t="n">
        <v>0</v>
      </c>
      <c r="H3944" s="11">
        <f>H3943+G3944</f>
        <v/>
      </c>
    </row>
    <row r="3945">
      <c r="A3945" s="9" t="n">
        <v>3941</v>
      </c>
      <c r="B3945" s="9" t="inlineStr">
        <is>
          <t>Ratchet</t>
        </is>
      </c>
      <c r="C3945" s="9" t="inlineStr">
        <is>
          <t>Stochastic scalp with give-back trail exit</t>
        </is>
      </c>
      <c r="D3945" s="9" t="inlineStr">
        <is>
          <t>Long</t>
        </is>
      </c>
      <c r="E3945" s="10" t="n">
        <v>45635.45833333334</v>
      </c>
      <c r="F3945" s="10" t="n">
        <v>45635.46180555555</v>
      </c>
      <c r="G3945" s="11" t="n">
        <v>0.4</v>
      </c>
      <c r="H3945" s="11">
        <f>H3944+G3945</f>
        <v/>
      </c>
    </row>
    <row r="3946">
      <c r="A3946" s="9" t="n">
        <v>3942</v>
      </c>
      <c r="B3946" s="9" t="inlineStr">
        <is>
          <t>Ratchet</t>
        </is>
      </c>
      <c r="C3946" s="9" t="inlineStr">
        <is>
          <t>Stochastic scalp with give-back trail exit</t>
        </is>
      </c>
      <c r="D3946" s="9" t="inlineStr">
        <is>
          <t>Long</t>
        </is>
      </c>
      <c r="E3946" s="10" t="n">
        <v>45635.53472222222</v>
      </c>
      <c r="F3946" s="10" t="n">
        <v>45635.54513888889</v>
      </c>
      <c r="G3946" s="11" t="n">
        <v>0.36</v>
      </c>
      <c r="H3946" s="11">
        <f>H3945+G3946</f>
        <v/>
      </c>
    </row>
    <row r="3947">
      <c r="A3947" s="9" t="n">
        <v>3943</v>
      </c>
      <c r="B3947" s="9" t="inlineStr">
        <is>
          <t>Ratchet</t>
        </is>
      </c>
      <c r="C3947" s="9" t="inlineStr">
        <is>
          <t>Stochastic scalp with give-back trail exit</t>
        </is>
      </c>
      <c r="D3947" s="9" t="inlineStr">
        <is>
          <t>Long</t>
        </is>
      </c>
      <c r="E3947" s="10" t="n">
        <v>45635.73958333334</v>
      </c>
      <c r="F3947" s="10" t="n">
        <v>45635.74305555555</v>
      </c>
      <c r="G3947" s="11" t="n">
        <v>-4.79</v>
      </c>
      <c r="H3947" s="11">
        <f>H3946+G3947</f>
        <v/>
      </c>
    </row>
    <row r="3948">
      <c r="A3948" s="9" t="n">
        <v>3944</v>
      </c>
      <c r="B3948" s="9" t="inlineStr">
        <is>
          <t>Meridian</t>
        </is>
      </c>
      <c r="C3948" s="9" t="inlineStr">
        <is>
          <t>21/50 MA cross, 250-period confirm filter, VWAP</t>
        </is>
      </c>
      <c r="D3948" s="9" t="inlineStr">
        <is>
          <t>Long</t>
        </is>
      </c>
      <c r="E3948" s="10" t="n">
        <v>45635.35416666666</v>
      </c>
      <c r="F3948" s="10" t="n">
        <v>45635.84375</v>
      </c>
      <c r="G3948" s="11" t="n">
        <v>19.93</v>
      </c>
      <c r="H3948" s="11">
        <f>H3947+G3948</f>
        <v/>
      </c>
    </row>
    <row r="3949">
      <c r="A3949" s="9" t="n">
        <v>3945</v>
      </c>
      <c r="B3949" s="9" t="inlineStr">
        <is>
          <t>Aurelius_M5</t>
        </is>
      </c>
      <c r="C3949" s="9" t="inlineStr">
        <is>
          <t>MA alignment (EMA21&gt;EMA50&gt;SMA250&gt;SMMA500 vs EMA2400 trend filter)</t>
        </is>
      </c>
      <c r="D3949" s="9" t="inlineStr">
        <is>
          <t>Long</t>
        </is>
      </c>
      <c r="E3949" s="10" t="n">
        <v>45635.65277777778</v>
      </c>
      <c r="F3949" s="10" t="n">
        <v>45635.84375</v>
      </c>
      <c r="G3949" s="11" t="n">
        <v>0.3</v>
      </c>
      <c r="H3949" s="11">
        <f>H3948+G3949</f>
        <v/>
      </c>
    </row>
    <row r="3950">
      <c r="A3950" s="9" t="n">
        <v>3946</v>
      </c>
      <c r="B3950" s="9" t="inlineStr">
        <is>
          <t>Meridian</t>
        </is>
      </c>
      <c r="C3950" s="9" t="inlineStr">
        <is>
          <t>21/50 MA cross, 250-period confirm filter, VWAP</t>
        </is>
      </c>
      <c r="D3950" s="9" t="inlineStr">
        <is>
          <t>Long</t>
        </is>
      </c>
      <c r="E3950" s="10" t="n">
        <v>45636.125</v>
      </c>
      <c r="F3950" s="10" t="n">
        <v>45636.14583333334</v>
      </c>
      <c r="G3950" s="11" t="n">
        <v>-3.18</v>
      </c>
      <c r="H3950" s="11">
        <f>H3949+G3950</f>
        <v/>
      </c>
    </row>
    <row r="3951">
      <c r="A3951" s="9" t="n">
        <v>3947</v>
      </c>
      <c r="B3951" s="9" t="inlineStr">
        <is>
          <t>Ratchet</t>
        </is>
      </c>
      <c r="C3951" s="9" t="inlineStr">
        <is>
          <t>Stochastic scalp with give-back trail exit</t>
        </is>
      </c>
      <c r="D3951" s="9" t="inlineStr">
        <is>
          <t>Long</t>
        </is>
      </c>
      <c r="E3951" s="10" t="n">
        <v>45636.13194444445</v>
      </c>
      <c r="F3951" s="10" t="n">
        <v>45636.14930555555</v>
      </c>
      <c r="G3951" s="11" t="n">
        <v>-2.68</v>
      </c>
      <c r="H3951" s="11">
        <f>H3950+G3951</f>
        <v/>
      </c>
    </row>
    <row r="3952">
      <c r="A3952" s="9" t="n">
        <v>3948</v>
      </c>
      <c r="B3952" s="9" t="inlineStr">
        <is>
          <t>Aurelius_M5</t>
        </is>
      </c>
      <c r="C3952" s="9" t="inlineStr">
        <is>
          <t>MA alignment (EMA21&gt;EMA50&gt;SMA250&gt;SMMA500 vs EMA2400 trend filter)</t>
        </is>
      </c>
      <c r="D3952" s="9" t="inlineStr">
        <is>
          <t>Long</t>
        </is>
      </c>
      <c r="E3952" s="10" t="n">
        <v>45636.14236111111</v>
      </c>
      <c r="F3952" s="10" t="n">
        <v>45636.15277777778</v>
      </c>
      <c r="G3952" s="11" t="n">
        <v>-3.61</v>
      </c>
      <c r="H3952" s="11">
        <f>H3951+G3952</f>
        <v/>
      </c>
    </row>
    <row r="3953">
      <c r="A3953" s="9" t="n">
        <v>3949</v>
      </c>
      <c r="B3953" s="9" t="inlineStr">
        <is>
          <t>Ratchet</t>
        </is>
      </c>
      <c r="C3953" s="9" t="inlineStr">
        <is>
          <t>Stochastic scalp with give-back trail exit</t>
        </is>
      </c>
      <c r="D3953" s="9" t="inlineStr">
        <is>
          <t>Long</t>
        </is>
      </c>
      <c r="E3953" s="10" t="n">
        <v>45636.17708333334</v>
      </c>
      <c r="F3953" s="10" t="n">
        <v>45636.19097222222</v>
      </c>
      <c r="G3953" s="11" t="n">
        <v>0.37</v>
      </c>
      <c r="H3953" s="11">
        <f>H3952+G3953</f>
        <v/>
      </c>
    </row>
    <row r="3954">
      <c r="A3954" s="9" t="n">
        <v>3950</v>
      </c>
      <c r="B3954" s="9" t="inlineStr">
        <is>
          <t>Aurelius_M5</t>
        </is>
      </c>
      <c r="C3954" s="9" t="inlineStr">
        <is>
          <t>MA alignment (EMA21&gt;EMA50&gt;SMA250&gt;SMMA500 vs EMA2400 trend filter)</t>
        </is>
      </c>
      <c r="D3954" s="9" t="inlineStr">
        <is>
          <t>Long</t>
        </is>
      </c>
      <c r="E3954" s="10" t="n">
        <v>45636.17013888889</v>
      </c>
      <c r="F3954" s="10" t="n">
        <v>45636.41319444445</v>
      </c>
      <c r="G3954" s="11" t="n">
        <v>-3.72</v>
      </c>
      <c r="H3954" s="11">
        <f>H3953+G3954</f>
        <v/>
      </c>
    </row>
    <row r="3955">
      <c r="A3955" s="9" t="n">
        <v>3951</v>
      </c>
      <c r="B3955" s="9" t="inlineStr">
        <is>
          <t>Aurelius_M15</t>
        </is>
      </c>
      <c r="C3955" s="9" t="inlineStr">
        <is>
          <t>MA alignment (EMA21&gt;EMA50&gt;SMA250&gt;SMMA500 vs EMA2400 trend filter) - M15 chart</t>
        </is>
      </c>
      <c r="D3955" s="9" t="inlineStr">
        <is>
          <t>Long</t>
        </is>
      </c>
      <c r="E3955" s="10" t="n">
        <v>45636.13541666666</v>
      </c>
      <c r="F3955" s="10" t="n">
        <v>45636.48958333334</v>
      </c>
      <c r="G3955" s="11" t="n">
        <v>1.08</v>
      </c>
      <c r="H3955" s="11">
        <f>H3954+G3955</f>
        <v/>
      </c>
    </row>
    <row r="3956">
      <c r="A3956" s="9" t="n">
        <v>3952</v>
      </c>
      <c r="B3956" s="9" t="inlineStr">
        <is>
          <t>Ratchet</t>
        </is>
      </c>
      <c r="C3956" s="9" t="inlineStr">
        <is>
          <t>Stochastic scalp with give-back trail exit</t>
        </is>
      </c>
      <c r="D3956" s="9" t="inlineStr">
        <is>
          <t>Long</t>
        </is>
      </c>
      <c r="E3956" s="10" t="n">
        <v>45636.55208333334</v>
      </c>
      <c r="F3956" s="10" t="n">
        <v>45636.58333333334</v>
      </c>
      <c r="G3956" s="11" t="n">
        <v>0.48</v>
      </c>
      <c r="H3956" s="11">
        <f>H3955+G3956</f>
        <v/>
      </c>
    </row>
    <row r="3957">
      <c r="A3957" s="9" t="n">
        <v>3953</v>
      </c>
      <c r="B3957" s="9" t="inlineStr">
        <is>
          <t>Ratchet</t>
        </is>
      </c>
      <c r="C3957" s="9" t="inlineStr">
        <is>
          <t>Stochastic scalp with give-back trail exit</t>
        </is>
      </c>
      <c r="D3957" s="9" t="inlineStr">
        <is>
          <t>Long</t>
        </is>
      </c>
      <c r="E3957" s="10" t="n">
        <v>45636.66319444445</v>
      </c>
      <c r="F3957" s="10" t="n">
        <v>45636.94097222222</v>
      </c>
      <c r="G3957" s="11" t="n">
        <v>11.74</v>
      </c>
      <c r="H3957" s="11">
        <f>H3956+G3957</f>
        <v/>
      </c>
    </row>
    <row r="3958">
      <c r="A3958" s="9" t="n">
        <v>3954</v>
      </c>
      <c r="B3958" s="9" t="inlineStr">
        <is>
          <t>Ratchet</t>
        </is>
      </c>
      <c r="C3958" s="9" t="inlineStr">
        <is>
          <t>Stochastic scalp with give-back trail exit</t>
        </is>
      </c>
      <c r="D3958" s="9" t="inlineStr">
        <is>
          <t>Long</t>
        </is>
      </c>
      <c r="E3958" s="10" t="n">
        <v>45636.95138888889</v>
      </c>
      <c r="F3958" s="10" t="n">
        <v>45636.98263888889</v>
      </c>
      <c r="G3958" s="11" t="n">
        <v>0</v>
      </c>
      <c r="H3958" s="11">
        <f>H3957+G3958</f>
        <v/>
      </c>
    </row>
    <row r="3959">
      <c r="A3959" s="9" t="n">
        <v>3955</v>
      </c>
      <c r="B3959" s="9" t="inlineStr">
        <is>
          <t>Aurelius_M5</t>
        </is>
      </c>
      <c r="C3959" s="9" t="inlineStr">
        <is>
          <t>MA alignment (EMA21&gt;EMA50&gt;SMA250&gt;SMMA500 vs EMA2400 trend filter)</t>
        </is>
      </c>
      <c r="D3959" s="9" t="inlineStr">
        <is>
          <t>Long</t>
        </is>
      </c>
      <c r="E3959" s="10" t="n">
        <v>45637.22916666666</v>
      </c>
      <c r="F3959" s="10" t="n">
        <v>45637.23611111111</v>
      </c>
      <c r="G3959" s="11" t="n">
        <v>-4.94</v>
      </c>
      <c r="H3959" s="11">
        <f>H3958+G3959</f>
        <v/>
      </c>
    </row>
    <row r="3960">
      <c r="A3960" s="9" t="n">
        <v>3956</v>
      </c>
      <c r="B3960" s="9" t="inlineStr">
        <is>
          <t>Meridian</t>
        </is>
      </c>
      <c r="C3960" s="9" t="inlineStr">
        <is>
          <t>21/50 MA cross, 250-period confirm filter, VWAP</t>
        </is>
      </c>
      <c r="D3960" s="9" t="inlineStr">
        <is>
          <t>Long</t>
        </is>
      </c>
      <c r="E3960" s="10" t="n">
        <v>45636.52777777778</v>
      </c>
      <c r="F3960" s="10" t="n">
        <v>45637.25694444445</v>
      </c>
      <c r="G3960" s="11" t="n">
        <v>21.78</v>
      </c>
      <c r="H3960" s="11">
        <f>H3959+G3960</f>
        <v/>
      </c>
    </row>
    <row r="3961">
      <c r="A3961" s="9" t="n">
        <v>3957</v>
      </c>
      <c r="B3961" s="9" t="inlineStr">
        <is>
          <t>Ratchet</t>
        </is>
      </c>
      <c r="C3961" s="9" t="inlineStr">
        <is>
          <t>Stochastic scalp with give-back trail exit</t>
        </is>
      </c>
      <c r="D3961" s="9" t="inlineStr">
        <is>
          <t>Long</t>
        </is>
      </c>
      <c r="E3961" s="10" t="n">
        <v>45637.44097222222</v>
      </c>
      <c r="F3961" s="10" t="n">
        <v>45637.44791666666</v>
      </c>
      <c r="G3961" s="11" t="n">
        <v>-3.84</v>
      </c>
      <c r="H3961" s="11">
        <f>H3960+G3961</f>
        <v/>
      </c>
    </row>
    <row r="3962">
      <c r="A3962" s="9" t="n">
        <v>3958</v>
      </c>
      <c r="B3962" s="9" t="inlineStr">
        <is>
          <t>Meridian</t>
        </is>
      </c>
      <c r="C3962" s="9" t="inlineStr">
        <is>
          <t>21/50 MA cross, 250-period confirm filter, VWAP</t>
        </is>
      </c>
      <c r="D3962" s="9" t="inlineStr">
        <is>
          <t>Short</t>
        </is>
      </c>
      <c r="E3962" s="10" t="n">
        <v>45637.46527777778</v>
      </c>
      <c r="F3962" s="10" t="n">
        <v>45637.47916666666</v>
      </c>
      <c r="G3962" s="11" t="n">
        <v>-5.9</v>
      </c>
      <c r="H3962" s="11">
        <f>H3961+G3962</f>
        <v/>
      </c>
    </row>
    <row r="3963">
      <c r="A3963" s="9" t="n">
        <v>3959</v>
      </c>
      <c r="B3963" s="9" t="inlineStr">
        <is>
          <t>Ratchet</t>
        </is>
      </c>
      <c r="C3963" s="9" t="inlineStr">
        <is>
          <t>Stochastic scalp with give-back trail exit</t>
        </is>
      </c>
      <c r="D3963" s="9" t="inlineStr">
        <is>
          <t>Long</t>
        </is>
      </c>
      <c r="E3963" s="10" t="n">
        <v>45637.48958333334</v>
      </c>
      <c r="F3963" s="10" t="n">
        <v>45637.5</v>
      </c>
      <c r="G3963" s="11" t="n">
        <v>0.5600000000000001</v>
      </c>
      <c r="H3963" s="11">
        <f>H3962+G3963</f>
        <v/>
      </c>
    </row>
    <row r="3964">
      <c r="A3964" s="9" t="n">
        <v>3960</v>
      </c>
      <c r="B3964" s="9" t="inlineStr">
        <is>
          <t>Ratchet</t>
        </is>
      </c>
      <c r="C3964" s="9" t="inlineStr">
        <is>
          <t>Stochastic scalp with give-back trail exit</t>
        </is>
      </c>
      <c r="D3964" s="9" t="inlineStr">
        <is>
          <t>Long</t>
        </is>
      </c>
      <c r="E3964" s="10" t="n">
        <v>45637.5625</v>
      </c>
      <c r="F3964" s="10" t="n">
        <v>45637.62847222222</v>
      </c>
      <c r="G3964" s="11" t="n">
        <v>0.3</v>
      </c>
      <c r="H3964" s="11">
        <f>H3963+G3964</f>
        <v/>
      </c>
    </row>
    <row r="3965">
      <c r="A3965" s="9" t="n">
        <v>3961</v>
      </c>
      <c r="B3965" s="9" t="inlineStr">
        <is>
          <t>Aurelius_M5</t>
        </is>
      </c>
      <c r="C3965" s="9" t="inlineStr">
        <is>
          <t>MA alignment (EMA21&gt;EMA50&gt;SMA250&gt;SMMA500 vs EMA2400 trend filter)</t>
        </is>
      </c>
      <c r="D3965" s="9" t="inlineStr">
        <is>
          <t>Long</t>
        </is>
      </c>
      <c r="E3965" s="10" t="n">
        <v>45637.64930555555</v>
      </c>
      <c r="F3965" s="10" t="n">
        <v>45638.04166666666</v>
      </c>
      <c r="G3965" s="11" t="n">
        <v>18.45</v>
      </c>
      <c r="H3965" s="11">
        <f>H3964+G3965</f>
        <v/>
      </c>
    </row>
    <row r="3966">
      <c r="A3966" s="9" t="n">
        <v>3962</v>
      </c>
      <c r="B3966" s="9" t="inlineStr">
        <is>
          <t>Aurelius_M15</t>
        </is>
      </c>
      <c r="C3966" s="9" t="inlineStr">
        <is>
          <t>MA alignment (EMA21&gt;EMA50&gt;SMA250&gt;SMMA500 vs EMA2400 trend filter) - M15 chart</t>
        </is>
      </c>
      <c r="D3966" s="9" t="inlineStr">
        <is>
          <t>Long</t>
        </is>
      </c>
      <c r="E3966" s="10" t="n">
        <v>45637.67708333334</v>
      </c>
      <c r="F3966" s="10" t="n">
        <v>45638.20833333334</v>
      </c>
      <c r="G3966" s="11" t="n">
        <v>3.51</v>
      </c>
      <c r="H3966" s="11">
        <f>H3965+G3966</f>
        <v/>
      </c>
    </row>
    <row r="3967">
      <c r="A3967" s="9" t="n">
        <v>3963</v>
      </c>
      <c r="B3967" s="9" t="inlineStr">
        <is>
          <t>Aurelius_M5</t>
        </is>
      </c>
      <c r="C3967" s="9" t="inlineStr">
        <is>
          <t>MA alignment (EMA21&gt;EMA50&gt;SMA250&gt;SMMA500 vs EMA2400 trend filter)</t>
        </is>
      </c>
      <c r="D3967" s="9" t="inlineStr">
        <is>
          <t>Long</t>
        </is>
      </c>
      <c r="E3967" s="10" t="n">
        <v>45638.31597222222</v>
      </c>
      <c r="F3967" s="10" t="n">
        <v>45638.34027777778</v>
      </c>
      <c r="G3967" s="11" t="n">
        <v>-3.61</v>
      </c>
      <c r="H3967" s="11">
        <f>H3966+G3967</f>
        <v/>
      </c>
    </row>
    <row r="3968">
      <c r="A3968" s="9" t="n">
        <v>3964</v>
      </c>
      <c r="B3968" s="9" t="inlineStr">
        <is>
          <t>Aurelius_M5</t>
        </is>
      </c>
      <c r="C3968" s="9" t="inlineStr">
        <is>
          <t>MA alignment (EMA21&gt;EMA50&gt;SMA250&gt;SMMA500 vs EMA2400 trend filter)</t>
        </is>
      </c>
      <c r="D3968" s="9" t="inlineStr">
        <is>
          <t>Long</t>
        </is>
      </c>
      <c r="E3968" s="10" t="n">
        <v>45638.36458333334</v>
      </c>
      <c r="F3968" s="10" t="n">
        <v>45638.50347222222</v>
      </c>
      <c r="G3968" s="11" t="n">
        <v>-3.98</v>
      </c>
      <c r="H3968" s="11">
        <f>H3967+G3968</f>
        <v/>
      </c>
    </row>
    <row r="3969">
      <c r="A3969" s="9" t="n">
        <v>3965</v>
      </c>
      <c r="B3969" s="9" t="inlineStr">
        <is>
          <t>Meridian</t>
        </is>
      </c>
      <c r="C3969" s="9" t="inlineStr">
        <is>
          <t>21/50 MA cross, 250-period confirm filter, VWAP</t>
        </is>
      </c>
      <c r="D3969" s="9" t="inlineStr">
        <is>
          <t>Short</t>
        </is>
      </c>
      <c r="E3969" s="10" t="n">
        <v>45638.50694444445</v>
      </c>
      <c r="F3969" s="10" t="n">
        <v>45638.52430555555</v>
      </c>
      <c r="G3969" s="11" t="n">
        <v>-4.78</v>
      </c>
      <c r="H3969" s="11">
        <f>H3968+G3969</f>
        <v/>
      </c>
    </row>
    <row r="3970">
      <c r="A3970" s="9" t="n">
        <v>3966</v>
      </c>
      <c r="B3970" s="9" t="inlineStr">
        <is>
          <t>Vanguard_M15</t>
        </is>
      </c>
      <c r="C3970" s="9" t="inlineStr">
        <is>
          <t>Trendline breakout (fractal swing line) + VWAP/S-R distance gate - M15 chart</t>
        </is>
      </c>
      <c r="D3970" s="9" t="inlineStr">
        <is>
          <t>Long</t>
        </is>
      </c>
      <c r="E3970" s="10" t="n">
        <v>45635.13541666666</v>
      </c>
      <c r="F3970" s="10" t="n">
        <v>45638.54166666666</v>
      </c>
      <c r="G3970" s="11" t="n">
        <v>64.73999999999999</v>
      </c>
      <c r="H3970" s="11">
        <f>H3969+G3970</f>
        <v/>
      </c>
    </row>
    <row r="3971">
      <c r="A3971" s="9" t="n">
        <v>3967</v>
      </c>
      <c r="B3971" s="9" t="inlineStr">
        <is>
          <t>Vanguard_M5</t>
        </is>
      </c>
      <c r="C3971" s="9" t="inlineStr">
        <is>
          <t>Trendline breakout (fractal swing line) + VWAP/S-R distance gate</t>
        </is>
      </c>
      <c r="D3971" s="9" t="inlineStr">
        <is>
          <t>Long</t>
        </is>
      </c>
      <c r="E3971" s="10" t="n">
        <v>45635.13541666666</v>
      </c>
      <c r="F3971" s="10" t="n">
        <v>45638.54166666666</v>
      </c>
      <c r="G3971" s="11" t="n">
        <v>67.26000000000001</v>
      </c>
      <c r="H3971" s="11">
        <f>H3970+G3971</f>
        <v/>
      </c>
    </row>
    <row r="3972">
      <c r="A3972" s="9" t="n">
        <v>3968</v>
      </c>
      <c r="B3972" s="9" t="inlineStr">
        <is>
          <t>Aurelius_M15</t>
        </is>
      </c>
      <c r="C3972" s="9" t="inlineStr">
        <is>
          <t>MA alignment (EMA21&gt;EMA50&gt;SMA250&gt;SMMA500 vs EMA2400 trend filter) - M15 chart</t>
        </is>
      </c>
      <c r="D3972" s="9" t="inlineStr">
        <is>
          <t>Long</t>
        </is>
      </c>
      <c r="E3972" s="10" t="n">
        <v>45638.42708333334</v>
      </c>
      <c r="F3972" s="10" t="n">
        <v>45638.54166666666</v>
      </c>
      <c r="G3972" s="11" t="n">
        <v>-7.25</v>
      </c>
      <c r="H3972" s="11">
        <f>H3971+G3972</f>
        <v/>
      </c>
    </row>
    <row r="3973">
      <c r="A3973" s="9" t="n">
        <v>3969</v>
      </c>
      <c r="B3973" s="9" t="inlineStr">
        <is>
          <t>Meridian</t>
        </is>
      </c>
      <c r="C3973" s="9" t="inlineStr">
        <is>
          <t>21/50 MA cross, 250-period confirm filter, VWAP</t>
        </is>
      </c>
      <c r="D3973" s="9" t="inlineStr">
        <is>
          <t>Short</t>
        </is>
      </c>
      <c r="E3973" s="10" t="n">
        <v>45639.39583333334</v>
      </c>
      <c r="F3973" s="10" t="n">
        <v>45639.91666666666</v>
      </c>
      <c r="G3973" s="11" t="n">
        <v>29.6</v>
      </c>
      <c r="H3973" s="11">
        <f>H3972+G3973</f>
        <v/>
      </c>
    </row>
    <row r="3974">
      <c r="A3974" s="9" t="n">
        <v>3970</v>
      </c>
      <c r="B3974" s="9" t="inlineStr">
        <is>
          <t>Aurelius_M5</t>
        </is>
      </c>
      <c r="C3974" s="9" t="inlineStr">
        <is>
          <t>MA alignment (EMA21&gt;EMA50&gt;SMA250&gt;SMMA500 vs EMA2400 trend filter)</t>
        </is>
      </c>
      <c r="D3974" s="9" t="inlineStr">
        <is>
          <t>Short</t>
        </is>
      </c>
      <c r="E3974" s="10" t="n">
        <v>45639.63888888889</v>
      </c>
      <c r="F3974" s="10" t="n">
        <v>45639.92013888889</v>
      </c>
      <c r="G3974" s="11" t="n">
        <v>17.09</v>
      </c>
      <c r="H3974" s="11">
        <f>H3973+G3974</f>
        <v/>
      </c>
    </row>
    <row r="3975">
      <c r="A3975" s="9" t="n">
        <v>3971</v>
      </c>
      <c r="B3975" s="9" t="inlineStr">
        <is>
          <t>Aurelius_M5</t>
        </is>
      </c>
      <c r="C3975" s="9" t="inlineStr">
        <is>
          <t>MA alignment (EMA21&gt;EMA50&gt;SMA250&gt;SMMA500 vs EMA2400 trend filter)</t>
        </is>
      </c>
      <c r="D3975" s="9" t="inlineStr">
        <is>
          <t>Short</t>
        </is>
      </c>
      <c r="E3975" s="10" t="n">
        <v>45642.12847222222</v>
      </c>
      <c r="F3975" s="10" t="n">
        <v>45642.14236111111</v>
      </c>
      <c r="G3975" s="11" t="n">
        <v>-4.57</v>
      </c>
      <c r="H3975" s="11">
        <f>H3974+G3975</f>
        <v/>
      </c>
    </row>
    <row r="3976">
      <c r="A3976" s="9" t="n">
        <v>3972</v>
      </c>
      <c r="B3976" s="9" t="inlineStr">
        <is>
          <t>Ratchet</t>
        </is>
      </c>
      <c r="C3976" s="9" t="inlineStr">
        <is>
          <t>Stochastic scalp with give-back trail exit</t>
        </is>
      </c>
      <c r="D3976" s="9" t="inlineStr">
        <is>
          <t>Short</t>
        </is>
      </c>
      <c r="E3976" s="10" t="n">
        <v>45642.31597222222</v>
      </c>
      <c r="F3976" s="10" t="n">
        <v>45642.31597222222</v>
      </c>
      <c r="G3976" s="11" t="n">
        <v>-2.24</v>
      </c>
      <c r="H3976" s="11">
        <f>H3975+G3976</f>
        <v/>
      </c>
    </row>
    <row r="3977">
      <c r="A3977" s="9" t="n">
        <v>3973</v>
      </c>
      <c r="B3977" s="9" t="inlineStr">
        <is>
          <t>Vanguard_M5</t>
        </is>
      </c>
      <c r="C3977" s="9" t="inlineStr">
        <is>
          <t>Trendline breakout (fractal swing line) + VWAP/S-R distance gate</t>
        </is>
      </c>
      <c r="D3977" s="9" t="inlineStr">
        <is>
          <t>Short</t>
        </is>
      </c>
      <c r="E3977" s="10" t="n">
        <v>45638.54513888889</v>
      </c>
      <c r="F3977" s="10" t="n">
        <v>45642.33333333334</v>
      </c>
      <c r="G3977" s="11" t="n">
        <v>56.35</v>
      </c>
      <c r="H3977" s="11">
        <f>H3976+G3977</f>
        <v/>
      </c>
    </row>
    <row r="3978">
      <c r="A3978" s="9" t="n">
        <v>3974</v>
      </c>
      <c r="B3978" s="9" t="inlineStr">
        <is>
          <t>Meridian</t>
        </is>
      </c>
      <c r="C3978" s="9" t="inlineStr">
        <is>
          <t>21/50 MA cross, 250-period confirm filter, VWAP</t>
        </is>
      </c>
      <c r="D3978" s="9" t="inlineStr">
        <is>
          <t>Short</t>
        </is>
      </c>
      <c r="E3978" s="10" t="n">
        <v>45642.3125</v>
      </c>
      <c r="F3978" s="10" t="n">
        <v>45642.33333333334</v>
      </c>
      <c r="G3978" s="11" t="n">
        <v>-3.25</v>
      </c>
      <c r="H3978" s="11">
        <f>H3977+G3978</f>
        <v/>
      </c>
    </row>
    <row r="3979">
      <c r="A3979" s="9" t="n">
        <v>3975</v>
      </c>
      <c r="B3979" s="9" t="inlineStr">
        <is>
          <t>Vanguard_M15</t>
        </is>
      </c>
      <c r="C3979" s="9" t="inlineStr">
        <is>
          <t>Trendline breakout (fractal swing line) + VWAP/S-R distance gate - M15 chart</t>
        </is>
      </c>
      <c r="D3979" s="9" t="inlineStr">
        <is>
          <t>Short</t>
        </is>
      </c>
      <c r="E3979" s="10" t="n">
        <v>45638.55208333334</v>
      </c>
      <c r="F3979" s="10" t="n">
        <v>45642.34375</v>
      </c>
      <c r="G3979" s="11" t="n">
        <v>53.04</v>
      </c>
      <c r="H3979" s="11">
        <f>H3978+G3979</f>
        <v/>
      </c>
    </row>
    <row r="3980">
      <c r="A3980" s="9" t="n">
        <v>3976</v>
      </c>
      <c r="B3980" s="9" t="inlineStr">
        <is>
          <t>Vanguard_M5</t>
        </is>
      </c>
      <c r="C3980" s="9" t="inlineStr">
        <is>
          <t>Trendline breakout (fractal swing line) + VWAP/S-R distance gate</t>
        </is>
      </c>
      <c r="D3980" s="9" t="inlineStr">
        <is>
          <t>Long</t>
        </is>
      </c>
      <c r="E3980" s="10" t="n">
        <v>45642.33680555555</v>
      </c>
      <c r="F3980" s="10" t="n">
        <v>45642.77430555555</v>
      </c>
      <c r="G3980" s="11" t="n">
        <v>-5.29</v>
      </c>
      <c r="H3980" s="11">
        <f>H3979+G3980</f>
        <v/>
      </c>
    </row>
    <row r="3981">
      <c r="A3981" s="9" t="n">
        <v>3977</v>
      </c>
      <c r="B3981" s="9" t="inlineStr">
        <is>
          <t>Ratchet</t>
        </is>
      </c>
      <c r="C3981" s="9" t="inlineStr">
        <is>
          <t>Stochastic scalp with give-back trail exit</t>
        </is>
      </c>
      <c r="D3981" s="9" t="inlineStr">
        <is>
          <t>Short</t>
        </is>
      </c>
      <c r="E3981" s="10" t="n">
        <v>45642.75347222222</v>
      </c>
      <c r="F3981" s="10" t="n">
        <v>45642.78472222222</v>
      </c>
      <c r="G3981" s="11" t="n">
        <v>1.17</v>
      </c>
      <c r="H3981" s="11">
        <f>H3980+G3981</f>
        <v/>
      </c>
    </row>
    <row r="3982">
      <c r="A3982" s="9" t="n">
        <v>3978</v>
      </c>
      <c r="B3982" s="9" t="inlineStr">
        <is>
          <t>Ratchet</t>
        </is>
      </c>
      <c r="C3982" s="9" t="inlineStr">
        <is>
          <t>Stochastic scalp with give-back trail exit</t>
        </is>
      </c>
      <c r="D3982" s="9" t="inlineStr">
        <is>
          <t>Short</t>
        </is>
      </c>
      <c r="E3982" s="10" t="n">
        <v>45642.92708333334</v>
      </c>
      <c r="F3982" s="10" t="n">
        <v>45642.96527777778</v>
      </c>
      <c r="G3982" s="11" t="n">
        <v>0.15</v>
      </c>
      <c r="H3982" s="11">
        <f>H3981+G3982</f>
        <v/>
      </c>
    </row>
    <row r="3983">
      <c r="A3983" s="9" t="n">
        <v>3979</v>
      </c>
      <c r="B3983" s="9" t="inlineStr">
        <is>
          <t>Ratchet</t>
        </is>
      </c>
      <c r="C3983" s="9" t="inlineStr">
        <is>
          <t>Stochastic scalp with give-back trail exit</t>
        </is>
      </c>
      <c r="D3983" s="9" t="inlineStr">
        <is>
          <t>Short</t>
        </is>
      </c>
      <c r="E3983" s="10" t="n">
        <v>45642.96875</v>
      </c>
      <c r="F3983" s="10" t="n">
        <v>45642.98263888889</v>
      </c>
      <c r="G3983" s="11" t="n">
        <v>-1.38</v>
      </c>
      <c r="H3983" s="11">
        <f>H3982+G3983</f>
        <v/>
      </c>
    </row>
    <row r="3984">
      <c r="A3984" s="9" t="n">
        <v>3980</v>
      </c>
      <c r="B3984" s="9" t="inlineStr">
        <is>
          <t>Ratchet</t>
        </is>
      </c>
      <c r="C3984" s="9" t="inlineStr">
        <is>
          <t>Stochastic scalp with give-back trail exit</t>
        </is>
      </c>
      <c r="D3984" s="9" t="inlineStr">
        <is>
          <t>Short</t>
        </is>
      </c>
      <c r="E3984" s="10" t="n">
        <v>45643.04861111111</v>
      </c>
      <c r="F3984" s="10" t="n">
        <v>45643.08333333334</v>
      </c>
      <c r="G3984" s="11" t="n">
        <v>-1.27</v>
      </c>
      <c r="H3984" s="11">
        <f>H3983+G3984</f>
        <v/>
      </c>
    </row>
    <row r="3985">
      <c r="A3985" s="9" t="n">
        <v>3981</v>
      </c>
      <c r="B3985" s="9" t="inlineStr">
        <is>
          <t>Vanguard_M15</t>
        </is>
      </c>
      <c r="C3985" s="9" t="inlineStr">
        <is>
          <t>Trendline breakout (fractal swing line) + VWAP/S-R distance gate - M15 chart</t>
        </is>
      </c>
      <c r="D3985" s="9" t="inlineStr">
        <is>
          <t>Long</t>
        </is>
      </c>
      <c r="E3985" s="10" t="n">
        <v>45642.35416666666</v>
      </c>
      <c r="F3985" s="10" t="n">
        <v>45643.20833333334</v>
      </c>
      <c r="G3985" s="11" t="n">
        <v>-2.19</v>
      </c>
      <c r="H3985" s="11">
        <f>H3984+G3985</f>
        <v/>
      </c>
    </row>
    <row r="3986">
      <c r="A3986" s="9" t="n">
        <v>3982</v>
      </c>
      <c r="B3986" s="9" t="inlineStr">
        <is>
          <t>Vanguard_M5</t>
        </is>
      </c>
      <c r="C3986" s="9" t="inlineStr">
        <is>
          <t>Trendline breakout (fractal swing line) + VWAP/S-R distance gate</t>
        </is>
      </c>
      <c r="D3986" s="9" t="inlineStr">
        <is>
          <t>Long</t>
        </is>
      </c>
      <c r="E3986" s="10" t="n">
        <v>45643.125</v>
      </c>
      <c r="F3986" s="10" t="n">
        <v>45643.21527777778</v>
      </c>
      <c r="G3986" s="11" t="n">
        <v>-3.68</v>
      </c>
      <c r="H3986" s="11">
        <f>H3985+G3986</f>
        <v/>
      </c>
    </row>
    <row r="3987">
      <c r="A3987" s="9" t="n">
        <v>3983</v>
      </c>
      <c r="B3987" s="9" t="inlineStr">
        <is>
          <t>Meridian</t>
        </is>
      </c>
      <c r="C3987" s="9" t="inlineStr">
        <is>
          <t>21/50 MA cross, 250-period confirm filter, VWAP</t>
        </is>
      </c>
      <c r="D3987" s="9" t="inlineStr">
        <is>
          <t>Long</t>
        </is>
      </c>
      <c r="E3987" s="10" t="n">
        <v>45643.12847222222</v>
      </c>
      <c r="F3987" s="10" t="n">
        <v>45643.21527777778</v>
      </c>
      <c r="G3987" s="11" t="n">
        <v>-2.48</v>
      </c>
      <c r="H3987" s="11">
        <f>H3986+G3987</f>
        <v/>
      </c>
    </row>
    <row r="3988">
      <c r="A3988" s="9" t="n">
        <v>3984</v>
      </c>
      <c r="B3988" s="9" t="inlineStr">
        <is>
          <t>Vanguard_M5</t>
        </is>
      </c>
      <c r="C3988" s="9" t="inlineStr">
        <is>
          <t>Trendline breakout (fractal swing line) + VWAP/S-R distance gate</t>
        </is>
      </c>
      <c r="D3988" s="9" t="inlineStr">
        <is>
          <t>Short</t>
        </is>
      </c>
      <c r="E3988" s="10" t="n">
        <v>45643.28472222222</v>
      </c>
      <c r="F3988" s="10" t="n">
        <v>45643.29861111111</v>
      </c>
      <c r="G3988" s="11" t="n">
        <v>0.6899999999999999</v>
      </c>
      <c r="H3988" s="11">
        <f>H3987+G3988</f>
        <v/>
      </c>
    </row>
    <row r="3989">
      <c r="A3989" s="9" t="n">
        <v>3985</v>
      </c>
      <c r="B3989" s="9" t="inlineStr">
        <is>
          <t>Aurelius_M5</t>
        </is>
      </c>
      <c r="C3989" s="9" t="inlineStr">
        <is>
          <t>MA alignment (EMA21&gt;EMA50&gt;SMA250&gt;SMMA500 vs EMA2400 trend filter)</t>
        </is>
      </c>
      <c r="D3989" s="9" t="inlineStr">
        <is>
          <t>Short</t>
        </is>
      </c>
      <c r="E3989" s="10" t="n">
        <v>45643.28472222222</v>
      </c>
      <c r="F3989" s="10" t="n">
        <v>45643.31944444445</v>
      </c>
      <c r="G3989" s="11" t="n">
        <v>-2.78</v>
      </c>
      <c r="H3989" s="11">
        <f>H3988+G3989</f>
        <v/>
      </c>
    </row>
    <row r="3990">
      <c r="A3990" s="9" t="n">
        <v>3986</v>
      </c>
      <c r="B3990" s="9" t="inlineStr">
        <is>
          <t>Vanguard_M5</t>
        </is>
      </c>
      <c r="C3990" s="9" t="inlineStr">
        <is>
          <t>Trendline breakout (fractal swing line) + VWAP/S-R distance gate</t>
        </is>
      </c>
      <c r="D3990" s="9" t="inlineStr">
        <is>
          <t>Short</t>
        </is>
      </c>
      <c r="E3990" s="10" t="n">
        <v>45643.34375</v>
      </c>
      <c r="F3990" s="10" t="n">
        <v>45643.35763888889</v>
      </c>
      <c r="G3990" s="11" t="n">
        <v>1.34</v>
      </c>
      <c r="H3990" s="11">
        <f>H3989+G3990</f>
        <v/>
      </c>
    </row>
    <row r="3991">
      <c r="A3991" s="9" t="n">
        <v>3987</v>
      </c>
      <c r="B3991" s="9" t="inlineStr">
        <is>
          <t>Ratchet</t>
        </is>
      </c>
      <c r="C3991" s="9" t="inlineStr">
        <is>
          <t>Stochastic scalp with give-back trail exit</t>
        </is>
      </c>
      <c r="D3991" s="9" t="inlineStr">
        <is>
          <t>Short</t>
        </is>
      </c>
      <c r="E3991" s="10" t="n">
        <v>45643.34722222222</v>
      </c>
      <c r="F3991" s="10" t="n">
        <v>45643.36111111111</v>
      </c>
      <c r="G3991" s="11" t="n">
        <v>0.88</v>
      </c>
      <c r="H3991" s="11">
        <f>H3990+G3991</f>
        <v/>
      </c>
    </row>
    <row r="3992">
      <c r="A3992" s="9" t="n">
        <v>3988</v>
      </c>
      <c r="B3992" s="9" t="inlineStr">
        <is>
          <t>Vanguard_M15</t>
        </is>
      </c>
      <c r="C3992" s="9" t="inlineStr">
        <is>
          <t>Trendline breakout (fractal swing line) + VWAP/S-R distance gate - M15 chart</t>
        </is>
      </c>
      <c r="D3992" s="9" t="inlineStr">
        <is>
          <t>Short</t>
        </is>
      </c>
      <c r="E3992" s="10" t="n">
        <v>45643.29166666666</v>
      </c>
      <c r="F3992" s="10" t="n">
        <v>45643.375</v>
      </c>
      <c r="G3992" s="11" t="n">
        <v>-0.64</v>
      </c>
      <c r="H3992" s="11">
        <f>H3991+G3992</f>
        <v/>
      </c>
    </row>
    <row r="3993">
      <c r="A3993" s="9" t="n">
        <v>3989</v>
      </c>
      <c r="B3993" s="9" t="inlineStr">
        <is>
          <t>Aurelius_M15</t>
        </is>
      </c>
      <c r="C3993" s="9" t="inlineStr">
        <is>
          <t>MA alignment (EMA21&gt;EMA50&gt;SMA250&gt;SMMA500 vs EMA2400 trend filter) - M15 chart</t>
        </is>
      </c>
      <c r="D3993" s="9" t="inlineStr">
        <is>
          <t>Short</t>
        </is>
      </c>
      <c r="E3993" s="10" t="n">
        <v>45643.375</v>
      </c>
      <c r="F3993" s="10" t="n">
        <v>45643.38541666666</v>
      </c>
      <c r="G3993" s="11" t="n">
        <v>-6.32</v>
      </c>
      <c r="H3993" s="11">
        <f>H3992+G3993</f>
        <v/>
      </c>
    </row>
    <row r="3994">
      <c r="A3994" s="9" t="n">
        <v>3990</v>
      </c>
      <c r="B3994" s="9" t="inlineStr">
        <is>
          <t>Meridian</t>
        </is>
      </c>
      <c r="C3994" s="9" t="inlineStr">
        <is>
          <t>21/50 MA cross, 250-period confirm filter, VWAP</t>
        </is>
      </c>
      <c r="D3994" s="9" t="inlineStr">
        <is>
          <t>Short</t>
        </is>
      </c>
      <c r="E3994" s="10" t="n">
        <v>45643.25</v>
      </c>
      <c r="F3994" s="10" t="n">
        <v>45643.39930555555</v>
      </c>
      <c r="G3994" s="11" t="n">
        <v>-2.96</v>
      </c>
      <c r="H3994" s="11">
        <f>H3993+G3994</f>
        <v/>
      </c>
    </row>
    <row r="3995">
      <c r="A3995" s="9" t="n">
        <v>3991</v>
      </c>
      <c r="B3995" s="9" t="inlineStr">
        <is>
          <t>Aurelius_M5</t>
        </is>
      </c>
      <c r="C3995" s="9" t="inlineStr">
        <is>
          <t>MA alignment (EMA21&gt;EMA50&gt;SMA250&gt;SMMA500 vs EMA2400 trend filter)</t>
        </is>
      </c>
      <c r="D3995" s="9" t="inlineStr">
        <is>
          <t>Short</t>
        </is>
      </c>
      <c r="E3995" s="10" t="n">
        <v>45643.34027777778</v>
      </c>
      <c r="F3995" s="10" t="n">
        <v>45643.39930555555</v>
      </c>
      <c r="G3995" s="11" t="n">
        <v>-3.65</v>
      </c>
      <c r="H3995" s="11">
        <f>H3994+G3995</f>
        <v/>
      </c>
    </row>
    <row r="3996">
      <c r="A3996" s="9" t="n">
        <v>3992</v>
      </c>
      <c r="B3996" s="9" t="inlineStr">
        <is>
          <t>Ratchet</t>
        </is>
      </c>
      <c r="C3996" s="9" t="inlineStr">
        <is>
          <t>Stochastic scalp with give-back trail exit</t>
        </is>
      </c>
      <c r="D3996" s="9" t="inlineStr">
        <is>
          <t>Short</t>
        </is>
      </c>
      <c r="E3996" s="10" t="n">
        <v>45643.43055555555</v>
      </c>
      <c r="F3996" s="10" t="n">
        <v>45643.43402777778</v>
      </c>
      <c r="G3996" s="11" t="n">
        <v>0.33</v>
      </c>
      <c r="H3996" s="11">
        <f>H3995+G3996</f>
        <v/>
      </c>
    </row>
    <row r="3997">
      <c r="A3997" s="9" t="n">
        <v>3993</v>
      </c>
      <c r="B3997" s="9" t="inlineStr">
        <is>
          <t>Vanguard_M15</t>
        </is>
      </c>
      <c r="C3997" s="9" t="inlineStr">
        <is>
          <t>Trendline breakout (fractal swing line) + VWAP/S-R distance gate - M15 chart</t>
        </is>
      </c>
      <c r="D3997" s="9" t="inlineStr">
        <is>
          <t>Short</t>
        </is>
      </c>
      <c r="E3997" s="10" t="n">
        <v>45643.42708333334</v>
      </c>
      <c r="F3997" s="10" t="n">
        <v>45643.4375</v>
      </c>
      <c r="G3997" s="11" t="n">
        <v>1.94</v>
      </c>
      <c r="H3997" s="11">
        <f>H3996+G3997</f>
        <v/>
      </c>
    </row>
    <row r="3998">
      <c r="A3998" s="9" t="n">
        <v>3994</v>
      </c>
      <c r="B3998" s="9" t="inlineStr">
        <is>
          <t>Vanguard_M5</t>
        </is>
      </c>
      <c r="C3998" s="9" t="inlineStr">
        <is>
          <t>Trendline breakout (fractal swing line) + VWAP/S-R distance gate</t>
        </is>
      </c>
      <c r="D3998" s="9" t="inlineStr">
        <is>
          <t>Short</t>
        </is>
      </c>
      <c r="E3998" s="10" t="n">
        <v>45643.42013888889</v>
      </c>
      <c r="F3998" s="10" t="n">
        <v>45643.44444444445</v>
      </c>
      <c r="G3998" s="11" t="n">
        <v>4.53</v>
      </c>
      <c r="H3998" s="11">
        <f>H3997+G3998</f>
        <v/>
      </c>
    </row>
    <row r="3999">
      <c r="A3999" s="9" t="n">
        <v>3995</v>
      </c>
      <c r="B3999" s="9" t="inlineStr">
        <is>
          <t>Ratchet</t>
        </is>
      </c>
      <c r="C3999" s="9" t="inlineStr">
        <is>
          <t>Stochastic scalp with give-back trail exit</t>
        </is>
      </c>
      <c r="D3999" s="9" t="inlineStr">
        <is>
          <t>Short</t>
        </is>
      </c>
      <c r="E3999" s="10" t="n">
        <v>45643.44097222222</v>
      </c>
      <c r="F3999" s="10" t="n">
        <v>45643.44444444445</v>
      </c>
      <c r="G3999" s="11" t="n">
        <v>-0</v>
      </c>
      <c r="H3999" s="11">
        <f>H3998+G3999</f>
        <v/>
      </c>
    </row>
    <row r="4000">
      <c r="A4000" s="9" t="n">
        <v>3996</v>
      </c>
      <c r="B4000" s="9" t="inlineStr">
        <is>
          <t>Ratchet</t>
        </is>
      </c>
      <c r="C4000" s="9" t="inlineStr">
        <is>
          <t>Stochastic scalp with give-back trail exit</t>
        </is>
      </c>
      <c r="D4000" s="9" t="inlineStr">
        <is>
          <t>Short</t>
        </is>
      </c>
      <c r="E4000" s="10" t="n">
        <v>45643.45138888889</v>
      </c>
      <c r="F4000" s="10" t="n">
        <v>45643.61111111111</v>
      </c>
      <c r="G4000" s="11" t="n">
        <v>3.16</v>
      </c>
      <c r="H4000" s="11">
        <f>H3999+G4000</f>
        <v/>
      </c>
    </row>
    <row r="4001">
      <c r="A4001" s="9" t="n">
        <v>3997</v>
      </c>
      <c r="B4001" s="9" t="inlineStr">
        <is>
          <t>Ratchet</t>
        </is>
      </c>
      <c r="C4001" s="9" t="inlineStr">
        <is>
          <t>Stochastic scalp with give-back trail exit</t>
        </is>
      </c>
      <c r="D4001" s="9" t="inlineStr">
        <is>
          <t>Short</t>
        </is>
      </c>
      <c r="E4001" s="10" t="n">
        <v>45643.64930555555</v>
      </c>
      <c r="F4001" s="10" t="n">
        <v>45643.65277777778</v>
      </c>
      <c r="G4001" s="11" t="n">
        <v>-3.71</v>
      </c>
      <c r="H4001" s="11">
        <f>H4000+G4001</f>
        <v/>
      </c>
    </row>
    <row r="4002">
      <c r="A4002" s="9" t="n">
        <v>3998</v>
      </c>
      <c r="B4002" s="9" t="inlineStr">
        <is>
          <t>Ratchet</t>
        </is>
      </c>
      <c r="C4002" s="9" t="inlineStr">
        <is>
          <t>Stochastic scalp with give-back trail exit</t>
        </is>
      </c>
      <c r="D4002" s="9" t="inlineStr">
        <is>
          <t>Short</t>
        </is>
      </c>
      <c r="E4002" s="10" t="n">
        <v>45643.71180555555</v>
      </c>
      <c r="F4002" s="10" t="n">
        <v>45643.71875</v>
      </c>
      <c r="G4002" s="11" t="n">
        <v>-5.01</v>
      </c>
      <c r="H4002" s="11">
        <f>H4001+G4002</f>
        <v/>
      </c>
    </row>
    <row r="4003">
      <c r="A4003" s="9" t="n">
        <v>3999</v>
      </c>
      <c r="B4003" s="9" t="inlineStr">
        <is>
          <t>Meridian</t>
        </is>
      </c>
      <c r="C4003" s="9" t="inlineStr">
        <is>
          <t>21/50 MA cross, 250-period confirm filter, VWAP</t>
        </is>
      </c>
      <c r="D4003" s="9" t="inlineStr">
        <is>
          <t>Short</t>
        </is>
      </c>
      <c r="E4003" s="10" t="n">
        <v>45643.43055555555</v>
      </c>
      <c r="F4003" s="10" t="n">
        <v>45643.81597222222</v>
      </c>
      <c r="G4003" s="11" t="n">
        <v>7.2</v>
      </c>
      <c r="H4003" s="11">
        <f>H4002+G4003</f>
        <v/>
      </c>
    </row>
    <row r="4004">
      <c r="A4004" s="9" t="n">
        <v>4000</v>
      </c>
      <c r="B4004" s="9" t="inlineStr">
        <is>
          <t>Aurelius_M5</t>
        </is>
      </c>
      <c r="C4004" s="9" t="inlineStr">
        <is>
          <t>MA alignment (EMA21&gt;EMA50&gt;SMA250&gt;SMMA500 vs EMA2400 trend filter)</t>
        </is>
      </c>
      <c r="D4004" s="9" t="inlineStr">
        <is>
          <t>Short</t>
        </is>
      </c>
      <c r="E4004" s="10" t="n">
        <v>45643.68055555555</v>
      </c>
      <c r="F4004" s="10" t="n">
        <v>45643.81597222222</v>
      </c>
      <c r="G4004" s="11" t="n">
        <v>-6.25</v>
      </c>
      <c r="H4004" s="11">
        <f>H4003+G4004</f>
        <v/>
      </c>
    </row>
    <row r="4005">
      <c r="A4005" s="9" t="n">
        <v>4001</v>
      </c>
      <c r="B4005" s="9" t="inlineStr">
        <is>
          <t>Meridian</t>
        </is>
      </c>
      <c r="C4005" s="9" t="inlineStr">
        <is>
          <t>21/50 MA cross, 250-period confirm filter, VWAP</t>
        </is>
      </c>
      <c r="D4005" s="9" t="inlineStr">
        <is>
          <t>Long</t>
        </is>
      </c>
      <c r="E4005" s="10" t="n">
        <v>45644.32986111111</v>
      </c>
      <c r="F4005" s="10" t="n">
        <v>45644.34375</v>
      </c>
      <c r="G4005" s="11" t="n">
        <v>-3.04</v>
      </c>
      <c r="H4005" s="11">
        <f>H4004+G4005</f>
        <v/>
      </c>
    </row>
    <row r="4006">
      <c r="A4006" s="9" t="n">
        <v>4002</v>
      </c>
      <c r="B4006" s="9" t="inlineStr">
        <is>
          <t>Ratchet</t>
        </is>
      </c>
      <c r="C4006" s="9" t="inlineStr">
        <is>
          <t>Stochastic scalp with give-back trail exit</t>
        </is>
      </c>
      <c r="D4006" s="9" t="inlineStr">
        <is>
          <t>Short</t>
        </is>
      </c>
      <c r="E4006" s="10" t="n">
        <v>45644.41319444445</v>
      </c>
      <c r="F4006" s="10" t="n">
        <v>45644.42708333334</v>
      </c>
      <c r="G4006" s="11" t="n">
        <v>0.33</v>
      </c>
      <c r="H4006" s="11">
        <f>H4005+G4006</f>
        <v/>
      </c>
    </row>
    <row r="4007">
      <c r="A4007" s="9" t="n">
        <v>4003</v>
      </c>
      <c r="B4007" s="9" t="inlineStr">
        <is>
          <t>Ratchet</t>
        </is>
      </c>
      <c r="C4007" s="9" t="inlineStr">
        <is>
          <t>Stochastic scalp with give-back trail exit</t>
        </is>
      </c>
      <c r="D4007" s="9" t="inlineStr">
        <is>
          <t>Short</t>
        </is>
      </c>
      <c r="E4007" s="10" t="n">
        <v>45644.43402777778</v>
      </c>
      <c r="F4007" s="10" t="n">
        <v>45644.4375</v>
      </c>
      <c r="G4007" s="11" t="n">
        <v>-3.06</v>
      </c>
      <c r="H4007" s="11">
        <f>H4006+G4007</f>
        <v/>
      </c>
    </row>
    <row r="4008">
      <c r="A4008" s="9" t="n">
        <v>4004</v>
      </c>
      <c r="B4008" s="9" t="inlineStr">
        <is>
          <t>Meridian</t>
        </is>
      </c>
      <c r="C4008" s="9" t="inlineStr">
        <is>
          <t>21/50 MA cross, 250-period confirm filter, VWAP</t>
        </is>
      </c>
      <c r="D4008" s="9" t="inlineStr">
        <is>
          <t>Long</t>
        </is>
      </c>
      <c r="E4008" s="10" t="n">
        <v>45644.45833333334</v>
      </c>
      <c r="F4008" s="10" t="n">
        <v>45644.58680555555</v>
      </c>
      <c r="G4008" s="11" t="n">
        <v>-3.11</v>
      </c>
      <c r="H4008" s="11">
        <f>H4007+G4008</f>
        <v/>
      </c>
    </row>
    <row r="4009">
      <c r="A4009" s="9" t="n">
        <v>4005</v>
      </c>
      <c r="B4009" s="9" t="inlineStr">
        <is>
          <t>Vanguard_M5</t>
        </is>
      </c>
      <c r="C4009" s="9" t="inlineStr">
        <is>
          <t>Trendline breakout (fractal swing line) + VWAP/S-R distance gate</t>
        </is>
      </c>
      <c r="D4009" s="9" t="inlineStr">
        <is>
          <t>Long</t>
        </is>
      </c>
      <c r="E4009" s="10" t="n">
        <v>45644.53819444445</v>
      </c>
      <c r="F4009" s="10" t="n">
        <v>45644.62152777778</v>
      </c>
      <c r="G4009" s="11" t="n">
        <v>-5.18</v>
      </c>
      <c r="H4009" s="11">
        <f>H4008+G4009</f>
        <v/>
      </c>
    </row>
    <row r="4010">
      <c r="A4010" s="9" t="n">
        <v>4006</v>
      </c>
      <c r="B4010" s="9" t="inlineStr">
        <is>
          <t>Vanguard_M15</t>
        </is>
      </c>
      <c r="C4010" s="9" t="inlineStr">
        <is>
          <t>Trendline breakout (fractal swing line) + VWAP/S-R distance gate - M15 chart</t>
        </is>
      </c>
      <c r="D4010" s="9" t="inlineStr">
        <is>
          <t>Long</t>
        </is>
      </c>
      <c r="E4010" s="10" t="n">
        <v>45644.55208333334</v>
      </c>
      <c r="F4010" s="10" t="n">
        <v>45644.625</v>
      </c>
      <c r="G4010" s="11" t="n">
        <v>-6.59</v>
      </c>
      <c r="H4010" s="11">
        <f>H4009+G4010</f>
        <v/>
      </c>
    </row>
    <row r="4011">
      <c r="A4011" s="9" t="n">
        <v>4007</v>
      </c>
      <c r="B4011" s="9" t="inlineStr">
        <is>
          <t>Ratchet</t>
        </is>
      </c>
      <c r="C4011" s="9" t="inlineStr">
        <is>
          <t>Stochastic scalp with give-back trail exit</t>
        </is>
      </c>
      <c r="D4011" s="9" t="inlineStr">
        <is>
          <t>Short</t>
        </is>
      </c>
      <c r="E4011" s="10" t="n">
        <v>45644.67013888889</v>
      </c>
      <c r="F4011" s="10" t="n">
        <v>45644.92361111111</v>
      </c>
      <c r="G4011" s="11" t="n">
        <v>37.74</v>
      </c>
      <c r="H4011" s="11">
        <f>H4010+G4011</f>
        <v/>
      </c>
    </row>
    <row r="4012">
      <c r="A4012" s="9" t="n">
        <v>4008</v>
      </c>
      <c r="B4012" s="9" t="inlineStr">
        <is>
          <t>Aurelius_M5</t>
        </is>
      </c>
      <c r="C4012" s="9" t="inlineStr">
        <is>
          <t>MA alignment (EMA21&gt;EMA50&gt;SMA250&gt;SMMA500 vs EMA2400 trend filter)</t>
        </is>
      </c>
      <c r="D4012" s="9" t="inlineStr">
        <is>
          <t>Short</t>
        </is>
      </c>
      <c r="E4012" s="10" t="n">
        <v>45644.65625</v>
      </c>
      <c r="F4012" s="10" t="n">
        <v>45645.04166666666</v>
      </c>
      <c r="G4012" s="11" t="n">
        <v>57.97</v>
      </c>
      <c r="H4012" s="11">
        <f>H4011+G4012</f>
        <v/>
      </c>
    </row>
    <row r="4013">
      <c r="A4013" s="9" t="n">
        <v>4009</v>
      </c>
      <c r="B4013" s="9" t="inlineStr">
        <is>
          <t>Aurelius_M15</t>
        </is>
      </c>
      <c r="C4013" s="9" t="inlineStr">
        <is>
          <t>MA alignment (EMA21&gt;EMA50&gt;SMA250&gt;SMMA500 vs EMA2400 trend filter) - M15 chart</t>
        </is>
      </c>
      <c r="D4013" s="9" t="inlineStr">
        <is>
          <t>Short</t>
        </is>
      </c>
      <c r="E4013" s="10" t="n">
        <v>45644.69791666666</v>
      </c>
      <c r="F4013" s="10" t="n">
        <v>45645.17708333334</v>
      </c>
      <c r="G4013" s="11" t="n">
        <v>27.52</v>
      </c>
      <c r="H4013" s="11">
        <f>H4012+G4013</f>
        <v/>
      </c>
    </row>
    <row r="4014">
      <c r="A4014" s="9" t="n">
        <v>4010</v>
      </c>
      <c r="B4014" s="9" t="inlineStr">
        <is>
          <t>Ratchet</t>
        </is>
      </c>
      <c r="C4014" s="9" t="inlineStr">
        <is>
          <t>Stochastic scalp with give-back trail exit</t>
        </is>
      </c>
      <c r="D4014" s="9" t="inlineStr">
        <is>
          <t>Short</t>
        </is>
      </c>
      <c r="E4014" s="10" t="n">
        <v>45645.63541666666</v>
      </c>
      <c r="F4014" s="10" t="n">
        <v>45645.64930555555</v>
      </c>
      <c r="G4014" s="11" t="n">
        <v>0.95</v>
      </c>
      <c r="H4014" s="11">
        <f>H4013+G4014</f>
        <v/>
      </c>
    </row>
    <row r="4015">
      <c r="A4015" s="9" t="n">
        <v>4011</v>
      </c>
      <c r="B4015" s="9" t="inlineStr">
        <is>
          <t>Ratchet</t>
        </is>
      </c>
      <c r="C4015" s="9" t="inlineStr">
        <is>
          <t>Stochastic scalp with give-back trail exit</t>
        </is>
      </c>
      <c r="D4015" s="9" t="inlineStr">
        <is>
          <t>Short</t>
        </is>
      </c>
      <c r="E4015" s="10" t="n">
        <v>45645.70138888889</v>
      </c>
      <c r="F4015" s="10" t="n">
        <v>45645.71180555555</v>
      </c>
      <c r="G4015" s="11" t="n">
        <v>0.76</v>
      </c>
      <c r="H4015" s="11">
        <f>H4014+G4015</f>
        <v/>
      </c>
    </row>
    <row r="4016">
      <c r="A4016" s="9" t="n">
        <v>4012</v>
      </c>
      <c r="B4016" s="9" t="inlineStr">
        <is>
          <t>Ratchet</t>
        </is>
      </c>
      <c r="C4016" s="9" t="inlineStr">
        <is>
          <t>Stochastic scalp with give-back trail exit</t>
        </is>
      </c>
      <c r="D4016" s="9" t="inlineStr">
        <is>
          <t>Short</t>
        </is>
      </c>
      <c r="E4016" s="10" t="n">
        <v>45646.04513888889</v>
      </c>
      <c r="F4016" s="10" t="n">
        <v>45646.07291666666</v>
      </c>
      <c r="G4016" s="11" t="n">
        <v>0.21</v>
      </c>
      <c r="H4016" s="11">
        <f>H4015+G4016</f>
        <v/>
      </c>
    </row>
    <row r="4017">
      <c r="A4017" s="9" t="n">
        <v>4013</v>
      </c>
      <c r="B4017" s="9" t="inlineStr">
        <is>
          <t>Ratchet</t>
        </is>
      </c>
      <c r="C4017" s="9" t="inlineStr">
        <is>
          <t>Stochastic scalp with give-back trail exit</t>
        </is>
      </c>
      <c r="D4017" s="9" t="inlineStr">
        <is>
          <t>Short</t>
        </is>
      </c>
      <c r="E4017" s="10" t="n">
        <v>45646.08680555555</v>
      </c>
      <c r="F4017" s="10" t="n">
        <v>45646.09722222222</v>
      </c>
      <c r="G4017" s="11" t="n">
        <v>0.17</v>
      </c>
      <c r="H4017" s="11">
        <f>H4016+G4017</f>
        <v/>
      </c>
    </row>
    <row r="4018">
      <c r="A4018" s="9" t="n">
        <v>4014</v>
      </c>
      <c r="B4018" s="9" t="inlineStr">
        <is>
          <t>Meridian</t>
        </is>
      </c>
      <c r="C4018" s="9" t="inlineStr">
        <is>
          <t>21/50 MA cross, 250-period confirm filter, VWAP</t>
        </is>
      </c>
      <c r="D4018" s="9" t="inlineStr">
        <is>
          <t>Short</t>
        </is>
      </c>
      <c r="E4018" s="10" t="n">
        <v>45645.97569444445</v>
      </c>
      <c r="F4018" s="10" t="n">
        <v>45646.12847222222</v>
      </c>
      <c r="G4018" s="11" t="n">
        <v>-3.5</v>
      </c>
      <c r="H4018" s="11">
        <f>H4017+G4018</f>
        <v/>
      </c>
    </row>
    <row r="4019">
      <c r="A4019" s="9" t="n">
        <v>4015</v>
      </c>
      <c r="B4019" s="9" t="inlineStr">
        <is>
          <t>Aurelius_M15</t>
        </is>
      </c>
      <c r="C4019" s="9" t="inlineStr">
        <is>
          <t>MA alignment (EMA21&gt;EMA50&gt;SMA250&gt;SMMA500 vs EMA2400 trend filter) - M15 chart</t>
        </is>
      </c>
      <c r="D4019" s="9" t="inlineStr">
        <is>
          <t>Short</t>
        </is>
      </c>
      <c r="E4019" s="10" t="n">
        <v>45645.67708333334</v>
      </c>
      <c r="F4019" s="10" t="n">
        <v>45646.38541666666</v>
      </c>
      <c r="G4019" s="11" t="n">
        <v>-6.84</v>
      </c>
      <c r="H4019" s="11">
        <f>H4018+G4019</f>
        <v/>
      </c>
    </row>
    <row r="4020">
      <c r="A4020" s="9" t="n">
        <v>4016</v>
      </c>
      <c r="B4020" s="9" t="inlineStr">
        <is>
          <t>Meridian</t>
        </is>
      </c>
      <c r="C4020" s="9" t="inlineStr">
        <is>
          <t>21/50 MA cross, 250-period confirm filter, VWAP</t>
        </is>
      </c>
      <c r="D4020" s="9" t="inlineStr">
        <is>
          <t>Long</t>
        </is>
      </c>
      <c r="E4020" s="10" t="n">
        <v>45646.65625</v>
      </c>
      <c r="F4020" s="10" t="n">
        <v>45646.91666666666</v>
      </c>
      <c r="G4020" s="11" t="n">
        <v>18.97</v>
      </c>
      <c r="H4020" s="11">
        <f>H4019+G4020</f>
        <v/>
      </c>
    </row>
    <row r="4021">
      <c r="A4021" s="9" t="n">
        <v>4017</v>
      </c>
      <c r="B4021" s="9" t="inlineStr">
        <is>
          <t>Vanguard_M5</t>
        </is>
      </c>
      <c r="C4021" s="9" t="inlineStr">
        <is>
          <t>Trendline breakout (fractal swing line) + VWAP/S-R distance gate</t>
        </is>
      </c>
      <c r="D4021" s="9" t="inlineStr">
        <is>
          <t>Long</t>
        </is>
      </c>
      <c r="E4021" s="10" t="n">
        <v>45646.64930555555</v>
      </c>
      <c r="F4021" s="10" t="n">
        <v>45649.5</v>
      </c>
      <c r="G4021" s="11" t="n">
        <v>18.9</v>
      </c>
      <c r="H4021" s="11">
        <f>H4020+G4021</f>
        <v/>
      </c>
    </row>
    <row r="4022">
      <c r="A4022" s="9" t="n">
        <v>4018</v>
      </c>
      <c r="B4022" s="9" t="inlineStr">
        <is>
          <t>Vanguard_M15</t>
        </is>
      </c>
      <c r="C4022" s="9" t="inlineStr">
        <is>
          <t>Trendline breakout (fractal swing line) + VWAP/S-R distance gate - M15 chart</t>
        </is>
      </c>
      <c r="D4022" s="9" t="inlineStr">
        <is>
          <t>Long</t>
        </is>
      </c>
      <c r="E4022" s="10" t="n">
        <v>45646.65625</v>
      </c>
      <c r="F4022" s="10" t="n">
        <v>45649.5</v>
      </c>
      <c r="G4022" s="11" t="n">
        <v>16.23</v>
      </c>
      <c r="H4022" s="11">
        <f>H4021+G4022</f>
        <v/>
      </c>
    </row>
    <row r="4023">
      <c r="A4023" s="9" t="n">
        <v>4019</v>
      </c>
      <c r="B4023" s="9" t="inlineStr">
        <is>
          <t>Meridian</t>
        </is>
      </c>
      <c r="C4023" s="9" t="inlineStr">
        <is>
          <t>21/50 MA cross, 250-period confirm filter, VWAP</t>
        </is>
      </c>
      <c r="D4023" s="9" t="inlineStr">
        <is>
          <t>Long</t>
        </is>
      </c>
      <c r="E4023" s="10" t="n">
        <v>45649.19097222222</v>
      </c>
      <c r="F4023" s="10" t="n">
        <v>45649.50347222222</v>
      </c>
      <c r="G4023" s="11" t="n">
        <v>-0.35</v>
      </c>
      <c r="H4023" s="11">
        <f>H4022+G4023</f>
        <v/>
      </c>
    </row>
    <row r="4024">
      <c r="A4024" s="9" t="n">
        <v>4020</v>
      </c>
      <c r="B4024" s="9" t="inlineStr">
        <is>
          <t>Ratchet</t>
        </is>
      </c>
      <c r="C4024" s="9" t="inlineStr">
        <is>
          <t>Stochastic scalp with give-back trail exit</t>
        </is>
      </c>
      <c r="D4024" s="9" t="inlineStr">
        <is>
          <t>Short</t>
        </is>
      </c>
      <c r="E4024" s="10" t="n">
        <v>45650.54861111111</v>
      </c>
      <c r="F4024" s="10" t="n">
        <v>45650.56597222222</v>
      </c>
      <c r="G4024" s="11" t="n">
        <v>0.39</v>
      </c>
      <c r="H4024" s="11">
        <f>H4023+G4024</f>
        <v/>
      </c>
    </row>
    <row r="4025">
      <c r="A4025" s="9" t="n">
        <v>4021</v>
      </c>
      <c r="B4025" s="9" t="inlineStr">
        <is>
          <t>Ratchet</t>
        </is>
      </c>
      <c r="C4025" s="9" t="inlineStr">
        <is>
          <t>Stochastic scalp with give-back trail exit</t>
        </is>
      </c>
      <c r="D4025" s="9" t="inlineStr">
        <is>
          <t>Short</t>
        </is>
      </c>
      <c r="E4025" s="10" t="n">
        <v>45650.60763888889</v>
      </c>
      <c r="F4025" s="10" t="n">
        <v>45650.62152777778</v>
      </c>
      <c r="G4025" s="11" t="n">
        <v>-0</v>
      </c>
      <c r="H4025" s="11">
        <f>H4024+G4025</f>
        <v/>
      </c>
    </row>
    <row r="4026">
      <c r="A4026" s="9" t="n">
        <v>4022</v>
      </c>
      <c r="B4026" s="9" t="inlineStr">
        <is>
          <t>Ratchet</t>
        </is>
      </c>
      <c r="C4026" s="9" t="inlineStr">
        <is>
          <t>Stochastic scalp with give-back trail exit</t>
        </is>
      </c>
      <c r="D4026" s="9" t="inlineStr">
        <is>
          <t>Short</t>
        </is>
      </c>
      <c r="E4026" s="10" t="n">
        <v>45650.64583333334</v>
      </c>
      <c r="F4026" s="10" t="n">
        <v>45650.64930555555</v>
      </c>
      <c r="G4026" s="11" t="n">
        <v>0.25</v>
      </c>
      <c r="H4026" s="11">
        <f>H4025+G4026</f>
        <v/>
      </c>
    </row>
    <row r="4027">
      <c r="A4027" s="9" t="n">
        <v>4023</v>
      </c>
      <c r="B4027" s="9" t="inlineStr">
        <is>
          <t>Vanguard_M15</t>
        </is>
      </c>
      <c r="C4027" s="9" t="inlineStr">
        <is>
          <t>Trendline breakout (fractal swing line) + VWAP/S-R distance gate - M15 chart</t>
        </is>
      </c>
      <c r="D4027" s="9" t="inlineStr">
        <is>
          <t>Short</t>
        </is>
      </c>
      <c r="E4027" s="10" t="n">
        <v>45649.51041666666</v>
      </c>
      <c r="F4027" s="10" t="n">
        <v>45650.67708333334</v>
      </c>
      <c r="G4027" s="11" t="n">
        <v>8.460000000000001</v>
      </c>
      <c r="H4027" s="11">
        <f>H4026+G4027</f>
        <v/>
      </c>
    </row>
    <row r="4028">
      <c r="A4028" s="9" t="n">
        <v>4024</v>
      </c>
      <c r="B4028" s="9" t="inlineStr">
        <is>
          <t>Vanguard_M5</t>
        </is>
      </c>
      <c r="C4028" s="9" t="inlineStr">
        <is>
          <t>Trendline breakout (fractal swing line) + VWAP/S-R distance gate</t>
        </is>
      </c>
      <c r="D4028" s="9" t="inlineStr">
        <is>
          <t>Short</t>
        </is>
      </c>
      <c r="E4028" s="10" t="n">
        <v>45649.50347222222</v>
      </c>
      <c r="F4028" s="10" t="n">
        <v>45650.68402777778</v>
      </c>
      <c r="G4028" s="11" t="n">
        <v>8.81</v>
      </c>
      <c r="H4028" s="11">
        <f>H4027+G4028</f>
        <v/>
      </c>
    </row>
    <row r="4029">
      <c r="A4029" s="9" t="n">
        <v>4025</v>
      </c>
      <c r="B4029" s="9" t="inlineStr">
        <is>
          <t>Aurelius_M5</t>
        </is>
      </c>
      <c r="C4029" s="9" t="inlineStr">
        <is>
          <t>MA alignment (EMA21&gt;EMA50&gt;SMA250&gt;SMMA500 vs EMA2400 trend filter)</t>
        </is>
      </c>
      <c r="D4029" s="9" t="inlineStr">
        <is>
          <t>Short</t>
        </is>
      </c>
      <c r="E4029" s="10" t="n">
        <v>45650.63541666666</v>
      </c>
      <c r="F4029" s="10" t="n">
        <v>45650.68402777778</v>
      </c>
      <c r="G4029" s="11" t="n">
        <v>-3.33</v>
      </c>
      <c r="H4029" s="11">
        <f>H4028+G4029</f>
        <v/>
      </c>
    </row>
    <row r="4030">
      <c r="A4030" s="9" t="n">
        <v>4026</v>
      </c>
      <c r="B4030" s="9" t="inlineStr">
        <is>
          <t>Vanguard_M5</t>
        </is>
      </c>
      <c r="C4030" s="9" t="inlineStr">
        <is>
          <t>Trendline breakout (fractal swing line) + VWAP/S-R distance gate</t>
        </is>
      </c>
      <c r="D4030" s="9" t="inlineStr">
        <is>
          <t>Long</t>
        </is>
      </c>
      <c r="E4030" s="10" t="n">
        <v>45650.6875</v>
      </c>
      <c r="F4030" s="10" t="n">
        <v>45650.70138888889</v>
      </c>
      <c r="G4030" s="11" t="n">
        <v>-5.73</v>
      </c>
      <c r="H4030" s="11">
        <f>H4029+G4030</f>
        <v/>
      </c>
    </row>
    <row r="4031">
      <c r="A4031" s="9" t="n">
        <v>4027</v>
      </c>
      <c r="B4031" s="9" t="inlineStr">
        <is>
          <t>Aurelius_M5</t>
        </is>
      </c>
      <c r="C4031" s="9" t="inlineStr">
        <is>
          <t>MA alignment (EMA21&gt;EMA50&gt;SMA250&gt;SMMA500 vs EMA2400 trend filter)</t>
        </is>
      </c>
      <c r="D4031" s="9" t="inlineStr">
        <is>
          <t>Short</t>
        </is>
      </c>
      <c r="E4031" s="10" t="n">
        <v>45650.70138888889</v>
      </c>
      <c r="F4031" s="10" t="n">
        <v>45650.76736111111</v>
      </c>
      <c r="G4031" s="11" t="n">
        <v>-4.3</v>
      </c>
      <c r="H4031" s="11">
        <f>H4030+G4031</f>
        <v/>
      </c>
    </row>
    <row r="4032">
      <c r="A4032" s="9" t="n">
        <v>4028</v>
      </c>
      <c r="B4032" s="9" t="inlineStr">
        <is>
          <t>Aurelius_M15</t>
        </is>
      </c>
      <c r="C4032" s="9" t="inlineStr">
        <is>
          <t>MA alignment (EMA21&gt;EMA50&gt;SMA250&gt;SMMA500 vs EMA2400 trend filter) - M15 chart</t>
        </is>
      </c>
      <c r="D4032" s="9" t="inlineStr">
        <is>
          <t>Short</t>
        </is>
      </c>
      <c r="E4032" s="10" t="n">
        <v>45650.65625</v>
      </c>
      <c r="F4032" s="10" t="n">
        <v>45650.80208333334</v>
      </c>
      <c r="G4032" s="11" t="n">
        <v>-5.31</v>
      </c>
      <c r="H4032" s="11">
        <f>H4031+G4032</f>
        <v/>
      </c>
    </row>
    <row r="4033">
      <c r="A4033" s="9" t="n">
        <v>4029</v>
      </c>
      <c r="B4033" s="9" t="inlineStr">
        <is>
          <t>Meridian</t>
        </is>
      </c>
      <c r="C4033" s="9" t="inlineStr">
        <is>
          <t>21/50 MA cross, 250-period confirm filter, VWAP</t>
        </is>
      </c>
      <c r="D4033" s="9" t="inlineStr">
        <is>
          <t>Long</t>
        </is>
      </c>
      <c r="E4033" s="10" t="n">
        <v>45650.77777777778</v>
      </c>
      <c r="F4033" s="10" t="n">
        <v>45652.65972222222</v>
      </c>
      <c r="G4033" s="11" t="n">
        <v>6.47</v>
      </c>
      <c r="H4033" s="11">
        <f>H4032+G4033</f>
        <v/>
      </c>
    </row>
    <row r="4034">
      <c r="A4034" s="9" t="n">
        <v>4030</v>
      </c>
      <c r="B4034" s="9" t="inlineStr">
        <is>
          <t>Ratchet</t>
        </is>
      </c>
      <c r="C4034" s="9" t="inlineStr">
        <is>
          <t>Stochastic scalp with give-back trail exit</t>
        </is>
      </c>
      <c r="D4034" s="9" t="inlineStr">
        <is>
          <t>Long</t>
        </is>
      </c>
      <c r="E4034" s="10" t="n">
        <v>45652.73263888889</v>
      </c>
      <c r="F4034" s="10" t="n">
        <v>45652.74652777778</v>
      </c>
      <c r="G4034" s="11" t="n">
        <v>0.95</v>
      </c>
      <c r="H4034" s="11">
        <f>H4033+G4034</f>
        <v/>
      </c>
    </row>
    <row r="4035">
      <c r="A4035" s="9" t="n">
        <v>4031</v>
      </c>
      <c r="B4035" s="9" t="inlineStr">
        <is>
          <t>Ratchet</t>
        </is>
      </c>
      <c r="C4035" s="9" t="inlineStr">
        <is>
          <t>Stochastic scalp with give-back trail exit</t>
        </is>
      </c>
      <c r="D4035" s="9" t="inlineStr">
        <is>
          <t>Long</t>
        </is>
      </c>
      <c r="E4035" s="10" t="n">
        <v>45652.90625</v>
      </c>
      <c r="F4035" s="10" t="n">
        <v>45652.94791666666</v>
      </c>
      <c r="G4035" s="11" t="n">
        <v>-1.9</v>
      </c>
      <c r="H4035" s="11">
        <f>H4034+G4035</f>
        <v/>
      </c>
    </row>
    <row r="4036">
      <c r="A4036" s="9" t="n">
        <v>4032</v>
      </c>
      <c r="B4036" s="9" t="inlineStr">
        <is>
          <t>Meridian</t>
        </is>
      </c>
      <c r="C4036" s="9" t="inlineStr">
        <is>
          <t>21/50 MA cross, 250-period confirm filter, VWAP</t>
        </is>
      </c>
      <c r="D4036" s="9" t="inlineStr">
        <is>
          <t>Long</t>
        </is>
      </c>
      <c r="E4036" s="10" t="n">
        <v>45652.70833333334</v>
      </c>
      <c r="F4036" s="10" t="n">
        <v>45653.06597222222</v>
      </c>
      <c r="G4036" s="11" t="n">
        <v>2.27</v>
      </c>
      <c r="H4036" s="11">
        <f>H4035+G4036</f>
        <v/>
      </c>
    </row>
    <row r="4037">
      <c r="A4037" s="9" t="n">
        <v>4033</v>
      </c>
      <c r="B4037" s="9" t="inlineStr">
        <is>
          <t>Ratchet</t>
        </is>
      </c>
      <c r="C4037" s="9" t="inlineStr">
        <is>
          <t>Stochastic scalp with give-back trail exit</t>
        </is>
      </c>
      <c r="D4037" s="9" t="inlineStr">
        <is>
          <t>Long</t>
        </is>
      </c>
      <c r="E4037" s="10" t="n">
        <v>45653.23958333334</v>
      </c>
      <c r="F4037" s="10" t="n">
        <v>45653.32291666666</v>
      </c>
      <c r="G4037" s="11" t="n">
        <v>-2.44</v>
      </c>
      <c r="H4037" s="11">
        <f>H4036+G4037</f>
        <v/>
      </c>
    </row>
    <row r="4038">
      <c r="A4038" s="9" t="n">
        <v>4034</v>
      </c>
      <c r="B4038" s="9" t="inlineStr">
        <is>
          <t>Aurelius_M5</t>
        </is>
      </c>
      <c r="C4038" s="9" t="inlineStr">
        <is>
          <t>MA alignment (EMA21&gt;EMA50&gt;SMA250&gt;SMMA500 vs EMA2400 trend filter)</t>
        </is>
      </c>
      <c r="D4038" s="9" t="inlineStr">
        <is>
          <t>Long</t>
        </is>
      </c>
      <c r="E4038" s="10" t="n">
        <v>45653.31597222222</v>
      </c>
      <c r="F4038" s="10" t="n">
        <v>45653.33333333334</v>
      </c>
      <c r="G4038" s="11" t="n">
        <v>-2.14</v>
      </c>
      <c r="H4038" s="11">
        <f>H4037+G4038</f>
        <v/>
      </c>
    </row>
    <row r="4039">
      <c r="A4039" s="9" t="n">
        <v>4035</v>
      </c>
      <c r="B4039" s="9" t="inlineStr">
        <is>
          <t>Ratchet</t>
        </is>
      </c>
      <c r="C4039" s="9" t="inlineStr">
        <is>
          <t>Stochastic scalp with give-back trail exit</t>
        </is>
      </c>
      <c r="D4039" s="9" t="inlineStr">
        <is>
          <t>Long</t>
        </is>
      </c>
      <c r="E4039" s="10" t="n">
        <v>45653.36805555555</v>
      </c>
      <c r="F4039" s="10" t="n">
        <v>45653.38194444445</v>
      </c>
      <c r="G4039" s="11" t="n">
        <v>0.6</v>
      </c>
      <c r="H4039" s="11">
        <f>H4038+G4039</f>
        <v/>
      </c>
    </row>
    <row r="4040">
      <c r="A4040" s="9" t="n">
        <v>4036</v>
      </c>
      <c r="B4040" s="9" t="inlineStr">
        <is>
          <t>Aurelius_M5</t>
        </is>
      </c>
      <c r="C4040" s="9" t="inlineStr">
        <is>
          <t>MA alignment (EMA21&gt;EMA50&gt;SMA250&gt;SMMA500 vs EMA2400 trend filter)</t>
        </is>
      </c>
      <c r="D4040" s="9" t="inlineStr">
        <is>
          <t>Long</t>
        </is>
      </c>
      <c r="E4040" s="10" t="n">
        <v>45653.35763888889</v>
      </c>
      <c r="F4040" s="10" t="n">
        <v>45653.40972222222</v>
      </c>
      <c r="G4040" s="11" t="n">
        <v>-2.99</v>
      </c>
      <c r="H4040" s="11">
        <f>H4039+G4040</f>
        <v/>
      </c>
    </row>
    <row r="4041">
      <c r="A4041" s="9" t="n">
        <v>4037</v>
      </c>
      <c r="B4041" s="9" t="inlineStr">
        <is>
          <t>Meridian</t>
        </is>
      </c>
      <c r="C4041" s="9" t="inlineStr">
        <is>
          <t>21/50 MA cross, 250-period confirm filter, VWAP</t>
        </is>
      </c>
      <c r="D4041" s="9" t="inlineStr">
        <is>
          <t>Long</t>
        </is>
      </c>
      <c r="E4041" s="10" t="n">
        <v>45653.23611111111</v>
      </c>
      <c r="F4041" s="10" t="n">
        <v>45653.41666666666</v>
      </c>
      <c r="G4041" s="11" t="n">
        <v>-3.37</v>
      </c>
      <c r="H4041" s="11">
        <f>H4040+G4041</f>
        <v/>
      </c>
    </row>
    <row r="4042">
      <c r="A4042" s="9" t="n">
        <v>4038</v>
      </c>
      <c r="B4042" s="9" t="inlineStr">
        <is>
          <t>Meridian</t>
        </is>
      </c>
      <c r="C4042" s="9" t="inlineStr">
        <is>
          <t>21/50 MA cross, 250-period confirm filter, VWAP</t>
        </is>
      </c>
      <c r="D4042" s="9" t="inlineStr">
        <is>
          <t>Short</t>
        </is>
      </c>
      <c r="E4042" s="10" t="n">
        <v>45653.42708333334</v>
      </c>
      <c r="F4042" s="10" t="n">
        <v>45653.60416666666</v>
      </c>
      <c r="G4042" s="11" t="n">
        <v>0.6899999999999999</v>
      </c>
      <c r="H4042" s="11">
        <f>H4041+G4042</f>
        <v/>
      </c>
    </row>
    <row r="4043">
      <c r="A4043" s="9" t="n">
        <v>4039</v>
      </c>
      <c r="B4043" s="9" t="inlineStr">
        <is>
          <t>Vanguard_M15</t>
        </is>
      </c>
      <c r="C4043" s="9" t="inlineStr">
        <is>
          <t>Trendline breakout (fractal swing line) + VWAP/S-R distance gate - M15 chart</t>
        </is>
      </c>
      <c r="D4043" s="9" t="inlineStr">
        <is>
          <t>Long</t>
        </is>
      </c>
      <c r="E4043" s="10" t="n">
        <v>45650.6875</v>
      </c>
      <c r="F4043" s="10" t="n">
        <v>45653.66666666666</v>
      </c>
      <c r="G4043" s="11" t="n">
        <v>-0.05</v>
      </c>
      <c r="H4043" s="11">
        <f>H4042+G4043</f>
        <v/>
      </c>
    </row>
    <row r="4044">
      <c r="A4044" s="9" t="n">
        <v>4040</v>
      </c>
      <c r="B4044" s="9" t="inlineStr">
        <is>
          <t>Vanguard_M5</t>
        </is>
      </c>
      <c r="C4044" s="9" t="inlineStr">
        <is>
          <t>Trendline breakout (fractal swing line) + VWAP/S-R distance gate</t>
        </is>
      </c>
      <c r="D4044" s="9" t="inlineStr">
        <is>
          <t>Long</t>
        </is>
      </c>
      <c r="E4044" s="10" t="n">
        <v>45650.77083333334</v>
      </c>
      <c r="F4044" s="10" t="n">
        <v>45653.67013888889</v>
      </c>
      <c r="G4044" s="11" t="n">
        <v>-0.66</v>
      </c>
      <c r="H4044" s="11">
        <f>H4043+G4044</f>
        <v/>
      </c>
    </row>
    <row r="4045">
      <c r="A4045" s="9" t="n">
        <v>4041</v>
      </c>
      <c r="B4045" s="9" t="inlineStr">
        <is>
          <t>Ratchet</t>
        </is>
      </c>
      <c r="C4045" s="9" t="inlineStr">
        <is>
          <t>Stochastic scalp with give-back trail exit</t>
        </is>
      </c>
      <c r="D4045" s="9" t="inlineStr">
        <is>
          <t>Short</t>
        </is>
      </c>
      <c r="E4045" s="10" t="n">
        <v>45653.80555555555</v>
      </c>
      <c r="F4045" s="10" t="n">
        <v>45653.85416666666</v>
      </c>
      <c r="G4045" s="11" t="n">
        <v>-3.05</v>
      </c>
      <c r="H4045" s="11">
        <f>H4044+G4045</f>
        <v/>
      </c>
    </row>
    <row r="4046">
      <c r="A4046" s="9" t="n">
        <v>4042</v>
      </c>
      <c r="B4046" s="9" t="inlineStr">
        <is>
          <t>Meridian</t>
        </is>
      </c>
      <c r="C4046" s="9" t="inlineStr">
        <is>
          <t>21/50 MA cross, 250-period confirm filter, VWAP</t>
        </is>
      </c>
      <c r="D4046" s="9" t="inlineStr">
        <is>
          <t>Short</t>
        </is>
      </c>
      <c r="E4046" s="10" t="n">
        <v>45653.61805555555</v>
      </c>
      <c r="F4046" s="10" t="n">
        <v>45653.89930555555</v>
      </c>
      <c r="G4046" s="11" t="n">
        <v>8.289999999999999</v>
      </c>
      <c r="H4046" s="11">
        <f>H4045+G4046</f>
        <v/>
      </c>
    </row>
    <row r="4047">
      <c r="A4047" s="9" t="n">
        <v>4043</v>
      </c>
      <c r="B4047" s="9" t="inlineStr">
        <is>
          <t>Vanguard_M5</t>
        </is>
      </c>
      <c r="C4047" s="9" t="inlineStr">
        <is>
          <t>Trendline breakout (fractal swing line) + VWAP/S-R distance gate</t>
        </is>
      </c>
      <c r="D4047" s="9" t="inlineStr">
        <is>
          <t>Short</t>
        </is>
      </c>
      <c r="E4047" s="10" t="n">
        <v>45653.9375</v>
      </c>
      <c r="F4047" s="10" t="n">
        <v>45653.98611111111</v>
      </c>
      <c r="G4047" s="11" t="n">
        <v>-5.65</v>
      </c>
      <c r="H4047" s="11">
        <f>H4046+G4047</f>
        <v/>
      </c>
    </row>
    <row r="4048">
      <c r="A4048" s="9" t="n">
        <v>4044</v>
      </c>
      <c r="B4048" s="9" t="inlineStr">
        <is>
          <t>Vanguard_M15</t>
        </is>
      </c>
      <c r="C4048" s="9" t="inlineStr">
        <is>
          <t>Trendline breakout (fractal swing line) + VWAP/S-R distance gate - M15 chart</t>
        </is>
      </c>
      <c r="D4048" s="9" t="inlineStr">
        <is>
          <t>Short</t>
        </is>
      </c>
      <c r="E4048" s="10" t="n">
        <v>45653.9375</v>
      </c>
      <c r="F4048" s="10" t="n">
        <v>45653.98958333334</v>
      </c>
      <c r="G4048" s="11" t="n">
        <v>-8.390000000000001</v>
      </c>
      <c r="H4048" s="11">
        <f>H4047+G4048</f>
        <v/>
      </c>
    </row>
    <row r="4049">
      <c r="A4049" s="9" t="n">
        <v>4045</v>
      </c>
      <c r="B4049" s="9" t="inlineStr">
        <is>
          <t>Ratchet</t>
        </is>
      </c>
      <c r="C4049" s="9" t="inlineStr">
        <is>
          <t>Stochastic scalp with give-back trail exit</t>
        </is>
      </c>
      <c r="D4049" s="9" t="inlineStr">
        <is>
          <t>Short</t>
        </is>
      </c>
      <c r="E4049" s="10" t="n">
        <v>45656.39236111111</v>
      </c>
      <c r="F4049" s="10" t="n">
        <v>45656.39930555555</v>
      </c>
      <c r="G4049" s="11" t="n">
        <v>-0</v>
      </c>
      <c r="H4049" s="11">
        <f>H4048+G4049</f>
        <v/>
      </c>
    </row>
    <row r="4050">
      <c r="A4050" s="9" t="n">
        <v>4046</v>
      </c>
      <c r="B4050" s="9" t="inlineStr">
        <is>
          <t>Vanguard_M5</t>
        </is>
      </c>
      <c r="C4050" s="9" t="inlineStr">
        <is>
          <t>Trendline breakout (fractal swing line) + VWAP/S-R distance gate</t>
        </is>
      </c>
      <c r="D4050" s="9" t="inlineStr">
        <is>
          <t>Short</t>
        </is>
      </c>
      <c r="E4050" s="10" t="n">
        <v>45656.45486111111</v>
      </c>
      <c r="F4050" s="10" t="n">
        <v>45656.47916666666</v>
      </c>
      <c r="G4050" s="11" t="n">
        <v>-5.8</v>
      </c>
      <c r="H4050" s="11">
        <f>H4049+G4050</f>
        <v/>
      </c>
    </row>
    <row r="4051">
      <c r="A4051" s="9" t="n">
        <v>4047</v>
      </c>
      <c r="B4051" s="9" t="inlineStr">
        <is>
          <t>Ratchet</t>
        </is>
      </c>
      <c r="C4051" s="9" t="inlineStr">
        <is>
          <t>Stochastic scalp with give-back trail exit</t>
        </is>
      </c>
      <c r="D4051" s="9" t="inlineStr">
        <is>
          <t>Short</t>
        </is>
      </c>
      <c r="E4051" s="10" t="n">
        <v>45656.49305555555</v>
      </c>
      <c r="F4051" s="10" t="n">
        <v>45656.54861111111</v>
      </c>
      <c r="G4051" s="11" t="n">
        <v>0.88</v>
      </c>
      <c r="H4051" s="11">
        <f>H4050+G4051</f>
        <v/>
      </c>
    </row>
    <row r="4052">
      <c r="A4052" s="9" t="n">
        <v>4048</v>
      </c>
      <c r="B4052" s="9" t="inlineStr">
        <is>
          <t>Vanguard_M5</t>
        </is>
      </c>
      <c r="C4052" s="9" t="inlineStr">
        <is>
          <t>Trendline breakout (fractal swing line) + VWAP/S-R distance gate</t>
        </is>
      </c>
      <c r="D4052" s="9" t="inlineStr">
        <is>
          <t>Short</t>
        </is>
      </c>
      <c r="E4052" s="10" t="n">
        <v>45656.53472222222</v>
      </c>
      <c r="F4052" s="10" t="n">
        <v>45656.56944444445</v>
      </c>
      <c r="G4052" s="11" t="n">
        <v>-5.91</v>
      </c>
      <c r="H4052" s="11">
        <f>H4051+G4052</f>
        <v/>
      </c>
    </row>
    <row r="4053">
      <c r="A4053" s="9" t="n">
        <v>4049</v>
      </c>
      <c r="B4053" s="9" t="inlineStr">
        <is>
          <t>Meridian</t>
        </is>
      </c>
      <c r="C4053" s="9" t="inlineStr">
        <is>
          <t>21/50 MA cross, 250-period confirm filter, VWAP</t>
        </is>
      </c>
      <c r="D4053" s="9" t="inlineStr">
        <is>
          <t>Short</t>
        </is>
      </c>
      <c r="E4053" s="10" t="n">
        <v>45656.29513888889</v>
      </c>
      <c r="F4053" s="10" t="n">
        <v>45656.59375</v>
      </c>
      <c r="G4053" s="11" t="n">
        <v>3.98</v>
      </c>
      <c r="H4053" s="11">
        <f>H4052+G4053</f>
        <v/>
      </c>
    </row>
    <row r="4054">
      <c r="A4054" s="9" t="n">
        <v>4050</v>
      </c>
      <c r="B4054" s="9" t="inlineStr">
        <is>
          <t>Vanguard_M15</t>
        </is>
      </c>
      <c r="C4054" s="9" t="inlineStr">
        <is>
          <t>Trendline breakout (fractal swing line) + VWAP/S-R distance gate - M15 chart</t>
        </is>
      </c>
      <c r="D4054" s="9" t="inlineStr">
        <is>
          <t>Short</t>
        </is>
      </c>
      <c r="E4054" s="10" t="n">
        <v>45656.45833333334</v>
      </c>
      <c r="F4054" s="10" t="n">
        <v>45656.60416666666</v>
      </c>
      <c r="G4054" s="11" t="n">
        <v>-7.17</v>
      </c>
      <c r="H4054" s="11">
        <f>H4053+G4054</f>
        <v/>
      </c>
    </row>
    <row r="4055">
      <c r="A4055" s="9" t="n">
        <v>4051</v>
      </c>
      <c r="B4055" s="9" t="inlineStr">
        <is>
          <t>Aurelius_M15</t>
        </is>
      </c>
      <c r="C4055" s="9" t="inlineStr">
        <is>
          <t>MA alignment (EMA21&gt;EMA50&gt;SMA250&gt;SMMA500 vs EMA2400 trend filter) - M15 chart</t>
        </is>
      </c>
      <c r="D4055" s="9" t="inlineStr">
        <is>
          <t>Short</t>
        </is>
      </c>
      <c r="E4055" s="10" t="n">
        <v>45656.4375</v>
      </c>
      <c r="F4055" s="10" t="n">
        <v>45656.61458333334</v>
      </c>
      <c r="G4055" s="11" t="n">
        <v>-5.42</v>
      </c>
      <c r="H4055" s="11">
        <f>H4054+G4055</f>
        <v/>
      </c>
    </row>
    <row r="4056">
      <c r="A4056" s="9" t="n">
        <v>4052</v>
      </c>
      <c r="B4056" s="9" t="inlineStr">
        <is>
          <t>Meridian</t>
        </is>
      </c>
      <c r="C4056" s="9" t="inlineStr">
        <is>
          <t>21/50 MA cross, 250-period confirm filter, VWAP</t>
        </is>
      </c>
      <c r="D4056" s="9" t="inlineStr">
        <is>
          <t>Short</t>
        </is>
      </c>
      <c r="E4056" s="10" t="n">
        <v>45656.66666666666</v>
      </c>
      <c r="F4056" s="10" t="n">
        <v>45656.67708333334</v>
      </c>
      <c r="G4056" s="11" t="n">
        <v>-6.1</v>
      </c>
      <c r="H4056" s="11">
        <f>H4055+G4056</f>
        <v/>
      </c>
    </row>
    <row r="4057">
      <c r="A4057" s="9" t="n">
        <v>4053</v>
      </c>
      <c r="B4057" s="9" t="inlineStr">
        <is>
          <t>Ratchet</t>
        </is>
      </c>
      <c r="C4057" s="9" t="inlineStr">
        <is>
          <t>Stochastic scalp with give-back trail exit</t>
        </is>
      </c>
      <c r="D4057" s="9" t="inlineStr">
        <is>
          <t>Short</t>
        </is>
      </c>
      <c r="E4057" s="10" t="n">
        <v>45657.05555555555</v>
      </c>
      <c r="F4057" s="10" t="n">
        <v>45657.0625</v>
      </c>
      <c r="G4057" s="11" t="n">
        <v>-1.41</v>
      </c>
      <c r="H4057" s="11">
        <f>H4056+G4057</f>
        <v/>
      </c>
    </row>
    <row r="4058">
      <c r="A4058" s="9" t="n">
        <v>4054</v>
      </c>
      <c r="B4058" s="9" t="inlineStr">
        <is>
          <t>Meridian</t>
        </is>
      </c>
      <c r="C4058" s="9" t="inlineStr">
        <is>
          <t>21/50 MA cross, 250-period confirm filter, VWAP</t>
        </is>
      </c>
      <c r="D4058" s="9" t="inlineStr">
        <is>
          <t>Short</t>
        </is>
      </c>
      <c r="E4058" s="10" t="n">
        <v>45657.05555555555</v>
      </c>
      <c r="F4058" s="10" t="n">
        <v>45657.06597222222</v>
      </c>
      <c r="G4058" s="11" t="n">
        <v>-2.31</v>
      </c>
      <c r="H4058" s="11">
        <f>H4057+G4058</f>
        <v/>
      </c>
    </row>
    <row r="4059">
      <c r="A4059" s="9" t="n">
        <v>4055</v>
      </c>
      <c r="B4059" s="9" t="inlineStr">
        <is>
          <t>Ratchet</t>
        </is>
      </c>
      <c r="C4059" s="9" t="inlineStr">
        <is>
          <t>Stochastic scalp with give-back trail exit</t>
        </is>
      </c>
      <c r="D4059" s="9" t="inlineStr">
        <is>
          <t>Short</t>
        </is>
      </c>
      <c r="E4059" s="10" t="n">
        <v>45657.09375</v>
      </c>
      <c r="F4059" s="10" t="n">
        <v>45657.09722222222</v>
      </c>
      <c r="G4059" s="11" t="n">
        <v>-1.42</v>
      </c>
      <c r="H4059" s="11">
        <f>H4058+G4059</f>
        <v/>
      </c>
    </row>
    <row r="4060">
      <c r="A4060" s="9" t="n">
        <v>4056</v>
      </c>
      <c r="B4060" s="9" t="inlineStr">
        <is>
          <t>Ratchet</t>
        </is>
      </c>
      <c r="C4060" s="9" t="inlineStr">
        <is>
          <t>Stochastic scalp with give-back trail exit</t>
        </is>
      </c>
      <c r="D4060" s="9" t="inlineStr">
        <is>
          <t>Short</t>
        </is>
      </c>
      <c r="E4060" s="10" t="n">
        <v>45657.25</v>
      </c>
      <c r="F4060" s="10" t="n">
        <v>45657.27777777778</v>
      </c>
      <c r="G4060" s="11" t="n">
        <v>-1.86</v>
      </c>
      <c r="H4060" s="11">
        <f>H4059+G4060</f>
        <v/>
      </c>
    </row>
    <row r="4061">
      <c r="A4061" s="9" t="n">
        <v>4057</v>
      </c>
      <c r="B4061" s="9" t="inlineStr">
        <is>
          <t>Meridian</t>
        </is>
      </c>
      <c r="C4061" s="9" t="inlineStr">
        <is>
          <t>21/50 MA cross, 250-period confirm filter, VWAP</t>
        </is>
      </c>
      <c r="D4061" s="9" t="inlineStr">
        <is>
          <t>Short</t>
        </is>
      </c>
      <c r="E4061" s="10" t="n">
        <v>45657.23263888889</v>
      </c>
      <c r="F4061" s="10" t="n">
        <v>45657.375</v>
      </c>
      <c r="G4061" s="11" t="n">
        <v>-1.53</v>
      </c>
      <c r="H4061" s="11">
        <f>H4060+G4061</f>
        <v/>
      </c>
    </row>
    <row r="4062">
      <c r="A4062" s="9" t="n">
        <v>4058</v>
      </c>
      <c r="B4062" s="9" t="inlineStr">
        <is>
          <t>Vanguard_M15</t>
        </is>
      </c>
      <c r="C4062" s="9" t="inlineStr">
        <is>
          <t>Trendline breakout (fractal swing line) + VWAP/S-R distance gate - M15 chart</t>
        </is>
      </c>
      <c r="D4062" s="9" t="inlineStr">
        <is>
          <t>Short</t>
        </is>
      </c>
      <c r="E4062" s="10" t="n">
        <v>45656.66666666666</v>
      </c>
      <c r="F4062" s="10" t="n">
        <v>45657.40625</v>
      </c>
      <c r="G4062" s="11" t="n">
        <v>-7.27</v>
      </c>
      <c r="H4062" s="11">
        <f>H4061+G4062</f>
        <v/>
      </c>
    </row>
    <row r="4063">
      <c r="A4063" s="9" t="n">
        <v>4059</v>
      </c>
      <c r="B4063" s="9" t="inlineStr">
        <is>
          <t>Vanguard_M5</t>
        </is>
      </c>
      <c r="C4063" s="9" t="inlineStr">
        <is>
          <t>Trendline breakout (fractal swing line) + VWAP/S-R distance gate</t>
        </is>
      </c>
      <c r="D4063" s="9" t="inlineStr">
        <is>
          <t>Short</t>
        </is>
      </c>
      <c r="E4063" s="10" t="n">
        <v>45656.65972222222</v>
      </c>
      <c r="F4063" s="10" t="n">
        <v>45657.41319444445</v>
      </c>
      <c r="G4063" s="11" t="n">
        <v>-2.08</v>
      </c>
      <c r="H4063" s="11">
        <f>H4062+G4063</f>
        <v/>
      </c>
    </row>
    <row r="4064">
      <c r="A4064" s="9" t="n">
        <v>4060</v>
      </c>
      <c r="B4064" s="9" t="inlineStr">
        <is>
          <t>Aurelius_M15</t>
        </is>
      </c>
      <c r="C4064" s="9" t="inlineStr">
        <is>
          <t>MA alignment (EMA21&gt;EMA50&gt;SMA250&gt;SMMA500 vs EMA2400 trend filter) - M15 chart</t>
        </is>
      </c>
      <c r="D4064" s="9" t="inlineStr">
        <is>
          <t>Short</t>
        </is>
      </c>
      <c r="E4064" s="10" t="n">
        <v>45656.72916666666</v>
      </c>
      <c r="F4064" s="10" t="n">
        <v>45657.41666666666</v>
      </c>
      <c r="G4064" s="11" t="n">
        <v>-11.68</v>
      </c>
      <c r="H4064" s="11">
        <f>H4063+G4064</f>
        <v/>
      </c>
    </row>
    <row r="4065">
      <c r="A4065" s="9" t="n">
        <v>4061</v>
      </c>
      <c r="B4065" s="9" t="inlineStr">
        <is>
          <t>Vanguard_M5</t>
        </is>
      </c>
      <c r="C4065" s="9" t="inlineStr">
        <is>
          <t>Trendline breakout (fractal swing line) + VWAP/S-R distance gate</t>
        </is>
      </c>
      <c r="D4065" s="9" t="inlineStr">
        <is>
          <t>Long</t>
        </is>
      </c>
      <c r="E4065" s="10" t="n">
        <v>45657.41666666666</v>
      </c>
      <c r="F4065" s="10" t="n">
        <v>45657.62847222222</v>
      </c>
      <c r="G4065" s="11" t="n">
        <v>-5.2</v>
      </c>
      <c r="H4065" s="11">
        <f>H4064+G4065</f>
        <v/>
      </c>
    </row>
    <row r="4066">
      <c r="A4066" s="9" t="n">
        <v>4062</v>
      </c>
      <c r="B4066" s="9" t="inlineStr">
        <is>
          <t>Vanguard_M15</t>
        </is>
      </c>
      <c r="C4066" s="9" t="inlineStr">
        <is>
          <t>Trendline breakout (fractal swing line) + VWAP/S-R distance gate - M15 chart</t>
        </is>
      </c>
      <c r="D4066" s="9" t="inlineStr">
        <is>
          <t>Long</t>
        </is>
      </c>
      <c r="E4066" s="10" t="n">
        <v>45657.41666666666</v>
      </c>
      <c r="F4066" s="10" t="n">
        <v>45657.63541666666</v>
      </c>
      <c r="G4066" s="11" t="n">
        <v>-6.36</v>
      </c>
      <c r="H4066" s="11">
        <f>H4065+G4066</f>
        <v/>
      </c>
    </row>
    <row r="4067">
      <c r="A4067" s="9" t="n">
        <v>4063</v>
      </c>
      <c r="B4067" s="9" t="inlineStr">
        <is>
          <t>Ratchet</t>
        </is>
      </c>
      <c r="C4067" s="9" t="inlineStr">
        <is>
          <t>Stochastic scalp with give-back trail exit</t>
        </is>
      </c>
      <c r="D4067" s="9" t="inlineStr">
        <is>
          <t>Long</t>
        </is>
      </c>
      <c r="E4067" s="10" t="n">
        <v>45657.80208333334</v>
      </c>
      <c r="F4067" s="10" t="n">
        <v>45657.80555555555</v>
      </c>
      <c r="G4067" s="11" t="n">
        <v>0</v>
      </c>
      <c r="H4067" s="11">
        <f>H4066+G4067</f>
        <v/>
      </c>
    </row>
    <row r="4068">
      <c r="A4068" s="9" t="n">
        <v>4064</v>
      </c>
      <c r="B4068" s="9" t="inlineStr">
        <is>
          <t>Ratchet</t>
        </is>
      </c>
      <c r="C4068" s="9" t="inlineStr">
        <is>
          <t>Stochastic scalp with give-back trail exit</t>
        </is>
      </c>
      <c r="D4068" s="9" t="inlineStr">
        <is>
          <t>Long</t>
        </is>
      </c>
      <c r="E4068" s="10" t="n">
        <v>45659.36111111111</v>
      </c>
      <c r="F4068" s="10" t="n">
        <v>45659.39236111111</v>
      </c>
      <c r="G4068" s="11" t="n">
        <v>0.4</v>
      </c>
      <c r="H4068" s="11">
        <f>H4067+G4068</f>
        <v/>
      </c>
    </row>
    <row r="4069">
      <c r="A4069" s="9" t="n">
        <v>4065</v>
      </c>
      <c r="B4069" s="9" t="inlineStr">
        <is>
          <t>Ratchet</t>
        </is>
      </c>
      <c r="C4069" s="9" t="inlineStr">
        <is>
          <t>Stochastic scalp with give-back trail exit</t>
        </is>
      </c>
      <c r="D4069" s="9" t="inlineStr">
        <is>
          <t>Long</t>
        </is>
      </c>
      <c r="E4069" s="10" t="n">
        <v>45659.49305555555</v>
      </c>
      <c r="F4069" s="10" t="n">
        <v>45659.5</v>
      </c>
      <c r="G4069" s="11" t="n">
        <v>-3.01</v>
      </c>
      <c r="H4069" s="11">
        <f>H4068+G4069</f>
        <v/>
      </c>
    </row>
    <row r="4070">
      <c r="A4070" s="9" t="n">
        <v>4066</v>
      </c>
      <c r="B4070" s="9" t="inlineStr">
        <is>
          <t>Ratchet</t>
        </is>
      </c>
      <c r="C4070" s="9" t="inlineStr">
        <is>
          <t>Stochastic scalp with give-back trail exit</t>
        </is>
      </c>
      <c r="D4070" s="9" t="inlineStr">
        <is>
          <t>Long</t>
        </is>
      </c>
      <c r="E4070" s="10" t="n">
        <v>45659.54166666666</v>
      </c>
      <c r="F4070" s="10" t="n">
        <v>45659.55208333334</v>
      </c>
      <c r="G4070" s="11" t="n">
        <v>0.44</v>
      </c>
      <c r="H4070" s="11">
        <f>H4069+G4070</f>
        <v/>
      </c>
    </row>
    <row r="4071">
      <c r="A4071" s="9" t="n">
        <v>4067</v>
      </c>
      <c r="B4071" s="9" t="inlineStr">
        <is>
          <t>Ratchet</t>
        </is>
      </c>
      <c r="C4071" s="9" t="inlineStr">
        <is>
          <t>Stochastic scalp with give-back trail exit</t>
        </is>
      </c>
      <c r="D4071" s="9" t="inlineStr">
        <is>
          <t>Long</t>
        </is>
      </c>
      <c r="E4071" s="10" t="n">
        <v>45659.60416666666</v>
      </c>
      <c r="F4071" s="10" t="n">
        <v>45659.61111111111</v>
      </c>
      <c r="G4071" s="11" t="n">
        <v>0.44</v>
      </c>
      <c r="H4071" s="11">
        <f>H4070+G4071</f>
        <v/>
      </c>
    </row>
    <row r="4072">
      <c r="A4072" s="9" t="n">
        <v>4068</v>
      </c>
      <c r="B4072" s="9" t="inlineStr">
        <is>
          <t>Ratchet</t>
        </is>
      </c>
      <c r="C4072" s="9" t="inlineStr">
        <is>
          <t>Stochastic scalp with give-back trail exit</t>
        </is>
      </c>
      <c r="D4072" s="9" t="inlineStr">
        <is>
          <t>Long</t>
        </is>
      </c>
      <c r="E4072" s="10" t="n">
        <v>45659.68055555555</v>
      </c>
      <c r="F4072" s="10" t="n">
        <v>45659.69097222222</v>
      </c>
      <c r="G4072" s="11" t="n">
        <v>0</v>
      </c>
      <c r="H4072" s="11">
        <f>H4071+G4072</f>
        <v/>
      </c>
    </row>
    <row r="4073">
      <c r="A4073" s="9" t="n">
        <v>4069</v>
      </c>
      <c r="B4073" s="9" t="inlineStr">
        <is>
          <t>Ratchet</t>
        </is>
      </c>
      <c r="C4073" s="9" t="inlineStr">
        <is>
          <t>Stochastic scalp with give-back trail exit</t>
        </is>
      </c>
      <c r="D4073" s="9" t="inlineStr">
        <is>
          <t>Long</t>
        </is>
      </c>
      <c r="E4073" s="10" t="n">
        <v>45659.71180555555</v>
      </c>
      <c r="F4073" s="10" t="n">
        <v>45659.72569444445</v>
      </c>
      <c r="G4073" s="11" t="n">
        <v>0</v>
      </c>
      <c r="H4073" s="11">
        <f>H4072+G4073</f>
        <v/>
      </c>
    </row>
    <row r="4074">
      <c r="A4074" s="9" t="n">
        <v>4070</v>
      </c>
      <c r="B4074" s="9" t="inlineStr">
        <is>
          <t>Aurelius_M5</t>
        </is>
      </c>
      <c r="C4074" s="9" t="inlineStr">
        <is>
          <t>MA alignment (EMA21&gt;EMA50&gt;SMA250&gt;SMMA500 vs EMA2400 trend filter)</t>
        </is>
      </c>
      <c r="D4074" s="9" t="inlineStr">
        <is>
          <t>Long</t>
        </is>
      </c>
      <c r="E4074" s="10" t="n">
        <v>45659.65972222222</v>
      </c>
      <c r="F4074" s="10" t="n">
        <v>45660.04166666666</v>
      </c>
      <c r="G4074" s="11" t="n">
        <v>15.31</v>
      </c>
      <c r="H4074" s="11">
        <f>H4073+G4074</f>
        <v/>
      </c>
    </row>
    <row r="4075">
      <c r="A4075" s="9" t="n">
        <v>4071</v>
      </c>
      <c r="B4075" s="9" t="inlineStr">
        <is>
          <t>Ratchet</t>
        </is>
      </c>
      <c r="C4075" s="9" t="inlineStr">
        <is>
          <t>Stochastic scalp with give-back trail exit</t>
        </is>
      </c>
      <c r="D4075" s="9" t="inlineStr">
        <is>
          <t>Long</t>
        </is>
      </c>
      <c r="E4075" s="10" t="n">
        <v>45660.05902777778</v>
      </c>
      <c r="F4075" s="10" t="n">
        <v>45660.07291666666</v>
      </c>
      <c r="G4075" s="11" t="n">
        <v>0.18</v>
      </c>
      <c r="H4075" s="11">
        <f>H4074+G4075</f>
        <v/>
      </c>
    </row>
    <row r="4076">
      <c r="A4076" s="9" t="n">
        <v>4072</v>
      </c>
      <c r="B4076" s="9" t="inlineStr">
        <is>
          <t>Ratchet</t>
        </is>
      </c>
      <c r="C4076" s="9" t="inlineStr">
        <is>
          <t>Stochastic scalp with give-back trail exit</t>
        </is>
      </c>
      <c r="D4076" s="9" t="inlineStr">
        <is>
          <t>Long</t>
        </is>
      </c>
      <c r="E4076" s="10" t="n">
        <v>45660.10763888889</v>
      </c>
      <c r="F4076" s="10" t="n">
        <v>45660.125</v>
      </c>
      <c r="G4076" s="11" t="n">
        <v>0.2</v>
      </c>
      <c r="H4076" s="11">
        <f>H4075+G4076</f>
        <v/>
      </c>
    </row>
    <row r="4077">
      <c r="A4077" s="9" t="n">
        <v>4073</v>
      </c>
      <c r="B4077" s="9" t="inlineStr">
        <is>
          <t>Ratchet</t>
        </is>
      </c>
      <c r="C4077" s="9" t="inlineStr">
        <is>
          <t>Stochastic scalp with give-back trail exit</t>
        </is>
      </c>
      <c r="D4077" s="9" t="inlineStr">
        <is>
          <t>Long</t>
        </is>
      </c>
      <c r="E4077" s="10" t="n">
        <v>45660.27083333334</v>
      </c>
      <c r="F4077" s="10" t="n">
        <v>45660.27430555555</v>
      </c>
      <c r="G4077" s="11" t="n">
        <v>-1.75</v>
      </c>
      <c r="H4077" s="11">
        <f>H4076+G4077</f>
        <v/>
      </c>
    </row>
    <row r="4078">
      <c r="A4078" s="9" t="n">
        <v>4074</v>
      </c>
      <c r="B4078" s="9" t="inlineStr">
        <is>
          <t>Meridian</t>
        </is>
      </c>
      <c r="C4078" s="9" t="inlineStr">
        <is>
          <t>21/50 MA cross, 250-period confirm filter, VWAP</t>
        </is>
      </c>
      <c r="D4078" s="9" t="inlineStr">
        <is>
          <t>Long</t>
        </is>
      </c>
      <c r="E4078" s="10" t="n">
        <v>45657.66666666666</v>
      </c>
      <c r="F4078" s="10" t="n">
        <v>45660.32638888889</v>
      </c>
      <c r="G4078" s="11" t="n">
        <v>44.84</v>
      </c>
      <c r="H4078" s="11">
        <f>H4077+G4078</f>
        <v/>
      </c>
    </row>
    <row r="4079">
      <c r="A4079" s="9" t="n">
        <v>4075</v>
      </c>
      <c r="B4079" s="9" t="inlineStr">
        <is>
          <t>Ratchet</t>
        </is>
      </c>
      <c r="C4079" s="9" t="inlineStr">
        <is>
          <t>Stochastic scalp with give-back trail exit</t>
        </is>
      </c>
      <c r="D4079" s="9" t="inlineStr">
        <is>
          <t>Long</t>
        </is>
      </c>
      <c r="E4079" s="10" t="n">
        <v>45660.58680555555</v>
      </c>
      <c r="F4079" s="10" t="n">
        <v>45660.60069444445</v>
      </c>
      <c r="G4079" s="11" t="n">
        <v>-2.29</v>
      </c>
      <c r="H4079" s="11">
        <f>H4078+G4079</f>
        <v/>
      </c>
    </row>
    <row r="4080">
      <c r="A4080" s="9" t="n">
        <v>4076</v>
      </c>
      <c r="B4080" s="9" t="inlineStr">
        <is>
          <t>Meridian</t>
        </is>
      </c>
      <c r="C4080" s="9" t="inlineStr">
        <is>
          <t>21/50 MA cross, 250-period confirm filter, VWAP</t>
        </is>
      </c>
      <c r="D4080" s="9" t="inlineStr">
        <is>
          <t>Short</t>
        </is>
      </c>
      <c r="E4080" s="10" t="n">
        <v>45660.63194444445</v>
      </c>
      <c r="F4080" s="10" t="n">
        <v>45660.91666666666</v>
      </c>
      <c r="G4080" s="11" t="n">
        <v>15.77</v>
      </c>
      <c r="H4080" s="11">
        <f>H4079+G4080</f>
        <v/>
      </c>
    </row>
    <row r="4081">
      <c r="A4081" s="9" t="n">
        <v>4077</v>
      </c>
      <c r="B4081" s="9" t="inlineStr">
        <is>
          <t>Meridian</t>
        </is>
      </c>
      <c r="C4081" s="9" t="inlineStr">
        <is>
          <t>21/50 MA cross, 250-period confirm filter, VWAP</t>
        </is>
      </c>
      <c r="D4081" s="9" t="inlineStr">
        <is>
          <t>Short</t>
        </is>
      </c>
      <c r="E4081" s="10" t="n">
        <v>45663.09375</v>
      </c>
      <c r="F4081" s="10" t="n">
        <v>45663.11805555555</v>
      </c>
      <c r="G4081" s="11" t="n">
        <v>-2.75</v>
      </c>
      <c r="H4081" s="11">
        <f>H4080+G4081</f>
        <v/>
      </c>
    </row>
    <row r="4082">
      <c r="A4082" s="9" t="n">
        <v>4078</v>
      </c>
      <c r="B4082" s="9" t="inlineStr">
        <is>
          <t>Vanguard_M5</t>
        </is>
      </c>
      <c r="C4082" s="9" t="inlineStr">
        <is>
          <t>Trendline breakout (fractal swing line) + VWAP/S-R distance gate</t>
        </is>
      </c>
      <c r="D4082" s="9" t="inlineStr">
        <is>
          <t>Long</t>
        </is>
      </c>
      <c r="E4082" s="10" t="n">
        <v>45657.64236111111</v>
      </c>
      <c r="F4082" s="10" t="n">
        <v>45663.32291666666</v>
      </c>
      <c r="G4082" s="11" t="n">
        <v>20.05</v>
      </c>
      <c r="H4082" s="11">
        <f>H4081+G4082</f>
        <v/>
      </c>
    </row>
    <row r="4083">
      <c r="A4083" s="9" t="n">
        <v>4079</v>
      </c>
      <c r="B4083" s="9" t="inlineStr">
        <is>
          <t>Vanguard_M15</t>
        </is>
      </c>
      <c r="C4083" s="9" t="inlineStr">
        <is>
          <t>Trendline breakout (fractal swing line) + VWAP/S-R distance gate - M15 chart</t>
        </is>
      </c>
      <c r="D4083" s="9" t="inlineStr">
        <is>
          <t>Long</t>
        </is>
      </c>
      <c r="E4083" s="10" t="n">
        <v>45657.64583333334</v>
      </c>
      <c r="F4083" s="10" t="n">
        <v>45663.34375</v>
      </c>
      <c r="G4083" s="11" t="n">
        <v>17.48</v>
      </c>
      <c r="H4083" s="11">
        <f>H4082+G4083</f>
        <v/>
      </c>
    </row>
    <row r="4084">
      <c r="A4084" s="9" t="n">
        <v>4080</v>
      </c>
      <c r="B4084" s="9" t="inlineStr">
        <is>
          <t>Ratchet</t>
        </is>
      </c>
      <c r="C4084" s="9" t="inlineStr">
        <is>
          <t>Stochastic scalp with give-back trail exit</t>
        </is>
      </c>
      <c r="D4084" s="9" t="inlineStr">
        <is>
          <t>Short</t>
        </is>
      </c>
      <c r="E4084" s="10" t="n">
        <v>45663.44791666666</v>
      </c>
      <c r="F4084" s="10" t="n">
        <v>45663.45486111111</v>
      </c>
      <c r="G4084" s="11" t="n">
        <v>-3.36</v>
      </c>
      <c r="H4084" s="11">
        <f>H4083+G4084</f>
        <v/>
      </c>
    </row>
    <row r="4085">
      <c r="A4085" s="9" t="n">
        <v>4081</v>
      </c>
      <c r="B4085" s="9" t="inlineStr">
        <is>
          <t>Meridian</t>
        </is>
      </c>
      <c r="C4085" s="9" t="inlineStr">
        <is>
          <t>21/50 MA cross, 250-period confirm filter, VWAP</t>
        </is>
      </c>
      <c r="D4085" s="9" t="inlineStr">
        <is>
          <t>Short</t>
        </is>
      </c>
      <c r="E4085" s="10" t="n">
        <v>45663.25</v>
      </c>
      <c r="F4085" s="10" t="n">
        <v>45663.53472222222</v>
      </c>
      <c r="G4085" s="11" t="n">
        <v>6.36</v>
      </c>
      <c r="H4085" s="11">
        <f>H4084+G4085</f>
        <v/>
      </c>
    </row>
    <row r="4086">
      <c r="A4086" s="9" t="n">
        <v>4082</v>
      </c>
      <c r="B4086" s="9" t="inlineStr">
        <is>
          <t>Vanguard_M5</t>
        </is>
      </c>
      <c r="C4086" s="9" t="inlineStr">
        <is>
          <t>Trendline breakout (fractal swing line) + VWAP/S-R distance gate</t>
        </is>
      </c>
      <c r="D4086" s="9" t="inlineStr">
        <is>
          <t>Short</t>
        </is>
      </c>
      <c r="E4086" s="10" t="n">
        <v>45663.32638888889</v>
      </c>
      <c r="F4086" s="10" t="n">
        <v>45663.55208333334</v>
      </c>
      <c r="G4086" s="11" t="n">
        <v>-6.28</v>
      </c>
      <c r="H4086" s="11">
        <f>H4085+G4086</f>
        <v/>
      </c>
    </row>
    <row r="4087">
      <c r="A4087" s="9" t="n">
        <v>4083</v>
      </c>
      <c r="B4087" s="9" t="inlineStr">
        <is>
          <t>Vanguard_M15</t>
        </is>
      </c>
      <c r="C4087" s="9" t="inlineStr">
        <is>
          <t>Trendline breakout (fractal swing line) + VWAP/S-R distance gate - M15 chart</t>
        </is>
      </c>
      <c r="D4087" s="9" t="inlineStr">
        <is>
          <t>Short</t>
        </is>
      </c>
      <c r="E4087" s="10" t="n">
        <v>45663.35416666666</v>
      </c>
      <c r="F4087" s="10" t="n">
        <v>45663.55208333334</v>
      </c>
      <c r="G4087" s="11" t="n">
        <v>-7.9</v>
      </c>
      <c r="H4087" s="11">
        <f>H4086+G4087</f>
        <v/>
      </c>
    </row>
    <row r="4088">
      <c r="A4088" s="9" t="n">
        <v>4084</v>
      </c>
      <c r="B4088" s="9" t="inlineStr">
        <is>
          <t>Vanguard_M15</t>
        </is>
      </c>
      <c r="C4088" s="9" t="inlineStr">
        <is>
          <t>Trendline breakout (fractal swing line) + VWAP/S-R distance gate - M15 chart</t>
        </is>
      </c>
      <c r="D4088" s="9" t="inlineStr">
        <is>
          <t>Long</t>
        </is>
      </c>
      <c r="E4088" s="10" t="n">
        <v>45663.5625</v>
      </c>
      <c r="F4088" s="10" t="n">
        <v>45663.64583333334</v>
      </c>
      <c r="G4088" s="11" t="n">
        <v>-9.800000000000001</v>
      </c>
      <c r="H4088" s="11">
        <f>H4087+G4088</f>
        <v/>
      </c>
    </row>
    <row r="4089">
      <c r="A4089" s="9" t="n">
        <v>4085</v>
      </c>
      <c r="B4089" s="9" t="inlineStr">
        <is>
          <t>Vanguard_M5</t>
        </is>
      </c>
      <c r="C4089" s="9" t="inlineStr">
        <is>
          <t>Trendline breakout (fractal swing line) + VWAP/S-R distance gate</t>
        </is>
      </c>
      <c r="D4089" s="9" t="inlineStr">
        <is>
          <t>Long</t>
        </is>
      </c>
      <c r="E4089" s="10" t="n">
        <v>45663.55555555555</v>
      </c>
      <c r="F4089" s="10" t="n">
        <v>45663.64930555555</v>
      </c>
      <c r="G4089" s="11" t="n">
        <v>-7.57</v>
      </c>
      <c r="H4089" s="11">
        <f>H4088+G4089</f>
        <v/>
      </c>
    </row>
    <row r="4090">
      <c r="A4090" s="9" t="n">
        <v>4086</v>
      </c>
      <c r="B4090" s="9" t="inlineStr">
        <is>
          <t>Ratchet</t>
        </is>
      </c>
      <c r="C4090" s="9" t="inlineStr">
        <is>
          <t>Stochastic scalp with give-back trail exit</t>
        </is>
      </c>
      <c r="D4090" s="9" t="inlineStr">
        <is>
          <t>Short</t>
        </is>
      </c>
      <c r="E4090" s="10" t="n">
        <v>45663.67708333334</v>
      </c>
      <c r="F4090" s="10" t="n">
        <v>45663.68402777778</v>
      </c>
      <c r="G4090" s="11" t="n">
        <v>2.45</v>
      </c>
      <c r="H4090" s="11">
        <f>H4089+G4090</f>
        <v/>
      </c>
    </row>
    <row r="4091">
      <c r="A4091" s="9" t="n">
        <v>4087</v>
      </c>
      <c r="B4091" s="9" t="inlineStr">
        <is>
          <t>Ratchet</t>
        </is>
      </c>
      <c r="C4091" s="9" t="inlineStr">
        <is>
          <t>Stochastic scalp with give-back trail exit</t>
        </is>
      </c>
      <c r="D4091" s="9" t="inlineStr">
        <is>
          <t>Short</t>
        </is>
      </c>
      <c r="E4091" s="10" t="n">
        <v>45663.69097222222</v>
      </c>
      <c r="F4091" s="10" t="n">
        <v>45663.70138888889</v>
      </c>
      <c r="G4091" s="11" t="n">
        <v>-9.56</v>
      </c>
      <c r="H4091" s="11">
        <f>H4090+G4091</f>
        <v/>
      </c>
    </row>
    <row r="4092">
      <c r="A4092" s="9" t="n">
        <v>4088</v>
      </c>
      <c r="B4092" s="9" t="inlineStr">
        <is>
          <t>Vanguard_M15</t>
        </is>
      </c>
      <c r="C4092" s="9" t="inlineStr">
        <is>
          <t>Trendline breakout (fractal swing line) + VWAP/S-R distance gate - M15 chart</t>
        </is>
      </c>
      <c r="D4092" s="9" t="inlineStr">
        <is>
          <t>Short</t>
        </is>
      </c>
      <c r="E4092" s="10" t="n">
        <v>45663.65625</v>
      </c>
      <c r="F4092" s="10" t="n">
        <v>45663.71875</v>
      </c>
      <c r="G4092" s="11" t="n">
        <v>-14.81</v>
      </c>
      <c r="H4092" s="11">
        <f>H4091+G4092</f>
        <v/>
      </c>
    </row>
    <row r="4093">
      <c r="A4093" s="9" t="n">
        <v>4089</v>
      </c>
      <c r="B4093" s="9" t="inlineStr">
        <is>
          <t>Vanguard_M5</t>
        </is>
      </c>
      <c r="C4093" s="9" t="inlineStr">
        <is>
          <t>Trendline breakout (fractal swing line) + VWAP/S-R distance gate</t>
        </is>
      </c>
      <c r="D4093" s="9" t="inlineStr">
        <is>
          <t>Short</t>
        </is>
      </c>
      <c r="E4093" s="10" t="n">
        <v>45663.65277777778</v>
      </c>
      <c r="F4093" s="10" t="n">
        <v>45663.72222222222</v>
      </c>
      <c r="G4093" s="11" t="n">
        <v>-6.29</v>
      </c>
      <c r="H4093" s="11">
        <f>H4092+G4093</f>
        <v/>
      </c>
    </row>
    <row r="4094">
      <c r="A4094" s="9" t="n">
        <v>4090</v>
      </c>
      <c r="B4094" s="9" t="inlineStr">
        <is>
          <t>Meridian</t>
        </is>
      </c>
      <c r="C4094" s="9" t="inlineStr">
        <is>
          <t>21/50 MA cross, 250-period confirm filter, VWAP</t>
        </is>
      </c>
      <c r="D4094" s="9" t="inlineStr">
        <is>
          <t>Short</t>
        </is>
      </c>
      <c r="E4094" s="10" t="n">
        <v>45663.66319444445</v>
      </c>
      <c r="F4094" s="10" t="n">
        <v>45663.72222222222</v>
      </c>
      <c r="G4094" s="11" t="n">
        <v>-9.369999999999999</v>
      </c>
      <c r="H4094" s="11">
        <f>H4093+G4094</f>
        <v/>
      </c>
    </row>
    <row r="4095">
      <c r="A4095" s="9" t="n">
        <v>4091</v>
      </c>
      <c r="B4095" s="9" t="inlineStr">
        <is>
          <t>Vanguard_M5</t>
        </is>
      </c>
      <c r="C4095" s="9" t="inlineStr">
        <is>
          <t>Trendline breakout (fractal swing line) + VWAP/S-R distance gate</t>
        </is>
      </c>
      <c r="D4095" s="9" t="inlineStr">
        <is>
          <t>Long</t>
        </is>
      </c>
      <c r="E4095" s="10" t="n">
        <v>45663.72569444445</v>
      </c>
      <c r="F4095" s="10" t="n">
        <v>45663.72916666666</v>
      </c>
      <c r="G4095" s="11" t="n">
        <v>0.95</v>
      </c>
      <c r="H4095" s="11">
        <f>H4094+G4095</f>
        <v/>
      </c>
    </row>
    <row r="4096">
      <c r="A4096" s="9" t="n">
        <v>4092</v>
      </c>
      <c r="B4096" s="9" t="inlineStr">
        <is>
          <t>Vanguard_M15</t>
        </is>
      </c>
      <c r="C4096" s="9" t="inlineStr">
        <is>
          <t>Trendline breakout (fractal swing line) + VWAP/S-R distance gate - M15 chart</t>
        </is>
      </c>
      <c r="D4096" s="9" t="inlineStr">
        <is>
          <t>Long</t>
        </is>
      </c>
      <c r="E4096" s="10" t="n">
        <v>45663.72916666666</v>
      </c>
      <c r="F4096" s="10" t="n">
        <v>45663.72916666666</v>
      </c>
      <c r="G4096" s="11" t="n">
        <v>-3.93</v>
      </c>
      <c r="H4096" s="11">
        <f>H4095+G4096</f>
        <v/>
      </c>
    </row>
    <row r="4097">
      <c r="A4097" s="9" t="n">
        <v>4093</v>
      </c>
      <c r="B4097" s="9" t="inlineStr">
        <is>
          <t>Vanguard_M15</t>
        </is>
      </c>
      <c r="C4097" s="9" t="inlineStr">
        <is>
          <t>Trendline breakout (fractal swing line) + VWAP/S-R distance gate - M15 chart</t>
        </is>
      </c>
      <c r="D4097" s="9" t="inlineStr">
        <is>
          <t>Short</t>
        </is>
      </c>
      <c r="E4097" s="10" t="n">
        <v>45663.73958333334</v>
      </c>
      <c r="F4097" s="10" t="n">
        <v>45663.75</v>
      </c>
      <c r="G4097" s="11" t="n">
        <v>-1.85</v>
      </c>
      <c r="H4097" s="11">
        <f>H4096+G4097</f>
        <v/>
      </c>
    </row>
    <row r="4098">
      <c r="A4098" s="9" t="n">
        <v>4094</v>
      </c>
      <c r="B4098" s="9" t="inlineStr">
        <is>
          <t>Vanguard_M5</t>
        </is>
      </c>
      <c r="C4098" s="9" t="inlineStr">
        <is>
          <t>Trendline breakout (fractal swing line) + VWAP/S-R distance gate</t>
        </is>
      </c>
      <c r="D4098" s="9" t="inlineStr">
        <is>
          <t>Long</t>
        </is>
      </c>
      <c r="E4098" s="10" t="n">
        <v>45663.75694444445</v>
      </c>
      <c r="F4098" s="10" t="n">
        <v>45663.80208333334</v>
      </c>
      <c r="G4098" s="11" t="n">
        <v>1.34</v>
      </c>
      <c r="H4098" s="11">
        <f>H4097+G4098</f>
        <v/>
      </c>
    </row>
    <row r="4099">
      <c r="A4099" s="9" t="n">
        <v>4095</v>
      </c>
      <c r="B4099" s="9" t="inlineStr">
        <is>
          <t>Vanguard_M15</t>
        </is>
      </c>
      <c r="C4099" s="9" t="inlineStr">
        <is>
          <t>Trendline breakout (fractal swing line) + VWAP/S-R distance gate - M15 chart</t>
        </is>
      </c>
      <c r="D4099" s="9" t="inlineStr">
        <is>
          <t>Long</t>
        </is>
      </c>
      <c r="E4099" s="10" t="n">
        <v>45663.76041666666</v>
      </c>
      <c r="F4099" s="10" t="n">
        <v>45663.80208333334</v>
      </c>
      <c r="G4099" s="11" t="n">
        <v>0.28</v>
      </c>
      <c r="H4099" s="11">
        <f>H4098+G4099</f>
        <v/>
      </c>
    </row>
    <row r="4100">
      <c r="A4100" s="9" t="n">
        <v>4096</v>
      </c>
      <c r="B4100" s="9" t="inlineStr">
        <is>
          <t>Meridian</t>
        </is>
      </c>
      <c r="C4100" s="9" t="inlineStr">
        <is>
          <t>21/50 MA cross, 250-period confirm filter, VWAP</t>
        </is>
      </c>
      <c r="D4100" s="9" t="inlineStr">
        <is>
          <t>Long</t>
        </is>
      </c>
      <c r="E4100" s="10" t="n">
        <v>45663.76736111111</v>
      </c>
      <c r="F4100" s="10" t="n">
        <v>45663.87847222222</v>
      </c>
      <c r="G4100" s="11" t="n">
        <v>-4.72</v>
      </c>
      <c r="H4100" s="11">
        <f>H4099+G4100</f>
        <v/>
      </c>
    </row>
    <row r="4101">
      <c r="A4101" s="9" t="n">
        <v>4097</v>
      </c>
      <c r="B4101" s="9" t="inlineStr">
        <is>
          <t>Meridian</t>
        </is>
      </c>
      <c r="C4101" s="9" t="inlineStr">
        <is>
          <t>21/50 MA cross, 250-period confirm filter, VWAP</t>
        </is>
      </c>
      <c r="D4101" s="9" t="inlineStr">
        <is>
          <t>Long</t>
        </is>
      </c>
      <c r="E4101" s="10" t="n">
        <v>45663.97916666666</v>
      </c>
      <c r="F4101" s="10" t="n">
        <v>45664.04166666666</v>
      </c>
      <c r="G4101" s="11" t="n">
        <v>-2.53</v>
      </c>
      <c r="H4101" s="11">
        <f>H4100+G4101</f>
        <v/>
      </c>
    </row>
    <row r="4102">
      <c r="A4102" s="9" t="n">
        <v>4098</v>
      </c>
      <c r="B4102" s="9" t="inlineStr">
        <is>
          <t>Meridian</t>
        </is>
      </c>
      <c r="C4102" s="9" t="inlineStr">
        <is>
          <t>21/50 MA cross, 250-period confirm filter, VWAP</t>
        </is>
      </c>
      <c r="D4102" s="9" t="inlineStr">
        <is>
          <t>Short</t>
        </is>
      </c>
      <c r="E4102" s="10" t="n">
        <v>45664.06944444445</v>
      </c>
      <c r="F4102" s="10" t="n">
        <v>45664.125</v>
      </c>
      <c r="G4102" s="11" t="n">
        <v>-2.05</v>
      </c>
      <c r="H4102" s="11">
        <f>H4101+G4102</f>
        <v/>
      </c>
    </row>
    <row r="4103">
      <c r="A4103" s="9" t="n">
        <v>4099</v>
      </c>
      <c r="B4103" s="9" t="inlineStr">
        <is>
          <t>Ratchet</t>
        </is>
      </c>
      <c r="C4103" s="9" t="inlineStr">
        <is>
          <t>Stochastic scalp with give-back trail exit</t>
        </is>
      </c>
      <c r="D4103" s="9" t="inlineStr">
        <is>
          <t>Long</t>
        </is>
      </c>
      <c r="E4103" s="10" t="n">
        <v>45664.6875</v>
      </c>
      <c r="F4103" s="10" t="n">
        <v>45664.69791666666</v>
      </c>
      <c r="G4103" s="11" t="n">
        <v>0.44</v>
      </c>
      <c r="H4103" s="11">
        <f>H4102+G4103</f>
        <v/>
      </c>
    </row>
    <row r="4104">
      <c r="A4104" s="9" t="n">
        <v>4100</v>
      </c>
      <c r="B4104" s="9" t="inlineStr">
        <is>
          <t>Aurelius_M5</t>
        </is>
      </c>
      <c r="C4104" s="9" t="inlineStr">
        <is>
          <t>MA alignment (EMA21&gt;EMA50&gt;SMA250&gt;SMMA500 vs EMA2400 trend filter)</t>
        </is>
      </c>
      <c r="D4104" s="9" t="inlineStr">
        <is>
          <t>Long</t>
        </is>
      </c>
      <c r="E4104" s="10" t="n">
        <v>45664.55555555555</v>
      </c>
      <c r="F4104" s="10" t="n">
        <v>45664.73611111111</v>
      </c>
      <c r="G4104" s="11" t="n">
        <v>2.17</v>
      </c>
      <c r="H4104" s="11">
        <f>H4103+G4104</f>
        <v/>
      </c>
    </row>
    <row r="4105">
      <c r="A4105" s="9" t="n">
        <v>4101</v>
      </c>
      <c r="B4105" s="9" t="inlineStr">
        <is>
          <t>Meridian</t>
        </is>
      </c>
      <c r="C4105" s="9" t="inlineStr">
        <is>
          <t>21/50 MA cross, 250-period confirm filter, VWAP</t>
        </is>
      </c>
      <c r="D4105" s="9" t="inlineStr">
        <is>
          <t>Long</t>
        </is>
      </c>
      <c r="E4105" s="10" t="n">
        <v>45664.13888888889</v>
      </c>
      <c r="F4105" s="10" t="n">
        <v>45664.74652777778</v>
      </c>
      <c r="G4105" s="11" t="n">
        <v>11.59</v>
      </c>
      <c r="H4105" s="11">
        <f>H4104+G4105</f>
        <v/>
      </c>
    </row>
    <row r="4106">
      <c r="A4106" s="9" t="n">
        <v>4102</v>
      </c>
      <c r="B4106" s="9" t="inlineStr">
        <is>
          <t>Meridian</t>
        </is>
      </c>
      <c r="C4106" s="9" t="inlineStr">
        <is>
          <t>21/50 MA cross, 250-period confirm filter, VWAP</t>
        </is>
      </c>
      <c r="D4106" s="9" t="inlineStr">
        <is>
          <t>Long</t>
        </is>
      </c>
      <c r="E4106" s="10" t="n">
        <v>45664.80208333334</v>
      </c>
      <c r="F4106" s="10" t="n">
        <v>45664.83680555555</v>
      </c>
      <c r="G4106" s="11" t="n">
        <v>-2.29</v>
      </c>
      <c r="H4106" s="11">
        <f>H4105+G4106</f>
        <v/>
      </c>
    </row>
    <row r="4107">
      <c r="A4107" s="9" t="n">
        <v>4103</v>
      </c>
      <c r="B4107" s="9" t="inlineStr">
        <is>
          <t>Meridian</t>
        </is>
      </c>
      <c r="C4107" s="9" t="inlineStr">
        <is>
          <t>21/50 MA cross, 250-period confirm filter, VWAP</t>
        </is>
      </c>
      <c r="D4107" s="9" t="inlineStr">
        <is>
          <t>Long</t>
        </is>
      </c>
      <c r="E4107" s="10" t="n">
        <v>45665.10069444445</v>
      </c>
      <c r="F4107" s="10" t="n">
        <v>45665.125</v>
      </c>
      <c r="G4107" s="11" t="n">
        <v>-2.32</v>
      </c>
      <c r="H4107" s="11">
        <f>H4106+G4107</f>
        <v/>
      </c>
    </row>
    <row r="4108">
      <c r="A4108" s="9" t="n">
        <v>4104</v>
      </c>
      <c r="B4108" s="9" t="inlineStr">
        <is>
          <t>Ratchet</t>
        </is>
      </c>
      <c r="C4108" s="9" t="inlineStr">
        <is>
          <t>Stochastic scalp with give-back trail exit</t>
        </is>
      </c>
      <c r="D4108" s="9" t="inlineStr">
        <is>
          <t>Long</t>
        </is>
      </c>
      <c r="E4108" s="10" t="n">
        <v>45665.10763888889</v>
      </c>
      <c r="F4108" s="10" t="n">
        <v>45665.125</v>
      </c>
      <c r="G4108" s="11" t="n">
        <v>-1.46</v>
      </c>
      <c r="H4108" s="11">
        <f>H4107+G4108</f>
        <v/>
      </c>
    </row>
    <row r="4109">
      <c r="A4109" s="9" t="n">
        <v>4105</v>
      </c>
      <c r="B4109" s="9" t="inlineStr">
        <is>
          <t>Ratchet</t>
        </is>
      </c>
      <c r="C4109" s="9" t="inlineStr">
        <is>
          <t>Stochastic scalp with give-back trail exit</t>
        </is>
      </c>
      <c r="D4109" s="9" t="inlineStr">
        <is>
          <t>Long</t>
        </is>
      </c>
      <c r="E4109" s="10" t="n">
        <v>45665.35069444445</v>
      </c>
      <c r="F4109" s="10" t="n">
        <v>45665.375</v>
      </c>
      <c r="G4109" s="11" t="n">
        <v>0</v>
      </c>
      <c r="H4109" s="11">
        <f>H4108+G4109</f>
        <v/>
      </c>
    </row>
    <row r="4110">
      <c r="A4110" s="9" t="n">
        <v>4106</v>
      </c>
      <c r="B4110" s="9" t="inlineStr">
        <is>
          <t>Ratchet</t>
        </is>
      </c>
      <c r="C4110" s="9" t="inlineStr">
        <is>
          <t>Stochastic scalp with give-back trail exit</t>
        </is>
      </c>
      <c r="D4110" s="9" t="inlineStr">
        <is>
          <t>Long</t>
        </is>
      </c>
      <c r="E4110" s="10" t="n">
        <v>45665.5</v>
      </c>
      <c r="F4110" s="10" t="n">
        <v>45665.52083333334</v>
      </c>
      <c r="G4110" s="11" t="n">
        <v>0.23</v>
      </c>
      <c r="H4110" s="11">
        <f>H4109+G4110</f>
        <v/>
      </c>
    </row>
    <row r="4111">
      <c r="A4111" s="9" t="n">
        <v>4107</v>
      </c>
      <c r="B4111" s="9" t="inlineStr">
        <is>
          <t>Ratchet</t>
        </is>
      </c>
      <c r="C4111" s="9" t="inlineStr">
        <is>
          <t>Stochastic scalp with give-back trail exit</t>
        </is>
      </c>
      <c r="D4111" s="9" t="inlineStr">
        <is>
          <t>Long</t>
        </is>
      </c>
      <c r="E4111" s="10" t="n">
        <v>45665.52430555555</v>
      </c>
      <c r="F4111" s="10" t="n">
        <v>45665.54166666666</v>
      </c>
      <c r="G4111" s="11" t="n">
        <v>-1.96</v>
      </c>
      <c r="H4111" s="11">
        <f>H4110+G4111</f>
        <v/>
      </c>
    </row>
    <row r="4112">
      <c r="A4112" s="9" t="n">
        <v>4108</v>
      </c>
      <c r="B4112" s="9" t="inlineStr">
        <is>
          <t>Aurelius_M5</t>
        </is>
      </c>
      <c r="C4112" s="9" t="inlineStr">
        <is>
          <t>MA alignment (EMA21&gt;EMA50&gt;SMA250&gt;SMMA500 vs EMA2400 trend filter)</t>
        </is>
      </c>
      <c r="D4112" s="9" t="inlineStr">
        <is>
          <t>Long</t>
        </is>
      </c>
      <c r="E4112" s="10" t="n">
        <v>45665.45486111111</v>
      </c>
      <c r="F4112" s="10" t="n">
        <v>45665.5625</v>
      </c>
      <c r="G4112" s="11" t="n">
        <v>-3.32</v>
      </c>
      <c r="H4112" s="11">
        <f>H4111+G4112</f>
        <v/>
      </c>
    </row>
    <row r="4113">
      <c r="A4113" s="9" t="n">
        <v>4109</v>
      </c>
      <c r="B4113" s="9" t="inlineStr">
        <is>
          <t>Meridian</t>
        </is>
      </c>
      <c r="C4113" s="9" t="inlineStr">
        <is>
          <t>21/50 MA cross, 250-period confirm filter, VWAP</t>
        </is>
      </c>
      <c r="D4113" s="9" t="inlineStr">
        <is>
          <t>Long</t>
        </is>
      </c>
      <c r="E4113" s="10" t="n">
        <v>45665.32291666666</v>
      </c>
      <c r="F4113" s="10" t="n">
        <v>45665.56597222222</v>
      </c>
      <c r="G4113" s="11" t="n">
        <v>-1.26</v>
      </c>
      <c r="H4113" s="11">
        <f>H4112+G4113</f>
        <v/>
      </c>
    </row>
    <row r="4114">
      <c r="A4114" s="9" t="n">
        <v>4110</v>
      </c>
      <c r="B4114" s="9" t="inlineStr">
        <is>
          <t>Meridian</t>
        </is>
      </c>
      <c r="C4114" s="9" t="inlineStr">
        <is>
          <t>21/50 MA cross, 250-period confirm filter, VWAP</t>
        </is>
      </c>
      <c r="D4114" s="9" t="inlineStr">
        <is>
          <t>Long</t>
        </is>
      </c>
      <c r="E4114" s="10" t="n">
        <v>45665.63194444445</v>
      </c>
      <c r="F4114" s="10" t="n">
        <v>45665.64236111111</v>
      </c>
      <c r="G4114" s="11" t="n">
        <v>-4.69</v>
      </c>
      <c r="H4114" s="11">
        <f>H4113+G4114</f>
        <v/>
      </c>
    </row>
    <row r="4115">
      <c r="A4115" s="9" t="n">
        <v>4111</v>
      </c>
      <c r="B4115" s="9" t="inlineStr">
        <is>
          <t>Ratchet</t>
        </is>
      </c>
      <c r="C4115" s="9" t="inlineStr">
        <is>
          <t>Stochastic scalp with give-back trail exit</t>
        </is>
      </c>
      <c r="D4115" s="9" t="inlineStr">
        <is>
          <t>Long</t>
        </is>
      </c>
      <c r="E4115" s="10" t="n">
        <v>45665.63888888889</v>
      </c>
      <c r="F4115" s="10" t="n">
        <v>45665.64236111111</v>
      </c>
      <c r="G4115" s="11" t="n">
        <v>0.87</v>
      </c>
      <c r="H4115" s="11">
        <f>H4114+G4115</f>
        <v/>
      </c>
    </row>
    <row r="4116">
      <c r="A4116" s="9" t="n">
        <v>4112</v>
      </c>
      <c r="B4116" s="9" t="inlineStr">
        <is>
          <t>Ratchet</t>
        </is>
      </c>
      <c r="C4116" s="9" t="inlineStr">
        <is>
          <t>Stochastic scalp with give-back trail exit</t>
        </is>
      </c>
      <c r="D4116" s="9" t="inlineStr">
        <is>
          <t>Long</t>
        </is>
      </c>
      <c r="E4116" s="10" t="n">
        <v>45665.72916666666</v>
      </c>
      <c r="F4116" s="10" t="n">
        <v>45665.73958333334</v>
      </c>
      <c r="G4116" s="11" t="n">
        <v>0.64</v>
      </c>
      <c r="H4116" s="11">
        <f>H4115+G4116</f>
        <v/>
      </c>
    </row>
    <row r="4117">
      <c r="A4117" s="9" t="n">
        <v>4113</v>
      </c>
      <c r="B4117" s="9" t="inlineStr">
        <is>
          <t>Aurelius_M5</t>
        </is>
      </c>
      <c r="C4117" s="9" t="inlineStr">
        <is>
          <t>MA alignment (EMA21&gt;EMA50&gt;SMA250&gt;SMMA500 vs EMA2400 trend filter)</t>
        </is>
      </c>
      <c r="D4117" s="9" t="inlineStr">
        <is>
          <t>Long</t>
        </is>
      </c>
      <c r="E4117" s="10" t="n">
        <v>45665.65972222222</v>
      </c>
      <c r="F4117" s="10" t="n">
        <v>45665.81944444445</v>
      </c>
      <c r="G4117" s="11" t="n">
        <v>-6.64</v>
      </c>
      <c r="H4117" s="11">
        <f>H4116+G4117</f>
        <v/>
      </c>
    </row>
    <row r="4118">
      <c r="A4118" s="9" t="n">
        <v>4114</v>
      </c>
      <c r="B4118" s="9" t="inlineStr">
        <is>
          <t>Vanguard_M5</t>
        </is>
      </c>
      <c r="C4118" s="9" t="inlineStr">
        <is>
          <t>Trendline breakout (fractal swing line) + VWAP/S-R distance gate</t>
        </is>
      </c>
      <c r="D4118" s="9" t="inlineStr">
        <is>
          <t>Short</t>
        </is>
      </c>
      <c r="E4118" s="10" t="n">
        <v>45665.81944444445</v>
      </c>
      <c r="F4118" s="10" t="n">
        <v>45665.95138888889</v>
      </c>
      <c r="G4118" s="11" t="n">
        <v>-11.18</v>
      </c>
      <c r="H4118" s="11">
        <f>H4117+G4118</f>
        <v/>
      </c>
    </row>
    <row r="4119">
      <c r="A4119" s="9" t="n">
        <v>4115</v>
      </c>
      <c r="B4119" s="9" t="inlineStr">
        <is>
          <t>Meridian</t>
        </is>
      </c>
      <c r="C4119" s="9" t="inlineStr">
        <is>
          <t>21/50 MA cross, 250-period confirm filter, VWAP</t>
        </is>
      </c>
      <c r="D4119" s="9" t="inlineStr">
        <is>
          <t>Long</t>
        </is>
      </c>
      <c r="E4119" s="10" t="n">
        <v>45665.95486111111</v>
      </c>
      <c r="F4119" s="10" t="n">
        <v>45666.10069444445</v>
      </c>
      <c r="G4119" s="11" t="n">
        <v>-4.09</v>
      </c>
      <c r="H4119" s="11">
        <f>H4118+G4119</f>
        <v/>
      </c>
    </row>
    <row r="4120">
      <c r="A4120" s="9" t="n">
        <v>4116</v>
      </c>
      <c r="B4120" s="9" t="inlineStr">
        <is>
          <t>Aurelius_M15</t>
        </is>
      </c>
      <c r="C4120" s="9" t="inlineStr">
        <is>
          <t>MA alignment (EMA21&gt;EMA50&gt;SMA250&gt;SMMA500 vs EMA2400 trend filter) - M15 chart</t>
        </is>
      </c>
      <c r="D4120" s="9" t="inlineStr">
        <is>
          <t>Long</t>
        </is>
      </c>
      <c r="E4120" s="10" t="n">
        <v>45665.63541666666</v>
      </c>
      <c r="F4120" s="10" t="n">
        <v>45666.16666666666</v>
      </c>
      <c r="G4120" s="11" t="n">
        <v>3.1</v>
      </c>
      <c r="H4120" s="11">
        <f>H4119+G4120</f>
        <v/>
      </c>
    </row>
    <row r="4121">
      <c r="A4121" s="9" t="n">
        <v>4117</v>
      </c>
      <c r="B4121" s="9" t="inlineStr">
        <is>
          <t>Meridian</t>
        </is>
      </c>
      <c r="C4121" s="9" t="inlineStr">
        <is>
          <t>21/50 MA cross, 250-period confirm filter, VWAP</t>
        </is>
      </c>
      <c r="D4121" s="9" t="inlineStr">
        <is>
          <t>Long</t>
        </is>
      </c>
      <c r="E4121" s="10" t="n">
        <v>45666.24305555555</v>
      </c>
      <c r="F4121" s="10" t="n">
        <v>45666.25347222222</v>
      </c>
      <c r="G4121" s="11" t="n">
        <v>-2.03</v>
      </c>
      <c r="H4121" s="11">
        <f>H4120+G4121</f>
        <v/>
      </c>
    </row>
    <row r="4122">
      <c r="A4122" s="9" t="n">
        <v>4118</v>
      </c>
      <c r="B4122" s="9" t="inlineStr">
        <is>
          <t>Vanguard_M5</t>
        </is>
      </c>
      <c r="C4122" s="9" t="inlineStr">
        <is>
          <t>Trendline breakout (fractal swing line) + VWAP/S-R distance gate</t>
        </is>
      </c>
      <c r="D4122" s="9" t="inlineStr">
        <is>
          <t>Short</t>
        </is>
      </c>
      <c r="E4122" s="10" t="n">
        <v>45666.09375</v>
      </c>
      <c r="F4122" s="10" t="n">
        <v>45666.36111111111</v>
      </c>
      <c r="G4122" s="11" t="n">
        <v>-3.6</v>
      </c>
      <c r="H4122" s="11">
        <f>H4121+G4122</f>
        <v/>
      </c>
    </row>
    <row r="4123">
      <c r="A4123" s="9" t="n">
        <v>4119</v>
      </c>
      <c r="B4123" s="9" t="inlineStr">
        <is>
          <t>Vanguard_M15</t>
        </is>
      </c>
      <c r="C4123" s="9" t="inlineStr">
        <is>
          <t>Trendline breakout (fractal swing line) + VWAP/S-R distance gate - M15 chart</t>
        </is>
      </c>
      <c r="D4123" s="9" t="inlineStr">
        <is>
          <t>Short</t>
        </is>
      </c>
      <c r="E4123" s="10" t="n">
        <v>45665.82291666666</v>
      </c>
      <c r="F4123" s="10" t="n">
        <v>45666.36458333334</v>
      </c>
      <c r="G4123" s="11" t="n">
        <v>-13.29</v>
      </c>
      <c r="H4123" s="11">
        <f>H4122+G4123</f>
        <v/>
      </c>
    </row>
    <row r="4124">
      <c r="A4124" s="9" t="n">
        <v>4120</v>
      </c>
      <c r="B4124" s="9" t="inlineStr">
        <is>
          <t>Ratchet</t>
        </is>
      </c>
      <c r="C4124" s="9" t="inlineStr">
        <is>
          <t>Stochastic scalp with give-back trail exit</t>
        </is>
      </c>
      <c r="D4124" s="9" t="inlineStr">
        <is>
          <t>Long</t>
        </is>
      </c>
      <c r="E4124" s="10" t="n">
        <v>45666.50694444445</v>
      </c>
      <c r="F4124" s="10" t="n">
        <v>45666.51041666666</v>
      </c>
      <c r="G4124" s="11" t="n">
        <v>0.22</v>
      </c>
      <c r="H4124" s="11">
        <f>H4123+G4124</f>
        <v/>
      </c>
    </row>
    <row r="4125">
      <c r="A4125" s="9" t="n">
        <v>4121</v>
      </c>
      <c r="B4125" s="9" t="inlineStr">
        <is>
          <t>Ratchet</t>
        </is>
      </c>
      <c r="C4125" s="9" t="inlineStr">
        <is>
          <t>Stochastic scalp with give-back trail exit</t>
        </is>
      </c>
      <c r="D4125" s="9" t="inlineStr">
        <is>
          <t>Long</t>
        </is>
      </c>
      <c r="E4125" s="10" t="n">
        <v>45666.52430555555</v>
      </c>
      <c r="F4125" s="10" t="n">
        <v>45666.52777777778</v>
      </c>
      <c r="G4125" s="11" t="n">
        <v>0.42</v>
      </c>
      <c r="H4125" s="11">
        <f>H4124+G4125</f>
        <v/>
      </c>
    </row>
    <row r="4126">
      <c r="A4126" s="9" t="n">
        <v>4122</v>
      </c>
      <c r="B4126" s="9" t="inlineStr">
        <is>
          <t>Ratchet</t>
        </is>
      </c>
      <c r="C4126" s="9" t="inlineStr">
        <is>
          <t>Stochastic scalp with give-back trail exit</t>
        </is>
      </c>
      <c r="D4126" s="9" t="inlineStr">
        <is>
          <t>Long</t>
        </is>
      </c>
      <c r="E4126" s="10" t="n">
        <v>45666.625</v>
      </c>
      <c r="F4126" s="10" t="n">
        <v>45666.64583333334</v>
      </c>
      <c r="G4126" s="11" t="n">
        <v>0.33</v>
      </c>
      <c r="H4126" s="11">
        <f>H4125+G4126</f>
        <v/>
      </c>
    </row>
    <row r="4127">
      <c r="A4127" s="9" t="n">
        <v>4123</v>
      </c>
      <c r="B4127" s="9" t="inlineStr">
        <is>
          <t>Meridian</t>
        </is>
      </c>
      <c r="C4127" s="9" t="inlineStr">
        <is>
          <t>21/50 MA cross, 250-period confirm filter, VWAP</t>
        </is>
      </c>
      <c r="D4127" s="9" t="inlineStr">
        <is>
          <t>Long</t>
        </is>
      </c>
      <c r="E4127" s="10" t="n">
        <v>45666.35416666666</v>
      </c>
      <c r="F4127" s="10" t="n">
        <v>45666.76041666666</v>
      </c>
      <c r="G4127" s="11" t="n">
        <v>8.82</v>
      </c>
      <c r="H4127" s="11">
        <f>H4126+G4127</f>
        <v/>
      </c>
    </row>
    <row r="4128">
      <c r="A4128" s="9" t="n">
        <v>4124</v>
      </c>
      <c r="B4128" s="9" t="inlineStr">
        <is>
          <t>Aurelius_M5</t>
        </is>
      </c>
      <c r="C4128" s="9" t="inlineStr">
        <is>
          <t>MA alignment (EMA21&gt;EMA50&gt;SMA250&gt;SMMA500 vs EMA2400 trend filter)</t>
        </is>
      </c>
      <c r="D4128" s="9" t="inlineStr">
        <is>
          <t>Long</t>
        </is>
      </c>
      <c r="E4128" s="10" t="n">
        <v>45666.36111111111</v>
      </c>
      <c r="F4128" s="10" t="n">
        <v>45666.76041666666</v>
      </c>
      <c r="G4128" s="11" t="n">
        <v>6.54</v>
      </c>
      <c r="H4128" s="11">
        <f>H4127+G4128</f>
        <v/>
      </c>
    </row>
    <row r="4129">
      <c r="A4129" s="9" t="n">
        <v>4125</v>
      </c>
      <c r="B4129" s="9" t="inlineStr">
        <is>
          <t>Ratchet</t>
        </is>
      </c>
      <c r="C4129" s="9" t="inlineStr">
        <is>
          <t>Stochastic scalp with give-back trail exit</t>
        </is>
      </c>
      <c r="D4129" s="9" t="inlineStr">
        <is>
          <t>Long</t>
        </is>
      </c>
      <c r="E4129" s="10" t="n">
        <v>45666.90972222222</v>
      </c>
      <c r="F4129" s="10" t="n">
        <v>45666.99652777778</v>
      </c>
      <c r="G4129" s="11" t="n">
        <v>-0.33</v>
      </c>
      <c r="H4129" s="11">
        <f>H4128+G4129</f>
        <v/>
      </c>
    </row>
    <row r="4130">
      <c r="A4130" s="9" t="n">
        <v>4126</v>
      </c>
      <c r="B4130" s="9" t="inlineStr">
        <is>
          <t>Ratchet</t>
        </is>
      </c>
      <c r="C4130" s="9" t="inlineStr">
        <is>
          <t>Stochastic scalp with give-back trail exit</t>
        </is>
      </c>
      <c r="D4130" s="9" t="inlineStr">
        <is>
          <t>Long</t>
        </is>
      </c>
      <c r="E4130" s="10" t="n">
        <v>45667.04513888889</v>
      </c>
      <c r="F4130" s="10" t="n">
        <v>45667.07291666666</v>
      </c>
      <c r="G4130" s="11" t="n">
        <v>-1.32</v>
      </c>
      <c r="H4130" s="11">
        <f>H4129+G4130</f>
        <v/>
      </c>
    </row>
    <row r="4131">
      <c r="A4131" s="9" t="n">
        <v>4127</v>
      </c>
      <c r="B4131" s="9" t="inlineStr">
        <is>
          <t>Ratchet</t>
        </is>
      </c>
      <c r="C4131" s="9" t="inlineStr">
        <is>
          <t>Stochastic scalp with give-back trail exit</t>
        </is>
      </c>
      <c r="D4131" s="9" t="inlineStr">
        <is>
          <t>Long</t>
        </is>
      </c>
      <c r="E4131" s="10" t="n">
        <v>45667.12847222222</v>
      </c>
      <c r="F4131" s="10" t="n">
        <v>45667.13541666666</v>
      </c>
      <c r="G4131" s="11" t="n">
        <v>-1.65</v>
      </c>
      <c r="H4131" s="11">
        <f>H4130+G4131</f>
        <v/>
      </c>
    </row>
    <row r="4132">
      <c r="A4132" s="9" t="n">
        <v>4128</v>
      </c>
      <c r="B4132" s="9" t="inlineStr">
        <is>
          <t>Ratchet</t>
        </is>
      </c>
      <c r="C4132" s="9" t="inlineStr">
        <is>
          <t>Stochastic scalp with give-back trail exit</t>
        </is>
      </c>
      <c r="D4132" s="9" t="inlineStr">
        <is>
          <t>Long</t>
        </is>
      </c>
      <c r="E4132" s="10" t="n">
        <v>45667.22569444445</v>
      </c>
      <c r="F4132" s="10" t="n">
        <v>45667.27430555555</v>
      </c>
      <c r="G4132" s="11" t="n">
        <v>-2.09</v>
      </c>
      <c r="H4132" s="11">
        <f>H4131+G4132</f>
        <v/>
      </c>
    </row>
    <row r="4133">
      <c r="A4133" s="9" t="n">
        <v>4129</v>
      </c>
      <c r="B4133" s="9" t="inlineStr">
        <is>
          <t>Ratchet</t>
        </is>
      </c>
      <c r="C4133" s="9" t="inlineStr">
        <is>
          <t>Stochastic scalp with give-back trail exit</t>
        </is>
      </c>
      <c r="D4133" s="9" t="inlineStr">
        <is>
          <t>Long</t>
        </is>
      </c>
      <c r="E4133" s="10" t="n">
        <v>45667.44444444445</v>
      </c>
      <c r="F4133" s="10" t="n">
        <v>45667.45833333334</v>
      </c>
      <c r="G4133" s="11" t="n">
        <v>0</v>
      </c>
      <c r="H4133" s="11">
        <f>H4132+G4133</f>
        <v/>
      </c>
    </row>
    <row r="4134">
      <c r="A4134" s="9" t="n">
        <v>4130</v>
      </c>
      <c r="B4134" s="9" t="inlineStr">
        <is>
          <t>Ratchet</t>
        </is>
      </c>
      <c r="C4134" s="9" t="inlineStr">
        <is>
          <t>Stochastic scalp with give-back trail exit</t>
        </is>
      </c>
      <c r="D4134" s="9" t="inlineStr">
        <is>
          <t>Long</t>
        </is>
      </c>
      <c r="E4134" s="10" t="n">
        <v>45667.46875</v>
      </c>
      <c r="F4134" s="10" t="n">
        <v>45667.47916666666</v>
      </c>
      <c r="G4134" s="11" t="n">
        <v>0</v>
      </c>
      <c r="H4134" s="11">
        <f>H4133+G4134</f>
        <v/>
      </c>
    </row>
    <row r="4135">
      <c r="A4135" s="9" t="n">
        <v>4131</v>
      </c>
      <c r="B4135" s="9" t="inlineStr">
        <is>
          <t>Ratchet</t>
        </is>
      </c>
      <c r="C4135" s="9" t="inlineStr">
        <is>
          <t>Stochastic scalp with give-back trail exit</t>
        </is>
      </c>
      <c r="D4135" s="9" t="inlineStr">
        <is>
          <t>Long</t>
        </is>
      </c>
      <c r="E4135" s="10" t="n">
        <v>45667.51041666666</v>
      </c>
      <c r="F4135" s="10" t="n">
        <v>45667.51388888889</v>
      </c>
      <c r="G4135" s="11" t="n">
        <v>0.36</v>
      </c>
      <c r="H4135" s="11">
        <f>H4134+G4135</f>
        <v/>
      </c>
    </row>
    <row r="4136">
      <c r="A4136" s="9" t="n">
        <v>4132</v>
      </c>
      <c r="B4136" s="9" t="inlineStr">
        <is>
          <t>Ratchet</t>
        </is>
      </c>
      <c r="C4136" s="9" t="inlineStr">
        <is>
          <t>Stochastic scalp with give-back trail exit</t>
        </is>
      </c>
      <c r="D4136" s="9" t="inlineStr">
        <is>
          <t>Long</t>
        </is>
      </c>
      <c r="E4136" s="10" t="n">
        <v>45667.54861111111</v>
      </c>
      <c r="F4136" s="10" t="n">
        <v>45667.56944444445</v>
      </c>
      <c r="G4136" s="11" t="n">
        <v>0.31</v>
      </c>
      <c r="H4136" s="11">
        <f>H4135+G4136</f>
        <v/>
      </c>
    </row>
    <row r="4137">
      <c r="A4137" s="9" t="n">
        <v>4133</v>
      </c>
      <c r="B4137" s="9" t="inlineStr">
        <is>
          <t>Meridian</t>
        </is>
      </c>
      <c r="C4137" s="9" t="inlineStr">
        <is>
          <t>21/50 MA cross, 250-period confirm filter, VWAP</t>
        </is>
      </c>
      <c r="D4137" s="9" t="inlineStr">
        <is>
          <t>Long</t>
        </is>
      </c>
      <c r="E4137" s="10" t="n">
        <v>45666.87847222222</v>
      </c>
      <c r="F4137" s="10" t="n">
        <v>45667.61111111111</v>
      </c>
      <c r="G4137" s="11" t="n">
        <v>4.16</v>
      </c>
      <c r="H4137" s="11">
        <f>H4136+G4137</f>
        <v/>
      </c>
    </row>
    <row r="4138">
      <c r="A4138" s="9" t="n">
        <v>4134</v>
      </c>
      <c r="B4138" s="9" t="inlineStr">
        <is>
          <t>Aurelius_M5</t>
        </is>
      </c>
      <c r="C4138" s="9" t="inlineStr">
        <is>
          <t>MA alignment (EMA21&gt;EMA50&gt;SMA250&gt;SMMA500 vs EMA2400 trend filter)</t>
        </is>
      </c>
      <c r="D4138" s="9" t="inlineStr">
        <is>
          <t>Long</t>
        </is>
      </c>
      <c r="E4138" s="10" t="n">
        <v>45667.17013888889</v>
      </c>
      <c r="F4138" s="10" t="n">
        <v>45667.61111111111</v>
      </c>
      <c r="G4138" s="11" t="n">
        <v>3.81</v>
      </c>
      <c r="H4138" s="11">
        <f>H4137+G4138</f>
        <v/>
      </c>
    </row>
    <row r="4139">
      <c r="A4139" s="9" t="n">
        <v>4135</v>
      </c>
      <c r="B4139" s="9" t="inlineStr">
        <is>
          <t>Aurelius_M15</t>
        </is>
      </c>
      <c r="C4139" s="9" t="inlineStr">
        <is>
          <t>MA alignment (EMA21&gt;EMA50&gt;SMA250&gt;SMMA500 vs EMA2400 trend filter) - M15 chart</t>
        </is>
      </c>
      <c r="D4139" s="9" t="inlineStr">
        <is>
          <t>Long</t>
        </is>
      </c>
      <c r="E4139" s="10" t="n">
        <v>45667.125</v>
      </c>
      <c r="F4139" s="10" t="n">
        <v>45667.64583333334</v>
      </c>
      <c r="G4139" s="11" t="n">
        <v>-4.57</v>
      </c>
      <c r="H4139" s="11">
        <f>H4138+G4139</f>
        <v/>
      </c>
    </row>
    <row r="4140">
      <c r="A4140" s="9" t="n">
        <v>4136</v>
      </c>
      <c r="B4140" s="9" t="inlineStr">
        <is>
          <t>Vanguard_M5</t>
        </is>
      </c>
      <c r="C4140" s="9" t="inlineStr">
        <is>
          <t>Trendline breakout (fractal swing line) + VWAP/S-R distance gate</t>
        </is>
      </c>
      <c r="D4140" s="9" t="inlineStr">
        <is>
          <t>Short</t>
        </is>
      </c>
      <c r="E4140" s="10" t="n">
        <v>45667.64930555555</v>
      </c>
      <c r="F4140" s="10" t="n">
        <v>45667.65625</v>
      </c>
      <c r="G4140" s="11" t="n">
        <v>-11.52</v>
      </c>
      <c r="H4140" s="11">
        <f>H4139+G4140</f>
        <v/>
      </c>
    </row>
    <row r="4141">
      <c r="A4141" s="9" t="n">
        <v>4137</v>
      </c>
      <c r="B4141" s="9" t="inlineStr">
        <is>
          <t>Ratchet</t>
        </is>
      </c>
      <c r="C4141" s="9" t="inlineStr">
        <is>
          <t>Stochastic scalp with give-back trail exit</t>
        </is>
      </c>
      <c r="D4141" s="9" t="inlineStr">
        <is>
          <t>Long</t>
        </is>
      </c>
      <c r="E4141" s="10" t="n">
        <v>45667.70138888889</v>
      </c>
      <c r="F4141" s="10" t="n">
        <v>45667.73611111111</v>
      </c>
      <c r="G4141" s="11" t="n">
        <v>2.9</v>
      </c>
      <c r="H4141" s="11">
        <f>H4140+G4141</f>
        <v/>
      </c>
    </row>
    <row r="4142">
      <c r="A4142" s="9" t="n">
        <v>4138</v>
      </c>
      <c r="B4142" s="9" t="inlineStr">
        <is>
          <t>Ratchet</t>
        </is>
      </c>
      <c r="C4142" s="9" t="inlineStr">
        <is>
          <t>Stochastic scalp with give-back trail exit</t>
        </is>
      </c>
      <c r="D4142" s="9" t="inlineStr">
        <is>
          <t>Long</t>
        </is>
      </c>
      <c r="E4142" s="10" t="n">
        <v>45667.8125</v>
      </c>
      <c r="F4142" s="10" t="n">
        <v>45667.82638888889</v>
      </c>
      <c r="G4142" s="11" t="n">
        <v>0.75</v>
      </c>
      <c r="H4142" s="11">
        <f>H4141+G4142</f>
        <v/>
      </c>
    </row>
    <row r="4143">
      <c r="A4143" s="9" t="n">
        <v>4139</v>
      </c>
      <c r="B4143" s="9" t="inlineStr">
        <is>
          <t>Aurelius_M5</t>
        </is>
      </c>
      <c r="C4143" s="9" t="inlineStr">
        <is>
          <t>MA alignment (EMA21&gt;EMA50&gt;SMA250&gt;SMMA500 vs EMA2400 trend filter)</t>
        </is>
      </c>
      <c r="D4143" s="9" t="inlineStr">
        <is>
          <t>Long</t>
        </is>
      </c>
      <c r="E4143" s="10" t="n">
        <v>45667.70138888889</v>
      </c>
      <c r="F4143" s="10" t="n">
        <v>45667.87152777778</v>
      </c>
      <c r="G4143" s="11" t="n">
        <v>-1.59</v>
      </c>
      <c r="H4143" s="11">
        <f>H4142+G4143</f>
        <v/>
      </c>
    </row>
    <row r="4144">
      <c r="A4144" s="9" t="n">
        <v>4140</v>
      </c>
      <c r="B4144" s="9" t="inlineStr">
        <is>
          <t>Meridian</t>
        </is>
      </c>
      <c r="C4144" s="9" t="inlineStr">
        <is>
          <t>21/50 MA cross, 250-period confirm filter, VWAP</t>
        </is>
      </c>
      <c r="D4144" s="9" t="inlineStr">
        <is>
          <t>Long</t>
        </is>
      </c>
      <c r="E4144" s="10" t="n">
        <v>45667.67361111111</v>
      </c>
      <c r="F4144" s="10" t="n">
        <v>45667.88194444445</v>
      </c>
      <c r="G4144" s="11" t="n">
        <v>2.9</v>
      </c>
      <c r="H4144" s="11">
        <f>H4143+G4144</f>
        <v/>
      </c>
    </row>
    <row r="4145">
      <c r="A4145" s="9" t="n">
        <v>4141</v>
      </c>
      <c r="B4145" s="9" t="inlineStr">
        <is>
          <t>Aurelius_M15</t>
        </is>
      </c>
      <c r="C4145" s="9" t="inlineStr">
        <is>
          <t>MA alignment (EMA21&gt;EMA50&gt;SMA250&gt;SMMA500 vs EMA2400 trend filter) - M15 chart</t>
        </is>
      </c>
      <c r="D4145" s="9" t="inlineStr">
        <is>
          <t>Long</t>
        </is>
      </c>
      <c r="E4145" s="10" t="n">
        <v>45667.69791666666</v>
      </c>
      <c r="F4145" s="10" t="n">
        <v>45667.92708333334</v>
      </c>
      <c r="G4145" s="11" t="n">
        <v>2.42</v>
      </c>
      <c r="H4145" s="11">
        <f>H4144+G4145</f>
        <v/>
      </c>
    </row>
    <row r="4146">
      <c r="A4146" s="9" t="n">
        <v>4142</v>
      </c>
      <c r="B4146" s="9" t="inlineStr">
        <is>
          <t>Ratchet</t>
        </is>
      </c>
      <c r="C4146" s="9" t="inlineStr">
        <is>
          <t>Stochastic scalp with give-back trail exit</t>
        </is>
      </c>
      <c r="D4146" s="9" t="inlineStr">
        <is>
          <t>Long</t>
        </is>
      </c>
      <c r="E4146" s="10" t="n">
        <v>45670.26041666666</v>
      </c>
      <c r="F4146" s="10" t="n">
        <v>45670.26388888889</v>
      </c>
      <c r="G4146" s="11" t="n">
        <v>-2.61</v>
      </c>
      <c r="H4146" s="11">
        <f>H4145+G4146</f>
        <v/>
      </c>
    </row>
    <row r="4147">
      <c r="A4147" s="9" t="n">
        <v>4143</v>
      </c>
      <c r="B4147" s="9" t="inlineStr">
        <is>
          <t>Meridian</t>
        </is>
      </c>
      <c r="C4147" s="9" t="inlineStr">
        <is>
          <t>21/50 MA cross, 250-period confirm filter, VWAP</t>
        </is>
      </c>
      <c r="D4147" s="9" t="inlineStr">
        <is>
          <t>Long</t>
        </is>
      </c>
      <c r="E4147" s="10" t="n">
        <v>45670.26041666666</v>
      </c>
      <c r="F4147" s="10" t="n">
        <v>45670.27083333334</v>
      </c>
      <c r="G4147" s="11" t="n">
        <v>-3.99</v>
      </c>
      <c r="H4147" s="11">
        <f>H4146+G4147</f>
        <v/>
      </c>
    </row>
    <row r="4148">
      <c r="A4148" s="9" t="n">
        <v>4144</v>
      </c>
      <c r="B4148" s="9" t="inlineStr">
        <is>
          <t>Ratchet</t>
        </is>
      </c>
      <c r="C4148" s="9" t="inlineStr">
        <is>
          <t>Stochastic scalp with give-back trail exit</t>
        </is>
      </c>
      <c r="D4148" s="9" t="inlineStr">
        <is>
          <t>Long</t>
        </is>
      </c>
      <c r="E4148" s="10" t="n">
        <v>45670.36805555555</v>
      </c>
      <c r="F4148" s="10" t="n">
        <v>45670.38888888889</v>
      </c>
      <c r="G4148" s="11" t="n">
        <v>-2.39</v>
      </c>
      <c r="H4148" s="11">
        <f>H4147+G4148</f>
        <v/>
      </c>
    </row>
    <row r="4149">
      <c r="A4149" s="9" t="n">
        <v>4145</v>
      </c>
      <c r="B4149" s="9" t="inlineStr">
        <is>
          <t>Meridian</t>
        </is>
      </c>
      <c r="C4149" s="9" t="inlineStr">
        <is>
          <t>21/50 MA cross, 250-period confirm filter, VWAP</t>
        </is>
      </c>
      <c r="D4149" s="9" t="inlineStr">
        <is>
          <t>Long</t>
        </is>
      </c>
      <c r="E4149" s="10" t="n">
        <v>45670.35069444445</v>
      </c>
      <c r="F4149" s="10" t="n">
        <v>45670.39236111111</v>
      </c>
      <c r="G4149" s="11" t="n">
        <v>-3.77</v>
      </c>
      <c r="H4149" s="11">
        <f>H4148+G4149</f>
        <v/>
      </c>
    </row>
    <row r="4150">
      <c r="A4150" s="9" t="n">
        <v>4146</v>
      </c>
      <c r="B4150" s="9" t="inlineStr">
        <is>
          <t>Aurelius_M5</t>
        </is>
      </c>
      <c r="C4150" s="9" t="inlineStr">
        <is>
          <t>MA alignment (EMA21&gt;EMA50&gt;SMA250&gt;SMMA500 vs EMA2400 trend filter)</t>
        </is>
      </c>
      <c r="D4150" s="9" t="inlineStr">
        <is>
          <t>Long</t>
        </is>
      </c>
      <c r="E4150" s="10" t="n">
        <v>45670.38888888889</v>
      </c>
      <c r="F4150" s="10" t="n">
        <v>45670.39930555555</v>
      </c>
      <c r="G4150" s="11" t="n">
        <v>-3.36</v>
      </c>
      <c r="H4150" s="11">
        <f>H4149+G4150</f>
        <v/>
      </c>
    </row>
    <row r="4151">
      <c r="A4151" s="9" t="n">
        <v>4147</v>
      </c>
      <c r="B4151" s="9" t="inlineStr">
        <is>
          <t>Meridian</t>
        </is>
      </c>
      <c r="C4151" s="9" t="inlineStr">
        <is>
          <t>21/50 MA cross, 250-period confirm filter, VWAP</t>
        </is>
      </c>
      <c r="D4151" s="9" t="inlineStr">
        <is>
          <t>Short</t>
        </is>
      </c>
      <c r="E4151" s="10" t="n">
        <v>45670.41666666666</v>
      </c>
      <c r="F4151" s="10" t="n">
        <v>45670.42013888889</v>
      </c>
      <c r="G4151" s="11" t="n">
        <v>-3.66</v>
      </c>
      <c r="H4151" s="11">
        <f>H4150+G4151</f>
        <v/>
      </c>
    </row>
    <row r="4152">
      <c r="A4152" s="9" t="n">
        <v>4148</v>
      </c>
      <c r="B4152" s="9" t="inlineStr">
        <is>
          <t>Meridian</t>
        </is>
      </c>
      <c r="C4152" s="9" t="inlineStr">
        <is>
          <t>21/50 MA cross, 250-period confirm filter, VWAP</t>
        </is>
      </c>
      <c r="D4152" s="9" t="inlineStr">
        <is>
          <t>Long</t>
        </is>
      </c>
      <c r="E4152" s="10" t="n">
        <v>45670.42708333334</v>
      </c>
      <c r="F4152" s="10" t="n">
        <v>45670.43055555555</v>
      </c>
      <c r="G4152" s="11" t="n">
        <v>-4.24</v>
      </c>
      <c r="H4152" s="11">
        <f>H4151+G4152</f>
        <v/>
      </c>
    </row>
    <row r="4153">
      <c r="A4153" s="9" t="n">
        <v>4149</v>
      </c>
      <c r="B4153" s="9" t="inlineStr">
        <is>
          <t>Meridian</t>
        </is>
      </c>
      <c r="C4153" s="9" t="inlineStr">
        <is>
          <t>21/50 MA cross, 250-period confirm filter, VWAP</t>
        </is>
      </c>
      <c r="D4153" s="9" t="inlineStr">
        <is>
          <t>Long</t>
        </is>
      </c>
      <c r="E4153" s="10" t="n">
        <v>45670.44444444445</v>
      </c>
      <c r="F4153" s="10" t="n">
        <v>45670.45833333334</v>
      </c>
      <c r="G4153" s="11" t="n">
        <v>-1.31</v>
      </c>
      <c r="H4153" s="11">
        <f>H4152+G4153</f>
        <v/>
      </c>
    </row>
    <row r="4154">
      <c r="A4154" s="9" t="n">
        <v>4150</v>
      </c>
      <c r="B4154" s="9" t="inlineStr">
        <is>
          <t>Meridian</t>
        </is>
      </c>
      <c r="C4154" s="9" t="inlineStr">
        <is>
          <t>21/50 MA cross, 250-period confirm filter, VWAP</t>
        </is>
      </c>
      <c r="D4154" s="9" t="inlineStr">
        <is>
          <t>Short</t>
        </is>
      </c>
      <c r="E4154" s="10" t="n">
        <v>45671.34375</v>
      </c>
      <c r="F4154" s="10" t="n">
        <v>45671.43402777778</v>
      </c>
      <c r="G4154" s="11" t="n">
        <v>-3.18</v>
      </c>
      <c r="H4154" s="11">
        <f>H4153+G4154</f>
        <v/>
      </c>
    </row>
    <row r="4155">
      <c r="A4155" s="9" t="n">
        <v>4151</v>
      </c>
      <c r="B4155" s="9" t="inlineStr">
        <is>
          <t>Meridian</t>
        </is>
      </c>
      <c r="C4155" s="9" t="inlineStr">
        <is>
          <t>21/50 MA cross, 250-period confirm filter, VWAP</t>
        </is>
      </c>
      <c r="D4155" s="9" t="inlineStr">
        <is>
          <t>Short</t>
        </is>
      </c>
      <c r="E4155" s="10" t="n">
        <v>45671.48611111111</v>
      </c>
      <c r="F4155" s="10" t="n">
        <v>45671.59722222222</v>
      </c>
      <c r="G4155" s="11" t="n">
        <v>-4</v>
      </c>
      <c r="H4155" s="11">
        <f>H4154+G4155</f>
        <v/>
      </c>
    </row>
    <row r="4156">
      <c r="A4156" s="9" t="n">
        <v>4152</v>
      </c>
      <c r="B4156" s="9" t="inlineStr">
        <is>
          <t>Meridian</t>
        </is>
      </c>
      <c r="C4156" s="9" t="inlineStr">
        <is>
          <t>21/50 MA cross, 250-period confirm filter, VWAP</t>
        </is>
      </c>
      <c r="D4156" s="9" t="inlineStr">
        <is>
          <t>Long</t>
        </is>
      </c>
      <c r="E4156" s="10" t="n">
        <v>45671.60416666666</v>
      </c>
      <c r="F4156" s="10" t="n">
        <v>45671.63888888889</v>
      </c>
      <c r="G4156" s="11" t="n">
        <v>-3.93</v>
      </c>
      <c r="H4156" s="11">
        <f>H4155+G4156</f>
        <v/>
      </c>
    </row>
    <row r="4157">
      <c r="A4157" s="9" t="n">
        <v>4153</v>
      </c>
      <c r="B4157" s="9" t="inlineStr">
        <is>
          <t>Meridian</t>
        </is>
      </c>
      <c r="C4157" s="9" t="inlineStr">
        <is>
          <t>21/50 MA cross, 250-period confirm filter, VWAP</t>
        </is>
      </c>
      <c r="D4157" s="9" t="inlineStr">
        <is>
          <t>Short</t>
        </is>
      </c>
      <c r="E4157" s="10" t="n">
        <v>45671.64583333334</v>
      </c>
      <c r="F4157" s="10" t="n">
        <v>45671.64583333334</v>
      </c>
      <c r="G4157" s="11" t="n">
        <v>-4.58</v>
      </c>
      <c r="H4157" s="11">
        <f>H4156+G4157</f>
        <v/>
      </c>
    </row>
    <row r="4158">
      <c r="A4158" s="9" t="n">
        <v>4154</v>
      </c>
      <c r="B4158" s="9" t="inlineStr">
        <is>
          <t>Vanguard_M15</t>
        </is>
      </c>
      <c r="C4158" s="9" t="inlineStr">
        <is>
          <t>Trendline breakout (fractal swing line) + VWAP/S-R distance gate - M15 chart</t>
        </is>
      </c>
      <c r="D4158" s="9" t="inlineStr">
        <is>
          <t>Short</t>
        </is>
      </c>
      <c r="E4158" s="10" t="n">
        <v>45670.48958333334</v>
      </c>
      <c r="F4158" s="10" t="n">
        <v>45671.70833333334</v>
      </c>
      <c r="G4158" s="11" t="n">
        <v>14.66</v>
      </c>
      <c r="H4158" s="11">
        <f>H4157+G4158</f>
        <v/>
      </c>
    </row>
    <row r="4159">
      <c r="A4159" s="9" t="n">
        <v>4155</v>
      </c>
      <c r="B4159" s="9" t="inlineStr">
        <is>
          <t>Vanguard_M5</t>
        </is>
      </c>
      <c r="C4159" s="9" t="inlineStr">
        <is>
          <t>Trendline breakout (fractal swing line) + VWAP/S-R distance gate</t>
        </is>
      </c>
      <c r="D4159" s="9" t="inlineStr">
        <is>
          <t>Short</t>
        </is>
      </c>
      <c r="E4159" s="10" t="n">
        <v>45670.49305555555</v>
      </c>
      <c r="F4159" s="10" t="n">
        <v>45671.70833333334</v>
      </c>
      <c r="G4159" s="11" t="n">
        <v>16.36</v>
      </c>
      <c r="H4159" s="11">
        <f>H4158+G4159</f>
        <v/>
      </c>
    </row>
    <row r="4160">
      <c r="A4160" s="9" t="n">
        <v>4156</v>
      </c>
      <c r="B4160" s="9" t="inlineStr">
        <is>
          <t>Meridian</t>
        </is>
      </c>
      <c r="C4160" s="9" t="inlineStr">
        <is>
          <t>21/50 MA cross, 250-period confirm filter, VWAP</t>
        </is>
      </c>
      <c r="D4160" s="9" t="inlineStr">
        <is>
          <t>Long</t>
        </is>
      </c>
      <c r="E4160" s="10" t="n">
        <v>45671.72916666666</v>
      </c>
      <c r="F4160" s="10" t="n">
        <v>45672.125</v>
      </c>
      <c r="G4160" s="11" t="n">
        <v>1.45</v>
      </c>
      <c r="H4160" s="11">
        <f>H4159+G4160</f>
        <v/>
      </c>
    </row>
    <row r="4161">
      <c r="A4161" s="9" t="n">
        <v>4157</v>
      </c>
      <c r="B4161" s="9" t="inlineStr">
        <is>
          <t>Ratchet</t>
        </is>
      </c>
      <c r="C4161" s="9" t="inlineStr">
        <is>
          <t>Stochastic scalp with give-back trail exit</t>
        </is>
      </c>
      <c r="D4161" s="9" t="inlineStr">
        <is>
          <t>Long</t>
        </is>
      </c>
      <c r="E4161" s="10" t="n">
        <v>45672.44791666666</v>
      </c>
      <c r="F4161" s="10" t="n">
        <v>45672.47222222222</v>
      </c>
      <c r="G4161" s="11" t="n">
        <v>0.47</v>
      </c>
      <c r="H4161" s="11">
        <f>H4160+G4161</f>
        <v/>
      </c>
    </row>
    <row r="4162">
      <c r="A4162" s="9" t="n">
        <v>4158</v>
      </c>
      <c r="B4162" s="9" t="inlineStr">
        <is>
          <t>Ratchet</t>
        </is>
      </c>
      <c r="C4162" s="9" t="inlineStr">
        <is>
          <t>Stochastic scalp with give-back trail exit</t>
        </is>
      </c>
      <c r="D4162" s="9" t="inlineStr">
        <is>
          <t>Long</t>
        </is>
      </c>
      <c r="E4162" s="10" t="n">
        <v>45672.50347222222</v>
      </c>
      <c r="F4162" s="10" t="n">
        <v>45672.52777777778</v>
      </c>
      <c r="G4162" s="11" t="n">
        <v>0.54</v>
      </c>
      <c r="H4162" s="11">
        <f>H4161+G4162</f>
        <v/>
      </c>
    </row>
    <row r="4163">
      <c r="A4163" s="9" t="n">
        <v>4159</v>
      </c>
      <c r="B4163" s="9" t="inlineStr">
        <is>
          <t>Ratchet</t>
        </is>
      </c>
      <c r="C4163" s="9" t="inlineStr">
        <is>
          <t>Stochastic scalp with give-back trail exit</t>
        </is>
      </c>
      <c r="D4163" s="9" t="inlineStr">
        <is>
          <t>Long</t>
        </is>
      </c>
      <c r="E4163" s="10" t="n">
        <v>45672.66319444445</v>
      </c>
      <c r="F4163" s="10" t="n">
        <v>45672.67013888889</v>
      </c>
      <c r="G4163" s="11" t="n">
        <v>1.41</v>
      </c>
      <c r="H4163" s="11">
        <f>H4162+G4163</f>
        <v/>
      </c>
    </row>
    <row r="4164">
      <c r="A4164" s="9" t="n">
        <v>4160</v>
      </c>
      <c r="B4164" s="9" t="inlineStr">
        <is>
          <t>Meridian</t>
        </is>
      </c>
      <c r="C4164" s="9" t="inlineStr">
        <is>
          <t>21/50 MA cross, 250-period confirm filter, VWAP</t>
        </is>
      </c>
      <c r="D4164" s="9" t="inlineStr">
        <is>
          <t>Long</t>
        </is>
      </c>
      <c r="E4164" s="10" t="n">
        <v>45672.23263888889</v>
      </c>
      <c r="F4164" s="10" t="n">
        <v>45672.70486111111</v>
      </c>
      <c r="G4164" s="11" t="n">
        <v>8.210000000000001</v>
      </c>
      <c r="H4164" s="11">
        <f>H4163+G4164</f>
        <v/>
      </c>
    </row>
    <row r="4165">
      <c r="A4165" s="9" t="n">
        <v>4161</v>
      </c>
      <c r="B4165" s="9" t="inlineStr">
        <is>
          <t>Aurelius_M5</t>
        </is>
      </c>
      <c r="C4165" s="9" t="inlineStr">
        <is>
          <t>MA alignment (EMA21&gt;EMA50&gt;SMA250&gt;SMMA500 vs EMA2400 trend filter)</t>
        </is>
      </c>
      <c r="D4165" s="9" t="inlineStr">
        <is>
          <t>Long</t>
        </is>
      </c>
      <c r="E4165" s="10" t="n">
        <v>45672.31944444445</v>
      </c>
      <c r="F4165" s="10" t="n">
        <v>45672.70486111111</v>
      </c>
      <c r="G4165" s="11" t="n">
        <v>6.96</v>
      </c>
      <c r="H4165" s="11">
        <f>H4164+G4165</f>
        <v/>
      </c>
    </row>
    <row r="4166">
      <c r="A4166" s="9" t="n">
        <v>4162</v>
      </c>
      <c r="B4166" s="9" t="inlineStr">
        <is>
          <t>Ratchet</t>
        </is>
      </c>
      <c r="C4166" s="9" t="inlineStr">
        <is>
          <t>Stochastic scalp with give-back trail exit</t>
        </is>
      </c>
      <c r="D4166" s="9" t="inlineStr">
        <is>
          <t>Long</t>
        </is>
      </c>
      <c r="E4166" s="10" t="n">
        <v>45672.92013888889</v>
      </c>
      <c r="F4166" s="10" t="n">
        <v>45672.9375</v>
      </c>
      <c r="G4166" s="11" t="n">
        <v>0.41</v>
      </c>
      <c r="H4166" s="11">
        <f>H4165+G4166</f>
        <v/>
      </c>
    </row>
    <row r="4167">
      <c r="A4167" s="9" t="n">
        <v>4163</v>
      </c>
      <c r="B4167" s="9" t="inlineStr">
        <is>
          <t>Ratchet</t>
        </is>
      </c>
      <c r="C4167" s="9" t="inlineStr">
        <is>
          <t>Stochastic scalp with give-back trail exit</t>
        </is>
      </c>
      <c r="D4167" s="9" t="inlineStr">
        <is>
          <t>Long</t>
        </is>
      </c>
      <c r="E4167" s="10" t="n">
        <v>45672.94791666666</v>
      </c>
      <c r="F4167" s="10" t="n">
        <v>45672.95486111111</v>
      </c>
      <c r="G4167" s="11" t="n">
        <v>0</v>
      </c>
      <c r="H4167" s="11">
        <f>H4166+G4167</f>
        <v/>
      </c>
    </row>
    <row r="4168">
      <c r="A4168" s="9" t="n">
        <v>4164</v>
      </c>
      <c r="B4168" s="9" t="inlineStr">
        <is>
          <t>Ratchet</t>
        </is>
      </c>
      <c r="C4168" s="9" t="inlineStr">
        <is>
          <t>Stochastic scalp with give-back trail exit</t>
        </is>
      </c>
      <c r="D4168" s="9" t="inlineStr">
        <is>
          <t>Long</t>
        </is>
      </c>
      <c r="E4168" s="10" t="n">
        <v>45672.96527777778</v>
      </c>
      <c r="F4168" s="10" t="n">
        <v>45672.96875</v>
      </c>
      <c r="G4168" s="11" t="n">
        <v>0</v>
      </c>
      <c r="H4168" s="11">
        <f>H4167+G4168</f>
        <v/>
      </c>
    </row>
    <row r="4169">
      <c r="A4169" s="9" t="n">
        <v>4165</v>
      </c>
      <c r="B4169" s="9" t="inlineStr">
        <is>
          <t>Ratchet</t>
        </is>
      </c>
      <c r="C4169" s="9" t="inlineStr">
        <is>
          <t>Stochastic scalp with give-back trail exit</t>
        </is>
      </c>
      <c r="D4169" s="9" t="inlineStr">
        <is>
          <t>Long</t>
        </is>
      </c>
      <c r="E4169" s="10" t="n">
        <v>45673.10416666666</v>
      </c>
      <c r="F4169" s="10" t="n">
        <v>45673.15972222222</v>
      </c>
      <c r="G4169" s="11" t="n">
        <v>1.29</v>
      </c>
      <c r="H4169" s="11">
        <f>H4168+G4169</f>
        <v/>
      </c>
    </row>
    <row r="4170">
      <c r="A4170" s="9" t="n">
        <v>4166</v>
      </c>
      <c r="B4170" s="9" t="inlineStr">
        <is>
          <t>Aurelius_M5</t>
        </is>
      </c>
      <c r="C4170" s="9" t="inlineStr">
        <is>
          <t>MA alignment (EMA21&gt;EMA50&gt;SMA250&gt;SMMA500 vs EMA2400 trend filter)</t>
        </is>
      </c>
      <c r="D4170" s="9" t="inlineStr">
        <is>
          <t>Long</t>
        </is>
      </c>
      <c r="E4170" s="10" t="n">
        <v>45673.14930555555</v>
      </c>
      <c r="F4170" s="10" t="n">
        <v>45673.15972222222</v>
      </c>
      <c r="G4170" s="11" t="n">
        <v>-4.4</v>
      </c>
      <c r="H4170" s="11">
        <f>H4169+G4170</f>
        <v/>
      </c>
    </row>
    <row r="4171">
      <c r="A4171" s="9" t="n">
        <v>4167</v>
      </c>
      <c r="B4171" s="9" t="inlineStr">
        <is>
          <t>Meridian</t>
        </is>
      </c>
      <c r="C4171" s="9" t="inlineStr">
        <is>
          <t>21/50 MA cross, 250-period confirm filter, VWAP</t>
        </is>
      </c>
      <c r="D4171" s="9" t="inlineStr">
        <is>
          <t>Long</t>
        </is>
      </c>
      <c r="E4171" s="10" t="n">
        <v>45672.79166666666</v>
      </c>
      <c r="F4171" s="10" t="n">
        <v>45673.30902777778</v>
      </c>
      <c r="G4171" s="11" t="n">
        <v>5.65</v>
      </c>
      <c r="H4171" s="11">
        <f>H4170+G4171</f>
        <v/>
      </c>
    </row>
    <row r="4172">
      <c r="A4172" s="9" t="n">
        <v>4168</v>
      </c>
      <c r="B4172" s="9" t="inlineStr">
        <is>
          <t>Aurelius_M15</t>
        </is>
      </c>
      <c r="C4172" s="9" t="inlineStr">
        <is>
          <t>MA alignment (EMA21&gt;EMA50&gt;SMA250&gt;SMMA500 vs EMA2400 trend filter) - M15 chart</t>
        </is>
      </c>
      <c r="D4172" s="9" t="inlineStr">
        <is>
          <t>Long</t>
        </is>
      </c>
      <c r="E4172" s="10" t="n">
        <v>45672.32291666666</v>
      </c>
      <c r="F4172" s="10" t="n">
        <v>45673.375</v>
      </c>
      <c r="G4172" s="11" t="n">
        <v>16.38</v>
      </c>
      <c r="H4172" s="11">
        <f>H4171+G4172</f>
        <v/>
      </c>
    </row>
    <row r="4173">
      <c r="A4173" s="9" t="n">
        <v>4169</v>
      </c>
      <c r="B4173" s="9" t="inlineStr">
        <is>
          <t>Ratchet</t>
        </is>
      </c>
      <c r="C4173" s="9" t="inlineStr">
        <is>
          <t>Stochastic scalp with give-back trail exit</t>
        </is>
      </c>
      <c r="D4173" s="9" t="inlineStr">
        <is>
          <t>Long</t>
        </is>
      </c>
      <c r="E4173" s="10" t="n">
        <v>45673.40972222222</v>
      </c>
      <c r="F4173" s="10" t="n">
        <v>45673.42361111111</v>
      </c>
      <c r="G4173" s="11" t="n">
        <v>0.24</v>
      </c>
      <c r="H4173" s="11">
        <f>H4172+G4173</f>
        <v/>
      </c>
    </row>
    <row r="4174">
      <c r="A4174" s="9" t="n">
        <v>4170</v>
      </c>
      <c r="B4174" s="9" t="inlineStr">
        <is>
          <t>Ratchet</t>
        </is>
      </c>
      <c r="C4174" s="9" t="inlineStr">
        <is>
          <t>Stochastic scalp with give-back trail exit</t>
        </is>
      </c>
      <c r="D4174" s="9" t="inlineStr">
        <is>
          <t>Long</t>
        </is>
      </c>
      <c r="E4174" s="10" t="n">
        <v>45673.53819444445</v>
      </c>
      <c r="F4174" s="10" t="n">
        <v>45673.56944444445</v>
      </c>
      <c r="G4174" s="11" t="n">
        <v>0.9399999999999999</v>
      </c>
      <c r="H4174" s="11">
        <f>H4173+G4174</f>
        <v/>
      </c>
    </row>
    <row r="4175">
      <c r="A4175" s="9" t="n">
        <v>4171</v>
      </c>
      <c r="B4175" s="9" t="inlineStr">
        <is>
          <t>Ratchet</t>
        </is>
      </c>
      <c r="C4175" s="9" t="inlineStr">
        <is>
          <t>Stochastic scalp with give-back trail exit</t>
        </is>
      </c>
      <c r="D4175" s="9" t="inlineStr">
        <is>
          <t>Long</t>
        </is>
      </c>
      <c r="E4175" s="10" t="n">
        <v>45673.69097222222</v>
      </c>
      <c r="F4175" s="10" t="n">
        <v>45673.70833333334</v>
      </c>
      <c r="G4175" s="11" t="n">
        <v>0</v>
      </c>
      <c r="H4175" s="11">
        <f>H4174+G4175</f>
        <v/>
      </c>
    </row>
    <row r="4176">
      <c r="A4176" s="9" t="n">
        <v>4172</v>
      </c>
      <c r="B4176" s="9" t="inlineStr">
        <is>
          <t>Ratchet</t>
        </is>
      </c>
      <c r="C4176" s="9" t="inlineStr">
        <is>
          <t>Stochastic scalp with give-back trail exit</t>
        </is>
      </c>
      <c r="D4176" s="9" t="inlineStr">
        <is>
          <t>Long</t>
        </is>
      </c>
      <c r="E4176" s="10" t="n">
        <v>45673.72569444445</v>
      </c>
      <c r="F4176" s="10" t="n">
        <v>45673.73263888889</v>
      </c>
      <c r="G4176" s="11" t="n">
        <v>0.62</v>
      </c>
      <c r="H4176" s="11">
        <f>H4175+G4176</f>
        <v/>
      </c>
    </row>
    <row r="4177">
      <c r="A4177" s="9" t="n">
        <v>4173</v>
      </c>
      <c r="B4177" s="9" t="inlineStr">
        <is>
          <t>Ratchet</t>
        </is>
      </c>
      <c r="C4177" s="9" t="inlineStr">
        <is>
          <t>Stochastic scalp with give-back trail exit</t>
        </is>
      </c>
      <c r="D4177" s="9" t="inlineStr">
        <is>
          <t>Long</t>
        </is>
      </c>
      <c r="E4177" s="10" t="n">
        <v>45673.75694444445</v>
      </c>
      <c r="F4177" s="10" t="n">
        <v>45673.77430555555</v>
      </c>
      <c r="G4177" s="11" t="n">
        <v>0</v>
      </c>
      <c r="H4177" s="11">
        <f>H4176+G4177</f>
        <v/>
      </c>
    </row>
    <row r="4178">
      <c r="A4178" s="9" t="n">
        <v>4174</v>
      </c>
      <c r="B4178" s="9" t="inlineStr">
        <is>
          <t>Aurelius_M5</t>
        </is>
      </c>
      <c r="C4178" s="9" t="inlineStr">
        <is>
          <t>MA alignment (EMA21&gt;EMA50&gt;SMA250&gt;SMMA500 vs EMA2400 trend filter)</t>
        </is>
      </c>
      <c r="D4178" s="9" t="inlineStr">
        <is>
          <t>Long</t>
        </is>
      </c>
      <c r="E4178" s="10" t="n">
        <v>45673.65972222222</v>
      </c>
      <c r="F4178" s="10" t="n">
        <v>45673.875</v>
      </c>
      <c r="G4178" s="11" t="n">
        <v>-0.28</v>
      </c>
      <c r="H4178" s="11">
        <f>H4177+G4178</f>
        <v/>
      </c>
    </row>
    <row r="4179">
      <c r="A4179" s="9" t="n">
        <v>4175</v>
      </c>
      <c r="B4179" s="9" t="inlineStr">
        <is>
          <t>Meridian</t>
        </is>
      </c>
      <c r="C4179" s="9" t="inlineStr">
        <is>
          <t>21/50 MA cross, 250-period confirm filter, VWAP</t>
        </is>
      </c>
      <c r="D4179" s="9" t="inlineStr">
        <is>
          <t>Long</t>
        </is>
      </c>
      <c r="E4179" s="10" t="n">
        <v>45673.40625</v>
      </c>
      <c r="F4179" s="10" t="n">
        <v>45673.89236111111</v>
      </c>
      <c r="G4179" s="11" t="n">
        <v>16.52</v>
      </c>
      <c r="H4179" s="11">
        <f>H4178+G4179</f>
        <v/>
      </c>
    </row>
    <row r="4180">
      <c r="A4180" s="9" t="n">
        <v>4176</v>
      </c>
      <c r="B4180" s="9" t="inlineStr">
        <is>
          <t>Meridian</t>
        </is>
      </c>
      <c r="C4180" s="9" t="inlineStr">
        <is>
          <t>21/50 MA cross, 250-period confirm filter, VWAP</t>
        </is>
      </c>
      <c r="D4180" s="9" t="inlineStr">
        <is>
          <t>Long</t>
        </is>
      </c>
      <c r="E4180" s="10" t="n">
        <v>45674.19444444445</v>
      </c>
      <c r="F4180" s="10" t="n">
        <v>45674.3125</v>
      </c>
      <c r="G4180" s="11" t="n">
        <v>-1.62</v>
      </c>
      <c r="H4180" s="11">
        <f>H4179+G4180</f>
        <v/>
      </c>
    </row>
    <row r="4181">
      <c r="A4181" s="9" t="n">
        <v>4177</v>
      </c>
      <c r="B4181" s="9" t="inlineStr">
        <is>
          <t>Vanguard_M15</t>
        </is>
      </c>
      <c r="C4181" s="9" t="inlineStr">
        <is>
          <t>Trendline breakout (fractal swing line) + VWAP/S-R distance gate - M15 chart</t>
        </is>
      </c>
      <c r="D4181" s="9" t="inlineStr">
        <is>
          <t>Long</t>
        </is>
      </c>
      <c r="E4181" s="10" t="n">
        <v>45671.71875</v>
      </c>
      <c r="F4181" s="10" t="n">
        <v>45674.38541666666</v>
      </c>
      <c r="G4181" s="11" t="n">
        <v>41.32</v>
      </c>
      <c r="H4181" s="11">
        <f>H4180+G4181</f>
        <v/>
      </c>
    </row>
    <row r="4182">
      <c r="A4182" s="9" t="n">
        <v>4178</v>
      </c>
      <c r="B4182" s="9" t="inlineStr">
        <is>
          <t>Aurelius_M15</t>
        </is>
      </c>
      <c r="C4182" s="9" t="inlineStr">
        <is>
          <t>MA alignment (EMA21&gt;EMA50&gt;SMA250&gt;SMMA500 vs EMA2400 trend filter) - M15 chart</t>
        </is>
      </c>
      <c r="D4182" s="9" t="inlineStr">
        <is>
          <t>Long</t>
        </is>
      </c>
      <c r="E4182" s="10" t="n">
        <v>45673.47916666666</v>
      </c>
      <c r="F4182" s="10" t="n">
        <v>45674.38541666666</v>
      </c>
      <c r="G4182" s="11" t="n">
        <v>6.74</v>
      </c>
      <c r="H4182" s="11">
        <f>H4181+G4182</f>
        <v/>
      </c>
    </row>
    <row r="4183">
      <c r="A4183" s="9" t="n">
        <v>4179</v>
      </c>
      <c r="B4183" s="9" t="inlineStr">
        <is>
          <t>Vanguard_M5</t>
        </is>
      </c>
      <c r="C4183" s="9" t="inlineStr">
        <is>
          <t>Trendline breakout (fractal swing line) + VWAP/S-R distance gate</t>
        </is>
      </c>
      <c r="D4183" s="9" t="inlineStr">
        <is>
          <t>Long</t>
        </is>
      </c>
      <c r="E4183" s="10" t="n">
        <v>45671.71180555555</v>
      </c>
      <c r="F4183" s="10" t="n">
        <v>45674.39236111111</v>
      </c>
      <c r="G4183" s="11" t="n">
        <v>43.22</v>
      </c>
      <c r="H4183" s="11">
        <f>H4182+G4183</f>
        <v/>
      </c>
    </row>
    <row r="4184">
      <c r="A4184" s="9" t="n">
        <v>4180</v>
      </c>
      <c r="B4184" s="9" t="inlineStr">
        <is>
          <t>Meridian</t>
        </is>
      </c>
      <c r="C4184" s="9" t="inlineStr">
        <is>
          <t>21/50 MA cross, 250-period confirm filter, VWAP</t>
        </is>
      </c>
      <c r="D4184" s="9" t="inlineStr">
        <is>
          <t>Short</t>
        </is>
      </c>
      <c r="E4184" s="10" t="n">
        <v>45674.66319444445</v>
      </c>
      <c r="F4184" s="10" t="n">
        <v>45674.69791666666</v>
      </c>
      <c r="G4184" s="11" t="n">
        <v>-5.68</v>
      </c>
      <c r="H4184" s="11">
        <f>H4183+G4184</f>
        <v/>
      </c>
    </row>
    <row r="4185">
      <c r="A4185" s="9" t="n">
        <v>4181</v>
      </c>
      <c r="B4185" s="9" t="inlineStr">
        <is>
          <t>Vanguard_M5</t>
        </is>
      </c>
      <c r="C4185" s="9" t="inlineStr">
        <is>
          <t>Trendline breakout (fractal swing line) + VWAP/S-R distance gate</t>
        </is>
      </c>
      <c r="D4185" s="9" t="inlineStr">
        <is>
          <t>Short</t>
        </is>
      </c>
      <c r="E4185" s="10" t="n">
        <v>45674.39583333334</v>
      </c>
      <c r="F4185" s="10" t="n">
        <v>45674.78125</v>
      </c>
      <c r="G4185" s="11" t="n">
        <v>-5.14</v>
      </c>
      <c r="H4185" s="11">
        <f>H4184+G4185</f>
        <v/>
      </c>
    </row>
    <row r="4186">
      <c r="A4186" s="9" t="n">
        <v>4182</v>
      </c>
      <c r="B4186" s="9" t="inlineStr">
        <is>
          <t>Ratchet</t>
        </is>
      </c>
      <c r="C4186" s="9" t="inlineStr">
        <is>
          <t>Stochastic scalp with give-back trail exit</t>
        </is>
      </c>
      <c r="D4186" s="9" t="inlineStr">
        <is>
          <t>Long</t>
        </is>
      </c>
      <c r="E4186" s="10" t="n">
        <v>45674.77777777778</v>
      </c>
      <c r="F4186" s="10" t="n">
        <v>45674.78472222222</v>
      </c>
      <c r="G4186" s="11" t="n">
        <v>0</v>
      </c>
      <c r="H4186" s="11">
        <f>H4185+G4186</f>
        <v/>
      </c>
    </row>
    <row r="4187">
      <c r="A4187" s="9" t="n">
        <v>4183</v>
      </c>
      <c r="B4187" s="9" t="inlineStr">
        <is>
          <t>Ratchet</t>
        </is>
      </c>
      <c r="C4187" s="9" t="inlineStr">
        <is>
          <t>Stochastic scalp with give-back trail exit</t>
        </is>
      </c>
      <c r="D4187" s="9" t="inlineStr">
        <is>
          <t>Long</t>
        </is>
      </c>
      <c r="E4187" s="10" t="n">
        <v>45674.79166666666</v>
      </c>
      <c r="F4187" s="10" t="n">
        <v>45674.79513888889</v>
      </c>
      <c r="G4187" s="11" t="n">
        <v>-2.91</v>
      </c>
      <c r="H4187" s="11">
        <f>H4186+G4187</f>
        <v/>
      </c>
    </row>
    <row r="4188">
      <c r="A4188" s="9" t="n">
        <v>4184</v>
      </c>
      <c r="B4188" s="9" t="inlineStr">
        <is>
          <t>Meridian</t>
        </is>
      </c>
      <c r="C4188" s="9" t="inlineStr">
        <is>
          <t>21/50 MA cross, 250-period confirm filter, VWAP</t>
        </is>
      </c>
      <c r="D4188" s="9" t="inlineStr">
        <is>
          <t>Short</t>
        </is>
      </c>
      <c r="E4188" s="10" t="n">
        <v>45674.85763888889</v>
      </c>
      <c r="F4188" s="10" t="n">
        <v>45674.91666666666</v>
      </c>
      <c r="G4188" s="11" t="n">
        <v>4.63</v>
      </c>
      <c r="H4188" s="11">
        <f>H4187+G4188</f>
        <v/>
      </c>
    </row>
    <row r="4189">
      <c r="A4189" s="9" t="n">
        <v>4185</v>
      </c>
      <c r="B4189" s="9" t="inlineStr">
        <is>
          <t>Vanguard_M5</t>
        </is>
      </c>
      <c r="C4189" s="9" t="inlineStr">
        <is>
          <t>Trendline breakout (fractal swing line) + VWAP/S-R distance gate</t>
        </is>
      </c>
      <c r="D4189" s="9" t="inlineStr">
        <is>
          <t>Long</t>
        </is>
      </c>
      <c r="E4189" s="10" t="n">
        <v>45677.37152777778</v>
      </c>
      <c r="F4189" s="10" t="n">
        <v>45677.38194444445</v>
      </c>
      <c r="G4189" s="11" t="n">
        <v>-6.17</v>
      </c>
      <c r="H4189" s="11">
        <f>H4188+G4189</f>
        <v/>
      </c>
    </row>
    <row r="4190">
      <c r="A4190" s="9" t="n">
        <v>4186</v>
      </c>
      <c r="B4190" s="9" t="inlineStr">
        <is>
          <t>Meridian</t>
        </is>
      </c>
      <c r="C4190" s="9" t="inlineStr">
        <is>
          <t>21/50 MA cross, 250-period confirm filter, VWAP</t>
        </is>
      </c>
      <c r="D4190" s="9" t="inlineStr">
        <is>
          <t>Long</t>
        </is>
      </c>
      <c r="E4190" s="10" t="n">
        <v>45677.67708333334</v>
      </c>
      <c r="F4190" s="10" t="n">
        <v>45677.75694444445</v>
      </c>
      <c r="G4190" s="11" t="n">
        <v>-3.07</v>
      </c>
      <c r="H4190" s="11">
        <f>H4189+G4190</f>
        <v/>
      </c>
    </row>
    <row r="4191">
      <c r="A4191" s="9" t="n">
        <v>4187</v>
      </c>
      <c r="B4191" s="9" t="inlineStr">
        <is>
          <t>Vanguard_M15</t>
        </is>
      </c>
      <c r="C4191" s="9" t="inlineStr">
        <is>
          <t>Trendline breakout (fractal swing line) + VWAP/S-R distance gate - M15 chart</t>
        </is>
      </c>
      <c r="D4191" s="9" t="inlineStr">
        <is>
          <t>Short</t>
        </is>
      </c>
      <c r="E4191" s="10" t="n">
        <v>45674.39583333334</v>
      </c>
      <c r="F4191" s="10" t="n">
        <v>45677.86458333334</v>
      </c>
      <c r="G4191" s="11" t="n">
        <v>1.32</v>
      </c>
      <c r="H4191" s="11">
        <f>H4190+G4191</f>
        <v/>
      </c>
    </row>
    <row r="4192">
      <c r="A4192" s="9" t="n">
        <v>4188</v>
      </c>
      <c r="B4192" s="9" t="inlineStr">
        <is>
          <t>Meridian</t>
        </is>
      </c>
      <c r="C4192" s="9" t="inlineStr">
        <is>
          <t>21/50 MA cross, 250-period confirm filter, VWAP</t>
        </is>
      </c>
      <c r="D4192" s="9" t="inlineStr">
        <is>
          <t>Long</t>
        </is>
      </c>
      <c r="E4192" s="10" t="n">
        <v>45677.86111111111</v>
      </c>
      <c r="F4192" s="10" t="n">
        <v>45678.11805555555</v>
      </c>
      <c r="G4192" s="11" t="n">
        <v>-4.93</v>
      </c>
      <c r="H4192" s="11">
        <f>H4191+G4192</f>
        <v/>
      </c>
    </row>
    <row r="4193">
      <c r="A4193" s="9" t="n">
        <v>4189</v>
      </c>
      <c r="B4193" s="9" t="inlineStr">
        <is>
          <t>Ratchet</t>
        </is>
      </c>
      <c r="C4193" s="9" t="inlineStr">
        <is>
          <t>Stochastic scalp with give-back trail exit</t>
        </is>
      </c>
      <c r="D4193" s="9" t="inlineStr">
        <is>
          <t>Long</t>
        </is>
      </c>
      <c r="E4193" s="10" t="n">
        <v>45678.18055555555</v>
      </c>
      <c r="F4193" s="10" t="n">
        <v>45678.21180555555</v>
      </c>
      <c r="G4193" s="11" t="n">
        <v>1.33</v>
      </c>
      <c r="H4193" s="11">
        <f>H4192+G4193</f>
        <v/>
      </c>
    </row>
    <row r="4194">
      <c r="A4194" s="9" t="n">
        <v>4190</v>
      </c>
      <c r="B4194" s="9" t="inlineStr">
        <is>
          <t>Ratchet</t>
        </is>
      </c>
      <c r="C4194" s="9" t="inlineStr">
        <is>
          <t>Stochastic scalp with give-back trail exit</t>
        </is>
      </c>
      <c r="D4194" s="9" t="inlineStr">
        <is>
          <t>Long</t>
        </is>
      </c>
      <c r="E4194" s="10" t="n">
        <v>45678.26388888889</v>
      </c>
      <c r="F4194" s="10" t="n">
        <v>45678.27430555555</v>
      </c>
      <c r="G4194" s="11" t="n">
        <v>0.48</v>
      </c>
      <c r="H4194" s="11">
        <f>H4193+G4194</f>
        <v/>
      </c>
    </row>
    <row r="4195">
      <c r="A4195" s="9" t="n">
        <v>4191</v>
      </c>
      <c r="B4195" s="9" t="inlineStr">
        <is>
          <t>Ratchet</t>
        </is>
      </c>
      <c r="C4195" s="9" t="inlineStr">
        <is>
          <t>Stochastic scalp with give-back trail exit</t>
        </is>
      </c>
      <c r="D4195" s="9" t="inlineStr">
        <is>
          <t>Long</t>
        </is>
      </c>
      <c r="E4195" s="10" t="n">
        <v>45678.39930555555</v>
      </c>
      <c r="F4195" s="10" t="n">
        <v>45678.41319444445</v>
      </c>
      <c r="G4195" s="11" t="n">
        <v>0.95</v>
      </c>
      <c r="H4195" s="11">
        <f>H4194+G4195</f>
        <v/>
      </c>
    </row>
    <row r="4196">
      <c r="A4196" s="9" t="n">
        <v>4192</v>
      </c>
      <c r="B4196" s="9" t="inlineStr">
        <is>
          <t>Aurelius_M5</t>
        </is>
      </c>
      <c r="C4196" s="9" t="inlineStr">
        <is>
          <t>MA alignment (EMA21&gt;EMA50&gt;SMA250&gt;SMMA500 vs EMA2400 trend filter)</t>
        </is>
      </c>
      <c r="D4196" s="9" t="inlineStr">
        <is>
          <t>Long</t>
        </is>
      </c>
      <c r="E4196" s="10" t="n">
        <v>45678.16666666666</v>
      </c>
      <c r="F4196" s="10" t="n">
        <v>45678.45833333334</v>
      </c>
      <c r="G4196" s="11" t="n">
        <v>5.12</v>
      </c>
      <c r="H4196" s="11">
        <f>H4195+G4196</f>
        <v/>
      </c>
    </row>
    <row r="4197">
      <c r="A4197" s="9" t="n">
        <v>4193</v>
      </c>
      <c r="B4197" s="9" t="inlineStr">
        <is>
          <t>Meridian</t>
        </is>
      </c>
      <c r="C4197" s="9" t="inlineStr">
        <is>
          <t>21/50 MA cross, 250-period confirm filter, VWAP</t>
        </is>
      </c>
      <c r="D4197" s="9" t="inlineStr">
        <is>
          <t>Long</t>
        </is>
      </c>
      <c r="E4197" s="10" t="n">
        <v>45678.14236111111</v>
      </c>
      <c r="F4197" s="10" t="n">
        <v>45678.46180555555</v>
      </c>
      <c r="G4197" s="11" t="n">
        <v>8.970000000000001</v>
      </c>
      <c r="H4197" s="11">
        <f>H4196+G4197</f>
        <v/>
      </c>
    </row>
    <row r="4198">
      <c r="A4198" s="9" t="n">
        <v>4194</v>
      </c>
      <c r="B4198" s="9" t="inlineStr">
        <is>
          <t>Vanguard_M5</t>
        </is>
      </c>
      <c r="C4198" s="9" t="inlineStr">
        <is>
          <t>Trendline breakout (fractal swing line) + VWAP/S-R distance gate</t>
        </is>
      </c>
      <c r="D4198" s="9" t="inlineStr">
        <is>
          <t>Long</t>
        </is>
      </c>
      <c r="E4198" s="10" t="n">
        <v>45677.68055555555</v>
      </c>
      <c r="F4198" s="10" t="n">
        <v>45678.54166666666</v>
      </c>
      <c r="G4198" s="11" t="n">
        <v>7.08</v>
      </c>
      <c r="H4198" s="11">
        <f>H4197+G4198</f>
        <v/>
      </c>
    </row>
    <row r="4199">
      <c r="A4199" s="9" t="n">
        <v>4195</v>
      </c>
      <c r="B4199" s="9" t="inlineStr">
        <is>
          <t>Vanguard_M5</t>
        </is>
      </c>
      <c r="C4199" s="9" t="inlineStr">
        <is>
          <t>Trendline breakout (fractal swing line) + VWAP/S-R distance gate</t>
        </is>
      </c>
      <c r="D4199" s="9" t="inlineStr">
        <is>
          <t>Short</t>
        </is>
      </c>
      <c r="E4199" s="10" t="n">
        <v>45678.54513888889</v>
      </c>
      <c r="F4199" s="10" t="n">
        <v>45678.59722222222</v>
      </c>
      <c r="G4199" s="11" t="n">
        <v>-7.5</v>
      </c>
      <c r="H4199" s="11">
        <f>H4198+G4199</f>
        <v/>
      </c>
    </row>
    <row r="4200">
      <c r="A4200" s="9" t="n">
        <v>4196</v>
      </c>
      <c r="B4200" s="9" t="inlineStr">
        <is>
          <t>Ratchet</t>
        </is>
      </c>
      <c r="C4200" s="9" t="inlineStr">
        <is>
          <t>Stochastic scalp with give-back trail exit</t>
        </is>
      </c>
      <c r="D4200" s="9" t="inlineStr">
        <is>
          <t>Long</t>
        </is>
      </c>
      <c r="E4200" s="10" t="n">
        <v>45678.60416666666</v>
      </c>
      <c r="F4200" s="10" t="n">
        <v>45678.61458333334</v>
      </c>
      <c r="G4200" s="11" t="n">
        <v>0.36</v>
      </c>
      <c r="H4200" s="11">
        <f>H4199+G4200</f>
        <v/>
      </c>
    </row>
    <row r="4201">
      <c r="A4201" s="9" t="n">
        <v>4197</v>
      </c>
      <c r="B4201" s="9" t="inlineStr">
        <is>
          <t>Ratchet</t>
        </is>
      </c>
      <c r="C4201" s="9" t="inlineStr">
        <is>
          <t>Stochastic scalp with give-back trail exit</t>
        </is>
      </c>
      <c r="D4201" s="9" t="inlineStr">
        <is>
          <t>Long</t>
        </is>
      </c>
      <c r="E4201" s="10" t="n">
        <v>45678.64930555555</v>
      </c>
      <c r="F4201" s="10" t="n">
        <v>45678.65972222222</v>
      </c>
      <c r="G4201" s="11" t="n">
        <v>0</v>
      </c>
      <c r="H4201" s="11">
        <f>H4200+G4201</f>
        <v/>
      </c>
    </row>
    <row r="4202">
      <c r="A4202" s="9" t="n">
        <v>4198</v>
      </c>
      <c r="B4202" s="9" t="inlineStr">
        <is>
          <t>Ratchet</t>
        </is>
      </c>
      <c r="C4202" s="9" t="inlineStr">
        <is>
          <t>Stochastic scalp with give-back trail exit</t>
        </is>
      </c>
      <c r="D4202" s="9" t="inlineStr">
        <is>
          <t>Long</t>
        </is>
      </c>
      <c r="E4202" s="10" t="n">
        <v>45678.74305555555</v>
      </c>
      <c r="F4202" s="10" t="n">
        <v>45678.74652777778</v>
      </c>
      <c r="G4202" s="11" t="n">
        <v>0</v>
      </c>
      <c r="H4202" s="11">
        <f>H4201+G4202</f>
        <v/>
      </c>
    </row>
    <row r="4203">
      <c r="A4203" s="9" t="n">
        <v>4199</v>
      </c>
      <c r="B4203" s="9" t="inlineStr">
        <is>
          <t>Ratchet</t>
        </is>
      </c>
      <c r="C4203" s="9" t="inlineStr">
        <is>
          <t>Stochastic scalp with give-back trail exit</t>
        </is>
      </c>
      <c r="D4203" s="9" t="inlineStr">
        <is>
          <t>Long</t>
        </is>
      </c>
      <c r="E4203" s="10" t="n">
        <v>45678.75347222222</v>
      </c>
      <c r="F4203" s="10" t="n">
        <v>45678.77083333334</v>
      </c>
      <c r="G4203" s="11" t="n">
        <v>1.14</v>
      </c>
      <c r="H4203" s="11">
        <f>H4202+G4203</f>
        <v/>
      </c>
    </row>
    <row r="4204">
      <c r="A4204" s="9" t="n">
        <v>4200</v>
      </c>
      <c r="B4204" s="9" t="inlineStr">
        <is>
          <t>Ratchet</t>
        </is>
      </c>
      <c r="C4204" s="9" t="inlineStr">
        <is>
          <t>Stochastic scalp with give-back trail exit</t>
        </is>
      </c>
      <c r="D4204" s="9" t="inlineStr">
        <is>
          <t>Long</t>
        </is>
      </c>
      <c r="E4204" s="10" t="n">
        <v>45678.84375</v>
      </c>
      <c r="F4204" s="10" t="n">
        <v>45678.875</v>
      </c>
      <c r="G4204" s="11" t="n">
        <v>0.59</v>
      </c>
      <c r="H4204" s="11">
        <f>H4203+G4204</f>
        <v/>
      </c>
    </row>
    <row r="4205">
      <c r="A4205" s="9" t="n">
        <v>4201</v>
      </c>
      <c r="B4205" s="9" t="inlineStr">
        <is>
          <t>Ratchet</t>
        </is>
      </c>
      <c r="C4205" s="9" t="inlineStr">
        <is>
          <t>Stochastic scalp with give-back trail exit</t>
        </is>
      </c>
      <c r="D4205" s="9" t="inlineStr">
        <is>
          <t>Long</t>
        </is>
      </c>
      <c r="E4205" s="10" t="n">
        <v>45679.11111111111</v>
      </c>
      <c r="F4205" s="10" t="n">
        <v>45679.19444444445</v>
      </c>
      <c r="G4205" s="11" t="n">
        <v>1.22</v>
      </c>
      <c r="H4205" s="11">
        <f>H4204+G4205</f>
        <v/>
      </c>
    </row>
    <row r="4206">
      <c r="A4206" s="9" t="n">
        <v>4202</v>
      </c>
      <c r="B4206" s="9" t="inlineStr">
        <is>
          <t>Ratchet</t>
        </is>
      </c>
      <c r="C4206" s="9" t="inlineStr">
        <is>
          <t>Stochastic scalp with give-back trail exit</t>
        </is>
      </c>
      <c r="D4206" s="9" t="inlineStr">
        <is>
          <t>Long</t>
        </is>
      </c>
      <c r="E4206" s="10" t="n">
        <v>45679.21875</v>
      </c>
      <c r="F4206" s="10" t="n">
        <v>45679.22916666666</v>
      </c>
      <c r="G4206" s="11" t="n">
        <v>0</v>
      </c>
      <c r="H4206" s="11">
        <f>H4205+G4206</f>
        <v/>
      </c>
    </row>
    <row r="4207">
      <c r="A4207" s="9" t="n">
        <v>4203</v>
      </c>
      <c r="B4207" s="9" t="inlineStr">
        <is>
          <t>Ratchet</t>
        </is>
      </c>
      <c r="C4207" s="9" t="inlineStr">
        <is>
          <t>Stochastic scalp with give-back trail exit</t>
        </is>
      </c>
      <c r="D4207" s="9" t="inlineStr">
        <is>
          <t>Long</t>
        </is>
      </c>
      <c r="E4207" s="10" t="n">
        <v>45679.23263888889</v>
      </c>
      <c r="F4207" s="10" t="n">
        <v>45679.23611111111</v>
      </c>
      <c r="G4207" s="11" t="n">
        <v>0.22</v>
      </c>
      <c r="H4207" s="11">
        <f>H4206+G4207</f>
        <v/>
      </c>
    </row>
    <row r="4208">
      <c r="A4208" s="9" t="n">
        <v>4204</v>
      </c>
      <c r="B4208" s="9" t="inlineStr">
        <is>
          <t>Ratchet</t>
        </is>
      </c>
      <c r="C4208" s="9" t="inlineStr">
        <is>
          <t>Stochastic scalp with give-back trail exit</t>
        </is>
      </c>
      <c r="D4208" s="9" t="inlineStr">
        <is>
          <t>Long</t>
        </is>
      </c>
      <c r="E4208" s="10" t="n">
        <v>45679.30902777778</v>
      </c>
      <c r="F4208" s="10" t="n">
        <v>45679.3125</v>
      </c>
      <c r="G4208" s="11" t="n">
        <v>0.34</v>
      </c>
      <c r="H4208" s="11">
        <f>H4207+G4208</f>
        <v/>
      </c>
    </row>
    <row r="4209">
      <c r="A4209" s="9" t="n">
        <v>4205</v>
      </c>
      <c r="B4209" s="9" t="inlineStr">
        <is>
          <t>Meridian</t>
        </is>
      </c>
      <c r="C4209" s="9" t="inlineStr">
        <is>
          <t>21/50 MA cross, 250-period confirm filter, VWAP</t>
        </is>
      </c>
      <c r="D4209" s="9" t="inlineStr">
        <is>
          <t>Long</t>
        </is>
      </c>
      <c r="E4209" s="10" t="n">
        <v>45678.60416666666</v>
      </c>
      <c r="F4209" s="10" t="n">
        <v>45679.375</v>
      </c>
      <c r="G4209" s="11" t="n">
        <v>20.99</v>
      </c>
      <c r="H4209" s="11">
        <f>H4208+G4209</f>
        <v/>
      </c>
    </row>
    <row r="4210">
      <c r="A4210" s="9" t="n">
        <v>4206</v>
      </c>
      <c r="B4210" s="9" t="inlineStr">
        <is>
          <t>Ratchet</t>
        </is>
      </c>
      <c r="C4210" s="9" t="inlineStr">
        <is>
          <t>Stochastic scalp with give-back trail exit</t>
        </is>
      </c>
      <c r="D4210" s="9" t="inlineStr">
        <is>
          <t>Long</t>
        </is>
      </c>
      <c r="E4210" s="10" t="n">
        <v>45679.40625</v>
      </c>
      <c r="F4210" s="10" t="n">
        <v>45679.40972222222</v>
      </c>
      <c r="G4210" s="11" t="n">
        <v>0.37</v>
      </c>
      <c r="H4210" s="11">
        <f>H4209+G4210</f>
        <v/>
      </c>
    </row>
    <row r="4211">
      <c r="A4211" s="9" t="n">
        <v>4207</v>
      </c>
      <c r="B4211" s="9" t="inlineStr">
        <is>
          <t>Meridian</t>
        </is>
      </c>
      <c r="C4211" s="9" t="inlineStr">
        <is>
          <t>21/50 MA cross, 250-period confirm filter, VWAP</t>
        </is>
      </c>
      <c r="D4211" s="9" t="inlineStr">
        <is>
          <t>Long</t>
        </is>
      </c>
      <c r="E4211" s="10" t="n">
        <v>45679.40625</v>
      </c>
      <c r="F4211" s="10" t="n">
        <v>45679.41319444445</v>
      </c>
      <c r="G4211" s="11" t="n">
        <v>-3.98</v>
      </c>
      <c r="H4211" s="11">
        <f>H4210+G4211</f>
        <v/>
      </c>
    </row>
    <row r="4212">
      <c r="A4212" s="9" t="n">
        <v>4208</v>
      </c>
      <c r="B4212" s="9" t="inlineStr">
        <is>
          <t>Ratchet</t>
        </is>
      </c>
      <c r="C4212" s="9" t="inlineStr">
        <is>
          <t>Stochastic scalp with give-back trail exit</t>
        </is>
      </c>
      <c r="D4212" s="9" t="inlineStr">
        <is>
          <t>Long</t>
        </is>
      </c>
      <c r="E4212" s="10" t="n">
        <v>45679.44097222222</v>
      </c>
      <c r="F4212" s="10" t="n">
        <v>45679.45486111111</v>
      </c>
      <c r="G4212" s="11" t="n">
        <v>0.39</v>
      </c>
      <c r="H4212" s="11">
        <f>H4211+G4212</f>
        <v/>
      </c>
    </row>
    <row r="4213">
      <c r="A4213" s="9" t="n">
        <v>4209</v>
      </c>
      <c r="B4213" s="9" t="inlineStr">
        <is>
          <t>Aurelius_M5</t>
        </is>
      </c>
      <c r="C4213" s="9" t="inlineStr">
        <is>
          <t>MA alignment (EMA21&gt;EMA50&gt;SMA250&gt;SMMA500 vs EMA2400 trend filter)</t>
        </is>
      </c>
      <c r="D4213" s="9" t="inlineStr">
        <is>
          <t>Long</t>
        </is>
      </c>
      <c r="E4213" s="10" t="n">
        <v>45679.46180555555</v>
      </c>
      <c r="F4213" s="10" t="n">
        <v>45679.59027777778</v>
      </c>
      <c r="G4213" s="11" t="n">
        <v>-0.25</v>
      </c>
      <c r="H4213" s="11">
        <f>H4212+G4213</f>
        <v/>
      </c>
    </row>
    <row r="4214">
      <c r="A4214" s="9" t="n">
        <v>4210</v>
      </c>
      <c r="B4214" s="9" t="inlineStr">
        <is>
          <t>Meridian</t>
        </is>
      </c>
      <c r="C4214" s="9" t="inlineStr">
        <is>
          <t>21/50 MA cross, 250-period confirm filter, VWAP</t>
        </is>
      </c>
      <c r="D4214" s="9" t="inlineStr">
        <is>
          <t>Long</t>
        </is>
      </c>
      <c r="E4214" s="10" t="n">
        <v>45679.43402777778</v>
      </c>
      <c r="F4214" s="10" t="n">
        <v>45679.60763888889</v>
      </c>
      <c r="G4214" s="11" t="n">
        <v>3.18</v>
      </c>
      <c r="H4214" s="11">
        <f>H4213+G4214</f>
        <v/>
      </c>
    </row>
    <row r="4215">
      <c r="A4215" s="9" t="n">
        <v>4211</v>
      </c>
      <c r="B4215" s="9" t="inlineStr">
        <is>
          <t>Meridian</t>
        </is>
      </c>
      <c r="C4215" s="9" t="inlineStr">
        <is>
          <t>21/50 MA cross, 250-period confirm filter, VWAP</t>
        </is>
      </c>
      <c r="D4215" s="9" t="inlineStr">
        <is>
          <t>Long</t>
        </is>
      </c>
      <c r="E4215" s="10" t="n">
        <v>45679.62152777778</v>
      </c>
      <c r="F4215" s="10" t="n">
        <v>45679.64583333334</v>
      </c>
      <c r="G4215" s="11" t="n">
        <v>-4.43</v>
      </c>
      <c r="H4215" s="11">
        <f>H4214+G4215</f>
        <v/>
      </c>
    </row>
    <row r="4216">
      <c r="A4216" s="9" t="n">
        <v>4212</v>
      </c>
      <c r="B4216" s="9" t="inlineStr">
        <is>
          <t>Ratchet</t>
        </is>
      </c>
      <c r="C4216" s="9" t="inlineStr">
        <is>
          <t>Stochastic scalp with give-back trail exit</t>
        </is>
      </c>
      <c r="D4216" s="9" t="inlineStr">
        <is>
          <t>Long</t>
        </is>
      </c>
      <c r="E4216" s="10" t="n">
        <v>45679.85416666666</v>
      </c>
      <c r="F4216" s="10" t="n">
        <v>45679.88541666666</v>
      </c>
      <c r="G4216" s="11" t="n">
        <v>-2.48</v>
      </c>
      <c r="H4216" s="11">
        <f>H4215+G4216</f>
        <v/>
      </c>
    </row>
    <row r="4217">
      <c r="A4217" s="9" t="n">
        <v>4213</v>
      </c>
      <c r="B4217" s="9" t="inlineStr">
        <is>
          <t>Meridian</t>
        </is>
      </c>
      <c r="C4217" s="9" t="inlineStr">
        <is>
          <t>21/50 MA cross, 250-period confirm filter, VWAP</t>
        </is>
      </c>
      <c r="D4217" s="9" t="inlineStr">
        <is>
          <t>Long</t>
        </is>
      </c>
      <c r="E4217" s="10" t="n">
        <v>45679.75</v>
      </c>
      <c r="F4217" s="10" t="n">
        <v>45679.89930555555</v>
      </c>
      <c r="G4217" s="11" t="n">
        <v>-3.98</v>
      </c>
      <c r="H4217" s="11">
        <f>H4216+G4217</f>
        <v/>
      </c>
    </row>
    <row r="4218">
      <c r="A4218" s="9" t="n">
        <v>4214</v>
      </c>
      <c r="B4218" s="9" t="inlineStr">
        <is>
          <t>Aurelius_M15</t>
        </is>
      </c>
      <c r="C4218" s="9" t="inlineStr">
        <is>
          <t>MA alignment (EMA21&gt;EMA50&gt;SMA250&gt;SMMA500 vs EMA2400 trend filter) - M15 chart</t>
        </is>
      </c>
      <c r="D4218" s="9" t="inlineStr">
        <is>
          <t>Long</t>
        </is>
      </c>
      <c r="E4218" s="10" t="n">
        <v>45678.13541666666</v>
      </c>
      <c r="F4218" s="10" t="n">
        <v>45680.20833333334</v>
      </c>
      <c r="G4218" s="11" t="n">
        <v>41.94</v>
      </c>
      <c r="H4218" s="11">
        <f>H4217+G4218</f>
        <v/>
      </c>
    </row>
    <row r="4219">
      <c r="A4219" s="9" t="n">
        <v>4215</v>
      </c>
      <c r="B4219" s="9" t="inlineStr">
        <is>
          <t>Meridian</t>
        </is>
      </c>
      <c r="C4219" s="9" t="inlineStr">
        <is>
          <t>21/50 MA cross, 250-period confirm filter, VWAP</t>
        </is>
      </c>
      <c r="D4219" s="9" t="inlineStr">
        <is>
          <t>Short</t>
        </is>
      </c>
      <c r="E4219" s="10" t="n">
        <v>45680.42361111111</v>
      </c>
      <c r="F4219" s="10" t="n">
        <v>45680.42708333334</v>
      </c>
      <c r="G4219" s="11" t="n">
        <v>-0.68</v>
      </c>
      <c r="H4219" s="11">
        <f>H4218+G4219</f>
        <v/>
      </c>
    </row>
    <row r="4220">
      <c r="A4220" s="9" t="n">
        <v>4216</v>
      </c>
      <c r="B4220" s="9" t="inlineStr">
        <is>
          <t>Vanguard_M15</t>
        </is>
      </c>
      <c r="C4220" s="9" t="inlineStr">
        <is>
          <t>Trendline breakout (fractal swing line) + VWAP/S-R distance gate - M15 chart</t>
        </is>
      </c>
      <c r="D4220" s="9" t="inlineStr">
        <is>
          <t>Long</t>
        </is>
      </c>
      <c r="E4220" s="10" t="n">
        <v>45677.875</v>
      </c>
      <c r="F4220" s="10" t="n">
        <v>45680.44791666666</v>
      </c>
      <c r="G4220" s="11" t="n">
        <v>41.98</v>
      </c>
      <c r="H4220" s="11">
        <f>H4219+G4220</f>
        <v/>
      </c>
    </row>
    <row r="4221">
      <c r="A4221" s="9" t="n">
        <v>4217</v>
      </c>
      <c r="B4221" s="9" t="inlineStr">
        <is>
          <t>Meridian</t>
        </is>
      </c>
      <c r="C4221" s="9" t="inlineStr">
        <is>
          <t>21/50 MA cross, 250-period confirm filter, VWAP</t>
        </is>
      </c>
      <c r="D4221" s="9" t="inlineStr">
        <is>
          <t>Short</t>
        </is>
      </c>
      <c r="E4221" s="10" t="n">
        <v>45680.47222222222</v>
      </c>
      <c r="F4221" s="10" t="n">
        <v>45680.55902777778</v>
      </c>
      <c r="G4221" s="11" t="n">
        <v>-2.68</v>
      </c>
      <c r="H4221" s="11">
        <f>H4220+G4221</f>
        <v/>
      </c>
    </row>
    <row r="4222">
      <c r="A4222" s="9" t="n">
        <v>4218</v>
      </c>
      <c r="B4222" s="9" t="inlineStr">
        <is>
          <t>Meridian</t>
        </is>
      </c>
      <c r="C4222" s="9" t="inlineStr">
        <is>
          <t>21/50 MA cross, 250-period confirm filter, VWAP</t>
        </is>
      </c>
      <c r="D4222" s="9" t="inlineStr">
        <is>
          <t>Short</t>
        </is>
      </c>
      <c r="E4222" s="10" t="n">
        <v>45680.60069444445</v>
      </c>
      <c r="F4222" s="10" t="n">
        <v>45680.75347222222</v>
      </c>
      <c r="G4222" s="11" t="n">
        <v>-1</v>
      </c>
      <c r="H4222" s="11">
        <f>H4221+G4222</f>
        <v/>
      </c>
    </row>
    <row r="4223">
      <c r="A4223" s="9" t="n">
        <v>4219</v>
      </c>
      <c r="B4223" s="9" t="inlineStr">
        <is>
          <t>Vanguard_M5</t>
        </is>
      </c>
      <c r="C4223" s="9" t="inlineStr">
        <is>
          <t>Trendline breakout (fractal swing line) + VWAP/S-R distance gate</t>
        </is>
      </c>
      <c r="D4223" s="9" t="inlineStr">
        <is>
          <t>Short</t>
        </is>
      </c>
      <c r="E4223" s="10" t="n">
        <v>45680.45833333334</v>
      </c>
      <c r="F4223" s="10" t="n">
        <v>45680.78125</v>
      </c>
      <c r="G4223" s="11" t="n">
        <v>-4.17</v>
      </c>
      <c r="H4223" s="11">
        <f>H4222+G4223</f>
        <v/>
      </c>
    </row>
    <row r="4224">
      <c r="A4224" s="9" t="n">
        <v>4220</v>
      </c>
      <c r="B4224" s="9" t="inlineStr">
        <is>
          <t>Vanguard_M15</t>
        </is>
      </c>
      <c r="C4224" s="9" t="inlineStr">
        <is>
          <t>Trendline breakout (fractal swing line) + VWAP/S-R distance gate - M15 chart</t>
        </is>
      </c>
      <c r="D4224" s="9" t="inlineStr">
        <is>
          <t>Short</t>
        </is>
      </c>
      <c r="E4224" s="10" t="n">
        <v>45680.45833333334</v>
      </c>
      <c r="F4224" s="10" t="n">
        <v>45680.8125</v>
      </c>
      <c r="G4224" s="11" t="n">
        <v>-5.2</v>
      </c>
      <c r="H4224" s="11">
        <f>H4223+G4224</f>
        <v/>
      </c>
    </row>
    <row r="4225">
      <c r="A4225" s="9" t="n">
        <v>4221</v>
      </c>
      <c r="B4225" s="9" t="inlineStr">
        <is>
          <t>Ratchet</t>
        </is>
      </c>
      <c r="C4225" s="9" t="inlineStr">
        <is>
          <t>Stochastic scalp with give-back trail exit</t>
        </is>
      </c>
      <c r="D4225" s="9" t="inlineStr">
        <is>
          <t>Long</t>
        </is>
      </c>
      <c r="E4225" s="10" t="n">
        <v>45680.89930555555</v>
      </c>
      <c r="F4225" s="10" t="n">
        <v>45680.91319444445</v>
      </c>
      <c r="G4225" s="11" t="n">
        <v>-2.26</v>
      </c>
      <c r="H4225" s="11">
        <f>H4224+G4225</f>
        <v/>
      </c>
    </row>
    <row r="4226">
      <c r="A4226" s="9" t="n">
        <v>4222</v>
      </c>
      <c r="B4226" s="9" t="inlineStr">
        <is>
          <t>Ratchet</t>
        </is>
      </c>
      <c r="C4226" s="9" t="inlineStr">
        <is>
          <t>Stochastic scalp with give-back trail exit</t>
        </is>
      </c>
      <c r="D4226" s="9" t="inlineStr">
        <is>
          <t>Long</t>
        </is>
      </c>
      <c r="E4226" s="10" t="n">
        <v>45681.15277777778</v>
      </c>
      <c r="F4226" s="10" t="n">
        <v>45681.18055555555</v>
      </c>
      <c r="G4226" s="11" t="n">
        <v>10.61</v>
      </c>
      <c r="H4226" s="11">
        <f>H4225+G4226</f>
        <v/>
      </c>
    </row>
    <row r="4227">
      <c r="A4227" s="9" t="n">
        <v>4223</v>
      </c>
      <c r="B4227" s="9" t="inlineStr">
        <is>
          <t>Ratchet</t>
        </is>
      </c>
      <c r="C4227" s="9" t="inlineStr">
        <is>
          <t>Stochastic scalp with give-back trail exit</t>
        </is>
      </c>
      <c r="D4227" s="9" t="inlineStr">
        <is>
          <t>Long</t>
        </is>
      </c>
      <c r="E4227" s="10" t="n">
        <v>45681.32291666666</v>
      </c>
      <c r="F4227" s="10" t="n">
        <v>45681.34722222222</v>
      </c>
      <c r="G4227" s="11" t="n">
        <v>0.48</v>
      </c>
      <c r="H4227" s="11">
        <f>H4226+G4227</f>
        <v/>
      </c>
    </row>
    <row r="4228">
      <c r="A4228" s="9" t="n">
        <v>4224</v>
      </c>
      <c r="B4228" s="9" t="inlineStr">
        <is>
          <t>Ratchet</t>
        </is>
      </c>
      <c r="C4228" s="9" t="inlineStr">
        <is>
          <t>Stochastic scalp with give-back trail exit</t>
        </is>
      </c>
      <c r="D4228" s="9" t="inlineStr">
        <is>
          <t>Long</t>
        </is>
      </c>
      <c r="E4228" s="10" t="n">
        <v>45681.35763888889</v>
      </c>
      <c r="F4228" s="10" t="n">
        <v>45681.36805555555</v>
      </c>
      <c r="G4228" s="11" t="n">
        <v>-3.27</v>
      </c>
      <c r="H4228" s="11">
        <f>H4227+G4228</f>
        <v/>
      </c>
    </row>
    <row r="4229">
      <c r="A4229" s="9" t="n">
        <v>4225</v>
      </c>
      <c r="B4229" s="9" t="inlineStr">
        <is>
          <t>Meridian</t>
        </is>
      </c>
      <c r="C4229" s="9" t="inlineStr">
        <is>
          <t>21/50 MA cross, 250-period confirm filter, VWAP</t>
        </is>
      </c>
      <c r="D4229" s="9" t="inlineStr">
        <is>
          <t>Long</t>
        </is>
      </c>
      <c r="E4229" s="10" t="n">
        <v>45680.99652777778</v>
      </c>
      <c r="F4229" s="10" t="n">
        <v>45681.44444444445</v>
      </c>
      <c r="G4229" s="11" t="n">
        <v>17.37</v>
      </c>
      <c r="H4229" s="11">
        <f>H4228+G4229</f>
        <v/>
      </c>
    </row>
    <row r="4230">
      <c r="A4230" s="9" t="n">
        <v>4226</v>
      </c>
      <c r="B4230" s="9" t="inlineStr">
        <is>
          <t>Ratchet</t>
        </is>
      </c>
      <c r="C4230" s="9" t="inlineStr">
        <is>
          <t>Stochastic scalp with give-back trail exit</t>
        </is>
      </c>
      <c r="D4230" s="9" t="inlineStr">
        <is>
          <t>Long</t>
        </is>
      </c>
      <c r="E4230" s="10" t="n">
        <v>45681.45833333334</v>
      </c>
      <c r="F4230" s="10" t="n">
        <v>45681.46527777778</v>
      </c>
      <c r="G4230" s="11" t="n">
        <v>0.45</v>
      </c>
      <c r="H4230" s="11">
        <f>H4229+G4230</f>
        <v/>
      </c>
    </row>
    <row r="4231">
      <c r="A4231" s="9" t="n">
        <v>4227</v>
      </c>
      <c r="B4231" s="9" t="inlineStr">
        <is>
          <t>Ratchet</t>
        </is>
      </c>
      <c r="C4231" s="9" t="inlineStr">
        <is>
          <t>Stochastic scalp with give-back trail exit</t>
        </is>
      </c>
      <c r="D4231" s="9" t="inlineStr">
        <is>
          <t>Long</t>
        </is>
      </c>
      <c r="E4231" s="10" t="n">
        <v>45681.54513888889</v>
      </c>
      <c r="F4231" s="10" t="n">
        <v>45681.56944444445</v>
      </c>
      <c r="G4231" s="11" t="n">
        <v>0.8</v>
      </c>
      <c r="H4231" s="11">
        <f>H4230+G4231</f>
        <v/>
      </c>
    </row>
    <row r="4232">
      <c r="A4232" s="9" t="n">
        <v>4228</v>
      </c>
      <c r="B4232" s="9" t="inlineStr">
        <is>
          <t>Ratchet</t>
        </is>
      </c>
      <c r="C4232" s="9" t="inlineStr">
        <is>
          <t>Stochastic scalp with give-back trail exit</t>
        </is>
      </c>
      <c r="D4232" s="9" t="inlineStr">
        <is>
          <t>Long</t>
        </is>
      </c>
      <c r="E4232" s="10" t="n">
        <v>45681.58333333334</v>
      </c>
      <c r="F4232" s="10" t="n">
        <v>45681.59722222222</v>
      </c>
      <c r="G4232" s="11" t="n">
        <v>0.51</v>
      </c>
      <c r="H4232" s="11">
        <f>H4231+G4232</f>
        <v/>
      </c>
    </row>
    <row r="4233">
      <c r="A4233" s="9" t="n">
        <v>4229</v>
      </c>
      <c r="B4233" s="9" t="inlineStr">
        <is>
          <t>Ratchet</t>
        </is>
      </c>
      <c r="C4233" s="9" t="inlineStr">
        <is>
          <t>Stochastic scalp with give-back trail exit</t>
        </is>
      </c>
      <c r="D4233" s="9" t="inlineStr">
        <is>
          <t>Long</t>
        </is>
      </c>
      <c r="E4233" s="10" t="n">
        <v>45681.61111111111</v>
      </c>
      <c r="F4233" s="10" t="n">
        <v>45681.61458333334</v>
      </c>
      <c r="G4233" s="11" t="n">
        <v>0.25</v>
      </c>
      <c r="H4233" s="11">
        <f>H4232+G4233</f>
        <v/>
      </c>
    </row>
    <row r="4234">
      <c r="A4234" s="9" t="n">
        <v>4230</v>
      </c>
      <c r="B4234" s="9" t="inlineStr">
        <is>
          <t>Ratchet</t>
        </is>
      </c>
      <c r="C4234" s="9" t="inlineStr">
        <is>
          <t>Stochastic scalp with give-back trail exit</t>
        </is>
      </c>
      <c r="D4234" s="9" t="inlineStr">
        <is>
          <t>Long</t>
        </is>
      </c>
      <c r="E4234" s="10" t="n">
        <v>45681.72222222222</v>
      </c>
      <c r="F4234" s="10" t="n">
        <v>45681.72916666666</v>
      </c>
      <c r="G4234" s="11" t="n">
        <v>0.98</v>
      </c>
      <c r="H4234" s="11">
        <f>H4233+G4234</f>
        <v/>
      </c>
    </row>
    <row r="4235">
      <c r="A4235" s="9" t="n">
        <v>4231</v>
      </c>
      <c r="B4235" s="9" t="inlineStr">
        <is>
          <t>Aurelius_M5</t>
        </is>
      </c>
      <c r="C4235" s="9" t="inlineStr">
        <is>
          <t>MA alignment (EMA21&gt;EMA50&gt;SMA250&gt;SMMA500 vs EMA2400 trend filter)</t>
        </is>
      </c>
      <c r="D4235" s="9" t="inlineStr">
        <is>
          <t>Long</t>
        </is>
      </c>
      <c r="E4235" s="10" t="n">
        <v>45681.71527777778</v>
      </c>
      <c r="F4235" s="10" t="n">
        <v>45681.75</v>
      </c>
      <c r="G4235" s="11" t="n">
        <v>-6.76</v>
      </c>
      <c r="H4235" s="11">
        <f>H4234+G4235</f>
        <v/>
      </c>
    </row>
    <row r="4236">
      <c r="A4236" s="9" t="n">
        <v>4232</v>
      </c>
      <c r="B4236" s="9" t="inlineStr">
        <is>
          <t>Meridian</t>
        </is>
      </c>
      <c r="C4236" s="9" t="inlineStr">
        <is>
          <t>21/50 MA cross, 250-period confirm filter, VWAP</t>
        </is>
      </c>
      <c r="D4236" s="9" t="inlineStr">
        <is>
          <t>Long</t>
        </is>
      </c>
      <c r="E4236" s="10" t="n">
        <v>45681.45138888889</v>
      </c>
      <c r="F4236" s="10" t="n">
        <v>45681.76388888889</v>
      </c>
      <c r="G4236" s="11" t="n">
        <v>-0.08</v>
      </c>
      <c r="H4236" s="11">
        <f>H4235+G4236</f>
        <v/>
      </c>
    </row>
    <row r="4237">
      <c r="A4237" s="9" t="n">
        <v>4233</v>
      </c>
      <c r="B4237" s="9" t="inlineStr">
        <is>
          <t>Aurelius_M15</t>
        </is>
      </c>
      <c r="C4237" s="9" t="inlineStr">
        <is>
          <t>MA alignment (EMA21&gt;EMA50&gt;SMA250&gt;SMMA500 vs EMA2400 trend filter) - M15 chart</t>
        </is>
      </c>
      <c r="D4237" s="9" t="inlineStr">
        <is>
          <t>Long</t>
        </is>
      </c>
      <c r="E4237" s="10" t="n">
        <v>45680.92708333334</v>
      </c>
      <c r="F4237" s="10" t="n">
        <v>45681.92708333334</v>
      </c>
      <c r="G4237" s="11" t="n">
        <v>20.81</v>
      </c>
      <c r="H4237" s="11">
        <f>H4236+G4237</f>
        <v/>
      </c>
    </row>
    <row r="4238">
      <c r="A4238" s="9" t="n">
        <v>4234</v>
      </c>
      <c r="B4238" s="9" t="inlineStr">
        <is>
          <t>Vanguard_M5</t>
        </is>
      </c>
      <c r="C4238" s="9" t="inlineStr">
        <is>
          <t>Trendline breakout (fractal swing line) + VWAP/S-R distance gate</t>
        </is>
      </c>
      <c r="D4238" s="9" t="inlineStr">
        <is>
          <t>Short</t>
        </is>
      </c>
      <c r="E4238" s="10" t="n">
        <v>45684.39583333334</v>
      </c>
      <c r="F4238" s="10" t="n">
        <v>45684.42361111111</v>
      </c>
      <c r="G4238" s="11" t="n">
        <v>-6.56</v>
      </c>
      <c r="H4238" s="11">
        <f>H4237+G4238</f>
        <v/>
      </c>
    </row>
    <row r="4239">
      <c r="A4239" s="9" t="n">
        <v>4235</v>
      </c>
      <c r="B4239" s="9" t="inlineStr">
        <is>
          <t>Vanguard_M15</t>
        </is>
      </c>
      <c r="C4239" s="9" t="inlineStr">
        <is>
          <t>Trendline breakout (fractal swing line) + VWAP/S-R distance gate - M15 chart</t>
        </is>
      </c>
      <c r="D4239" s="9" t="inlineStr">
        <is>
          <t>Short</t>
        </is>
      </c>
      <c r="E4239" s="10" t="n">
        <v>45684.39583333334</v>
      </c>
      <c r="F4239" s="10" t="n">
        <v>45684.42708333334</v>
      </c>
      <c r="G4239" s="11" t="n">
        <v>-8.470000000000001</v>
      </c>
      <c r="H4239" s="11">
        <f>H4238+G4239</f>
        <v/>
      </c>
    </row>
    <row r="4240">
      <c r="A4240" s="9" t="n">
        <v>4236</v>
      </c>
      <c r="B4240" s="9" t="inlineStr">
        <is>
          <t>Meridian</t>
        </is>
      </c>
      <c r="C4240" s="9" t="inlineStr">
        <is>
          <t>21/50 MA cross, 250-period confirm filter, VWAP</t>
        </is>
      </c>
      <c r="D4240" s="9" t="inlineStr">
        <is>
          <t>Short</t>
        </is>
      </c>
      <c r="E4240" s="10" t="n">
        <v>45684.64236111111</v>
      </c>
      <c r="F4240" s="10" t="n">
        <v>45684.96180555555</v>
      </c>
      <c r="G4240" s="11" t="n">
        <v>16.87</v>
      </c>
      <c r="H4240" s="11">
        <f>H4239+G4240</f>
        <v/>
      </c>
    </row>
    <row r="4241">
      <c r="A4241" s="9" t="n">
        <v>4237</v>
      </c>
      <c r="B4241" s="9" t="inlineStr">
        <is>
          <t>Meridian</t>
        </is>
      </c>
      <c r="C4241" s="9" t="inlineStr">
        <is>
          <t>21/50 MA cross, 250-period confirm filter, VWAP</t>
        </is>
      </c>
      <c r="D4241" s="9" t="inlineStr">
        <is>
          <t>Short</t>
        </is>
      </c>
      <c r="E4241" s="10" t="n">
        <v>45685.18402777778</v>
      </c>
      <c r="F4241" s="10" t="n">
        <v>45685.29513888889</v>
      </c>
      <c r="G4241" s="11" t="n">
        <v>-4.5</v>
      </c>
      <c r="H4241" s="11">
        <f>H4240+G4241</f>
        <v/>
      </c>
    </row>
    <row r="4242">
      <c r="A4242" s="9" t="n">
        <v>4238</v>
      </c>
      <c r="B4242" s="9" t="inlineStr">
        <is>
          <t>Meridian</t>
        </is>
      </c>
      <c r="C4242" s="9" t="inlineStr">
        <is>
          <t>21/50 MA cross, 250-period confirm filter, VWAP</t>
        </is>
      </c>
      <c r="D4242" s="9" t="inlineStr">
        <is>
          <t>Short</t>
        </is>
      </c>
      <c r="E4242" s="10" t="n">
        <v>45685.36805555555</v>
      </c>
      <c r="F4242" s="10" t="n">
        <v>45685.38888888889</v>
      </c>
      <c r="G4242" s="11" t="n">
        <v>-2.53</v>
      </c>
      <c r="H4242" s="11">
        <f>H4241+G4242</f>
        <v/>
      </c>
    </row>
    <row r="4243">
      <c r="A4243" s="9" t="n">
        <v>4239</v>
      </c>
      <c r="B4243" s="9" t="inlineStr">
        <is>
          <t>Meridian</t>
        </is>
      </c>
      <c r="C4243" s="9" t="inlineStr">
        <is>
          <t>21/50 MA cross, 250-period confirm filter, VWAP</t>
        </is>
      </c>
      <c r="D4243" s="9" t="inlineStr">
        <is>
          <t>Short</t>
        </is>
      </c>
      <c r="E4243" s="10" t="n">
        <v>45685.40972222222</v>
      </c>
      <c r="F4243" s="10" t="n">
        <v>45685.46180555555</v>
      </c>
      <c r="G4243" s="11" t="n">
        <v>-2.71</v>
      </c>
      <c r="H4243" s="11">
        <f>H4242+G4243</f>
        <v/>
      </c>
    </row>
    <row r="4244">
      <c r="A4244" s="9" t="n">
        <v>4240</v>
      </c>
      <c r="B4244" s="9" t="inlineStr">
        <is>
          <t>Vanguard_M15</t>
        </is>
      </c>
      <c r="C4244" s="9" t="inlineStr">
        <is>
          <t>Trendline breakout (fractal swing line) + VWAP/S-R distance gate - M15 chart</t>
        </is>
      </c>
      <c r="D4244" s="9" t="inlineStr">
        <is>
          <t>Short</t>
        </is>
      </c>
      <c r="E4244" s="10" t="n">
        <v>45684.65625</v>
      </c>
      <c r="F4244" s="10" t="n">
        <v>45685.67708333334</v>
      </c>
      <c r="G4244" s="11" t="n">
        <v>-1.14</v>
      </c>
      <c r="H4244" s="11">
        <f>H4243+G4244</f>
        <v/>
      </c>
    </row>
    <row r="4245">
      <c r="A4245" s="9" t="n">
        <v>4241</v>
      </c>
      <c r="B4245" s="9" t="inlineStr">
        <is>
          <t>Vanguard_M5</t>
        </is>
      </c>
      <c r="C4245" s="9" t="inlineStr">
        <is>
          <t>Trendline breakout (fractal swing line) + VWAP/S-R distance gate</t>
        </is>
      </c>
      <c r="D4245" s="9" t="inlineStr">
        <is>
          <t>Short</t>
        </is>
      </c>
      <c r="E4245" s="10" t="n">
        <v>45684.65625</v>
      </c>
      <c r="F4245" s="10" t="n">
        <v>45685.68055555555</v>
      </c>
      <c r="G4245" s="11" t="n">
        <v>-0.29</v>
      </c>
      <c r="H4245" s="11">
        <f>H4244+G4245</f>
        <v/>
      </c>
    </row>
    <row r="4246">
      <c r="A4246" s="9" t="n">
        <v>4242</v>
      </c>
      <c r="B4246" s="9" t="inlineStr">
        <is>
          <t>Ratchet</t>
        </is>
      </c>
      <c r="C4246" s="9" t="inlineStr">
        <is>
          <t>Stochastic scalp with give-back trail exit</t>
        </is>
      </c>
      <c r="D4246" s="9" t="inlineStr">
        <is>
          <t>Long</t>
        </is>
      </c>
      <c r="E4246" s="10" t="n">
        <v>45685.92013888889</v>
      </c>
      <c r="F4246" s="10" t="n">
        <v>45685.93055555555</v>
      </c>
      <c r="G4246" s="11" t="n">
        <v>-1.64</v>
      </c>
      <c r="H4246" s="11">
        <f>H4245+G4246</f>
        <v/>
      </c>
    </row>
    <row r="4247">
      <c r="A4247" s="9" t="n">
        <v>4243</v>
      </c>
      <c r="B4247" s="9" t="inlineStr">
        <is>
          <t>Ratchet</t>
        </is>
      </c>
      <c r="C4247" s="9" t="inlineStr">
        <is>
          <t>Stochastic scalp with give-back trail exit</t>
        </is>
      </c>
      <c r="D4247" s="9" t="inlineStr">
        <is>
          <t>Long</t>
        </is>
      </c>
      <c r="E4247" s="10" t="n">
        <v>45685.94791666666</v>
      </c>
      <c r="F4247" s="10" t="n">
        <v>45685.95833333334</v>
      </c>
      <c r="G4247" s="11" t="n">
        <v>-1.57</v>
      </c>
      <c r="H4247" s="11">
        <f>H4246+G4247</f>
        <v/>
      </c>
    </row>
    <row r="4248">
      <c r="A4248" s="9" t="n">
        <v>4244</v>
      </c>
      <c r="B4248" s="9" t="inlineStr">
        <is>
          <t>Meridian</t>
        </is>
      </c>
      <c r="C4248" s="9" t="inlineStr">
        <is>
          <t>21/50 MA cross, 250-period confirm filter, VWAP</t>
        </is>
      </c>
      <c r="D4248" s="9" t="inlineStr">
        <is>
          <t>Long</t>
        </is>
      </c>
      <c r="E4248" s="10" t="n">
        <v>45686.44444444445</v>
      </c>
      <c r="F4248" s="10" t="n">
        <v>45686.46527777778</v>
      </c>
      <c r="G4248" s="11" t="n">
        <v>-3.49</v>
      </c>
      <c r="H4248" s="11">
        <f>H4247+G4248</f>
        <v/>
      </c>
    </row>
    <row r="4249">
      <c r="A4249" s="9" t="n">
        <v>4245</v>
      </c>
      <c r="B4249" s="9" t="inlineStr">
        <is>
          <t>Ratchet</t>
        </is>
      </c>
      <c r="C4249" s="9" t="inlineStr">
        <is>
          <t>Stochastic scalp with give-back trail exit</t>
        </is>
      </c>
      <c r="D4249" s="9" t="inlineStr">
        <is>
          <t>Long</t>
        </is>
      </c>
      <c r="E4249" s="10" t="n">
        <v>45686.48958333334</v>
      </c>
      <c r="F4249" s="10" t="n">
        <v>45686.51041666666</v>
      </c>
      <c r="G4249" s="11" t="n">
        <v>-2.45</v>
      </c>
      <c r="H4249" s="11">
        <f>H4248+G4249</f>
        <v/>
      </c>
    </row>
    <row r="4250">
      <c r="A4250" s="9" t="n">
        <v>4246</v>
      </c>
      <c r="B4250" s="9" t="inlineStr">
        <is>
          <t>Aurelius_M5</t>
        </is>
      </c>
      <c r="C4250" s="9" t="inlineStr">
        <is>
          <t>MA alignment (EMA21&gt;EMA50&gt;SMA250&gt;SMMA500 vs EMA2400 trend filter)</t>
        </is>
      </c>
      <c r="D4250" s="9" t="inlineStr">
        <is>
          <t>Long</t>
        </is>
      </c>
      <c r="E4250" s="10" t="n">
        <v>45686.46875</v>
      </c>
      <c r="F4250" s="10" t="n">
        <v>45686.52430555555</v>
      </c>
      <c r="G4250" s="11" t="n">
        <v>-2.55</v>
      </c>
      <c r="H4250" s="11">
        <f>H4249+G4250</f>
        <v/>
      </c>
    </row>
    <row r="4251">
      <c r="A4251" s="9" t="n">
        <v>4247</v>
      </c>
      <c r="B4251" s="9" t="inlineStr">
        <is>
          <t>Vanguard_M5</t>
        </is>
      </c>
      <c r="C4251" s="9" t="inlineStr">
        <is>
          <t>Trendline breakout (fractal swing line) + VWAP/S-R distance gate</t>
        </is>
      </c>
      <c r="D4251" s="9" t="inlineStr">
        <is>
          <t>Long</t>
        </is>
      </c>
      <c r="E4251" s="10" t="n">
        <v>45685.6875</v>
      </c>
      <c r="F4251" s="10" t="n">
        <v>45686.63541666666</v>
      </c>
      <c r="G4251" s="11" t="n">
        <v>-0.5600000000000001</v>
      </c>
      <c r="H4251" s="11">
        <f>H4250+G4251</f>
        <v/>
      </c>
    </row>
    <row r="4252">
      <c r="A4252" s="9" t="n">
        <v>4248</v>
      </c>
      <c r="B4252" s="9" t="inlineStr">
        <is>
          <t>Vanguard_M15</t>
        </is>
      </c>
      <c r="C4252" s="9" t="inlineStr">
        <is>
          <t>Trendline breakout (fractal swing line) + VWAP/S-R distance gate - M15 chart</t>
        </is>
      </c>
      <c r="D4252" s="9" t="inlineStr">
        <is>
          <t>Long</t>
        </is>
      </c>
      <c r="E4252" s="10" t="n">
        <v>45685.6875</v>
      </c>
      <c r="F4252" s="10" t="n">
        <v>45686.71875</v>
      </c>
      <c r="G4252" s="11" t="n">
        <v>-3.8</v>
      </c>
      <c r="H4252" s="11">
        <f>H4251+G4252</f>
        <v/>
      </c>
    </row>
    <row r="4253">
      <c r="A4253" s="9" t="n">
        <v>4249</v>
      </c>
      <c r="B4253" s="9" t="inlineStr">
        <is>
          <t>Meridian</t>
        </is>
      </c>
      <c r="C4253" s="9" t="inlineStr">
        <is>
          <t>21/50 MA cross, 250-period confirm filter, VWAP</t>
        </is>
      </c>
      <c r="D4253" s="9" t="inlineStr">
        <is>
          <t>Short</t>
        </is>
      </c>
      <c r="E4253" s="10" t="n">
        <v>45686.52430555555</v>
      </c>
      <c r="F4253" s="10" t="n">
        <v>45686.93402777778</v>
      </c>
      <c r="G4253" s="11" t="n">
        <v>1.48</v>
      </c>
      <c r="H4253" s="11">
        <f>H4252+G4253</f>
        <v/>
      </c>
    </row>
    <row r="4254">
      <c r="A4254" s="9" t="n">
        <v>4250</v>
      </c>
      <c r="B4254" s="9" t="inlineStr">
        <is>
          <t>Ratchet</t>
        </is>
      </c>
      <c r="C4254" s="9" t="inlineStr">
        <is>
          <t>Stochastic scalp with give-back trail exit</t>
        </is>
      </c>
      <c r="D4254" s="9" t="inlineStr">
        <is>
          <t>Long</t>
        </is>
      </c>
      <c r="E4254" s="10" t="n">
        <v>45687.09722222222</v>
      </c>
      <c r="F4254" s="10" t="n">
        <v>45687.125</v>
      </c>
      <c r="G4254" s="11" t="n">
        <v>0.8100000000000001</v>
      </c>
      <c r="H4254" s="11">
        <f>H4253+G4254</f>
        <v/>
      </c>
    </row>
    <row r="4255">
      <c r="A4255" s="9" t="n">
        <v>4251</v>
      </c>
      <c r="B4255" s="9" t="inlineStr">
        <is>
          <t>Vanguard_M5</t>
        </is>
      </c>
      <c r="C4255" s="9" t="inlineStr">
        <is>
          <t>Trendline breakout (fractal swing line) + VWAP/S-R distance gate</t>
        </is>
      </c>
      <c r="D4255" s="9" t="inlineStr">
        <is>
          <t>Long</t>
        </is>
      </c>
      <c r="E4255" s="10" t="n">
        <v>45687.25347222222</v>
      </c>
      <c r="F4255" s="10" t="n">
        <v>45687.31597222222</v>
      </c>
      <c r="G4255" s="11" t="n">
        <v>-3.46</v>
      </c>
      <c r="H4255" s="11">
        <f>H4254+G4255</f>
        <v/>
      </c>
    </row>
    <row r="4256">
      <c r="A4256" s="9" t="n">
        <v>4252</v>
      </c>
      <c r="B4256" s="9" t="inlineStr">
        <is>
          <t>Ratchet</t>
        </is>
      </c>
      <c r="C4256" s="9" t="inlineStr">
        <is>
          <t>Stochastic scalp with give-back trail exit</t>
        </is>
      </c>
      <c r="D4256" s="9" t="inlineStr">
        <is>
          <t>Long</t>
        </is>
      </c>
      <c r="E4256" s="10" t="n">
        <v>45687.34375</v>
      </c>
      <c r="F4256" s="10" t="n">
        <v>45687.36805555555</v>
      </c>
      <c r="G4256" s="11" t="n">
        <v>0.16</v>
      </c>
      <c r="H4256" s="11">
        <f>H4255+G4256</f>
        <v/>
      </c>
    </row>
    <row r="4257">
      <c r="A4257" s="9" t="n">
        <v>4253</v>
      </c>
      <c r="B4257" s="9" t="inlineStr">
        <is>
          <t>Ratchet</t>
        </is>
      </c>
      <c r="C4257" s="9" t="inlineStr">
        <is>
          <t>Stochastic scalp with give-back trail exit</t>
        </is>
      </c>
      <c r="D4257" s="9" t="inlineStr">
        <is>
          <t>Long</t>
        </is>
      </c>
      <c r="E4257" s="10" t="n">
        <v>45687.48958333334</v>
      </c>
      <c r="F4257" s="10" t="n">
        <v>45687.58333333334</v>
      </c>
      <c r="G4257" s="11" t="n">
        <v>1.21</v>
      </c>
      <c r="H4257" s="11">
        <f>H4256+G4257</f>
        <v/>
      </c>
    </row>
    <row r="4258">
      <c r="A4258" s="9" t="n">
        <v>4254</v>
      </c>
      <c r="B4258" s="9" t="inlineStr">
        <is>
          <t>Ratchet</t>
        </is>
      </c>
      <c r="C4258" s="9" t="inlineStr">
        <is>
          <t>Stochastic scalp with give-back trail exit</t>
        </is>
      </c>
      <c r="D4258" s="9" t="inlineStr">
        <is>
          <t>Long</t>
        </is>
      </c>
      <c r="E4258" s="10" t="n">
        <v>45687.60763888889</v>
      </c>
      <c r="F4258" s="10" t="n">
        <v>45687.61111111111</v>
      </c>
      <c r="G4258" s="11" t="n">
        <v>0.16</v>
      </c>
      <c r="H4258" s="11">
        <f>H4257+G4258</f>
        <v/>
      </c>
    </row>
    <row r="4259">
      <c r="A4259" s="9" t="n">
        <v>4255</v>
      </c>
      <c r="B4259" s="9" t="inlineStr">
        <is>
          <t>Ratchet</t>
        </is>
      </c>
      <c r="C4259" s="9" t="inlineStr">
        <is>
          <t>Stochastic scalp with give-back trail exit</t>
        </is>
      </c>
      <c r="D4259" s="9" t="inlineStr">
        <is>
          <t>Long</t>
        </is>
      </c>
      <c r="E4259" s="10" t="n">
        <v>45687.68055555555</v>
      </c>
      <c r="F4259" s="10" t="n">
        <v>45687.6875</v>
      </c>
      <c r="G4259" s="11" t="n">
        <v>0.84</v>
      </c>
      <c r="H4259" s="11">
        <f>H4258+G4259</f>
        <v/>
      </c>
    </row>
    <row r="4260">
      <c r="A4260" s="9" t="n">
        <v>4256</v>
      </c>
      <c r="B4260" s="9" t="inlineStr">
        <is>
          <t>Ratchet</t>
        </is>
      </c>
      <c r="C4260" s="9" t="inlineStr">
        <is>
          <t>Stochastic scalp with give-back trail exit</t>
        </is>
      </c>
      <c r="D4260" s="9" t="inlineStr">
        <is>
          <t>Long</t>
        </is>
      </c>
      <c r="E4260" s="10" t="n">
        <v>45687.81944444445</v>
      </c>
      <c r="F4260" s="10" t="n">
        <v>45687.84027777778</v>
      </c>
      <c r="G4260" s="11" t="n">
        <v>0.49</v>
      </c>
      <c r="H4260" s="11">
        <f>H4259+G4260</f>
        <v/>
      </c>
    </row>
    <row r="4261">
      <c r="A4261" s="9" t="n">
        <v>4257</v>
      </c>
      <c r="B4261" s="9" t="inlineStr">
        <is>
          <t>Ratchet</t>
        </is>
      </c>
      <c r="C4261" s="9" t="inlineStr">
        <is>
          <t>Stochastic scalp with give-back trail exit</t>
        </is>
      </c>
      <c r="D4261" s="9" t="inlineStr">
        <is>
          <t>Long</t>
        </is>
      </c>
      <c r="E4261" s="10" t="n">
        <v>45687.92708333334</v>
      </c>
      <c r="F4261" s="10" t="n">
        <v>45687.94097222222</v>
      </c>
      <c r="G4261" s="11" t="n">
        <v>0.37</v>
      </c>
      <c r="H4261" s="11">
        <f>H4260+G4261</f>
        <v/>
      </c>
    </row>
    <row r="4262">
      <c r="A4262" s="9" t="n">
        <v>4258</v>
      </c>
      <c r="B4262" s="9" t="inlineStr">
        <is>
          <t>Aurelius_M5</t>
        </is>
      </c>
      <c r="C4262" s="9" t="inlineStr">
        <is>
          <t>MA alignment (EMA21&gt;EMA50&gt;SMA250&gt;SMMA500 vs EMA2400 trend filter)</t>
        </is>
      </c>
      <c r="D4262" s="9" t="inlineStr">
        <is>
          <t>Long</t>
        </is>
      </c>
      <c r="E4262" s="10" t="n">
        <v>45687.37847222222</v>
      </c>
      <c r="F4262" s="10" t="n">
        <v>45688.04166666666</v>
      </c>
      <c r="G4262" s="11" t="n">
        <v>27.97</v>
      </c>
      <c r="H4262" s="11">
        <f>H4261+G4262</f>
        <v/>
      </c>
    </row>
    <row r="4263">
      <c r="A4263" s="9" t="n">
        <v>4259</v>
      </c>
      <c r="B4263" s="9" t="inlineStr">
        <is>
          <t>Meridian</t>
        </is>
      </c>
      <c r="C4263" s="9" t="inlineStr">
        <is>
          <t>21/50 MA cross, 250-period confirm filter, VWAP</t>
        </is>
      </c>
      <c r="D4263" s="9" t="inlineStr">
        <is>
          <t>Long</t>
        </is>
      </c>
      <c r="E4263" s="10" t="n">
        <v>45687.34027777778</v>
      </c>
      <c r="F4263" s="10" t="n">
        <v>45688.27777777778</v>
      </c>
      <c r="G4263" s="11" t="n">
        <v>33.8</v>
      </c>
      <c r="H4263" s="11">
        <f>H4262+G4263</f>
        <v/>
      </c>
    </row>
    <row r="4264">
      <c r="A4264" s="9" t="n">
        <v>4260</v>
      </c>
      <c r="B4264" s="9" t="inlineStr">
        <is>
          <t>Meridian</t>
        </is>
      </c>
      <c r="C4264" s="9" t="inlineStr">
        <is>
          <t>21/50 MA cross, 250-period confirm filter, VWAP</t>
        </is>
      </c>
      <c r="D4264" s="9" t="inlineStr">
        <is>
          <t>Long</t>
        </is>
      </c>
      <c r="E4264" s="10" t="n">
        <v>45688.28472222222</v>
      </c>
      <c r="F4264" s="10" t="n">
        <v>45688.28819444445</v>
      </c>
      <c r="G4264" s="11" t="n">
        <v>-1.24</v>
      </c>
      <c r="H4264" s="11">
        <f>H4263+G4264</f>
        <v/>
      </c>
    </row>
    <row r="4265">
      <c r="A4265" s="9" t="n">
        <v>4261</v>
      </c>
      <c r="B4265" s="9" t="inlineStr">
        <is>
          <t>Meridian</t>
        </is>
      </c>
      <c r="C4265" s="9" t="inlineStr">
        <is>
          <t>21/50 MA cross, 250-period confirm filter, VWAP</t>
        </is>
      </c>
      <c r="D4265" s="9" t="inlineStr">
        <is>
          <t>Long</t>
        </is>
      </c>
      <c r="E4265" s="10" t="n">
        <v>45688.30555555555</v>
      </c>
      <c r="F4265" s="10" t="n">
        <v>45688.30902777778</v>
      </c>
      <c r="G4265" s="11" t="n">
        <v>-1</v>
      </c>
      <c r="H4265" s="11">
        <f>H4264+G4265</f>
        <v/>
      </c>
    </row>
    <row r="4266">
      <c r="A4266" s="9" t="n">
        <v>4262</v>
      </c>
      <c r="B4266" s="9" t="inlineStr">
        <is>
          <t>Meridian</t>
        </is>
      </c>
      <c r="C4266" s="9" t="inlineStr">
        <is>
          <t>21/50 MA cross, 250-period confirm filter, VWAP</t>
        </is>
      </c>
      <c r="D4266" s="9" t="inlineStr">
        <is>
          <t>Long</t>
        </is>
      </c>
      <c r="E4266" s="10" t="n">
        <v>45688.39583333334</v>
      </c>
      <c r="F4266" s="10" t="n">
        <v>45688.42013888889</v>
      </c>
      <c r="G4266" s="11" t="n">
        <v>-3.58</v>
      </c>
      <c r="H4266" s="11">
        <f>H4265+G4266</f>
        <v/>
      </c>
    </row>
    <row r="4267">
      <c r="A4267" s="9" t="n">
        <v>4263</v>
      </c>
      <c r="B4267" s="9" t="inlineStr">
        <is>
          <t>Ratchet</t>
        </is>
      </c>
      <c r="C4267" s="9" t="inlineStr">
        <is>
          <t>Stochastic scalp with give-back trail exit</t>
        </is>
      </c>
      <c r="D4267" s="9" t="inlineStr">
        <is>
          <t>Long</t>
        </is>
      </c>
      <c r="E4267" s="10" t="n">
        <v>45688.41666666666</v>
      </c>
      <c r="F4267" s="10" t="n">
        <v>45688.43055555555</v>
      </c>
      <c r="G4267" s="11" t="n">
        <v>-3.06</v>
      </c>
      <c r="H4267" s="11">
        <f>H4266+G4267</f>
        <v/>
      </c>
    </row>
    <row r="4268">
      <c r="A4268" s="9" t="n">
        <v>4264</v>
      </c>
      <c r="B4268" s="9" t="inlineStr">
        <is>
          <t>Ratchet</t>
        </is>
      </c>
      <c r="C4268" s="9" t="inlineStr">
        <is>
          <t>Stochastic scalp with give-back trail exit</t>
        </is>
      </c>
      <c r="D4268" s="9" t="inlineStr">
        <is>
          <t>Long</t>
        </is>
      </c>
      <c r="E4268" s="10" t="n">
        <v>45688.67013888889</v>
      </c>
      <c r="F4268" s="10" t="n">
        <v>45688.6875</v>
      </c>
      <c r="G4268" s="11" t="n">
        <v>-0</v>
      </c>
      <c r="H4268" s="11">
        <f>H4267+G4268</f>
        <v/>
      </c>
    </row>
    <row r="4269">
      <c r="A4269" s="9" t="n">
        <v>4265</v>
      </c>
      <c r="B4269" s="9" t="inlineStr">
        <is>
          <t>Ratchet</t>
        </is>
      </c>
      <c r="C4269" s="9" t="inlineStr">
        <is>
          <t>Stochastic scalp with give-back trail exit</t>
        </is>
      </c>
      <c r="D4269" s="9" t="inlineStr">
        <is>
          <t>Long</t>
        </is>
      </c>
      <c r="E4269" s="10" t="n">
        <v>45688.73611111111</v>
      </c>
      <c r="F4269" s="10" t="n">
        <v>45688.76041666666</v>
      </c>
      <c r="G4269" s="11" t="n">
        <v>-4.68</v>
      </c>
      <c r="H4269" s="11">
        <f>H4268+G4269</f>
        <v/>
      </c>
    </row>
    <row r="4270">
      <c r="A4270" s="9" t="n">
        <v>4266</v>
      </c>
      <c r="B4270" s="9" t="inlineStr">
        <is>
          <t>Aurelius_M15</t>
        </is>
      </c>
      <c r="C4270" s="9" t="inlineStr">
        <is>
          <t>MA alignment (EMA21&gt;EMA50&gt;SMA250&gt;SMMA500 vs EMA2400 trend filter) - M15 chart</t>
        </is>
      </c>
      <c r="D4270" s="9" t="inlineStr">
        <is>
          <t>Long</t>
        </is>
      </c>
      <c r="E4270" s="10" t="n">
        <v>45688.65625</v>
      </c>
      <c r="F4270" s="10" t="n">
        <v>45688.84375</v>
      </c>
      <c r="G4270" s="11" t="n">
        <v>-7.24</v>
      </c>
      <c r="H4270" s="11">
        <f>H4269+G4270</f>
        <v/>
      </c>
    </row>
    <row r="4271">
      <c r="A4271" s="9" t="n">
        <v>4267</v>
      </c>
      <c r="B4271" s="9" t="inlineStr">
        <is>
          <t>Meridian</t>
        </is>
      </c>
      <c r="C4271" s="9" t="inlineStr">
        <is>
          <t>21/50 MA cross, 250-period confirm filter, VWAP</t>
        </is>
      </c>
      <c r="D4271" s="9" t="inlineStr">
        <is>
          <t>Long</t>
        </is>
      </c>
      <c r="E4271" s="10" t="n">
        <v>45688.56944444445</v>
      </c>
      <c r="F4271" s="10" t="n">
        <v>45688.85416666666</v>
      </c>
      <c r="G4271" s="11" t="n">
        <v>2.21</v>
      </c>
      <c r="H4271" s="11">
        <f>H4270+G4271</f>
        <v/>
      </c>
    </row>
    <row r="4272">
      <c r="A4272" s="9" t="n">
        <v>4268</v>
      </c>
      <c r="B4272" s="9" t="inlineStr">
        <is>
          <t>Aurelius_M5</t>
        </is>
      </c>
      <c r="C4272" s="9" t="inlineStr">
        <is>
          <t>MA alignment (EMA21&gt;EMA50&gt;SMA250&gt;SMMA500 vs EMA2400 trend filter)</t>
        </is>
      </c>
      <c r="D4272" s="9" t="inlineStr">
        <is>
          <t>Long</t>
        </is>
      </c>
      <c r="E4272" s="10" t="n">
        <v>45688.58680555555</v>
      </c>
      <c r="F4272" s="10" t="n">
        <v>45688.85416666666</v>
      </c>
      <c r="G4272" s="11" t="n">
        <v>-2.62</v>
      </c>
      <c r="H4272" s="11">
        <f>H4271+G4272</f>
        <v/>
      </c>
    </row>
    <row r="4273">
      <c r="A4273" s="9" t="n">
        <v>4269</v>
      </c>
      <c r="B4273" s="9" t="inlineStr">
        <is>
          <t>Vanguard_M15</t>
        </is>
      </c>
      <c r="C4273" s="9" t="inlineStr">
        <is>
          <t>Trendline breakout (fractal swing line) + VWAP/S-R distance gate - M15 chart</t>
        </is>
      </c>
      <c r="D4273" s="9" t="inlineStr">
        <is>
          <t>Long</t>
        </is>
      </c>
      <c r="E4273" s="10" t="n">
        <v>45687.26041666666</v>
      </c>
      <c r="F4273" s="10" t="n">
        <v>45688.86458333334</v>
      </c>
      <c r="G4273" s="11" t="n">
        <v>35.75</v>
      </c>
      <c r="H4273" s="11">
        <f>H4272+G4273</f>
        <v/>
      </c>
    </row>
    <row r="4274">
      <c r="A4274" s="9" t="n">
        <v>4270</v>
      </c>
      <c r="B4274" s="9" t="inlineStr">
        <is>
          <t>Vanguard_M5</t>
        </is>
      </c>
      <c r="C4274" s="9" t="inlineStr">
        <is>
          <t>Trendline breakout (fractal swing line) + VWAP/S-R distance gate</t>
        </is>
      </c>
      <c r="D4274" s="9" t="inlineStr">
        <is>
          <t>Long</t>
        </is>
      </c>
      <c r="E4274" s="10" t="n">
        <v>45687.36805555555</v>
      </c>
      <c r="F4274" s="10" t="n">
        <v>45688.87152777778</v>
      </c>
      <c r="G4274" s="11" t="n">
        <v>36.58</v>
      </c>
      <c r="H4274" s="11">
        <f>H4273+G4274</f>
        <v/>
      </c>
    </row>
    <row r="4275">
      <c r="A4275" s="9" t="n">
        <v>4271</v>
      </c>
      <c r="B4275" s="9" t="inlineStr">
        <is>
          <t>Vanguard_M15</t>
        </is>
      </c>
      <c r="C4275" s="9" t="inlineStr">
        <is>
          <t>Trendline breakout (fractal swing line) + VWAP/S-R distance gate - M15 chart</t>
        </is>
      </c>
      <c r="D4275" s="9" t="inlineStr">
        <is>
          <t>Short</t>
        </is>
      </c>
      <c r="E4275" s="10" t="n">
        <v>45688.875</v>
      </c>
      <c r="F4275" s="10" t="n">
        <v>45691.66666666666</v>
      </c>
      <c r="G4275" s="11" t="n">
        <v>-15.04</v>
      </c>
      <c r="H4275" s="11">
        <f>H4274+G4275</f>
        <v/>
      </c>
    </row>
    <row r="4276">
      <c r="A4276" s="9" t="n">
        <v>4272</v>
      </c>
      <c r="B4276" s="9" t="inlineStr">
        <is>
          <t>Vanguard_M5</t>
        </is>
      </c>
      <c r="C4276" s="9" t="inlineStr">
        <is>
          <t>Trendline breakout (fractal swing line) + VWAP/S-R distance gate</t>
        </is>
      </c>
      <c r="D4276" s="9" t="inlineStr">
        <is>
          <t>Short</t>
        </is>
      </c>
      <c r="E4276" s="10" t="n">
        <v>45688.875</v>
      </c>
      <c r="F4276" s="10" t="n">
        <v>45691.67013888889</v>
      </c>
      <c r="G4276" s="11" t="n">
        <v>-13.67</v>
      </c>
      <c r="H4276" s="11">
        <f>H4275+G4276</f>
        <v/>
      </c>
    </row>
    <row r="4277">
      <c r="A4277" s="9" t="n">
        <v>4273</v>
      </c>
      <c r="B4277" s="9" t="inlineStr">
        <is>
          <t>Ratchet</t>
        </is>
      </c>
      <c r="C4277" s="9" t="inlineStr">
        <is>
          <t>Stochastic scalp with give-back trail exit</t>
        </is>
      </c>
      <c r="D4277" s="9" t="inlineStr">
        <is>
          <t>Long</t>
        </is>
      </c>
      <c r="E4277" s="10" t="n">
        <v>45692.15277777778</v>
      </c>
      <c r="F4277" s="10" t="n">
        <v>45692.17361111111</v>
      </c>
      <c r="G4277" s="11" t="n">
        <v>0.92</v>
      </c>
      <c r="H4277" s="11">
        <f>H4276+G4277</f>
        <v/>
      </c>
    </row>
    <row r="4278">
      <c r="A4278" s="9" t="n">
        <v>4274</v>
      </c>
      <c r="B4278" s="9" t="inlineStr">
        <is>
          <t>Ratchet</t>
        </is>
      </c>
      <c r="C4278" s="9" t="inlineStr">
        <is>
          <t>Stochastic scalp with give-back trail exit</t>
        </is>
      </c>
      <c r="D4278" s="9" t="inlineStr">
        <is>
          <t>Long</t>
        </is>
      </c>
      <c r="E4278" s="10" t="n">
        <v>45692.23263888889</v>
      </c>
      <c r="F4278" s="10" t="n">
        <v>45692.23263888889</v>
      </c>
      <c r="G4278" s="11" t="n">
        <v>-3.08</v>
      </c>
      <c r="H4278" s="11">
        <f>H4277+G4278</f>
        <v/>
      </c>
    </row>
    <row r="4279">
      <c r="A4279" s="9" t="n">
        <v>4275</v>
      </c>
      <c r="B4279" s="9" t="inlineStr">
        <is>
          <t>Meridian</t>
        </is>
      </c>
      <c r="C4279" s="9" t="inlineStr">
        <is>
          <t>21/50 MA cross, 250-period confirm filter, VWAP</t>
        </is>
      </c>
      <c r="D4279" s="9" t="inlineStr">
        <is>
          <t>Long</t>
        </is>
      </c>
      <c r="E4279" s="10" t="n">
        <v>45692.13888888889</v>
      </c>
      <c r="F4279" s="10" t="n">
        <v>45692.29513888889</v>
      </c>
      <c r="G4279" s="11" t="n">
        <v>-3.19</v>
      </c>
      <c r="H4279" s="11">
        <f>H4278+G4279</f>
        <v/>
      </c>
    </row>
    <row r="4280">
      <c r="A4280" s="9" t="n">
        <v>4276</v>
      </c>
      <c r="B4280" s="9" t="inlineStr">
        <is>
          <t>Aurelius_M5</t>
        </is>
      </c>
      <c r="C4280" s="9" t="inlineStr">
        <is>
          <t>MA alignment (EMA21&gt;EMA50&gt;SMA250&gt;SMMA500 vs EMA2400 trend filter)</t>
        </is>
      </c>
      <c r="D4280" s="9" t="inlineStr">
        <is>
          <t>Long</t>
        </is>
      </c>
      <c r="E4280" s="10" t="n">
        <v>45692.25</v>
      </c>
      <c r="F4280" s="10" t="n">
        <v>45692.29513888889</v>
      </c>
      <c r="G4280" s="11" t="n">
        <v>-4.46</v>
      </c>
      <c r="H4280" s="11">
        <f>H4279+G4280</f>
        <v/>
      </c>
    </row>
    <row r="4281">
      <c r="A4281" s="9" t="n">
        <v>4277</v>
      </c>
      <c r="B4281" s="9" t="inlineStr">
        <is>
          <t>Meridian</t>
        </is>
      </c>
      <c r="C4281" s="9" t="inlineStr">
        <is>
          <t>21/50 MA cross, 250-period confirm filter, VWAP</t>
        </is>
      </c>
      <c r="D4281" s="9" t="inlineStr">
        <is>
          <t>Long</t>
        </is>
      </c>
      <c r="E4281" s="10" t="n">
        <v>45692.47916666666</v>
      </c>
      <c r="F4281" s="10" t="n">
        <v>45692.54861111111</v>
      </c>
      <c r="G4281" s="11" t="n">
        <v>-2.56</v>
      </c>
      <c r="H4281" s="11">
        <f>H4280+G4281</f>
        <v/>
      </c>
    </row>
    <row r="4282">
      <c r="A4282" s="9" t="n">
        <v>4278</v>
      </c>
      <c r="B4282" s="9" t="inlineStr">
        <is>
          <t>Ratchet</t>
        </is>
      </c>
      <c r="C4282" s="9" t="inlineStr">
        <is>
          <t>Stochastic scalp with give-back trail exit</t>
        </is>
      </c>
      <c r="D4282" s="9" t="inlineStr">
        <is>
          <t>Long</t>
        </is>
      </c>
      <c r="E4282" s="10" t="n">
        <v>45692.77083333334</v>
      </c>
      <c r="F4282" s="10" t="n">
        <v>45692.81597222222</v>
      </c>
      <c r="G4282" s="11" t="n">
        <v>0.8100000000000001</v>
      </c>
      <c r="H4282" s="11">
        <f>H4281+G4282</f>
        <v/>
      </c>
    </row>
    <row r="4283">
      <c r="A4283" s="9" t="n">
        <v>4279</v>
      </c>
      <c r="B4283" s="9" t="inlineStr">
        <is>
          <t>Ratchet</t>
        </is>
      </c>
      <c r="C4283" s="9" t="inlineStr">
        <is>
          <t>Stochastic scalp with give-back trail exit</t>
        </is>
      </c>
      <c r="D4283" s="9" t="inlineStr">
        <is>
          <t>Long</t>
        </is>
      </c>
      <c r="E4283" s="10" t="n">
        <v>45692.85416666666</v>
      </c>
      <c r="F4283" s="10" t="n">
        <v>45692.86458333334</v>
      </c>
      <c r="G4283" s="11" t="n">
        <v>0.34</v>
      </c>
      <c r="H4283" s="11">
        <f>H4282+G4283</f>
        <v/>
      </c>
    </row>
    <row r="4284">
      <c r="A4284" s="9" t="n">
        <v>4280</v>
      </c>
      <c r="B4284" s="9" t="inlineStr">
        <is>
          <t>Ratchet</t>
        </is>
      </c>
      <c r="C4284" s="9" t="inlineStr">
        <is>
          <t>Stochastic scalp with give-back trail exit</t>
        </is>
      </c>
      <c r="D4284" s="9" t="inlineStr">
        <is>
          <t>Long</t>
        </is>
      </c>
      <c r="E4284" s="10" t="n">
        <v>45692.96180555555</v>
      </c>
      <c r="F4284" s="10" t="n">
        <v>45692.96527777778</v>
      </c>
      <c r="G4284" s="11" t="n">
        <v>-2.01</v>
      </c>
      <c r="H4284" s="11">
        <f>H4283+G4284</f>
        <v/>
      </c>
    </row>
    <row r="4285">
      <c r="A4285" s="9" t="n">
        <v>4281</v>
      </c>
      <c r="B4285" s="9" t="inlineStr">
        <is>
          <t>Meridian</t>
        </is>
      </c>
      <c r="C4285" s="9" t="inlineStr">
        <is>
          <t>21/50 MA cross, 250-period confirm filter, VWAP</t>
        </is>
      </c>
      <c r="D4285" s="9" t="inlineStr">
        <is>
          <t>Long</t>
        </is>
      </c>
      <c r="E4285" s="10" t="n">
        <v>45693.10763888889</v>
      </c>
      <c r="F4285" s="10" t="n">
        <v>45693.12152777778</v>
      </c>
      <c r="G4285" s="11" t="n">
        <v>-3.25</v>
      </c>
      <c r="H4285" s="11">
        <f>H4284+G4285</f>
        <v/>
      </c>
    </row>
    <row r="4286">
      <c r="A4286" s="9" t="n">
        <v>4282</v>
      </c>
      <c r="B4286" s="9" t="inlineStr">
        <is>
          <t>Ratchet</t>
        </is>
      </c>
      <c r="C4286" s="9" t="inlineStr">
        <is>
          <t>Stochastic scalp with give-back trail exit</t>
        </is>
      </c>
      <c r="D4286" s="9" t="inlineStr">
        <is>
          <t>Long</t>
        </is>
      </c>
      <c r="E4286" s="10" t="n">
        <v>45693.13194444445</v>
      </c>
      <c r="F4286" s="10" t="n">
        <v>45693.14583333334</v>
      </c>
      <c r="G4286" s="11" t="n">
        <v>-3.61</v>
      </c>
      <c r="H4286" s="11">
        <f>H4285+G4286</f>
        <v/>
      </c>
    </row>
    <row r="4287">
      <c r="A4287" s="9" t="n">
        <v>4283</v>
      </c>
      <c r="B4287" s="9" t="inlineStr">
        <is>
          <t>Ratchet</t>
        </is>
      </c>
      <c r="C4287" s="9" t="inlineStr">
        <is>
          <t>Stochastic scalp with give-back trail exit</t>
        </is>
      </c>
      <c r="D4287" s="9" t="inlineStr">
        <is>
          <t>Long</t>
        </is>
      </c>
      <c r="E4287" s="10" t="n">
        <v>45693.41319444445</v>
      </c>
      <c r="F4287" s="10" t="n">
        <v>45693.54861111111</v>
      </c>
      <c r="G4287" s="11" t="n">
        <v>4.85</v>
      </c>
      <c r="H4287" s="11">
        <f>H4286+G4287</f>
        <v/>
      </c>
    </row>
    <row r="4288">
      <c r="A4288" s="9" t="n">
        <v>4284</v>
      </c>
      <c r="B4288" s="9" t="inlineStr">
        <is>
          <t>Ratchet</t>
        </is>
      </c>
      <c r="C4288" s="9" t="inlineStr">
        <is>
          <t>Stochastic scalp with give-back trail exit</t>
        </is>
      </c>
      <c r="D4288" s="9" t="inlineStr">
        <is>
          <t>Long</t>
        </is>
      </c>
      <c r="E4288" s="10" t="n">
        <v>45693.625</v>
      </c>
      <c r="F4288" s="10" t="n">
        <v>45693.63541666666</v>
      </c>
      <c r="G4288" s="11" t="n">
        <v>-2.92</v>
      </c>
      <c r="H4288" s="11">
        <f>H4287+G4288</f>
        <v/>
      </c>
    </row>
    <row r="4289">
      <c r="A4289" s="9" t="n">
        <v>4285</v>
      </c>
      <c r="B4289" s="9" t="inlineStr">
        <is>
          <t>Aurelius_M5</t>
        </is>
      </c>
      <c r="C4289" s="9" t="inlineStr">
        <is>
          <t>MA alignment (EMA21&gt;EMA50&gt;SMA250&gt;SMMA500 vs EMA2400 trend filter)</t>
        </is>
      </c>
      <c r="D4289" s="9" t="inlineStr">
        <is>
          <t>Long</t>
        </is>
      </c>
      <c r="E4289" s="10" t="n">
        <v>45693.17361111111</v>
      </c>
      <c r="F4289" s="10" t="n">
        <v>45693.65277777778</v>
      </c>
      <c r="G4289" s="11" t="n">
        <v>15.29</v>
      </c>
      <c r="H4289" s="11">
        <f>H4288+G4289</f>
        <v/>
      </c>
    </row>
    <row r="4290">
      <c r="A4290" s="9" t="n">
        <v>4286</v>
      </c>
      <c r="B4290" s="9" t="inlineStr">
        <is>
          <t>Ratchet</t>
        </is>
      </c>
      <c r="C4290" s="9" t="inlineStr">
        <is>
          <t>Stochastic scalp with give-back trail exit</t>
        </is>
      </c>
      <c r="D4290" s="9" t="inlineStr">
        <is>
          <t>Long</t>
        </is>
      </c>
      <c r="E4290" s="10" t="n">
        <v>45693.71875</v>
      </c>
      <c r="F4290" s="10" t="n">
        <v>45693.72222222222</v>
      </c>
      <c r="G4290" s="11" t="n">
        <v>0</v>
      </c>
      <c r="H4290" s="11">
        <f>H4289+G4290</f>
        <v/>
      </c>
    </row>
    <row r="4291">
      <c r="A4291" s="9" t="n">
        <v>4287</v>
      </c>
      <c r="B4291" s="9" t="inlineStr">
        <is>
          <t>Aurelius_M5</t>
        </is>
      </c>
      <c r="C4291" s="9" t="inlineStr">
        <is>
          <t>MA alignment (EMA21&gt;EMA50&gt;SMA250&gt;SMMA500 vs EMA2400 trend filter)</t>
        </is>
      </c>
      <c r="D4291" s="9" t="inlineStr">
        <is>
          <t>Long</t>
        </is>
      </c>
      <c r="E4291" s="10" t="n">
        <v>45693.72916666666</v>
      </c>
      <c r="F4291" s="10" t="n">
        <v>45693.75347222222</v>
      </c>
      <c r="G4291" s="11" t="n">
        <v>-7.81</v>
      </c>
      <c r="H4291" s="11">
        <f>H4290+G4291</f>
        <v/>
      </c>
    </row>
    <row r="4292">
      <c r="A4292" s="9" t="n">
        <v>4288</v>
      </c>
      <c r="B4292" s="9" t="inlineStr">
        <is>
          <t>Meridian</t>
        </is>
      </c>
      <c r="C4292" s="9" t="inlineStr">
        <is>
          <t>21/50 MA cross, 250-period confirm filter, VWAP</t>
        </is>
      </c>
      <c r="D4292" s="9" t="inlineStr">
        <is>
          <t>Long</t>
        </is>
      </c>
      <c r="E4292" s="10" t="n">
        <v>45693.70833333334</v>
      </c>
      <c r="F4292" s="10" t="n">
        <v>45693.76041666666</v>
      </c>
      <c r="G4292" s="11" t="n">
        <v>-7.35</v>
      </c>
      <c r="H4292" s="11">
        <f>H4291+G4292</f>
        <v/>
      </c>
    </row>
    <row r="4293">
      <c r="A4293" s="9" t="n">
        <v>4289</v>
      </c>
      <c r="B4293" s="9" t="inlineStr">
        <is>
          <t>Ratchet</t>
        </is>
      </c>
      <c r="C4293" s="9" t="inlineStr">
        <is>
          <t>Stochastic scalp with give-back trail exit</t>
        </is>
      </c>
      <c r="D4293" s="9" t="inlineStr">
        <is>
          <t>Long</t>
        </is>
      </c>
      <c r="E4293" s="10" t="n">
        <v>45693.80208333334</v>
      </c>
      <c r="F4293" s="10" t="n">
        <v>45693.84375</v>
      </c>
      <c r="G4293" s="11" t="n">
        <v>-5.69</v>
      </c>
      <c r="H4293" s="11">
        <f>H4292+G4293</f>
        <v/>
      </c>
    </row>
    <row r="4294">
      <c r="A4294" s="9" t="n">
        <v>4290</v>
      </c>
      <c r="B4294" s="9" t="inlineStr">
        <is>
          <t>Ratchet</t>
        </is>
      </c>
      <c r="C4294" s="9" t="inlineStr">
        <is>
          <t>Stochastic scalp with give-back trail exit</t>
        </is>
      </c>
      <c r="D4294" s="9" t="inlineStr">
        <is>
          <t>Long</t>
        </is>
      </c>
      <c r="E4294" s="10" t="n">
        <v>45694.07291666666</v>
      </c>
      <c r="F4294" s="10" t="n">
        <v>45694.07986111111</v>
      </c>
      <c r="G4294" s="11" t="n">
        <v>0.57</v>
      </c>
      <c r="H4294" s="11">
        <f>H4293+G4294</f>
        <v/>
      </c>
    </row>
    <row r="4295">
      <c r="A4295" s="9" t="n">
        <v>4291</v>
      </c>
      <c r="B4295" s="9" t="inlineStr">
        <is>
          <t>Meridian</t>
        </is>
      </c>
      <c r="C4295" s="9" t="inlineStr">
        <is>
          <t>21/50 MA cross, 250-period confirm filter, VWAP</t>
        </is>
      </c>
      <c r="D4295" s="9" t="inlineStr">
        <is>
          <t>Long</t>
        </is>
      </c>
      <c r="E4295" s="10" t="n">
        <v>45694.07291666666</v>
      </c>
      <c r="F4295" s="10" t="n">
        <v>45694.12847222222</v>
      </c>
      <c r="G4295" s="11" t="n">
        <v>-3.39</v>
      </c>
      <c r="H4295" s="11">
        <f>H4294+G4295</f>
        <v/>
      </c>
    </row>
    <row r="4296">
      <c r="A4296" s="9" t="n">
        <v>4292</v>
      </c>
      <c r="B4296" s="9" t="inlineStr">
        <is>
          <t>Ratchet</t>
        </is>
      </c>
      <c r="C4296" s="9" t="inlineStr">
        <is>
          <t>Stochastic scalp with give-back trail exit</t>
        </is>
      </c>
      <c r="D4296" s="9" t="inlineStr">
        <is>
          <t>Long</t>
        </is>
      </c>
      <c r="E4296" s="10" t="n">
        <v>45694.15625</v>
      </c>
      <c r="F4296" s="10" t="n">
        <v>45694.17708333334</v>
      </c>
      <c r="G4296" s="11" t="n">
        <v>0.68</v>
      </c>
      <c r="H4296" s="11">
        <f>H4295+G4296</f>
        <v/>
      </c>
    </row>
    <row r="4297">
      <c r="A4297" s="9" t="n">
        <v>4293</v>
      </c>
      <c r="B4297" s="9" t="inlineStr">
        <is>
          <t>Ratchet</t>
        </is>
      </c>
      <c r="C4297" s="9" t="inlineStr">
        <is>
          <t>Stochastic scalp with give-back trail exit</t>
        </is>
      </c>
      <c r="D4297" s="9" t="inlineStr">
        <is>
          <t>Long</t>
        </is>
      </c>
      <c r="E4297" s="10" t="n">
        <v>45694.19444444445</v>
      </c>
      <c r="F4297" s="10" t="n">
        <v>45694.20486111111</v>
      </c>
      <c r="G4297" s="11" t="n">
        <v>0</v>
      </c>
      <c r="H4297" s="11">
        <f>H4296+G4297</f>
        <v/>
      </c>
    </row>
    <row r="4298">
      <c r="A4298" s="9" t="n">
        <v>4294</v>
      </c>
      <c r="B4298" s="9" t="inlineStr">
        <is>
          <t>Aurelius_M5</t>
        </is>
      </c>
      <c r="C4298" s="9" t="inlineStr">
        <is>
          <t>MA alignment (EMA21&gt;EMA50&gt;SMA250&gt;SMMA500 vs EMA2400 trend filter)</t>
        </is>
      </c>
      <c r="D4298" s="9" t="inlineStr">
        <is>
          <t>Long</t>
        </is>
      </c>
      <c r="E4298" s="10" t="n">
        <v>45694.13888888889</v>
      </c>
      <c r="F4298" s="10" t="n">
        <v>45694.23958333334</v>
      </c>
      <c r="G4298" s="11" t="n">
        <v>-1.53</v>
      </c>
      <c r="H4298" s="11">
        <f>H4297+G4298</f>
        <v/>
      </c>
    </row>
    <row r="4299">
      <c r="A4299" s="9" t="n">
        <v>4295</v>
      </c>
      <c r="B4299" s="9" t="inlineStr">
        <is>
          <t>Meridian</t>
        </is>
      </c>
      <c r="C4299" s="9" t="inlineStr">
        <is>
          <t>21/50 MA cross, 250-period confirm filter, VWAP</t>
        </is>
      </c>
      <c r="D4299" s="9" t="inlineStr">
        <is>
          <t>Short</t>
        </is>
      </c>
      <c r="E4299" s="10" t="n">
        <v>45694.23958333334</v>
      </c>
      <c r="F4299" s="10" t="n">
        <v>45694.25</v>
      </c>
      <c r="G4299" s="11" t="n">
        <v>-3.45</v>
      </c>
      <c r="H4299" s="11">
        <f>H4298+G4299</f>
        <v/>
      </c>
    </row>
    <row r="4300">
      <c r="A4300" s="9" t="n">
        <v>4296</v>
      </c>
      <c r="B4300" s="9" t="inlineStr">
        <is>
          <t>Ratchet</t>
        </is>
      </c>
      <c r="C4300" s="9" t="inlineStr">
        <is>
          <t>Stochastic scalp with give-back trail exit</t>
        </is>
      </c>
      <c r="D4300" s="9" t="inlineStr">
        <is>
          <t>Long</t>
        </is>
      </c>
      <c r="E4300" s="10" t="n">
        <v>45694.25</v>
      </c>
      <c r="F4300" s="10" t="n">
        <v>45694.25347222222</v>
      </c>
      <c r="G4300" s="11" t="n">
        <v>0.33</v>
      </c>
      <c r="H4300" s="11">
        <f>H4299+G4300</f>
        <v/>
      </c>
    </row>
    <row r="4301">
      <c r="A4301" s="9" t="n">
        <v>4297</v>
      </c>
      <c r="B4301" s="9" t="inlineStr">
        <is>
          <t>Meridian</t>
        </is>
      </c>
      <c r="C4301" s="9" t="inlineStr">
        <is>
          <t>21/50 MA cross, 250-period confirm filter, VWAP</t>
        </is>
      </c>
      <c r="D4301" s="9" t="inlineStr">
        <is>
          <t>Short</t>
        </is>
      </c>
      <c r="E4301" s="10" t="n">
        <v>45694.32638888889</v>
      </c>
      <c r="F4301" s="10" t="n">
        <v>45694.34722222222</v>
      </c>
      <c r="G4301" s="11" t="n">
        <v>-3.27</v>
      </c>
      <c r="H4301" s="11">
        <f>H4300+G4301</f>
        <v/>
      </c>
    </row>
    <row r="4302">
      <c r="A4302" s="9" t="n">
        <v>4298</v>
      </c>
      <c r="B4302" s="9" t="inlineStr">
        <is>
          <t>Vanguard_M5</t>
        </is>
      </c>
      <c r="C4302" s="9" t="inlineStr">
        <is>
          <t>Trendline breakout (fractal swing line) + VWAP/S-R distance gate</t>
        </is>
      </c>
      <c r="D4302" s="9" t="inlineStr">
        <is>
          <t>Long</t>
        </is>
      </c>
      <c r="E4302" s="10" t="n">
        <v>45692.59722222222</v>
      </c>
      <c r="F4302" s="10" t="n">
        <v>45694.36458333334</v>
      </c>
      <c r="G4302" s="11" t="n">
        <v>42.62</v>
      </c>
      <c r="H4302" s="11">
        <f>H4301+G4302</f>
        <v/>
      </c>
    </row>
    <row r="4303">
      <c r="A4303" s="9" t="n">
        <v>4299</v>
      </c>
      <c r="B4303" s="9" t="inlineStr">
        <is>
          <t>Vanguard_M15</t>
        </is>
      </c>
      <c r="C4303" s="9" t="inlineStr">
        <is>
          <t>Trendline breakout (fractal swing line) + VWAP/S-R distance gate - M15 chart</t>
        </is>
      </c>
      <c r="D4303" s="9" t="inlineStr">
        <is>
          <t>Long</t>
        </is>
      </c>
      <c r="E4303" s="10" t="n">
        <v>45692.60416666666</v>
      </c>
      <c r="F4303" s="10" t="n">
        <v>45694.36458333334</v>
      </c>
      <c r="G4303" s="11" t="n">
        <v>39.65</v>
      </c>
      <c r="H4303" s="11">
        <f>H4302+G4303</f>
        <v/>
      </c>
    </row>
    <row r="4304">
      <c r="A4304" s="9" t="n">
        <v>4300</v>
      </c>
      <c r="B4304" s="9" t="inlineStr">
        <is>
          <t>Aurelius_M15</t>
        </is>
      </c>
      <c r="C4304" s="9" t="inlineStr">
        <is>
          <t>MA alignment (EMA21&gt;EMA50&gt;SMA250&gt;SMMA500 vs EMA2400 trend filter) - M15 chart</t>
        </is>
      </c>
      <c r="D4304" s="9" t="inlineStr">
        <is>
          <t>Long</t>
        </is>
      </c>
      <c r="E4304" s="10" t="n">
        <v>45692.6875</v>
      </c>
      <c r="F4304" s="10" t="n">
        <v>45694.39583333334</v>
      </c>
      <c r="G4304" s="11" t="n">
        <v>23.47</v>
      </c>
      <c r="H4304" s="11">
        <f>H4303+G4304</f>
        <v/>
      </c>
    </row>
    <row r="4305">
      <c r="A4305" s="9" t="n">
        <v>4301</v>
      </c>
      <c r="B4305" s="9" t="inlineStr">
        <is>
          <t>Meridian</t>
        </is>
      </c>
      <c r="C4305" s="9" t="inlineStr">
        <is>
          <t>21/50 MA cross, 250-period confirm filter, VWAP</t>
        </is>
      </c>
      <c r="D4305" s="9" t="inlineStr">
        <is>
          <t>Short</t>
        </is>
      </c>
      <c r="E4305" s="10" t="n">
        <v>45694.36458333334</v>
      </c>
      <c r="F4305" s="10" t="n">
        <v>45694.56944444445</v>
      </c>
      <c r="G4305" s="11" t="n">
        <v>0.97</v>
      </c>
      <c r="H4305" s="11">
        <f>H4304+G4305</f>
        <v/>
      </c>
    </row>
    <row r="4306">
      <c r="A4306" s="9" t="n">
        <v>4302</v>
      </c>
      <c r="B4306" s="9" t="inlineStr">
        <is>
          <t>Vanguard_M5</t>
        </is>
      </c>
      <c r="C4306" s="9" t="inlineStr">
        <is>
          <t>Trendline breakout (fractal swing line) + VWAP/S-R distance gate</t>
        </is>
      </c>
      <c r="D4306" s="9" t="inlineStr">
        <is>
          <t>Short</t>
        </is>
      </c>
      <c r="E4306" s="10" t="n">
        <v>45694.36805555555</v>
      </c>
      <c r="F4306" s="10" t="n">
        <v>45694.58333333334</v>
      </c>
      <c r="G4306" s="11" t="n">
        <v>-6.73</v>
      </c>
      <c r="H4306" s="11">
        <f>H4305+G4306</f>
        <v/>
      </c>
    </row>
    <row r="4307">
      <c r="A4307" s="9" t="n">
        <v>4303</v>
      </c>
      <c r="B4307" s="9" t="inlineStr">
        <is>
          <t>Vanguard_M15</t>
        </is>
      </c>
      <c r="C4307" s="9" t="inlineStr">
        <is>
          <t>Trendline breakout (fractal swing line) + VWAP/S-R distance gate - M15 chart</t>
        </is>
      </c>
      <c r="D4307" s="9" t="inlineStr">
        <is>
          <t>Short</t>
        </is>
      </c>
      <c r="E4307" s="10" t="n">
        <v>45694.375</v>
      </c>
      <c r="F4307" s="10" t="n">
        <v>45694.58333333334</v>
      </c>
      <c r="G4307" s="11" t="n">
        <v>-9.470000000000001</v>
      </c>
      <c r="H4307" s="11">
        <f>H4306+G4307</f>
        <v/>
      </c>
    </row>
    <row r="4308">
      <c r="A4308" s="9" t="n">
        <v>4304</v>
      </c>
      <c r="B4308" s="9" t="inlineStr">
        <is>
          <t>Meridian</t>
        </is>
      </c>
      <c r="C4308" s="9" t="inlineStr">
        <is>
          <t>21/50 MA cross, 250-period confirm filter, VWAP</t>
        </is>
      </c>
      <c r="D4308" s="9" t="inlineStr">
        <is>
          <t>Short</t>
        </is>
      </c>
      <c r="E4308" s="10" t="n">
        <v>45694.66319444445</v>
      </c>
      <c r="F4308" s="10" t="n">
        <v>45694.92013888889</v>
      </c>
      <c r="G4308" s="11" t="n">
        <v>2.26</v>
      </c>
      <c r="H4308" s="11">
        <f>H4307+G4308</f>
        <v/>
      </c>
    </row>
    <row r="4309">
      <c r="A4309" s="9" t="n">
        <v>4305</v>
      </c>
      <c r="B4309" s="9" t="inlineStr">
        <is>
          <t>Meridian</t>
        </is>
      </c>
      <c r="C4309" s="9" t="inlineStr">
        <is>
          <t>21/50 MA cross, 250-period confirm filter, VWAP</t>
        </is>
      </c>
      <c r="D4309" s="9" t="inlineStr">
        <is>
          <t>Long</t>
        </is>
      </c>
      <c r="E4309" s="10" t="n">
        <v>45695.43402777778</v>
      </c>
      <c r="F4309" s="10" t="n">
        <v>45695.4375</v>
      </c>
      <c r="G4309" s="11" t="n">
        <v>-1.8</v>
      </c>
      <c r="H4309" s="11">
        <f>H4308+G4309</f>
        <v/>
      </c>
    </row>
    <row r="4310">
      <c r="A4310" s="9" t="n">
        <v>4306</v>
      </c>
      <c r="B4310" s="9" t="inlineStr">
        <is>
          <t>Aurelius_M5</t>
        </is>
      </c>
      <c r="C4310" s="9" t="inlineStr">
        <is>
          <t>MA alignment (EMA21&gt;EMA50&gt;SMA250&gt;SMMA500 vs EMA2400 trend filter)</t>
        </is>
      </c>
      <c r="D4310" s="9" t="inlineStr">
        <is>
          <t>Long</t>
        </is>
      </c>
      <c r="E4310" s="10" t="n">
        <v>45695.47569444445</v>
      </c>
      <c r="F4310" s="10" t="n">
        <v>45695.51041666666</v>
      </c>
      <c r="G4310" s="11" t="n">
        <v>-4.56</v>
      </c>
      <c r="H4310" s="11">
        <f>H4309+G4310</f>
        <v/>
      </c>
    </row>
    <row r="4311">
      <c r="A4311" s="9" t="n">
        <v>4307</v>
      </c>
      <c r="B4311" s="9" t="inlineStr">
        <is>
          <t>Meridian</t>
        </is>
      </c>
      <c r="C4311" s="9" t="inlineStr">
        <is>
          <t>21/50 MA cross, 250-period confirm filter, VWAP</t>
        </is>
      </c>
      <c r="D4311" s="9" t="inlineStr">
        <is>
          <t>Long</t>
        </is>
      </c>
      <c r="E4311" s="10" t="n">
        <v>45695.45486111111</v>
      </c>
      <c r="F4311" s="10" t="n">
        <v>45695.61805555555</v>
      </c>
      <c r="G4311" s="11" t="n">
        <v>-1.53</v>
      </c>
      <c r="H4311" s="11">
        <f>H4310+G4311</f>
        <v/>
      </c>
    </row>
    <row r="4312">
      <c r="A4312" s="9" t="n">
        <v>4308</v>
      </c>
      <c r="B4312" s="9" t="inlineStr">
        <is>
          <t>Aurelius_M5</t>
        </is>
      </c>
      <c r="C4312" s="9" t="inlineStr">
        <is>
          <t>MA alignment (EMA21&gt;EMA50&gt;SMA250&gt;SMMA500 vs EMA2400 trend filter)</t>
        </is>
      </c>
      <c r="D4312" s="9" t="inlineStr">
        <is>
          <t>Long</t>
        </is>
      </c>
      <c r="E4312" s="10" t="n">
        <v>45695.55208333334</v>
      </c>
      <c r="F4312" s="10" t="n">
        <v>45695.61805555555</v>
      </c>
      <c r="G4312" s="11" t="n">
        <v>-2.06</v>
      </c>
      <c r="H4312" s="11">
        <f>H4311+G4312</f>
        <v/>
      </c>
    </row>
    <row r="4313">
      <c r="A4313" s="9" t="n">
        <v>4309</v>
      </c>
      <c r="B4313" s="9" t="inlineStr">
        <is>
          <t>Aurelius_M15</t>
        </is>
      </c>
      <c r="C4313" s="9" t="inlineStr">
        <is>
          <t>MA alignment (EMA21&gt;EMA50&gt;SMA250&gt;SMMA500 vs EMA2400 trend filter) - M15 chart</t>
        </is>
      </c>
      <c r="D4313" s="9" t="inlineStr">
        <is>
          <t>Long</t>
        </is>
      </c>
      <c r="E4313" s="10" t="n">
        <v>45695.46875</v>
      </c>
      <c r="F4313" s="10" t="n">
        <v>45695.63541666666</v>
      </c>
      <c r="G4313" s="11" t="n">
        <v>-7.03</v>
      </c>
      <c r="H4313" s="11">
        <f>H4312+G4313</f>
        <v/>
      </c>
    </row>
    <row r="4314">
      <c r="A4314" s="9" t="n">
        <v>4310</v>
      </c>
      <c r="B4314" s="9" t="inlineStr">
        <is>
          <t>Ratchet</t>
        </is>
      </c>
      <c r="C4314" s="9" t="inlineStr">
        <is>
          <t>Stochastic scalp with give-back trail exit</t>
        </is>
      </c>
      <c r="D4314" s="9" t="inlineStr">
        <is>
          <t>Long</t>
        </is>
      </c>
      <c r="E4314" s="10" t="n">
        <v>45695.70833333334</v>
      </c>
      <c r="F4314" s="10" t="n">
        <v>45695.71180555555</v>
      </c>
      <c r="G4314" s="11" t="n">
        <v>0.72</v>
      </c>
      <c r="H4314" s="11">
        <f>H4313+G4314</f>
        <v/>
      </c>
    </row>
    <row r="4315">
      <c r="A4315" s="9" t="n">
        <v>4311</v>
      </c>
      <c r="B4315" s="9" t="inlineStr">
        <is>
          <t>Aurelius_M5</t>
        </is>
      </c>
      <c r="C4315" s="9" t="inlineStr">
        <is>
          <t>MA alignment (EMA21&gt;EMA50&gt;SMA250&gt;SMMA500 vs EMA2400 trend filter)</t>
        </is>
      </c>
      <c r="D4315" s="9" t="inlineStr">
        <is>
          <t>Long</t>
        </is>
      </c>
      <c r="E4315" s="10" t="n">
        <v>45695.70833333334</v>
      </c>
      <c r="F4315" s="10" t="n">
        <v>45695.76041666666</v>
      </c>
      <c r="G4315" s="11" t="n">
        <v>-10.02</v>
      </c>
      <c r="H4315" s="11">
        <f>H4314+G4315</f>
        <v/>
      </c>
    </row>
    <row r="4316">
      <c r="A4316" s="9" t="n">
        <v>4312</v>
      </c>
      <c r="B4316" s="9" t="inlineStr">
        <is>
          <t>Aurelius_M15</t>
        </is>
      </c>
      <c r="C4316" s="9" t="inlineStr">
        <is>
          <t>MA alignment (EMA21&gt;EMA50&gt;SMA250&gt;SMMA500 vs EMA2400 trend filter) - M15 chart</t>
        </is>
      </c>
      <c r="D4316" s="9" t="inlineStr">
        <is>
          <t>Long</t>
        </is>
      </c>
      <c r="E4316" s="10" t="n">
        <v>45695.6875</v>
      </c>
      <c r="F4316" s="10" t="n">
        <v>45695.77083333334</v>
      </c>
      <c r="G4316" s="11" t="n">
        <v>-11.96</v>
      </c>
      <c r="H4316" s="11">
        <f>H4315+G4316</f>
        <v/>
      </c>
    </row>
    <row r="4317">
      <c r="A4317" s="9" t="n">
        <v>4313</v>
      </c>
      <c r="B4317" s="9" t="inlineStr">
        <is>
          <t>Meridian</t>
        </is>
      </c>
      <c r="C4317" s="9" t="inlineStr">
        <is>
          <t>21/50 MA cross, 250-period confirm filter, VWAP</t>
        </is>
      </c>
      <c r="D4317" s="9" t="inlineStr">
        <is>
          <t>Long</t>
        </is>
      </c>
      <c r="E4317" s="10" t="n">
        <v>45695.6875</v>
      </c>
      <c r="F4317" s="10" t="n">
        <v>45695.77777777778</v>
      </c>
      <c r="G4317" s="11" t="n">
        <v>-10.82</v>
      </c>
      <c r="H4317" s="11">
        <f>H4316+G4317</f>
        <v/>
      </c>
    </row>
    <row r="4318">
      <c r="A4318" s="9" t="n">
        <v>4314</v>
      </c>
      <c r="B4318" s="9" t="inlineStr">
        <is>
          <t>Meridian</t>
        </is>
      </c>
      <c r="C4318" s="9" t="inlineStr">
        <is>
          <t>21/50 MA cross, 250-period confirm filter, VWAP</t>
        </is>
      </c>
      <c r="D4318" s="9" t="inlineStr">
        <is>
          <t>Short</t>
        </is>
      </c>
      <c r="E4318" s="10" t="n">
        <v>45695.78819444445</v>
      </c>
      <c r="F4318" s="10" t="n">
        <v>45695.91666666666</v>
      </c>
      <c r="G4318" s="11" t="n">
        <v>3.1</v>
      </c>
      <c r="H4318" s="11">
        <f>H4317+G4318</f>
        <v/>
      </c>
    </row>
    <row r="4319">
      <c r="A4319" s="9" t="n">
        <v>4315</v>
      </c>
      <c r="B4319" s="9" t="inlineStr">
        <is>
          <t>Ratchet</t>
        </is>
      </c>
      <c r="C4319" s="9" t="inlineStr">
        <is>
          <t>Stochastic scalp with give-back trail exit</t>
        </is>
      </c>
      <c r="D4319" s="9" t="inlineStr">
        <is>
          <t>Long</t>
        </is>
      </c>
      <c r="E4319" s="10" t="n">
        <v>45698.11111111111</v>
      </c>
      <c r="F4319" s="10" t="n">
        <v>45698.13541666666</v>
      </c>
      <c r="G4319" s="11" t="n">
        <v>2.28</v>
      </c>
      <c r="H4319" s="11">
        <f>H4318+G4319</f>
        <v/>
      </c>
    </row>
    <row r="4320">
      <c r="A4320" s="9" t="n">
        <v>4316</v>
      </c>
      <c r="B4320" s="9" t="inlineStr">
        <is>
          <t>Ratchet</t>
        </is>
      </c>
      <c r="C4320" s="9" t="inlineStr">
        <is>
          <t>Stochastic scalp with give-back trail exit</t>
        </is>
      </c>
      <c r="D4320" s="9" t="inlineStr">
        <is>
          <t>Long</t>
        </is>
      </c>
      <c r="E4320" s="10" t="n">
        <v>45698.17708333334</v>
      </c>
      <c r="F4320" s="10" t="n">
        <v>45698.1875</v>
      </c>
      <c r="G4320" s="11" t="n">
        <v>0.71</v>
      </c>
      <c r="H4320" s="11">
        <f>H4319+G4320</f>
        <v/>
      </c>
    </row>
    <row r="4321">
      <c r="A4321" s="9" t="n">
        <v>4317</v>
      </c>
      <c r="B4321" s="9" t="inlineStr">
        <is>
          <t>Ratchet</t>
        </is>
      </c>
      <c r="C4321" s="9" t="inlineStr">
        <is>
          <t>Stochastic scalp with give-back trail exit</t>
        </is>
      </c>
      <c r="D4321" s="9" t="inlineStr">
        <is>
          <t>Long</t>
        </is>
      </c>
      <c r="E4321" s="10" t="n">
        <v>45698.23263888889</v>
      </c>
      <c r="F4321" s="10" t="n">
        <v>45698.51041666666</v>
      </c>
      <c r="G4321" s="11" t="n">
        <v>31.83</v>
      </c>
      <c r="H4321" s="11">
        <f>H4320+G4321</f>
        <v/>
      </c>
    </row>
    <row r="4322">
      <c r="A4322" s="9" t="n">
        <v>4318</v>
      </c>
      <c r="B4322" s="9" t="inlineStr">
        <is>
          <t>Ratchet</t>
        </is>
      </c>
      <c r="C4322" s="9" t="inlineStr">
        <is>
          <t>Stochastic scalp with give-back trail exit</t>
        </is>
      </c>
      <c r="D4322" s="9" t="inlineStr">
        <is>
          <t>Long</t>
        </is>
      </c>
      <c r="E4322" s="10" t="n">
        <v>45698.54166666666</v>
      </c>
      <c r="F4322" s="10" t="n">
        <v>45698.54513888889</v>
      </c>
      <c r="G4322" s="11" t="n">
        <v>0.3</v>
      </c>
      <c r="H4322" s="11">
        <f>H4321+G4322</f>
        <v/>
      </c>
    </row>
    <row r="4323">
      <c r="A4323" s="9" t="n">
        <v>4319</v>
      </c>
      <c r="B4323" s="9" t="inlineStr">
        <is>
          <t>Ratchet</t>
        </is>
      </c>
      <c r="C4323" s="9" t="inlineStr">
        <is>
          <t>Stochastic scalp with give-back trail exit</t>
        </is>
      </c>
      <c r="D4323" s="9" t="inlineStr">
        <is>
          <t>Long</t>
        </is>
      </c>
      <c r="E4323" s="10" t="n">
        <v>45698.69097222222</v>
      </c>
      <c r="F4323" s="10" t="n">
        <v>45698.69444444445</v>
      </c>
      <c r="G4323" s="11" t="n">
        <v>0</v>
      </c>
      <c r="H4323" s="11">
        <f>H4322+G4323</f>
        <v/>
      </c>
    </row>
    <row r="4324">
      <c r="A4324" s="9" t="n">
        <v>4320</v>
      </c>
      <c r="B4324" s="9" t="inlineStr">
        <is>
          <t>Ratchet</t>
        </is>
      </c>
      <c r="C4324" s="9" t="inlineStr">
        <is>
          <t>Stochastic scalp with give-back trail exit</t>
        </is>
      </c>
      <c r="D4324" s="9" t="inlineStr">
        <is>
          <t>Long</t>
        </is>
      </c>
      <c r="E4324" s="10" t="n">
        <v>45698.70833333334</v>
      </c>
      <c r="F4324" s="10" t="n">
        <v>45698.72222222222</v>
      </c>
      <c r="G4324" s="11" t="n">
        <v>0.62</v>
      </c>
      <c r="H4324" s="11">
        <f>H4323+G4324</f>
        <v/>
      </c>
    </row>
    <row r="4325">
      <c r="A4325" s="9" t="n">
        <v>4321</v>
      </c>
      <c r="B4325" s="9" t="inlineStr">
        <is>
          <t>Meridian</t>
        </is>
      </c>
      <c r="C4325" s="9" t="inlineStr">
        <is>
          <t>21/50 MA cross, 250-period confirm filter, VWAP</t>
        </is>
      </c>
      <c r="D4325" s="9" t="inlineStr">
        <is>
          <t>Long</t>
        </is>
      </c>
      <c r="E4325" s="10" t="n">
        <v>45698.0625</v>
      </c>
      <c r="F4325" s="10" t="n">
        <v>45698.79861111111</v>
      </c>
      <c r="G4325" s="11" t="n">
        <v>31.28</v>
      </c>
      <c r="H4325" s="11">
        <f>H4324+G4325</f>
        <v/>
      </c>
    </row>
    <row r="4326">
      <c r="A4326" s="9" t="n">
        <v>4322</v>
      </c>
      <c r="B4326" s="9" t="inlineStr">
        <is>
          <t>Aurelius_M5</t>
        </is>
      </c>
      <c r="C4326" s="9" t="inlineStr">
        <is>
          <t>MA alignment (EMA21&gt;EMA50&gt;SMA250&gt;SMMA500 vs EMA2400 trend filter)</t>
        </is>
      </c>
      <c r="D4326" s="9" t="inlineStr">
        <is>
          <t>Long</t>
        </is>
      </c>
      <c r="E4326" s="10" t="n">
        <v>45698.66319444445</v>
      </c>
      <c r="F4326" s="10" t="n">
        <v>45698.79861111111</v>
      </c>
      <c r="G4326" s="11" t="n">
        <v>-1.71</v>
      </c>
      <c r="H4326" s="11">
        <f>H4325+G4326</f>
        <v/>
      </c>
    </row>
    <row r="4327">
      <c r="A4327" s="9" t="n">
        <v>4323</v>
      </c>
      <c r="B4327" s="9" t="inlineStr">
        <is>
          <t>Meridian</t>
        </is>
      </c>
      <c r="C4327" s="9" t="inlineStr">
        <is>
          <t>21/50 MA cross, 250-period confirm filter, VWAP</t>
        </is>
      </c>
      <c r="D4327" s="9" t="inlineStr">
        <is>
          <t>Long</t>
        </is>
      </c>
      <c r="E4327" s="10" t="n">
        <v>45698.86111111111</v>
      </c>
      <c r="F4327" s="10" t="n">
        <v>45699.26736111111</v>
      </c>
      <c r="G4327" s="11" t="n">
        <v>13.88</v>
      </c>
      <c r="H4327" s="11">
        <f>H4326+G4327</f>
        <v/>
      </c>
    </row>
    <row r="4328">
      <c r="A4328" s="9" t="n">
        <v>4324</v>
      </c>
      <c r="B4328" s="9" t="inlineStr">
        <is>
          <t>Aurelius_M5</t>
        </is>
      </c>
      <c r="C4328" s="9" t="inlineStr">
        <is>
          <t>MA alignment (EMA21&gt;EMA50&gt;SMA250&gt;SMMA500 vs EMA2400 trend filter)</t>
        </is>
      </c>
      <c r="D4328" s="9" t="inlineStr">
        <is>
          <t>Long</t>
        </is>
      </c>
      <c r="E4328" s="10" t="n">
        <v>45699.22916666666</v>
      </c>
      <c r="F4328" s="10" t="n">
        <v>45699.26736111111</v>
      </c>
      <c r="G4328" s="11" t="n">
        <v>-3.28</v>
      </c>
      <c r="H4328" s="11">
        <f>H4327+G4328</f>
        <v/>
      </c>
    </row>
    <row r="4329">
      <c r="A4329" s="9" t="n">
        <v>4325</v>
      </c>
      <c r="B4329" s="9" t="inlineStr">
        <is>
          <t>Meridian</t>
        </is>
      </c>
      <c r="C4329" s="9" t="inlineStr">
        <is>
          <t>21/50 MA cross, 250-period confirm filter, VWAP</t>
        </is>
      </c>
      <c r="D4329" s="9" t="inlineStr">
        <is>
          <t>Long</t>
        </is>
      </c>
      <c r="E4329" s="10" t="n">
        <v>45699.33680555555</v>
      </c>
      <c r="F4329" s="10" t="n">
        <v>45699.35069444445</v>
      </c>
      <c r="G4329" s="11" t="n">
        <v>-5.89</v>
      </c>
      <c r="H4329" s="11">
        <f>H4328+G4329</f>
        <v/>
      </c>
    </row>
    <row r="4330">
      <c r="A4330" s="9" t="n">
        <v>4326</v>
      </c>
      <c r="B4330" s="9" t="inlineStr">
        <is>
          <t>Vanguard_M5</t>
        </is>
      </c>
      <c r="C4330" s="9" t="inlineStr">
        <is>
          <t>Trendline breakout (fractal swing line) + VWAP/S-R distance gate</t>
        </is>
      </c>
      <c r="D4330" s="9" t="inlineStr">
        <is>
          <t>Short</t>
        </is>
      </c>
      <c r="E4330" s="10" t="n">
        <v>45699.625</v>
      </c>
      <c r="F4330" s="10" t="n">
        <v>45699.67013888889</v>
      </c>
      <c r="G4330" s="11" t="n">
        <v>-12.1</v>
      </c>
      <c r="H4330" s="11">
        <f>H4329+G4330</f>
        <v/>
      </c>
    </row>
    <row r="4331">
      <c r="A4331" s="9" t="n">
        <v>4327</v>
      </c>
      <c r="B4331" s="9" t="inlineStr">
        <is>
          <t>Vanguard_M15</t>
        </is>
      </c>
      <c r="C4331" s="9" t="inlineStr">
        <is>
          <t>Trendline breakout (fractal swing line) + VWAP/S-R distance gate - M15 chart</t>
        </is>
      </c>
      <c r="D4331" s="9" t="inlineStr">
        <is>
          <t>Short</t>
        </is>
      </c>
      <c r="E4331" s="10" t="n">
        <v>45699.625</v>
      </c>
      <c r="F4331" s="10" t="n">
        <v>45699.72916666666</v>
      </c>
      <c r="G4331" s="11" t="n">
        <v>-15.21</v>
      </c>
      <c r="H4331" s="11">
        <f>H4330+G4331</f>
        <v/>
      </c>
    </row>
    <row r="4332">
      <c r="A4332" s="9" t="n">
        <v>4328</v>
      </c>
      <c r="B4332" s="9" t="inlineStr">
        <is>
          <t>Meridian</t>
        </is>
      </c>
      <c r="C4332" s="9" t="inlineStr">
        <is>
          <t>21/50 MA cross, 250-period confirm filter, VWAP</t>
        </is>
      </c>
      <c r="D4332" s="9" t="inlineStr">
        <is>
          <t>Short</t>
        </is>
      </c>
      <c r="E4332" s="10" t="n">
        <v>45699.90972222222</v>
      </c>
      <c r="F4332" s="10" t="n">
        <v>45700.38194444445</v>
      </c>
      <c r="G4332" s="11" t="n">
        <v>6.92</v>
      </c>
      <c r="H4332" s="11">
        <f>H4331+G4332</f>
        <v/>
      </c>
    </row>
    <row r="4333">
      <c r="A4333" s="9" t="n">
        <v>4329</v>
      </c>
      <c r="B4333" s="9" t="inlineStr">
        <is>
          <t>Meridian</t>
        </is>
      </c>
      <c r="C4333" s="9" t="inlineStr">
        <is>
          <t>21/50 MA cross, 250-period confirm filter, VWAP</t>
        </is>
      </c>
      <c r="D4333" s="9" t="inlineStr">
        <is>
          <t>Short</t>
        </is>
      </c>
      <c r="E4333" s="10" t="n">
        <v>45700.49305555555</v>
      </c>
      <c r="F4333" s="10" t="n">
        <v>45700.67361111111</v>
      </c>
      <c r="G4333" s="11" t="n">
        <v>-5.09</v>
      </c>
      <c r="H4333" s="11">
        <f>H4332+G4333</f>
        <v/>
      </c>
    </row>
    <row r="4334">
      <c r="A4334" s="9" t="n">
        <v>4330</v>
      </c>
      <c r="B4334" s="9" t="inlineStr">
        <is>
          <t>Vanguard_M15</t>
        </is>
      </c>
      <c r="C4334" s="9" t="inlineStr">
        <is>
          <t>Trendline breakout (fractal swing line) + VWAP/S-R distance gate - M15 chart</t>
        </is>
      </c>
      <c r="D4334" s="9" t="inlineStr">
        <is>
          <t>Short</t>
        </is>
      </c>
      <c r="E4334" s="10" t="n">
        <v>45699.9375</v>
      </c>
      <c r="F4334" s="10" t="n">
        <v>45700.77083333334</v>
      </c>
      <c r="G4334" s="11" t="n">
        <v>-2.01</v>
      </c>
      <c r="H4334" s="11">
        <f>H4333+G4334</f>
        <v/>
      </c>
    </row>
    <row r="4335">
      <c r="A4335" s="9" t="n">
        <v>4331</v>
      </c>
      <c r="B4335" s="9" t="inlineStr">
        <is>
          <t>Vanguard_M5</t>
        </is>
      </c>
      <c r="C4335" s="9" t="inlineStr">
        <is>
          <t>Trendline breakout (fractal swing line) + VWAP/S-R distance gate</t>
        </is>
      </c>
      <c r="D4335" s="9" t="inlineStr">
        <is>
          <t>Short</t>
        </is>
      </c>
      <c r="E4335" s="10" t="n">
        <v>45699.93402777778</v>
      </c>
      <c r="F4335" s="10" t="n">
        <v>45700.77430555555</v>
      </c>
      <c r="G4335" s="11" t="n">
        <v>-0.9</v>
      </c>
      <c r="H4335" s="11">
        <f>H4334+G4335</f>
        <v/>
      </c>
    </row>
    <row r="4336">
      <c r="A4336" s="9" t="n">
        <v>4332</v>
      </c>
      <c r="B4336" s="9" t="inlineStr">
        <is>
          <t>Ratchet</t>
        </is>
      </c>
      <c r="C4336" s="9" t="inlineStr">
        <is>
          <t>Stochastic scalp with give-back trail exit</t>
        </is>
      </c>
      <c r="D4336" s="9" t="inlineStr">
        <is>
          <t>Long</t>
        </is>
      </c>
      <c r="E4336" s="10" t="n">
        <v>45701.24305555555</v>
      </c>
      <c r="F4336" s="10" t="n">
        <v>45701.26041666666</v>
      </c>
      <c r="G4336" s="11" t="n">
        <v>0.44</v>
      </c>
      <c r="H4336" s="11">
        <f>H4335+G4336</f>
        <v/>
      </c>
    </row>
    <row r="4337">
      <c r="A4337" s="9" t="n">
        <v>4333</v>
      </c>
      <c r="B4337" s="9" t="inlineStr">
        <is>
          <t>Meridian</t>
        </is>
      </c>
      <c r="C4337" s="9" t="inlineStr">
        <is>
          <t>21/50 MA cross, 250-period confirm filter, VWAP</t>
        </is>
      </c>
      <c r="D4337" s="9" t="inlineStr">
        <is>
          <t>Long</t>
        </is>
      </c>
      <c r="E4337" s="10" t="n">
        <v>45700.6875</v>
      </c>
      <c r="F4337" s="10" t="n">
        <v>45701.4375</v>
      </c>
      <c r="G4337" s="11" t="n">
        <v>16.5</v>
      </c>
      <c r="H4337" s="11">
        <f>H4336+G4337</f>
        <v/>
      </c>
    </row>
    <row r="4338">
      <c r="A4338" s="9" t="n">
        <v>4334</v>
      </c>
      <c r="B4338" s="9" t="inlineStr">
        <is>
          <t>Aurelius_M5</t>
        </is>
      </c>
      <c r="C4338" s="9" t="inlineStr">
        <is>
          <t>MA alignment (EMA21&gt;EMA50&gt;SMA250&gt;SMMA500 vs EMA2400 trend filter)</t>
        </is>
      </c>
      <c r="D4338" s="9" t="inlineStr">
        <is>
          <t>Long</t>
        </is>
      </c>
      <c r="E4338" s="10" t="n">
        <v>45701.17361111111</v>
      </c>
      <c r="F4338" s="10" t="n">
        <v>45701.4375</v>
      </c>
      <c r="G4338" s="11" t="n">
        <v>6.02</v>
      </c>
      <c r="H4338" s="11">
        <f>H4337+G4338</f>
        <v/>
      </c>
    </row>
    <row r="4339">
      <c r="A4339" s="9" t="n">
        <v>4335</v>
      </c>
      <c r="B4339" s="9" t="inlineStr">
        <is>
          <t>Ratchet</t>
        </is>
      </c>
      <c r="C4339" s="9" t="inlineStr">
        <is>
          <t>Stochastic scalp with give-back trail exit</t>
        </is>
      </c>
      <c r="D4339" s="9" t="inlineStr">
        <is>
          <t>Long</t>
        </is>
      </c>
      <c r="E4339" s="10" t="n">
        <v>45701.50694444445</v>
      </c>
      <c r="F4339" s="10" t="n">
        <v>45701.53472222222</v>
      </c>
      <c r="G4339" s="11" t="n">
        <v>0.46</v>
      </c>
      <c r="H4339" s="11">
        <f>H4338+G4339</f>
        <v/>
      </c>
    </row>
    <row r="4340">
      <c r="A4340" s="9" t="n">
        <v>4336</v>
      </c>
      <c r="B4340" s="9" t="inlineStr">
        <is>
          <t>Ratchet</t>
        </is>
      </c>
      <c r="C4340" s="9" t="inlineStr">
        <is>
          <t>Stochastic scalp with give-back trail exit</t>
        </is>
      </c>
      <c r="D4340" s="9" t="inlineStr">
        <is>
          <t>Long</t>
        </is>
      </c>
      <c r="E4340" s="10" t="n">
        <v>45701.58680555555</v>
      </c>
      <c r="F4340" s="10" t="n">
        <v>45701.59375</v>
      </c>
      <c r="G4340" s="11" t="n">
        <v>0.32</v>
      </c>
      <c r="H4340" s="11">
        <f>H4339+G4340</f>
        <v/>
      </c>
    </row>
    <row r="4341">
      <c r="A4341" s="9" t="n">
        <v>4337</v>
      </c>
      <c r="B4341" s="9" t="inlineStr">
        <is>
          <t>Aurelius_M5</t>
        </is>
      </c>
      <c r="C4341" s="9" t="inlineStr">
        <is>
          <t>MA alignment (EMA21&gt;EMA50&gt;SMA250&gt;SMMA500 vs EMA2400 trend filter)</t>
        </is>
      </c>
      <c r="D4341" s="9" t="inlineStr">
        <is>
          <t>Long</t>
        </is>
      </c>
      <c r="E4341" s="10" t="n">
        <v>45701.57638888889</v>
      </c>
      <c r="F4341" s="10" t="n">
        <v>45701.63888888889</v>
      </c>
      <c r="G4341" s="11" t="n">
        <v>-4.55</v>
      </c>
      <c r="H4341" s="11">
        <f>H4340+G4341</f>
        <v/>
      </c>
    </row>
    <row r="4342">
      <c r="A4342" s="9" t="n">
        <v>4338</v>
      </c>
      <c r="B4342" s="9" t="inlineStr">
        <is>
          <t>Meridian</t>
        </is>
      </c>
      <c r="C4342" s="9" t="inlineStr">
        <is>
          <t>21/50 MA cross, 250-period confirm filter, VWAP</t>
        </is>
      </c>
      <c r="D4342" s="9" t="inlineStr">
        <is>
          <t>Long</t>
        </is>
      </c>
      <c r="E4342" s="10" t="n">
        <v>45701.50694444445</v>
      </c>
      <c r="F4342" s="10" t="n">
        <v>45701.64236111111</v>
      </c>
      <c r="G4342" s="11" t="n">
        <v>-5.87</v>
      </c>
      <c r="H4342" s="11">
        <f>H4341+G4342</f>
        <v/>
      </c>
    </row>
    <row r="4343">
      <c r="A4343" s="9" t="n">
        <v>4339</v>
      </c>
      <c r="B4343" s="9" t="inlineStr">
        <is>
          <t>Ratchet</t>
        </is>
      </c>
      <c r="C4343" s="9" t="inlineStr">
        <is>
          <t>Stochastic scalp with give-back trail exit</t>
        </is>
      </c>
      <c r="D4343" s="9" t="inlineStr">
        <is>
          <t>Long</t>
        </is>
      </c>
      <c r="E4343" s="10" t="n">
        <v>45701.74652777778</v>
      </c>
      <c r="F4343" s="10" t="n">
        <v>45701.75347222222</v>
      </c>
      <c r="G4343" s="11" t="n">
        <v>0</v>
      </c>
      <c r="H4343" s="11">
        <f>H4342+G4343</f>
        <v/>
      </c>
    </row>
    <row r="4344">
      <c r="A4344" s="9" t="n">
        <v>4340</v>
      </c>
      <c r="B4344" s="9" t="inlineStr">
        <is>
          <t>Ratchet</t>
        </is>
      </c>
      <c r="C4344" s="9" t="inlineStr">
        <is>
          <t>Stochastic scalp with give-back trail exit</t>
        </is>
      </c>
      <c r="D4344" s="9" t="inlineStr">
        <is>
          <t>Long</t>
        </is>
      </c>
      <c r="E4344" s="10" t="n">
        <v>45701.96527777778</v>
      </c>
      <c r="F4344" s="10" t="n">
        <v>45701.99652777778</v>
      </c>
      <c r="G4344" s="11" t="n">
        <v>0.09</v>
      </c>
      <c r="H4344" s="11">
        <f>H4343+G4344</f>
        <v/>
      </c>
    </row>
    <row r="4345">
      <c r="A4345" s="9" t="n">
        <v>4341</v>
      </c>
      <c r="B4345" s="9" t="inlineStr">
        <is>
          <t>Aurelius_M5</t>
        </is>
      </c>
      <c r="C4345" s="9" t="inlineStr">
        <is>
          <t>MA alignment (EMA21&gt;EMA50&gt;SMA250&gt;SMMA500 vs EMA2400 trend filter)</t>
        </is>
      </c>
      <c r="D4345" s="9" t="inlineStr">
        <is>
          <t>Long</t>
        </is>
      </c>
      <c r="E4345" s="10" t="n">
        <v>45701.87152777778</v>
      </c>
      <c r="F4345" s="10" t="n">
        <v>45702.04166666666</v>
      </c>
      <c r="G4345" s="11" t="n">
        <v>6.54</v>
      </c>
      <c r="H4345" s="11">
        <f>H4344+G4345</f>
        <v/>
      </c>
    </row>
    <row r="4346">
      <c r="A4346" s="9" t="n">
        <v>4342</v>
      </c>
      <c r="B4346" s="9" t="inlineStr">
        <is>
          <t>Ratchet</t>
        </is>
      </c>
      <c r="C4346" s="9" t="inlineStr">
        <is>
          <t>Stochastic scalp with give-back trail exit</t>
        </is>
      </c>
      <c r="D4346" s="9" t="inlineStr">
        <is>
          <t>Long</t>
        </is>
      </c>
      <c r="E4346" s="10" t="n">
        <v>45702.14930555555</v>
      </c>
      <c r="F4346" s="10" t="n">
        <v>45702.15972222222</v>
      </c>
      <c r="G4346" s="11" t="n">
        <v>-2.84</v>
      </c>
      <c r="H4346" s="11">
        <f>H4345+G4346</f>
        <v/>
      </c>
    </row>
    <row r="4347">
      <c r="A4347" s="9" t="n">
        <v>4343</v>
      </c>
      <c r="B4347" s="9" t="inlineStr">
        <is>
          <t>Aurelius_M5</t>
        </is>
      </c>
      <c r="C4347" s="9" t="inlineStr">
        <is>
          <t>MA alignment (EMA21&gt;EMA50&gt;SMA250&gt;SMMA500 vs EMA2400 trend filter)</t>
        </is>
      </c>
      <c r="D4347" s="9" t="inlineStr">
        <is>
          <t>Long</t>
        </is>
      </c>
      <c r="E4347" s="10" t="n">
        <v>45702.15625</v>
      </c>
      <c r="F4347" s="10" t="n">
        <v>45702.17361111111</v>
      </c>
      <c r="G4347" s="11" t="n">
        <v>-3.89</v>
      </c>
      <c r="H4347" s="11">
        <f>H4346+G4347</f>
        <v/>
      </c>
    </row>
    <row r="4348">
      <c r="A4348" s="9" t="n">
        <v>4344</v>
      </c>
      <c r="B4348" s="9" t="inlineStr">
        <is>
          <t>Meridian</t>
        </is>
      </c>
      <c r="C4348" s="9" t="inlineStr">
        <is>
          <t>21/50 MA cross, 250-period confirm filter, VWAP</t>
        </is>
      </c>
      <c r="D4348" s="9" t="inlineStr">
        <is>
          <t>Long</t>
        </is>
      </c>
      <c r="E4348" s="10" t="n">
        <v>45701.72222222222</v>
      </c>
      <c r="F4348" s="10" t="n">
        <v>45702.23958333334</v>
      </c>
      <c r="G4348" s="11" t="n">
        <v>4.83</v>
      </c>
      <c r="H4348" s="11">
        <f>H4347+G4348</f>
        <v/>
      </c>
    </row>
    <row r="4349">
      <c r="A4349" s="9" t="n">
        <v>4345</v>
      </c>
      <c r="B4349" s="9" t="inlineStr">
        <is>
          <t>Vanguard_M5</t>
        </is>
      </c>
      <c r="C4349" s="9" t="inlineStr">
        <is>
          <t>Trendline breakout (fractal swing line) + VWAP/S-R distance gate</t>
        </is>
      </c>
      <c r="D4349" s="9" t="inlineStr">
        <is>
          <t>Short</t>
        </is>
      </c>
      <c r="E4349" s="10" t="n">
        <v>45702.19791666666</v>
      </c>
      <c r="F4349" s="10" t="n">
        <v>45702.35416666666</v>
      </c>
      <c r="G4349" s="11" t="n">
        <v>-6.72</v>
      </c>
      <c r="H4349" s="11">
        <f>H4348+G4349</f>
        <v/>
      </c>
    </row>
    <row r="4350">
      <c r="A4350" s="9" t="n">
        <v>4346</v>
      </c>
      <c r="B4350" s="9" t="inlineStr">
        <is>
          <t>Vanguard_M15</t>
        </is>
      </c>
      <c r="C4350" s="9" t="inlineStr">
        <is>
          <t>Trendline breakout (fractal swing line) + VWAP/S-R distance gate - M15 chart</t>
        </is>
      </c>
      <c r="D4350" s="9" t="inlineStr">
        <is>
          <t>Short</t>
        </is>
      </c>
      <c r="E4350" s="10" t="n">
        <v>45702.20833333334</v>
      </c>
      <c r="F4350" s="10" t="n">
        <v>45702.35416666666</v>
      </c>
      <c r="G4350" s="11" t="n">
        <v>-7.93</v>
      </c>
      <c r="H4350" s="11">
        <f>H4349+G4350</f>
        <v/>
      </c>
    </row>
    <row r="4351">
      <c r="A4351" s="9" t="n">
        <v>4347</v>
      </c>
      <c r="B4351" s="9" t="inlineStr">
        <is>
          <t>Ratchet</t>
        </is>
      </c>
      <c r="C4351" s="9" t="inlineStr">
        <is>
          <t>Stochastic scalp with give-back trail exit</t>
        </is>
      </c>
      <c r="D4351" s="9" t="inlineStr">
        <is>
          <t>Long</t>
        </is>
      </c>
      <c r="E4351" s="10" t="n">
        <v>45702.44444444445</v>
      </c>
      <c r="F4351" s="10" t="n">
        <v>45702.46180555555</v>
      </c>
      <c r="G4351" s="11" t="n">
        <v>0</v>
      </c>
      <c r="H4351" s="11">
        <f>H4350+G4351</f>
        <v/>
      </c>
    </row>
    <row r="4352">
      <c r="A4352" s="9" t="n">
        <v>4348</v>
      </c>
      <c r="B4352" s="9" t="inlineStr">
        <is>
          <t>Ratchet</t>
        </is>
      </c>
      <c r="C4352" s="9" t="inlineStr">
        <is>
          <t>Stochastic scalp with give-back trail exit</t>
        </is>
      </c>
      <c r="D4352" s="9" t="inlineStr">
        <is>
          <t>Long</t>
        </is>
      </c>
      <c r="E4352" s="10" t="n">
        <v>45702.46527777778</v>
      </c>
      <c r="F4352" s="10" t="n">
        <v>45702.47916666666</v>
      </c>
      <c r="G4352" s="11" t="n">
        <v>0</v>
      </c>
      <c r="H4352" s="11">
        <f>H4351+G4352</f>
        <v/>
      </c>
    </row>
    <row r="4353">
      <c r="A4353" s="9" t="n">
        <v>4349</v>
      </c>
      <c r="B4353" s="9" t="inlineStr">
        <is>
          <t>Ratchet</t>
        </is>
      </c>
      <c r="C4353" s="9" t="inlineStr">
        <is>
          <t>Stochastic scalp with give-back trail exit</t>
        </is>
      </c>
      <c r="D4353" s="9" t="inlineStr">
        <is>
          <t>Long</t>
        </is>
      </c>
      <c r="E4353" s="10" t="n">
        <v>45702.52083333334</v>
      </c>
      <c r="F4353" s="10" t="n">
        <v>45702.52430555555</v>
      </c>
      <c r="G4353" s="11" t="n">
        <v>0</v>
      </c>
      <c r="H4353" s="11">
        <f>H4352+G4353</f>
        <v/>
      </c>
    </row>
    <row r="4354">
      <c r="A4354" s="9" t="n">
        <v>4350</v>
      </c>
      <c r="B4354" s="9" t="inlineStr">
        <is>
          <t>Aurelius_M5</t>
        </is>
      </c>
      <c r="C4354" s="9" t="inlineStr">
        <is>
          <t>MA alignment (EMA21&gt;EMA50&gt;SMA250&gt;SMMA500 vs EMA2400 trend filter)</t>
        </is>
      </c>
      <c r="D4354" s="9" t="inlineStr">
        <is>
          <t>Long</t>
        </is>
      </c>
      <c r="E4354" s="10" t="n">
        <v>45702.35069444445</v>
      </c>
      <c r="F4354" s="10" t="n">
        <v>45702.57986111111</v>
      </c>
      <c r="G4354" s="11" t="n">
        <v>-0.73</v>
      </c>
      <c r="H4354" s="11">
        <f>H4353+G4354</f>
        <v/>
      </c>
    </row>
    <row r="4355">
      <c r="A4355" s="9" t="n">
        <v>4351</v>
      </c>
      <c r="B4355" s="9" t="inlineStr">
        <is>
          <t>Aurelius_M15</t>
        </is>
      </c>
      <c r="C4355" s="9" t="inlineStr">
        <is>
          <t>MA alignment (EMA21&gt;EMA50&gt;SMA250&gt;SMMA500 vs EMA2400 trend filter) - M15 chart</t>
        </is>
      </c>
      <c r="D4355" s="9" t="inlineStr">
        <is>
          <t>Long</t>
        </is>
      </c>
      <c r="E4355" s="10" t="n">
        <v>45701.69791666666</v>
      </c>
      <c r="F4355" s="10" t="n">
        <v>45702.6875</v>
      </c>
      <c r="G4355" s="11" t="n">
        <v>12.39</v>
      </c>
      <c r="H4355" s="11">
        <f>H4354+G4355</f>
        <v/>
      </c>
    </row>
    <row r="4356">
      <c r="A4356" s="9" t="n">
        <v>4352</v>
      </c>
      <c r="B4356" s="9" t="inlineStr">
        <is>
          <t>Meridian</t>
        </is>
      </c>
      <c r="C4356" s="9" t="inlineStr">
        <is>
          <t>21/50 MA cross, 250-period confirm filter, VWAP</t>
        </is>
      </c>
      <c r="D4356" s="9" t="inlineStr">
        <is>
          <t>Short</t>
        </is>
      </c>
      <c r="E4356" s="10" t="n">
        <v>45705.35069444445</v>
      </c>
      <c r="F4356" s="10" t="n">
        <v>45705.36458333334</v>
      </c>
      <c r="G4356" s="11" t="n">
        <v>-5.8</v>
      </c>
      <c r="H4356" s="11">
        <f>H4355+G4356</f>
        <v/>
      </c>
    </row>
    <row r="4357">
      <c r="A4357" s="9" t="n">
        <v>4353</v>
      </c>
      <c r="B4357" s="9" t="inlineStr">
        <is>
          <t>Meridian</t>
        </is>
      </c>
      <c r="C4357" s="9" t="inlineStr">
        <is>
          <t>21/50 MA cross, 250-period confirm filter, VWAP</t>
        </is>
      </c>
      <c r="D4357" s="9" t="inlineStr">
        <is>
          <t>Long</t>
        </is>
      </c>
      <c r="E4357" s="10" t="n">
        <v>45705.70833333334</v>
      </c>
      <c r="F4357" s="10" t="n">
        <v>45705.73958333334</v>
      </c>
      <c r="G4357" s="11" t="n">
        <v>-4.33</v>
      </c>
      <c r="H4357" s="11">
        <f>H4356+G4357</f>
        <v/>
      </c>
    </row>
    <row r="4358">
      <c r="A4358" s="9" t="n">
        <v>4354</v>
      </c>
      <c r="B4358" s="9" t="inlineStr">
        <is>
          <t>Meridian</t>
        </is>
      </c>
      <c r="C4358" s="9" t="inlineStr">
        <is>
          <t>21/50 MA cross, 250-period confirm filter, VWAP</t>
        </is>
      </c>
      <c r="D4358" s="9" t="inlineStr">
        <is>
          <t>Long</t>
        </is>
      </c>
      <c r="E4358" s="10" t="n">
        <v>45706.09027777778</v>
      </c>
      <c r="F4358" s="10" t="n">
        <v>45706.125</v>
      </c>
      <c r="G4358" s="11" t="n">
        <v>-1.8</v>
      </c>
      <c r="H4358" s="11">
        <f>H4357+G4358</f>
        <v/>
      </c>
    </row>
    <row r="4359">
      <c r="A4359" s="9" t="n">
        <v>4355</v>
      </c>
      <c r="B4359" s="9" t="inlineStr">
        <is>
          <t>Meridian</t>
        </is>
      </c>
      <c r="C4359" s="9" t="inlineStr">
        <is>
          <t>21/50 MA cross, 250-period confirm filter, VWAP</t>
        </is>
      </c>
      <c r="D4359" s="9" t="inlineStr">
        <is>
          <t>Short</t>
        </is>
      </c>
      <c r="E4359" s="10" t="n">
        <v>45706.13541666666</v>
      </c>
      <c r="F4359" s="10" t="n">
        <v>45706.19097222222</v>
      </c>
      <c r="G4359" s="11" t="n">
        <v>-2.5</v>
      </c>
      <c r="H4359" s="11">
        <f>H4358+G4359</f>
        <v/>
      </c>
    </row>
    <row r="4360">
      <c r="A4360" s="9" t="n">
        <v>4356</v>
      </c>
      <c r="B4360" s="9" t="inlineStr">
        <is>
          <t>Meridian</t>
        </is>
      </c>
      <c r="C4360" s="9" t="inlineStr">
        <is>
          <t>21/50 MA cross, 250-period confirm filter, VWAP</t>
        </is>
      </c>
      <c r="D4360" s="9" t="inlineStr">
        <is>
          <t>Long</t>
        </is>
      </c>
      <c r="E4360" s="10" t="n">
        <v>45706.19791666666</v>
      </c>
      <c r="F4360" s="10" t="n">
        <v>45706.52777777778</v>
      </c>
      <c r="G4360" s="11" t="n">
        <v>5.56</v>
      </c>
      <c r="H4360" s="11">
        <f>H4359+G4360</f>
        <v/>
      </c>
    </row>
    <row r="4361">
      <c r="A4361" s="9" t="n">
        <v>4357</v>
      </c>
      <c r="B4361" s="9" t="inlineStr">
        <is>
          <t>Ratchet</t>
        </is>
      </c>
      <c r="C4361" s="9" t="inlineStr">
        <is>
          <t>Stochastic scalp with give-back trail exit</t>
        </is>
      </c>
      <c r="D4361" s="9" t="inlineStr">
        <is>
          <t>Long</t>
        </is>
      </c>
      <c r="E4361" s="10" t="n">
        <v>45706.59375</v>
      </c>
      <c r="F4361" s="10" t="n">
        <v>45706.62847222222</v>
      </c>
      <c r="G4361" s="11" t="n">
        <v>1.47</v>
      </c>
      <c r="H4361" s="11">
        <f>H4360+G4361</f>
        <v/>
      </c>
    </row>
    <row r="4362">
      <c r="A4362" s="9" t="n">
        <v>4358</v>
      </c>
      <c r="B4362" s="9" t="inlineStr">
        <is>
          <t>Ratchet</t>
        </is>
      </c>
      <c r="C4362" s="9" t="inlineStr">
        <is>
          <t>Stochastic scalp with give-back trail exit</t>
        </is>
      </c>
      <c r="D4362" s="9" t="inlineStr">
        <is>
          <t>Long</t>
        </is>
      </c>
      <c r="E4362" s="10" t="n">
        <v>45706.64930555555</v>
      </c>
      <c r="F4362" s="10" t="n">
        <v>45706.65625</v>
      </c>
      <c r="G4362" s="11" t="n">
        <v>0.79</v>
      </c>
      <c r="H4362" s="11">
        <f>H4361+G4362</f>
        <v/>
      </c>
    </row>
    <row r="4363">
      <c r="A4363" s="9" t="n">
        <v>4359</v>
      </c>
      <c r="B4363" s="9" t="inlineStr">
        <is>
          <t>Ratchet</t>
        </is>
      </c>
      <c r="C4363" s="9" t="inlineStr">
        <is>
          <t>Stochastic scalp with give-back trail exit</t>
        </is>
      </c>
      <c r="D4363" s="9" t="inlineStr">
        <is>
          <t>Long</t>
        </is>
      </c>
      <c r="E4363" s="10" t="n">
        <v>45706.68055555555</v>
      </c>
      <c r="F4363" s="10" t="n">
        <v>45706.95833333334</v>
      </c>
      <c r="G4363" s="11" t="n">
        <v>13.16</v>
      </c>
      <c r="H4363" s="11">
        <f>H4362+G4363</f>
        <v/>
      </c>
    </row>
    <row r="4364">
      <c r="A4364" s="9" t="n">
        <v>4360</v>
      </c>
      <c r="B4364" s="9" t="inlineStr">
        <is>
          <t>Meridian</t>
        </is>
      </c>
      <c r="C4364" s="9" t="inlineStr">
        <is>
          <t>21/50 MA cross, 250-period confirm filter, VWAP</t>
        </is>
      </c>
      <c r="D4364" s="9" t="inlineStr">
        <is>
          <t>Long</t>
        </is>
      </c>
      <c r="E4364" s="10" t="n">
        <v>45706.56944444445</v>
      </c>
      <c r="F4364" s="10" t="n">
        <v>45707.11805555555</v>
      </c>
      <c r="G4364" s="11" t="n">
        <v>18.85</v>
      </c>
      <c r="H4364" s="11">
        <f>H4363+G4364</f>
        <v/>
      </c>
    </row>
    <row r="4365">
      <c r="A4365" s="9" t="n">
        <v>4361</v>
      </c>
      <c r="B4365" s="9" t="inlineStr">
        <is>
          <t>Meridian</t>
        </is>
      </c>
      <c r="C4365" s="9" t="inlineStr">
        <is>
          <t>21/50 MA cross, 250-period confirm filter, VWAP</t>
        </is>
      </c>
      <c r="D4365" s="9" t="inlineStr">
        <is>
          <t>Long</t>
        </is>
      </c>
      <c r="E4365" s="10" t="n">
        <v>45707.15972222222</v>
      </c>
      <c r="F4365" s="10" t="n">
        <v>45707.1875</v>
      </c>
      <c r="G4365" s="11" t="n">
        <v>-3.61</v>
      </c>
      <c r="H4365" s="11">
        <f>H4364+G4365</f>
        <v/>
      </c>
    </row>
    <row r="4366">
      <c r="A4366" s="9" t="n">
        <v>4362</v>
      </c>
      <c r="B4366" s="9" t="inlineStr">
        <is>
          <t>Ratchet</t>
        </is>
      </c>
      <c r="C4366" s="9" t="inlineStr">
        <is>
          <t>Stochastic scalp with give-back trail exit</t>
        </is>
      </c>
      <c r="D4366" s="9" t="inlineStr">
        <is>
          <t>Long</t>
        </is>
      </c>
      <c r="E4366" s="10" t="n">
        <v>45707.17013888889</v>
      </c>
      <c r="F4366" s="10" t="n">
        <v>45707.1875</v>
      </c>
      <c r="G4366" s="11" t="n">
        <v>-3.26</v>
      </c>
      <c r="H4366" s="11">
        <f>H4365+G4366</f>
        <v/>
      </c>
    </row>
    <row r="4367">
      <c r="A4367" s="9" t="n">
        <v>4363</v>
      </c>
      <c r="B4367" s="9" t="inlineStr">
        <is>
          <t>Aurelius_M5</t>
        </is>
      </c>
      <c r="C4367" s="9" t="inlineStr">
        <is>
          <t>MA alignment (EMA21&gt;EMA50&gt;SMA250&gt;SMMA500 vs EMA2400 trend filter)</t>
        </is>
      </c>
      <c r="D4367" s="9" t="inlineStr">
        <is>
          <t>Long</t>
        </is>
      </c>
      <c r="E4367" s="10" t="n">
        <v>45707.18402777778</v>
      </c>
      <c r="F4367" s="10" t="n">
        <v>45707.19097222222</v>
      </c>
      <c r="G4367" s="11" t="n">
        <v>-3.93</v>
      </c>
      <c r="H4367" s="11">
        <f>H4366+G4367</f>
        <v/>
      </c>
    </row>
    <row r="4368">
      <c r="A4368" s="9" t="n">
        <v>4364</v>
      </c>
      <c r="B4368" s="9" t="inlineStr">
        <is>
          <t>Ratchet</t>
        </is>
      </c>
      <c r="C4368" s="9" t="inlineStr">
        <is>
          <t>Stochastic scalp with give-back trail exit</t>
        </is>
      </c>
      <c r="D4368" s="9" t="inlineStr">
        <is>
          <t>Long</t>
        </is>
      </c>
      <c r="E4368" s="10" t="n">
        <v>45707.34375</v>
      </c>
      <c r="F4368" s="10" t="n">
        <v>45707.35763888889</v>
      </c>
      <c r="G4368" s="11" t="n">
        <v>-2.51</v>
      </c>
      <c r="H4368" s="11">
        <f>H4367+G4368</f>
        <v/>
      </c>
    </row>
    <row r="4369">
      <c r="A4369" s="9" t="n">
        <v>4365</v>
      </c>
      <c r="B4369" s="9" t="inlineStr">
        <is>
          <t>Meridian</t>
        </is>
      </c>
      <c r="C4369" s="9" t="inlineStr">
        <is>
          <t>21/50 MA cross, 250-period confirm filter, VWAP</t>
        </is>
      </c>
      <c r="D4369" s="9" t="inlineStr">
        <is>
          <t>Long</t>
        </is>
      </c>
      <c r="E4369" s="10" t="n">
        <v>45707.33680555555</v>
      </c>
      <c r="F4369" s="10" t="n">
        <v>45707.375</v>
      </c>
      <c r="G4369" s="11" t="n">
        <v>-3.67</v>
      </c>
      <c r="H4369" s="11">
        <f>H4368+G4369</f>
        <v/>
      </c>
    </row>
    <row r="4370">
      <c r="A4370" s="9" t="n">
        <v>4366</v>
      </c>
      <c r="B4370" s="9" t="inlineStr">
        <is>
          <t>Ratchet</t>
        </is>
      </c>
      <c r="C4370" s="9" t="inlineStr">
        <is>
          <t>Stochastic scalp with give-back trail exit</t>
        </is>
      </c>
      <c r="D4370" s="9" t="inlineStr">
        <is>
          <t>Long</t>
        </is>
      </c>
      <c r="E4370" s="10" t="n">
        <v>45707.39236111111</v>
      </c>
      <c r="F4370" s="10" t="n">
        <v>45707.45138888889</v>
      </c>
      <c r="G4370" s="11" t="n">
        <v>1.45</v>
      </c>
      <c r="H4370" s="11">
        <f>H4369+G4370</f>
        <v/>
      </c>
    </row>
    <row r="4371">
      <c r="A4371" s="9" t="n">
        <v>4367</v>
      </c>
      <c r="B4371" s="9" t="inlineStr">
        <is>
          <t>Ratchet</t>
        </is>
      </c>
      <c r="C4371" s="9" t="inlineStr">
        <is>
          <t>Stochastic scalp with give-back trail exit</t>
        </is>
      </c>
      <c r="D4371" s="9" t="inlineStr">
        <is>
          <t>Long</t>
        </is>
      </c>
      <c r="E4371" s="10" t="n">
        <v>45707.45833333334</v>
      </c>
      <c r="F4371" s="10" t="n">
        <v>45707.56597222222</v>
      </c>
      <c r="G4371" s="11" t="n">
        <v>2.31</v>
      </c>
      <c r="H4371" s="11">
        <f>H4370+G4371</f>
        <v/>
      </c>
    </row>
    <row r="4372">
      <c r="A4372" s="9" t="n">
        <v>4368</v>
      </c>
      <c r="B4372" s="9" t="inlineStr">
        <is>
          <t>Aurelius_M15</t>
        </is>
      </c>
      <c r="C4372" s="9" t="inlineStr">
        <is>
          <t>MA alignment (EMA21&gt;EMA50&gt;SMA250&gt;SMMA500 vs EMA2400 trend filter) - M15 chart</t>
        </is>
      </c>
      <c r="D4372" s="9" t="inlineStr">
        <is>
          <t>Long</t>
        </is>
      </c>
      <c r="E4372" s="10" t="n">
        <v>45707.47916666666</v>
      </c>
      <c r="F4372" s="10" t="n">
        <v>45707.57291666666</v>
      </c>
      <c r="G4372" s="11" t="n">
        <v>-7.23</v>
      </c>
      <c r="H4372" s="11">
        <f>H4371+G4372</f>
        <v/>
      </c>
    </row>
    <row r="4373">
      <c r="A4373" s="9" t="n">
        <v>4369</v>
      </c>
      <c r="B4373" s="9" t="inlineStr">
        <is>
          <t>Aurelius_M5</t>
        </is>
      </c>
      <c r="C4373" s="9" t="inlineStr">
        <is>
          <t>MA alignment (EMA21&gt;EMA50&gt;SMA250&gt;SMMA500 vs EMA2400 trend filter)</t>
        </is>
      </c>
      <c r="D4373" s="9" t="inlineStr">
        <is>
          <t>Long</t>
        </is>
      </c>
      <c r="E4373" s="10" t="n">
        <v>45707.37847222222</v>
      </c>
      <c r="F4373" s="10" t="n">
        <v>45707.59375</v>
      </c>
      <c r="G4373" s="11" t="n">
        <v>1.84</v>
      </c>
      <c r="H4373" s="11">
        <f>H4372+G4373</f>
        <v/>
      </c>
    </row>
    <row r="4374">
      <c r="A4374" s="9" t="n">
        <v>4370</v>
      </c>
      <c r="B4374" s="9" t="inlineStr">
        <is>
          <t>Vanguard_M5</t>
        </is>
      </c>
      <c r="C4374" s="9" t="inlineStr">
        <is>
          <t>Trendline breakout (fractal swing line) + VWAP/S-R distance gate</t>
        </is>
      </c>
      <c r="D4374" s="9" t="inlineStr">
        <is>
          <t>Short</t>
        </is>
      </c>
      <c r="E4374" s="10" t="n">
        <v>45707.58333333334</v>
      </c>
      <c r="F4374" s="10" t="n">
        <v>45708.20833333334</v>
      </c>
      <c r="G4374" s="11" t="n">
        <v>-7.86</v>
      </c>
      <c r="H4374" s="11">
        <f>H4373+G4374</f>
        <v/>
      </c>
    </row>
    <row r="4375">
      <c r="A4375" s="9" t="n">
        <v>4371</v>
      </c>
      <c r="B4375" s="9" t="inlineStr">
        <is>
          <t>Vanguard_M15</t>
        </is>
      </c>
      <c r="C4375" s="9" t="inlineStr">
        <is>
          <t>Trendline breakout (fractal swing line) + VWAP/S-R distance gate - M15 chart</t>
        </is>
      </c>
      <c r="D4375" s="9" t="inlineStr">
        <is>
          <t>Short</t>
        </is>
      </c>
      <c r="E4375" s="10" t="n">
        <v>45707.58333333334</v>
      </c>
      <c r="F4375" s="10" t="n">
        <v>45708.30208333334</v>
      </c>
      <c r="G4375" s="11" t="n">
        <v>-9.58</v>
      </c>
      <c r="H4375" s="11">
        <f>H4374+G4375</f>
        <v/>
      </c>
    </row>
    <row r="4376">
      <c r="A4376" s="9" t="n">
        <v>4372</v>
      </c>
      <c r="B4376" s="9" t="inlineStr">
        <is>
          <t>Ratchet</t>
        </is>
      </c>
      <c r="C4376" s="9" t="inlineStr">
        <is>
          <t>Stochastic scalp with give-back trail exit</t>
        </is>
      </c>
      <c r="D4376" s="9" t="inlineStr">
        <is>
          <t>Long</t>
        </is>
      </c>
      <c r="E4376" s="10" t="n">
        <v>45708.40972222222</v>
      </c>
      <c r="F4376" s="10" t="n">
        <v>45708.48263888889</v>
      </c>
      <c r="G4376" s="11" t="n">
        <v>1.69</v>
      </c>
      <c r="H4376" s="11">
        <f>H4375+G4376</f>
        <v/>
      </c>
    </row>
    <row r="4377">
      <c r="A4377" s="9" t="n">
        <v>4373</v>
      </c>
      <c r="B4377" s="9" t="inlineStr">
        <is>
          <t>Aurelius_M5</t>
        </is>
      </c>
      <c r="C4377" s="9" t="inlineStr">
        <is>
          <t>MA alignment (EMA21&gt;EMA50&gt;SMA250&gt;SMMA500 vs EMA2400 trend filter)</t>
        </is>
      </c>
      <c r="D4377" s="9" t="inlineStr">
        <is>
          <t>Long</t>
        </is>
      </c>
      <c r="E4377" s="10" t="n">
        <v>45708.19444444445</v>
      </c>
      <c r="F4377" s="10" t="n">
        <v>45708.58333333334</v>
      </c>
      <c r="G4377" s="11" t="n">
        <v>11.34</v>
      </c>
      <c r="H4377" s="11">
        <f>H4376+G4377</f>
        <v/>
      </c>
    </row>
    <row r="4378">
      <c r="A4378" s="9" t="n">
        <v>4374</v>
      </c>
      <c r="B4378" s="9" t="inlineStr">
        <is>
          <t>Meridian</t>
        </is>
      </c>
      <c r="C4378" s="9" t="inlineStr">
        <is>
          <t>21/50 MA cross, 250-period confirm filter, VWAP</t>
        </is>
      </c>
      <c r="D4378" s="9" t="inlineStr">
        <is>
          <t>Long</t>
        </is>
      </c>
      <c r="E4378" s="10" t="n">
        <v>45708.78819444445</v>
      </c>
      <c r="F4378" s="10" t="n">
        <v>45708.88541666666</v>
      </c>
      <c r="G4378" s="11" t="n">
        <v>-3.97</v>
      </c>
      <c r="H4378" s="11">
        <f>H4377+G4378</f>
        <v/>
      </c>
    </row>
    <row r="4379">
      <c r="A4379" s="9" t="n">
        <v>4375</v>
      </c>
      <c r="B4379" s="9" t="inlineStr">
        <is>
          <t>Meridian</t>
        </is>
      </c>
      <c r="C4379" s="9" t="inlineStr">
        <is>
          <t>21/50 MA cross, 250-period confirm filter, VWAP</t>
        </is>
      </c>
      <c r="D4379" s="9" t="inlineStr">
        <is>
          <t>Short</t>
        </is>
      </c>
      <c r="E4379" s="10" t="n">
        <v>45709.16319444445</v>
      </c>
      <c r="F4379" s="10" t="n">
        <v>45709.17361111111</v>
      </c>
      <c r="G4379" s="11" t="n">
        <v>-6.96</v>
      </c>
      <c r="H4379" s="11">
        <f>H4378+G4379</f>
        <v/>
      </c>
    </row>
    <row r="4380">
      <c r="A4380" s="9" t="n">
        <v>4376</v>
      </c>
      <c r="B4380" s="9" t="inlineStr">
        <is>
          <t>Vanguard_M5</t>
        </is>
      </c>
      <c r="C4380" s="9" t="inlineStr">
        <is>
          <t>Trendline breakout (fractal swing line) + VWAP/S-R distance gate</t>
        </is>
      </c>
      <c r="D4380" s="9" t="inlineStr">
        <is>
          <t>Short</t>
        </is>
      </c>
      <c r="E4380" s="10" t="n">
        <v>45709.28472222222</v>
      </c>
      <c r="F4380" s="10" t="n">
        <v>45709.55902777778</v>
      </c>
      <c r="G4380" s="11" t="n">
        <v>-8.49</v>
      </c>
      <c r="H4380" s="11">
        <f>H4379+G4380</f>
        <v/>
      </c>
    </row>
    <row r="4381">
      <c r="A4381" s="9" t="n">
        <v>4377</v>
      </c>
      <c r="B4381" s="9" t="inlineStr">
        <is>
          <t>Vanguard_M5</t>
        </is>
      </c>
      <c r="C4381" s="9" t="inlineStr">
        <is>
          <t>Trendline breakout (fractal swing line) + VWAP/S-R distance gate</t>
        </is>
      </c>
      <c r="D4381" s="9" t="inlineStr">
        <is>
          <t>Short</t>
        </is>
      </c>
      <c r="E4381" s="10" t="n">
        <v>45709.58333333334</v>
      </c>
      <c r="F4381" s="10" t="n">
        <v>45709.6875</v>
      </c>
      <c r="G4381" s="11" t="n">
        <v>-7.34</v>
      </c>
      <c r="H4381" s="11">
        <f>H4380+G4381</f>
        <v/>
      </c>
    </row>
    <row r="4382">
      <c r="A4382" s="9" t="n">
        <v>4378</v>
      </c>
      <c r="B4382" s="9" t="inlineStr">
        <is>
          <t>Meridian</t>
        </is>
      </c>
      <c r="C4382" s="9" t="inlineStr">
        <is>
          <t>21/50 MA cross, 250-period confirm filter, VWAP</t>
        </is>
      </c>
      <c r="D4382" s="9" t="inlineStr">
        <is>
          <t>Short</t>
        </is>
      </c>
      <c r="E4382" s="10" t="n">
        <v>45709.72569444445</v>
      </c>
      <c r="F4382" s="10" t="n">
        <v>45709.76041666666</v>
      </c>
      <c r="G4382" s="11" t="n">
        <v>-8.42</v>
      </c>
      <c r="H4382" s="11">
        <f>H4381+G4382</f>
        <v/>
      </c>
    </row>
    <row r="4383">
      <c r="A4383" s="9" t="n">
        <v>4379</v>
      </c>
      <c r="B4383" s="9" t="inlineStr">
        <is>
          <t>Vanguard_M15</t>
        </is>
      </c>
      <c r="C4383" s="9" t="inlineStr">
        <is>
          <t>Trendline breakout (fractal swing line) + VWAP/S-R distance gate - M15 chart</t>
        </is>
      </c>
      <c r="D4383" s="9" t="inlineStr">
        <is>
          <t>Short</t>
        </is>
      </c>
      <c r="E4383" s="10" t="n">
        <v>45709.30208333334</v>
      </c>
      <c r="F4383" s="10" t="n">
        <v>45709.80208333334</v>
      </c>
      <c r="G4383" s="11" t="n">
        <v>-12.12</v>
      </c>
      <c r="H4383" s="11">
        <f>H4382+G4383</f>
        <v/>
      </c>
    </row>
    <row r="4384">
      <c r="A4384" s="9" t="n">
        <v>4380</v>
      </c>
      <c r="B4384" s="9" t="inlineStr">
        <is>
          <t>Vanguard_M5</t>
        </is>
      </c>
      <c r="C4384" s="9" t="inlineStr">
        <is>
          <t>Trendline breakout (fractal swing line) + VWAP/S-R distance gate</t>
        </is>
      </c>
      <c r="D4384" s="9" t="inlineStr">
        <is>
          <t>Short</t>
        </is>
      </c>
      <c r="E4384" s="10" t="n">
        <v>45709.69097222222</v>
      </c>
      <c r="F4384" s="10" t="n">
        <v>45709.82291666666</v>
      </c>
      <c r="G4384" s="11" t="n">
        <v>-9.91</v>
      </c>
      <c r="H4384" s="11">
        <f>H4383+G4384</f>
        <v/>
      </c>
    </row>
    <row r="4385">
      <c r="A4385" s="9" t="n">
        <v>4381</v>
      </c>
      <c r="B4385" s="9" t="inlineStr">
        <is>
          <t>Meridian</t>
        </is>
      </c>
      <c r="C4385" s="9" t="inlineStr">
        <is>
          <t>21/50 MA cross, 250-period confirm filter, VWAP</t>
        </is>
      </c>
      <c r="D4385" s="9" t="inlineStr">
        <is>
          <t>Long</t>
        </is>
      </c>
      <c r="E4385" s="10" t="n">
        <v>45709.77430555555</v>
      </c>
      <c r="F4385" s="10" t="n">
        <v>45709.91666666666</v>
      </c>
      <c r="G4385" s="11" t="n">
        <v>-3.42</v>
      </c>
      <c r="H4385" s="11">
        <f>H4384+G4385</f>
        <v/>
      </c>
    </row>
    <row r="4386">
      <c r="A4386" s="9" t="n">
        <v>4382</v>
      </c>
      <c r="B4386" s="9" t="inlineStr">
        <is>
          <t>Meridian</t>
        </is>
      </c>
      <c r="C4386" s="9" t="inlineStr">
        <is>
          <t>21/50 MA cross, 250-period confirm filter, VWAP</t>
        </is>
      </c>
      <c r="D4386" s="9" t="inlineStr">
        <is>
          <t>Long</t>
        </is>
      </c>
      <c r="E4386" s="10" t="n">
        <v>45712.04861111111</v>
      </c>
      <c r="F4386" s="10" t="n">
        <v>45712.09722222222</v>
      </c>
      <c r="G4386" s="11" t="n">
        <v>-4.75</v>
      </c>
      <c r="H4386" s="11">
        <f>H4385+G4386</f>
        <v/>
      </c>
    </row>
    <row r="4387">
      <c r="A4387" s="9" t="n">
        <v>4383</v>
      </c>
      <c r="B4387" s="9" t="inlineStr">
        <is>
          <t>Meridian</t>
        </is>
      </c>
      <c r="C4387" s="9" t="inlineStr">
        <is>
          <t>21/50 MA cross, 250-period confirm filter, VWAP</t>
        </is>
      </c>
      <c r="D4387" s="9" t="inlineStr">
        <is>
          <t>Long</t>
        </is>
      </c>
      <c r="E4387" s="10" t="n">
        <v>45712.21180555555</v>
      </c>
      <c r="F4387" s="10" t="n">
        <v>45712.32986111111</v>
      </c>
      <c r="G4387" s="11" t="n">
        <v>-5.96</v>
      </c>
      <c r="H4387" s="11">
        <f>H4386+G4387</f>
        <v/>
      </c>
    </row>
    <row r="4388">
      <c r="A4388" s="9" t="n">
        <v>4384</v>
      </c>
      <c r="B4388" s="9" t="inlineStr">
        <is>
          <t>Aurelius_M5</t>
        </is>
      </c>
      <c r="C4388" s="9" t="inlineStr">
        <is>
          <t>MA alignment (EMA21&gt;EMA50&gt;SMA250&gt;SMMA500 vs EMA2400 trend filter)</t>
        </is>
      </c>
      <c r="D4388" s="9" t="inlineStr">
        <is>
          <t>Long</t>
        </is>
      </c>
      <c r="E4388" s="10" t="n">
        <v>45712.22222222222</v>
      </c>
      <c r="F4388" s="10" t="n">
        <v>45712.32986111111</v>
      </c>
      <c r="G4388" s="11" t="n">
        <v>-5.78</v>
      </c>
      <c r="H4388" s="11">
        <f>H4387+G4388</f>
        <v/>
      </c>
    </row>
    <row r="4389">
      <c r="A4389" s="9" t="n">
        <v>4385</v>
      </c>
      <c r="B4389" s="9" t="inlineStr">
        <is>
          <t>Ratchet</t>
        </is>
      </c>
      <c r="C4389" s="9" t="inlineStr">
        <is>
          <t>Stochastic scalp with give-back trail exit</t>
        </is>
      </c>
      <c r="D4389" s="9" t="inlineStr">
        <is>
          <t>Long</t>
        </is>
      </c>
      <c r="E4389" s="10" t="n">
        <v>45712.46180555555</v>
      </c>
      <c r="F4389" s="10" t="n">
        <v>45712.51041666666</v>
      </c>
      <c r="G4389" s="11" t="n">
        <v>-4.46</v>
      </c>
      <c r="H4389" s="11">
        <f>H4388+G4389</f>
        <v/>
      </c>
    </row>
    <row r="4390">
      <c r="A4390" s="9" t="n">
        <v>4386</v>
      </c>
      <c r="B4390" s="9" t="inlineStr">
        <is>
          <t>Aurelius_M5</t>
        </is>
      </c>
      <c r="C4390" s="9" t="inlineStr">
        <is>
          <t>MA alignment (EMA21&gt;EMA50&gt;SMA250&gt;SMMA500 vs EMA2400 trend filter)</t>
        </is>
      </c>
      <c r="D4390" s="9" t="inlineStr">
        <is>
          <t>Long</t>
        </is>
      </c>
      <c r="E4390" s="10" t="n">
        <v>45712.35416666666</v>
      </c>
      <c r="F4390" s="10" t="n">
        <v>45712.53472222222</v>
      </c>
      <c r="G4390" s="11" t="n">
        <v>-3.37</v>
      </c>
      <c r="H4390" s="11">
        <f>H4389+G4390</f>
        <v/>
      </c>
    </row>
    <row r="4391">
      <c r="A4391" s="9" t="n">
        <v>4387</v>
      </c>
      <c r="B4391" s="9" t="inlineStr">
        <is>
          <t>Meridian</t>
        </is>
      </c>
      <c r="C4391" s="9" t="inlineStr">
        <is>
          <t>21/50 MA cross, 250-period confirm filter, VWAP</t>
        </is>
      </c>
      <c r="D4391" s="9" t="inlineStr">
        <is>
          <t>Short</t>
        </is>
      </c>
      <c r="E4391" s="10" t="n">
        <v>45712.53472222222</v>
      </c>
      <c r="F4391" s="10" t="n">
        <v>45712.55555555555</v>
      </c>
      <c r="G4391" s="11" t="n">
        <v>-4.44</v>
      </c>
      <c r="H4391" s="11">
        <f>H4390+G4391</f>
        <v/>
      </c>
    </row>
    <row r="4392">
      <c r="A4392" s="9" t="n">
        <v>4388</v>
      </c>
      <c r="B4392" s="9" t="inlineStr">
        <is>
          <t>Ratchet</t>
        </is>
      </c>
      <c r="C4392" s="9" t="inlineStr">
        <is>
          <t>Stochastic scalp with give-back trail exit</t>
        </is>
      </c>
      <c r="D4392" s="9" t="inlineStr">
        <is>
          <t>Long</t>
        </is>
      </c>
      <c r="E4392" s="10" t="n">
        <v>45712.64930555555</v>
      </c>
      <c r="F4392" s="10" t="n">
        <v>45712.67361111111</v>
      </c>
      <c r="G4392" s="11" t="n">
        <v>1.78</v>
      </c>
      <c r="H4392" s="11">
        <f>H4391+G4392</f>
        <v/>
      </c>
    </row>
    <row r="4393">
      <c r="A4393" s="9" t="n">
        <v>4389</v>
      </c>
      <c r="B4393" s="9" t="inlineStr">
        <is>
          <t>Meridian</t>
        </is>
      </c>
      <c r="C4393" s="9" t="inlineStr">
        <is>
          <t>21/50 MA cross, 250-period confirm filter, VWAP</t>
        </is>
      </c>
      <c r="D4393" s="9" t="inlineStr">
        <is>
          <t>Long</t>
        </is>
      </c>
      <c r="E4393" s="10" t="n">
        <v>45712.57638888889</v>
      </c>
      <c r="F4393" s="10" t="n">
        <v>45712.68402777778</v>
      </c>
      <c r="G4393" s="11" t="n">
        <v>-4.84</v>
      </c>
      <c r="H4393" s="11">
        <f>H4392+G4393</f>
        <v/>
      </c>
    </row>
    <row r="4394">
      <c r="A4394" s="9" t="n">
        <v>4390</v>
      </c>
      <c r="B4394" s="9" t="inlineStr">
        <is>
          <t>Vanguard_M5</t>
        </is>
      </c>
      <c r="C4394" s="9" t="inlineStr">
        <is>
          <t>Trendline breakout (fractal swing line) + VWAP/S-R distance gate</t>
        </is>
      </c>
      <c r="D4394" s="9" t="inlineStr">
        <is>
          <t>Long</t>
        </is>
      </c>
      <c r="E4394" s="10" t="n">
        <v>45712.21180555555</v>
      </c>
      <c r="F4394" s="10" t="n">
        <v>45712.71180555555</v>
      </c>
      <c r="G4394" s="11" t="n">
        <v>-9.539999999999999</v>
      </c>
      <c r="H4394" s="11">
        <f>H4393+G4394</f>
        <v/>
      </c>
    </row>
    <row r="4395">
      <c r="A4395" s="9" t="n">
        <v>4391</v>
      </c>
      <c r="B4395" s="9" t="inlineStr">
        <is>
          <t>Ratchet</t>
        </is>
      </c>
      <c r="C4395" s="9" t="inlineStr">
        <is>
          <t>Stochastic scalp with give-back trail exit</t>
        </is>
      </c>
      <c r="D4395" s="9" t="inlineStr">
        <is>
          <t>Long</t>
        </is>
      </c>
      <c r="E4395" s="10" t="n">
        <v>45712.84375</v>
      </c>
      <c r="F4395" s="10" t="n">
        <v>45712.99652777778</v>
      </c>
      <c r="G4395" s="11" t="n">
        <v>7.24</v>
      </c>
      <c r="H4395" s="11">
        <f>H4394+G4395</f>
        <v/>
      </c>
    </row>
    <row r="4396">
      <c r="A4396" s="9" t="n">
        <v>4392</v>
      </c>
      <c r="B4396" s="9" t="inlineStr">
        <is>
          <t>Ratchet</t>
        </is>
      </c>
      <c r="C4396" s="9" t="inlineStr">
        <is>
          <t>Stochastic scalp with give-back trail exit</t>
        </is>
      </c>
      <c r="D4396" s="9" t="inlineStr">
        <is>
          <t>Long</t>
        </is>
      </c>
      <c r="E4396" s="10" t="n">
        <v>45713.06944444445</v>
      </c>
      <c r="F4396" s="10" t="n">
        <v>45713.07638888889</v>
      </c>
      <c r="G4396" s="11" t="n">
        <v>-2.26</v>
      </c>
      <c r="H4396" s="11">
        <f>H4395+G4396</f>
        <v/>
      </c>
    </row>
    <row r="4397">
      <c r="A4397" s="9" t="n">
        <v>4393</v>
      </c>
      <c r="B4397" s="9" t="inlineStr">
        <is>
          <t>Meridian</t>
        </is>
      </c>
      <c r="C4397" s="9" t="inlineStr">
        <is>
          <t>21/50 MA cross, 250-period confirm filter, VWAP</t>
        </is>
      </c>
      <c r="D4397" s="9" t="inlineStr">
        <is>
          <t>Long</t>
        </is>
      </c>
      <c r="E4397" s="10" t="n">
        <v>45712.82291666666</v>
      </c>
      <c r="F4397" s="10" t="n">
        <v>45713.15625</v>
      </c>
      <c r="G4397" s="11" t="n">
        <v>3.96</v>
      </c>
      <c r="H4397" s="11">
        <f>H4396+G4397</f>
        <v/>
      </c>
    </row>
    <row r="4398">
      <c r="A4398" s="9" t="n">
        <v>4394</v>
      </c>
      <c r="B4398" s="9" t="inlineStr">
        <is>
          <t>Meridian</t>
        </is>
      </c>
      <c r="C4398" s="9" t="inlineStr">
        <is>
          <t>21/50 MA cross, 250-period confirm filter, VWAP</t>
        </is>
      </c>
      <c r="D4398" s="9" t="inlineStr">
        <is>
          <t>Long</t>
        </is>
      </c>
      <c r="E4398" s="10" t="n">
        <v>45713.18055555555</v>
      </c>
      <c r="F4398" s="10" t="n">
        <v>45713.20486111111</v>
      </c>
      <c r="G4398" s="11" t="n">
        <v>-3.85</v>
      </c>
      <c r="H4398" s="11">
        <f>H4397+G4398</f>
        <v/>
      </c>
    </row>
    <row r="4399">
      <c r="A4399" s="9" t="n">
        <v>4395</v>
      </c>
      <c r="B4399" s="9" t="inlineStr">
        <is>
          <t>Vanguard_M15</t>
        </is>
      </c>
      <c r="C4399" s="9" t="inlineStr">
        <is>
          <t>Trendline breakout (fractal swing line) + VWAP/S-R distance gate - M15 chart</t>
        </is>
      </c>
      <c r="D4399" s="9" t="inlineStr">
        <is>
          <t>Long</t>
        </is>
      </c>
      <c r="E4399" s="10" t="n">
        <v>45712.21875</v>
      </c>
      <c r="F4399" s="10" t="n">
        <v>45713.23958333334</v>
      </c>
      <c r="G4399" s="11" t="n">
        <v>-3.07</v>
      </c>
      <c r="H4399" s="11">
        <f>H4398+G4399</f>
        <v/>
      </c>
    </row>
    <row r="4400">
      <c r="A4400" s="9" t="n">
        <v>4396</v>
      </c>
      <c r="B4400" s="9" t="inlineStr">
        <is>
          <t>Aurelius_M15</t>
        </is>
      </c>
      <c r="C4400" s="9" t="inlineStr">
        <is>
          <t>MA alignment (EMA21&gt;EMA50&gt;SMA250&gt;SMMA500 vs EMA2400 trend filter) - M15 chart</t>
        </is>
      </c>
      <c r="D4400" s="9" t="inlineStr">
        <is>
          <t>Long</t>
        </is>
      </c>
      <c r="E4400" s="10" t="n">
        <v>45712.76041666666</v>
      </c>
      <c r="F4400" s="10" t="n">
        <v>45713.28125</v>
      </c>
      <c r="G4400" s="11" t="n">
        <v>-5.15</v>
      </c>
      <c r="H4400" s="11">
        <f>H4399+G4400</f>
        <v/>
      </c>
    </row>
    <row r="4401">
      <c r="A4401" s="9" t="n">
        <v>4397</v>
      </c>
      <c r="B4401" s="9" t="inlineStr">
        <is>
          <t>Meridian</t>
        </is>
      </c>
      <c r="C4401" s="9" t="inlineStr">
        <is>
          <t>21/50 MA cross, 250-period confirm filter, VWAP</t>
        </is>
      </c>
      <c r="D4401" s="9" t="inlineStr">
        <is>
          <t>Short</t>
        </is>
      </c>
      <c r="E4401" s="10" t="n">
        <v>45713.60416666666</v>
      </c>
      <c r="F4401" s="10" t="n">
        <v>45713.66666666666</v>
      </c>
      <c r="G4401" s="11" t="n">
        <v>-4.51</v>
      </c>
      <c r="H4401" s="11">
        <f>H4400+G4401</f>
        <v/>
      </c>
    </row>
    <row r="4402">
      <c r="A4402" s="9" t="n">
        <v>4398</v>
      </c>
      <c r="B4402" s="9" t="inlineStr">
        <is>
          <t>Ratchet</t>
        </is>
      </c>
      <c r="C4402" s="9" t="inlineStr">
        <is>
          <t>Stochastic scalp with give-back trail exit</t>
        </is>
      </c>
      <c r="D4402" s="9" t="inlineStr">
        <is>
          <t>Short</t>
        </is>
      </c>
      <c r="E4402" s="10" t="n">
        <v>45713.73611111111</v>
      </c>
      <c r="F4402" s="10" t="n">
        <v>45713.73958333334</v>
      </c>
      <c r="G4402" s="11" t="n">
        <v>-0</v>
      </c>
      <c r="H4402" s="11">
        <f>H4401+G4402</f>
        <v/>
      </c>
    </row>
    <row r="4403">
      <c r="A4403" s="9" t="n">
        <v>4399</v>
      </c>
      <c r="B4403" s="9" t="inlineStr">
        <is>
          <t>Meridian</t>
        </is>
      </c>
      <c r="C4403" s="9" t="inlineStr">
        <is>
          <t>21/50 MA cross, 250-period confirm filter, VWAP</t>
        </is>
      </c>
      <c r="D4403" s="9" t="inlineStr">
        <is>
          <t>Short</t>
        </is>
      </c>
      <c r="E4403" s="10" t="n">
        <v>45713.71527777778</v>
      </c>
      <c r="F4403" s="10" t="n">
        <v>45713.93055555555</v>
      </c>
      <c r="G4403" s="11" t="n">
        <v>16.02</v>
      </c>
      <c r="H4403" s="11">
        <f>H4402+G4403</f>
        <v/>
      </c>
    </row>
    <row r="4404">
      <c r="A4404" s="9" t="n">
        <v>4400</v>
      </c>
      <c r="B4404" s="9" t="inlineStr">
        <is>
          <t>Ratchet</t>
        </is>
      </c>
      <c r="C4404" s="9" t="inlineStr">
        <is>
          <t>Stochastic scalp with give-back trail exit</t>
        </is>
      </c>
      <c r="D4404" s="9" t="inlineStr">
        <is>
          <t>Short</t>
        </is>
      </c>
      <c r="E4404" s="10" t="n">
        <v>45714.33680555555</v>
      </c>
      <c r="F4404" s="10" t="n">
        <v>45714.38194444445</v>
      </c>
      <c r="G4404" s="11" t="n">
        <v>2.43</v>
      </c>
      <c r="H4404" s="11">
        <f>H4403+G4404</f>
        <v/>
      </c>
    </row>
    <row r="4405">
      <c r="A4405" s="9" t="n">
        <v>4401</v>
      </c>
      <c r="B4405" s="9" t="inlineStr">
        <is>
          <t>Aurelius_M5</t>
        </is>
      </c>
      <c r="C4405" s="9" t="inlineStr">
        <is>
          <t>MA alignment (EMA21&gt;EMA50&gt;SMA250&gt;SMMA500 vs EMA2400 trend filter)</t>
        </is>
      </c>
      <c r="D4405" s="9" t="inlineStr">
        <is>
          <t>Short</t>
        </is>
      </c>
      <c r="E4405" s="10" t="n">
        <v>45714.34375</v>
      </c>
      <c r="F4405" s="10" t="n">
        <v>45714.40625</v>
      </c>
      <c r="G4405" s="11" t="n">
        <v>-5.31</v>
      </c>
      <c r="H4405" s="11">
        <f>H4404+G4405</f>
        <v/>
      </c>
    </row>
    <row r="4406">
      <c r="A4406" s="9" t="n">
        <v>4402</v>
      </c>
      <c r="B4406" s="9" t="inlineStr">
        <is>
          <t>Meridian</t>
        </is>
      </c>
      <c r="C4406" s="9" t="inlineStr">
        <is>
          <t>21/50 MA cross, 250-period confirm filter, VWAP</t>
        </is>
      </c>
      <c r="D4406" s="9" t="inlineStr">
        <is>
          <t>Short</t>
        </is>
      </c>
      <c r="E4406" s="10" t="n">
        <v>45714.25347222222</v>
      </c>
      <c r="F4406" s="10" t="n">
        <v>45714.46527777778</v>
      </c>
      <c r="G4406" s="11" t="n">
        <v>-0.53</v>
      </c>
      <c r="H4406" s="11">
        <f>H4405+G4406</f>
        <v/>
      </c>
    </row>
    <row r="4407">
      <c r="A4407" s="9" t="n">
        <v>4403</v>
      </c>
      <c r="B4407" s="9" t="inlineStr">
        <is>
          <t>Vanguard_M15</t>
        </is>
      </c>
      <c r="C4407" s="9" t="inlineStr">
        <is>
          <t>Trendline breakout (fractal swing line) + VWAP/S-R distance gate - M15 chart</t>
        </is>
      </c>
      <c r="D4407" s="9" t="inlineStr">
        <is>
          <t>Short</t>
        </is>
      </c>
      <c r="E4407" s="10" t="n">
        <v>45713.26041666666</v>
      </c>
      <c r="F4407" s="10" t="n">
        <v>45714.5625</v>
      </c>
      <c r="G4407" s="11" t="n">
        <v>20.97</v>
      </c>
      <c r="H4407" s="11">
        <f>H4406+G4407</f>
        <v/>
      </c>
    </row>
    <row r="4408">
      <c r="A4408" s="9" t="n">
        <v>4404</v>
      </c>
      <c r="B4408" s="9" t="inlineStr">
        <is>
          <t>Vanguard_M5</t>
        </is>
      </c>
      <c r="C4408" s="9" t="inlineStr">
        <is>
          <t>Trendline breakout (fractal swing line) + VWAP/S-R distance gate</t>
        </is>
      </c>
      <c r="D4408" s="9" t="inlineStr">
        <is>
          <t>Short</t>
        </is>
      </c>
      <c r="E4408" s="10" t="n">
        <v>45713.25347222222</v>
      </c>
      <c r="F4408" s="10" t="n">
        <v>45714.56944444445</v>
      </c>
      <c r="G4408" s="11" t="n">
        <v>23.6</v>
      </c>
      <c r="H4408" s="11">
        <f>H4407+G4408</f>
        <v/>
      </c>
    </row>
    <row r="4409">
      <c r="A4409" s="9" t="n">
        <v>4405</v>
      </c>
      <c r="B4409" s="9" t="inlineStr">
        <is>
          <t>Ratchet</t>
        </is>
      </c>
      <c r="C4409" s="9" t="inlineStr">
        <is>
          <t>Stochastic scalp with give-back trail exit</t>
        </is>
      </c>
      <c r="D4409" s="9" t="inlineStr">
        <is>
          <t>Short</t>
        </is>
      </c>
      <c r="E4409" s="10" t="n">
        <v>45714.65625</v>
      </c>
      <c r="F4409" s="10" t="n">
        <v>45714.70138888889</v>
      </c>
      <c r="G4409" s="11" t="n">
        <v>5.54</v>
      </c>
      <c r="H4409" s="11">
        <f>H4408+G4409</f>
        <v/>
      </c>
    </row>
    <row r="4410">
      <c r="A4410" s="9" t="n">
        <v>4406</v>
      </c>
      <c r="B4410" s="9" t="inlineStr">
        <is>
          <t>Aurelius_M15</t>
        </is>
      </c>
      <c r="C4410" s="9" t="inlineStr">
        <is>
          <t>MA alignment (EMA21&gt;EMA50&gt;SMA250&gt;SMMA500 vs EMA2400 trend filter) - M15 chart</t>
        </is>
      </c>
      <c r="D4410" s="9" t="inlineStr">
        <is>
          <t>Short</t>
        </is>
      </c>
      <c r="E4410" s="10" t="n">
        <v>45714.67708333334</v>
      </c>
      <c r="F4410" s="10" t="n">
        <v>45714.70833333334</v>
      </c>
      <c r="G4410" s="11" t="n">
        <v>-10.65</v>
      </c>
      <c r="H4410" s="11">
        <f>H4409+G4410</f>
        <v/>
      </c>
    </row>
    <row r="4411">
      <c r="A4411" s="9" t="n">
        <v>4407</v>
      </c>
      <c r="B4411" s="9" t="inlineStr">
        <is>
          <t>Aurelius_M5</t>
        </is>
      </c>
      <c r="C4411" s="9" t="inlineStr">
        <is>
          <t>MA alignment (EMA21&gt;EMA50&gt;SMA250&gt;SMMA500 vs EMA2400 trend filter)</t>
        </is>
      </c>
      <c r="D4411" s="9" t="inlineStr">
        <is>
          <t>Short</t>
        </is>
      </c>
      <c r="E4411" s="10" t="n">
        <v>45714.66319444445</v>
      </c>
      <c r="F4411" s="10" t="n">
        <v>45714.74305555555</v>
      </c>
      <c r="G4411" s="11" t="n">
        <v>-5.06</v>
      </c>
      <c r="H4411" s="11">
        <f>H4410+G4411</f>
        <v/>
      </c>
    </row>
    <row r="4412">
      <c r="A4412" s="9" t="n">
        <v>4408</v>
      </c>
      <c r="B4412" s="9" t="inlineStr">
        <is>
          <t>Meridian</t>
        </is>
      </c>
      <c r="C4412" s="9" t="inlineStr">
        <is>
          <t>21/50 MA cross, 250-period confirm filter, VWAP</t>
        </is>
      </c>
      <c r="D4412" s="9" t="inlineStr">
        <is>
          <t>Short</t>
        </is>
      </c>
      <c r="E4412" s="10" t="n">
        <v>45714.53472222222</v>
      </c>
      <c r="F4412" s="10" t="n">
        <v>45714.75</v>
      </c>
      <c r="G4412" s="11" t="n">
        <v>-4.16</v>
      </c>
      <c r="H4412" s="11">
        <f>H4411+G4412</f>
        <v/>
      </c>
    </row>
    <row r="4413">
      <c r="A4413" s="9" t="n">
        <v>4409</v>
      </c>
      <c r="B4413" s="9" t="inlineStr">
        <is>
          <t>Ratchet</t>
        </is>
      </c>
      <c r="C4413" s="9" t="inlineStr">
        <is>
          <t>Stochastic scalp with give-back trail exit</t>
        </is>
      </c>
      <c r="D4413" s="9" t="inlineStr">
        <is>
          <t>Short</t>
        </is>
      </c>
      <c r="E4413" s="10" t="n">
        <v>45715.23263888889</v>
      </c>
      <c r="F4413" s="10" t="n">
        <v>45715.23611111111</v>
      </c>
      <c r="G4413" s="11" t="n">
        <v>-0</v>
      </c>
      <c r="H4413" s="11">
        <f>H4412+G4413</f>
        <v/>
      </c>
    </row>
    <row r="4414">
      <c r="A4414" s="9" t="n">
        <v>4410</v>
      </c>
      <c r="B4414" s="9" t="inlineStr">
        <is>
          <t>Ratchet</t>
        </is>
      </c>
      <c r="C4414" s="9" t="inlineStr">
        <is>
          <t>Stochastic scalp with give-back trail exit</t>
        </is>
      </c>
      <c r="D4414" s="9" t="inlineStr">
        <is>
          <t>Short</t>
        </is>
      </c>
      <c r="E4414" s="10" t="n">
        <v>45715.375</v>
      </c>
      <c r="F4414" s="10" t="n">
        <v>45715.37847222222</v>
      </c>
      <c r="G4414" s="11" t="n">
        <v>-0</v>
      </c>
      <c r="H4414" s="11">
        <f>H4413+G4414</f>
        <v/>
      </c>
    </row>
    <row r="4415">
      <c r="A4415" s="9" t="n">
        <v>4411</v>
      </c>
      <c r="B4415" s="9" t="inlineStr">
        <is>
          <t>Ratchet</t>
        </is>
      </c>
      <c r="C4415" s="9" t="inlineStr">
        <is>
          <t>Stochastic scalp with give-back trail exit</t>
        </is>
      </c>
      <c r="D4415" s="9" t="inlineStr">
        <is>
          <t>Short</t>
        </is>
      </c>
      <c r="E4415" s="10" t="n">
        <v>45715.42361111111</v>
      </c>
      <c r="F4415" s="10" t="n">
        <v>45715.42708333334</v>
      </c>
      <c r="G4415" s="11" t="n">
        <v>0.83</v>
      </c>
      <c r="H4415" s="11">
        <f>H4414+G4415</f>
        <v/>
      </c>
    </row>
    <row r="4416">
      <c r="A4416" s="9" t="n">
        <v>4412</v>
      </c>
      <c r="B4416" s="9" t="inlineStr">
        <is>
          <t>Ratchet</t>
        </is>
      </c>
      <c r="C4416" s="9" t="inlineStr">
        <is>
          <t>Stochastic scalp with give-back trail exit</t>
        </is>
      </c>
      <c r="D4416" s="9" t="inlineStr">
        <is>
          <t>Short</t>
        </is>
      </c>
      <c r="E4416" s="10" t="n">
        <v>45715.60416666666</v>
      </c>
      <c r="F4416" s="10" t="n">
        <v>45715.63888888889</v>
      </c>
      <c r="G4416" s="11" t="n">
        <v>-4.22</v>
      </c>
      <c r="H4416" s="11">
        <f>H4415+G4416</f>
        <v/>
      </c>
    </row>
    <row r="4417">
      <c r="A4417" s="9" t="n">
        <v>4413</v>
      </c>
      <c r="B4417" s="9" t="inlineStr">
        <is>
          <t>Meridian</t>
        </is>
      </c>
      <c r="C4417" s="9" t="inlineStr">
        <is>
          <t>21/50 MA cross, 250-period confirm filter, VWAP</t>
        </is>
      </c>
      <c r="D4417" s="9" t="inlineStr">
        <is>
          <t>Short</t>
        </is>
      </c>
      <c r="E4417" s="10" t="n">
        <v>45715.55902777778</v>
      </c>
      <c r="F4417" s="10" t="n">
        <v>45715.68402777778</v>
      </c>
      <c r="G4417" s="11" t="n">
        <v>-0.62</v>
      </c>
      <c r="H4417" s="11">
        <f>H4416+G4417</f>
        <v/>
      </c>
    </row>
    <row r="4418">
      <c r="A4418" s="9" t="n">
        <v>4414</v>
      </c>
      <c r="B4418" s="9" t="inlineStr">
        <is>
          <t>Ratchet</t>
        </is>
      </c>
      <c r="C4418" s="9" t="inlineStr">
        <is>
          <t>Stochastic scalp with give-back trail exit</t>
        </is>
      </c>
      <c r="D4418" s="9" t="inlineStr">
        <is>
          <t>Short</t>
        </is>
      </c>
      <c r="E4418" s="10" t="n">
        <v>45715.71875</v>
      </c>
      <c r="F4418" s="10" t="n">
        <v>45715.72222222222</v>
      </c>
      <c r="G4418" s="11" t="n">
        <v>-0</v>
      </c>
      <c r="H4418" s="11">
        <f>H4417+G4418</f>
        <v/>
      </c>
    </row>
    <row r="4419">
      <c r="A4419" s="9" t="n">
        <v>4415</v>
      </c>
      <c r="B4419" s="9" t="inlineStr">
        <is>
          <t>Ratchet</t>
        </is>
      </c>
      <c r="C4419" s="9" t="inlineStr">
        <is>
          <t>Stochastic scalp with give-back trail exit</t>
        </is>
      </c>
      <c r="D4419" s="9" t="inlineStr">
        <is>
          <t>Short</t>
        </is>
      </c>
      <c r="E4419" s="10" t="n">
        <v>45715.77430555555</v>
      </c>
      <c r="F4419" s="10" t="n">
        <v>45715.78472222222</v>
      </c>
      <c r="G4419" s="11" t="n">
        <v>-4.87</v>
      </c>
      <c r="H4419" s="11">
        <f>H4418+G4419</f>
        <v/>
      </c>
    </row>
    <row r="4420">
      <c r="A4420" s="9" t="n">
        <v>4416</v>
      </c>
      <c r="B4420" s="9" t="inlineStr">
        <is>
          <t>Meridian</t>
        </is>
      </c>
      <c r="C4420" s="9" t="inlineStr">
        <is>
          <t>21/50 MA cross, 250-period confirm filter, VWAP</t>
        </is>
      </c>
      <c r="D4420" s="9" t="inlineStr">
        <is>
          <t>Short</t>
        </is>
      </c>
      <c r="E4420" s="10" t="n">
        <v>45715.69444444445</v>
      </c>
      <c r="F4420" s="10" t="n">
        <v>45715.84375</v>
      </c>
      <c r="G4420" s="11" t="n">
        <v>-1.6</v>
      </c>
      <c r="H4420" s="11">
        <f>H4419+G4420</f>
        <v/>
      </c>
    </row>
    <row r="4421">
      <c r="A4421" s="9" t="n">
        <v>4417</v>
      </c>
      <c r="B4421" s="9" t="inlineStr">
        <is>
          <t>Aurelius_M5</t>
        </is>
      </c>
      <c r="C4421" s="9" t="inlineStr">
        <is>
          <t>MA alignment (EMA21&gt;EMA50&gt;SMA250&gt;SMMA500 vs EMA2400 trend filter)</t>
        </is>
      </c>
      <c r="D4421" s="9" t="inlineStr">
        <is>
          <t>Short</t>
        </is>
      </c>
      <c r="E4421" s="10" t="n">
        <v>45715.71875</v>
      </c>
      <c r="F4421" s="10" t="n">
        <v>45715.84375</v>
      </c>
      <c r="G4421" s="11" t="n">
        <v>-12.17</v>
      </c>
      <c r="H4421" s="11">
        <f>H4420+G4421</f>
        <v/>
      </c>
    </row>
    <row r="4422">
      <c r="A4422" s="9" t="n">
        <v>4418</v>
      </c>
      <c r="B4422" s="9" t="inlineStr">
        <is>
          <t>Ratchet</t>
        </is>
      </c>
      <c r="C4422" s="9" t="inlineStr">
        <is>
          <t>Stochastic scalp with give-back trail exit</t>
        </is>
      </c>
      <c r="D4422" s="9" t="inlineStr">
        <is>
          <t>Short</t>
        </is>
      </c>
      <c r="E4422" s="10" t="n">
        <v>45715.96875</v>
      </c>
      <c r="F4422" s="10" t="n">
        <v>45715.99652777778</v>
      </c>
      <c r="G4422" s="11" t="n">
        <v>-2.07</v>
      </c>
      <c r="H4422" s="11">
        <f>H4421+G4422</f>
        <v/>
      </c>
    </row>
    <row r="4423">
      <c r="A4423" s="9" t="n">
        <v>4419</v>
      </c>
      <c r="B4423" s="9" t="inlineStr">
        <is>
          <t>Ratchet</t>
        </is>
      </c>
      <c r="C4423" s="9" t="inlineStr">
        <is>
          <t>Stochastic scalp with give-back trail exit</t>
        </is>
      </c>
      <c r="D4423" s="9" t="inlineStr">
        <is>
          <t>Short</t>
        </is>
      </c>
      <c r="E4423" s="10" t="n">
        <v>45716.0625</v>
      </c>
      <c r="F4423" s="10" t="n">
        <v>45716.09722222222</v>
      </c>
      <c r="G4423" s="11" t="n">
        <v>-2.25</v>
      </c>
      <c r="H4423" s="11">
        <f>H4422+G4423</f>
        <v/>
      </c>
    </row>
    <row r="4424">
      <c r="A4424" s="9" t="n">
        <v>4420</v>
      </c>
      <c r="B4424" s="9" t="inlineStr">
        <is>
          <t>Meridian</t>
        </is>
      </c>
      <c r="C4424" s="9" t="inlineStr">
        <is>
          <t>21/50 MA cross, 250-period confirm filter, VWAP</t>
        </is>
      </c>
      <c r="D4424" s="9" t="inlineStr">
        <is>
          <t>Short</t>
        </is>
      </c>
      <c r="E4424" s="10" t="n">
        <v>45715.92013888889</v>
      </c>
      <c r="F4424" s="10" t="n">
        <v>45716.13194444445</v>
      </c>
      <c r="G4424" s="11" t="n">
        <v>-5.38</v>
      </c>
      <c r="H4424" s="11">
        <f>H4423+G4424</f>
        <v/>
      </c>
    </row>
    <row r="4425">
      <c r="A4425" s="9" t="n">
        <v>4421</v>
      </c>
      <c r="B4425" s="9" t="inlineStr">
        <is>
          <t>Meridian</t>
        </is>
      </c>
      <c r="C4425" s="9" t="inlineStr">
        <is>
          <t>21/50 MA cross, 250-period confirm filter, VWAP</t>
        </is>
      </c>
      <c r="D4425" s="9" t="inlineStr">
        <is>
          <t>Short</t>
        </is>
      </c>
      <c r="E4425" s="10" t="n">
        <v>45716.17013888889</v>
      </c>
      <c r="F4425" s="10" t="n">
        <v>45716.18055555555</v>
      </c>
      <c r="G4425" s="11" t="n">
        <v>-6.17</v>
      </c>
      <c r="H4425" s="11">
        <f>H4424+G4425</f>
        <v/>
      </c>
    </row>
    <row r="4426">
      <c r="A4426" s="9" t="n">
        <v>4422</v>
      </c>
      <c r="B4426" s="9" t="inlineStr">
        <is>
          <t>Ratchet</t>
        </is>
      </c>
      <c r="C4426" s="9" t="inlineStr">
        <is>
          <t>Stochastic scalp with give-back trail exit</t>
        </is>
      </c>
      <c r="D4426" s="9" t="inlineStr">
        <is>
          <t>Short</t>
        </is>
      </c>
      <c r="E4426" s="10" t="n">
        <v>45716.20833333334</v>
      </c>
      <c r="F4426" s="10" t="n">
        <v>45716.48611111111</v>
      </c>
      <c r="G4426" s="11" t="n">
        <v>11.58</v>
      </c>
      <c r="H4426" s="11">
        <f>H4425+G4426</f>
        <v/>
      </c>
    </row>
    <row r="4427">
      <c r="A4427" s="9" t="n">
        <v>4423</v>
      </c>
      <c r="B4427" s="9" t="inlineStr">
        <is>
          <t>Aurelius_M5</t>
        </is>
      </c>
      <c r="C4427" s="9" t="inlineStr">
        <is>
          <t>MA alignment (EMA21&gt;EMA50&gt;SMA250&gt;SMMA500 vs EMA2400 trend filter)</t>
        </is>
      </c>
      <c r="D4427" s="9" t="inlineStr">
        <is>
          <t>Short</t>
        </is>
      </c>
      <c r="E4427" s="10" t="n">
        <v>45716.21527777778</v>
      </c>
      <c r="F4427" s="10" t="n">
        <v>45716.52777777778</v>
      </c>
      <c r="G4427" s="11" t="n">
        <v>10.04</v>
      </c>
      <c r="H4427" s="11">
        <f>H4426+G4427</f>
        <v/>
      </c>
    </row>
    <row r="4428">
      <c r="A4428" s="9" t="n">
        <v>4424</v>
      </c>
      <c r="B4428" s="9" t="inlineStr">
        <is>
          <t>Meridian</t>
        </is>
      </c>
      <c r="C4428" s="9" t="inlineStr">
        <is>
          <t>21/50 MA cross, 250-period confirm filter, VWAP</t>
        </is>
      </c>
      <c r="D4428" s="9" t="inlineStr">
        <is>
          <t>Short</t>
        </is>
      </c>
      <c r="E4428" s="10" t="n">
        <v>45716.61458333334</v>
      </c>
      <c r="F4428" s="10" t="n">
        <v>45716.63541666666</v>
      </c>
      <c r="G4428" s="11" t="n">
        <v>-5.01</v>
      </c>
      <c r="H4428" s="11">
        <f>H4427+G4428</f>
        <v/>
      </c>
    </row>
    <row r="4429">
      <c r="A4429" s="9" t="n">
        <v>4425</v>
      </c>
      <c r="B4429" s="9" t="inlineStr">
        <is>
          <t>Ratchet</t>
        </is>
      </c>
      <c r="C4429" s="9" t="inlineStr">
        <is>
          <t>Stochastic scalp with give-back trail exit</t>
        </is>
      </c>
      <c r="D4429" s="9" t="inlineStr">
        <is>
          <t>Short</t>
        </is>
      </c>
      <c r="E4429" s="10" t="n">
        <v>45716.64583333334</v>
      </c>
      <c r="F4429" s="10" t="n">
        <v>45716.65277777778</v>
      </c>
      <c r="G4429" s="11" t="n">
        <v>-0</v>
      </c>
      <c r="H4429" s="11">
        <f>H4428+G4429</f>
        <v/>
      </c>
    </row>
    <row r="4430">
      <c r="A4430" s="9" t="n">
        <v>4426</v>
      </c>
      <c r="B4430" s="9" t="inlineStr">
        <is>
          <t>Ratchet</t>
        </is>
      </c>
      <c r="C4430" s="9" t="inlineStr">
        <is>
          <t>Stochastic scalp with give-back trail exit</t>
        </is>
      </c>
      <c r="D4430" s="9" t="inlineStr">
        <is>
          <t>Short</t>
        </is>
      </c>
      <c r="E4430" s="10" t="n">
        <v>45716.82638888889</v>
      </c>
      <c r="F4430" s="10" t="n">
        <v>45716.83680555555</v>
      </c>
      <c r="G4430" s="11" t="n">
        <v>-0</v>
      </c>
      <c r="H4430" s="11">
        <f>H4429+G4430</f>
        <v/>
      </c>
    </row>
    <row r="4431">
      <c r="A4431" s="9" t="n">
        <v>4427</v>
      </c>
      <c r="B4431" s="9" t="inlineStr">
        <is>
          <t>Aurelius_M5</t>
        </is>
      </c>
      <c r="C4431" s="9" t="inlineStr">
        <is>
          <t>MA alignment (EMA21&gt;EMA50&gt;SMA250&gt;SMMA500 vs EMA2400 trend filter)</t>
        </is>
      </c>
      <c r="D4431" s="9" t="inlineStr">
        <is>
          <t>Short</t>
        </is>
      </c>
      <c r="E4431" s="10" t="n">
        <v>45716.63194444445</v>
      </c>
      <c r="F4431" s="10" t="n">
        <v>45716.92013888889</v>
      </c>
      <c r="G4431" s="11" t="n">
        <v>8.35</v>
      </c>
      <c r="H4431" s="11">
        <f>H4430+G4431</f>
        <v/>
      </c>
    </row>
    <row r="4432">
      <c r="A4432" s="9" t="n">
        <v>4428</v>
      </c>
      <c r="B4432" s="9" t="inlineStr">
        <is>
          <t>Aurelius_M15</t>
        </is>
      </c>
      <c r="C4432" s="9" t="inlineStr">
        <is>
          <t>MA alignment (EMA21&gt;EMA50&gt;SMA250&gt;SMMA500 vs EMA2400 trend filter) - M15 chart</t>
        </is>
      </c>
      <c r="D4432" s="9" t="inlineStr">
        <is>
          <t>Short</t>
        </is>
      </c>
      <c r="E4432" s="10" t="n">
        <v>45715.28125</v>
      </c>
      <c r="F4432" s="10" t="n">
        <v>45716.92708333334</v>
      </c>
      <c r="G4432" s="11" t="n">
        <v>47.75</v>
      </c>
      <c r="H4432" s="11">
        <f>H4431+G4432</f>
        <v/>
      </c>
    </row>
    <row r="4433">
      <c r="A4433" s="9" t="n">
        <v>4429</v>
      </c>
      <c r="B4433" s="9" t="inlineStr">
        <is>
          <t>Vanguard_M15</t>
        </is>
      </c>
      <c r="C4433" s="9" t="inlineStr">
        <is>
          <t>Trendline breakout (fractal swing line) + VWAP/S-R distance gate - M15 chart</t>
        </is>
      </c>
      <c r="D4433" s="9" t="inlineStr">
        <is>
          <t>Short</t>
        </is>
      </c>
      <c r="E4433" s="10" t="n">
        <v>45715.33333333334</v>
      </c>
      <c r="F4433" s="10" t="n">
        <v>45719.44791666666</v>
      </c>
      <c r="G4433" s="11" t="n">
        <v>22.28</v>
      </c>
      <c r="H4433" s="11">
        <f>H4432+G4433</f>
        <v/>
      </c>
    </row>
    <row r="4434">
      <c r="A4434" s="9" t="n">
        <v>4430</v>
      </c>
      <c r="B4434" s="9" t="inlineStr">
        <is>
          <t>Vanguard_M5</t>
        </is>
      </c>
      <c r="C4434" s="9" t="inlineStr">
        <is>
          <t>Trendline breakout (fractal swing line) + VWAP/S-R distance gate</t>
        </is>
      </c>
      <c r="D4434" s="9" t="inlineStr">
        <is>
          <t>Short</t>
        </is>
      </c>
      <c r="E4434" s="10" t="n">
        <v>45715.30555555555</v>
      </c>
      <c r="F4434" s="10" t="n">
        <v>45719.45138888889</v>
      </c>
      <c r="G4434" s="11" t="n">
        <v>23.46</v>
      </c>
      <c r="H4434" s="11">
        <f>H4433+G4434</f>
        <v/>
      </c>
    </row>
    <row r="4435">
      <c r="A4435" s="9" t="n">
        <v>4431</v>
      </c>
      <c r="B4435" s="9" t="inlineStr">
        <is>
          <t>Meridian</t>
        </is>
      </c>
      <c r="C4435" s="9" t="inlineStr">
        <is>
          <t>21/50 MA cross, 250-period confirm filter, VWAP</t>
        </is>
      </c>
      <c r="D4435" s="9" t="inlineStr">
        <is>
          <t>Long</t>
        </is>
      </c>
      <c r="E4435" s="10" t="n">
        <v>45719.45833333334</v>
      </c>
      <c r="F4435" s="10" t="n">
        <v>45719.92361111111</v>
      </c>
      <c r="G4435" s="11" t="n">
        <v>14.7</v>
      </c>
      <c r="H4435" s="11">
        <f>H4434+G4435</f>
        <v/>
      </c>
    </row>
    <row r="4436">
      <c r="A4436" s="9" t="n">
        <v>4432</v>
      </c>
      <c r="B4436" s="9" t="inlineStr">
        <is>
          <t>Meridian</t>
        </is>
      </c>
      <c r="C4436" s="9" t="inlineStr">
        <is>
          <t>21/50 MA cross, 250-period confirm filter, VWAP</t>
        </is>
      </c>
      <c r="D4436" s="9" t="inlineStr">
        <is>
          <t>Long</t>
        </is>
      </c>
      <c r="E4436" s="10" t="n">
        <v>45719.96180555555</v>
      </c>
      <c r="F4436" s="10" t="n">
        <v>45720.12847222222</v>
      </c>
      <c r="G4436" s="11" t="n">
        <v>-6.09</v>
      </c>
      <c r="H4436" s="11">
        <f>H4435+G4436</f>
        <v/>
      </c>
    </row>
    <row r="4437">
      <c r="A4437" s="9" t="n">
        <v>4433</v>
      </c>
      <c r="B4437" s="9" t="inlineStr">
        <is>
          <t>Vanguard_M15</t>
        </is>
      </c>
      <c r="C4437" s="9" t="inlineStr">
        <is>
          <t>Trendline breakout (fractal swing line) + VWAP/S-R distance gate - M15 chart</t>
        </is>
      </c>
      <c r="D4437" s="9" t="inlineStr">
        <is>
          <t>Long</t>
        </is>
      </c>
      <c r="E4437" s="10" t="n">
        <v>45719.45833333334</v>
      </c>
      <c r="F4437" s="10" t="n">
        <v>45720.13541666666</v>
      </c>
      <c r="G4437" s="11" t="n">
        <v>15.39</v>
      </c>
      <c r="H4437" s="11">
        <f>H4436+G4437</f>
        <v/>
      </c>
    </row>
    <row r="4438">
      <c r="A4438" s="9" t="n">
        <v>4434</v>
      </c>
      <c r="B4438" s="9" t="inlineStr">
        <is>
          <t>Vanguard_M5</t>
        </is>
      </c>
      <c r="C4438" s="9" t="inlineStr">
        <is>
          <t>Trendline breakout (fractal swing line) + VWAP/S-R distance gate</t>
        </is>
      </c>
      <c r="D4438" s="9" t="inlineStr">
        <is>
          <t>Long</t>
        </is>
      </c>
      <c r="E4438" s="10" t="n">
        <v>45719.45486111111</v>
      </c>
      <c r="F4438" s="10" t="n">
        <v>45720.13888888889</v>
      </c>
      <c r="G4438" s="11" t="n">
        <v>14.77</v>
      </c>
      <c r="H4438" s="11">
        <f>H4437+G4438</f>
        <v/>
      </c>
    </row>
    <row r="4439">
      <c r="A4439" s="9" t="n">
        <v>4435</v>
      </c>
      <c r="B4439" s="9" t="inlineStr">
        <is>
          <t>Vanguard_M5</t>
        </is>
      </c>
      <c r="C4439" s="9" t="inlineStr">
        <is>
          <t>Trendline breakout (fractal swing line) + VWAP/S-R distance gate</t>
        </is>
      </c>
      <c r="D4439" s="9" t="inlineStr">
        <is>
          <t>Short</t>
        </is>
      </c>
      <c r="E4439" s="10" t="n">
        <v>45720.14236111111</v>
      </c>
      <c r="F4439" s="10" t="n">
        <v>45720.21875</v>
      </c>
      <c r="G4439" s="11" t="n">
        <v>-8.130000000000001</v>
      </c>
      <c r="H4439" s="11">
        <f>H4438+G4439</f>
        <v/>
      </c>
    </row>
    <row r="4440">
      <c r="A4440" s="9" t="n">
        <v>4436</v>
      </c>
      <c r="B4440" s="9" t="inlineStr">
        <is>
          <t>Meridian</t>
        </is>
      </c>
      <c r="C4440" s="9" t="inlineStr">
        <is>
          <t>21/50 MA cross, 250-period confirm filter, VWAP</t>
        </is>
      </c>
      <c r="D4440" s="9" t="inlineStr">
        <is>
          <t>Long</t>
        </is>
      </c>
      <c r="E4440" s="10" t="n">
        <v>45720.23263888889</v>
      </c>
      <c r="F4440" s="10" t="n">
        <v>45720.25</v>
      </c>
      <c r="G4440" s="11" t="n">
        <v>-5.01</v>
      </c>
      <c r="H4440" s="11">
        <f>H4439+G4440</f>
        <v/>
      </c>
    </row>
    <row r="4441">
      <c r="A4441" s="9" t="n">
        <v>4437</v>
      </c>
      <c r="B4441" s="9" t="inlineStr">
        <is>
          <t>Vanguard_M5</t>
        </is>
      </c>
      <c r="C4441" s="9" t="inlineStr">
        <is>
          <t>Trendline breakout (fractal swing line) + VWAP/S-R distance gate</t>
        </is>
      </c>
      <c r="D4441" s="9" t="inlineStr">
        <is>
          <t>Short</t>
        </is>
      </c>
      <c r="E4441" s="10" t="n">
        <v>45720.25347222222</v>
      </c>
      <c r="F4441" s="10" t="n">
        <v>45720.30555555555</v>
      </c>
      <c r="G4441" s="11" t="n">
        <v>-7.52</v>
      </c>
      <c r="H4441" s="11">
        <f>H4440+G4441</f>
        <v/>
      </c>
    </row>
    <row r="4442">
      <c r="A4442" s="9" t="n">
        <v>4438</v>
      </c>
      <c r="B4442" s="9" t="inlineStr">
        <is>
          <t>Meridian</t>
        </is>
      </c>
      <c r="C4442" s="9" t="inlineStr">
        <is>
          <t>21/50 MA cross, 250-period confirm filter, VWAP</t>
        </is>
      </c>
      <c r="D4442" s="9" t="inlineStr">
        <is>
          <t>Long</t>
        </is>
      </c>
      <c r="E4442" s="10" t="n">
        <v>45720.27430555555</v>
      </c>
      <c r="F4442" s="10" t="n">
        <v>45720.35763888889</v>
      </c>
      <c r="G4442" s="11" t="n">
        <v>-2.4</v>
      </c>
      <c r="H4442" s="11">
        <f>H4441+G4442</f>
        <v/>
      </c>
    </row>
    <row r="4443">
      <c r="A4443" s="9" t="n">
        <v>4439</v>
      </c>
      <c r="B4443" s="9" t="inlineStr">
        <is>
          <t>Vanguard_M15</t>
        </is>
      </c>
      <c r="C4443" s="9" t="inlineStr">
        <is>
          <t>Trendline breakout (fractal swing line) + VWAP/S-R distance gate - M15 chart</t>
        </is>
      </c>
      <c r="D4443" s="9" t="inlineStr">
        <is>
          <t>Short</t>
        </is>
      </c>
      <c r="E4443" s="10" t="n">
        <v>45720.14583333334</v>
      </c>
      <c r="F4443" s="10" t="n">
        <v>45720.38541666666</v>
      </c>
      <c r="G4443" s="11" t="n">
        <v>-11.22</v>
      </c>
      <c r="H4443" s="11">
        <f>H4442+G4443</f>
        <v/>
      </c>
    </row>
    <row r="4444">
      <c r="A4444" s="9" t="n">
        <v>4440</v>
      </c>
      <c r="B4444" s="9" t="inlineStr">
        <is>
          <t>Ratchet</t>
        </is>
      </c>
      <c r="C4444" s="9" t="inlineStr">
        <is>
          <t>Stochastic scalp with give-back trail exit</t>
        </is>
      </c>
      <c r="D4444" s="9" t="inlineStr">
        <is>
          <t>Long</t>
        </is>
      </c>
      <c r="E4444" s="10" t="n">
        <v>45720.40625</v>
      </c>
      <c r="F4444" s="10" t="n">
        <v>45720.41666666666</v>
      </c>
      <c r="G4444" s="11" t="n">
        <v>0</v>
      </c>
      <c r="H4444" s="11">
        <f>H4443+G4444</f>
        <v/>
      </c>
    </row>
    <row r="4445">
      <c r="A4445" s="9" t="n">
        <v>4441</v>
      </c>
      <c r="B4445" s="9" t="inlineStr">
        <is>
          <t>Ratchet</t>
        </is>
      </c>
      <c r="C4445" s="9" t="inlineStr">
        <is>
          <t>Stochastic scalp with give-back trail exit</t>
        </is>
      </c>
      <c r="D4445" s="9" t="inlineStr">
        <is>
          <t>Long</t>
        </is>
      </c>
      <c r="E4445" s="10" t="n">
        <v>45720.51388888889</v>
      </c>
      <c r="F4445" s="10" t="n">
        <v>45720.55555555555</v>
      </c>
      <c r="G4445" s="11" t="n">
        <v>0</v>
      </c>
      <c r="H4445" s="11">
        <f>H4444+G4445</f>
        <v/>
      </c>
    </row>
    <row r="4446">
      <c r="A4446" s="9" t="n">
        <v>4442</v>
      </c>
      <c r="B4446" s="9" t="inlineStr">
        <is>
          <t>Ratchet</t>
        </is>
      </c>
      <c r="C4446" s="9" t="inlineStr">
        <is>
          <t>Stochastic scalp with give-back trail exit</t>
        </is>
      </c>
      <c r="D4446" s="9" t="inlineStr">
        <is>
          <t>Long</t>
        </is>
      </c>
      <c r="E4446" s="10" t="n">
        <v>45720.65277777778</v>
      </c>
      <c r="F4446" s="10" t="n">
        <v>45720.65277777778</v>
      </c>
      <c r="G4446" s="11" t="n">
        <v>-4.66</v>
      </c>
      <c r="H4446" s="11">
        <f>H4445+G4446</f>
        <v/>
      </c>
    </row>
    <row r="4447">
      <c r="A4447" s="9" t="n">
        <v>4443</v>
      </c>
      <c r="B4447" s="9" t="inlineStr">
        <is>
          <t>Meridian</t>
        </is>
      </c>
      <c r="C4447" s="9" t="inlineStr">
        <is>
          <t>21/50 MA cross, 250-period confirm filter, VWAP</t>
        </is>
      </c>
      <c r="D4447" s="9" t="inlineStr">
        <is>
          <t>Long</t>
        </is>
      </c>
      <c r="E4447" s="10" t="n">
        <v>45720.39236111111</v>
      </c>
      <c r="F4447" s="10" t="n">
        <v>45720.70138888889</v>
      </c>
      <c r="G4447" s="11" t="n">
        <v>15.68</v>
      </c>
      <c r="H4447" s="11">
        <f>H4446+G4447</f>
        <v/>
      </c>
    </row>
    <row r="4448">
      <c r="A4448" s="9" t="n">
        <v>4444</v>
      </c>
      <c r="B4448" s="9" t="inlineStr">
        <is>
          <t>Vanguard_M15</t>
        </is>
      </c>
      <c r="C4448" s="9" t="inlineStr">
        <is>
          <t>Trendline breakout (fractal swing line) + VWAP/S-R distance gate - M15 chart</t>
        </is>
      </c>
      <c r="D4448" s="9" t="inlineStr">
        <is>
          <t>Short</t>
        </is>
      </c>
      <c r="E4448" s="10" t="n">
        <v>45720.70833333334</v>
      </c>
      <c r="F4448" s="10" t="n">
        <v>45720.91666666666</v>
      </c>
      <c r="G4448" s="11" t="n">
        <v>-15.09</v>
      </c>
      <c r="H4448" s="11">
        <f>H4447+G4448</f>
        <v/>
      </c>
    </row>
    <row r="4449">
      <c r="A4449" s="9" t="n">
        <v>4445</v>
      </c>
      <c r="B4449" s="9" t="inlineStr">
        <is>
          <t>Vanguard_M5</t>
        </is>
      </c>
      <c r="C4449" s="9" t="inlineStr">
        <is>
          <t>Trendline breakout (fractal swing line) + VWAP/S-R distance gate</t>
        </is>
      </c>
      <c r="D4449" s="9" t="inlineStr">
        <is>
          <t>Short</t>
        </is>
      </c>
      <c r="E4449" s="10" t="n">
        <v>45720.70833333334</v>
      </c>
      <c r="F4449" s="10" t="n">
        <v>45720.92361111111</v>
      </c>
      <c r="G4449" s="11" t="n">
        <v>-14.5</v>
      </c>
      <c r="H4449" s="11">
        <f>H4448+G4449</f>
        <v/>
      </c>
    </row>
    <row r="4450">
      <c r="A4450" s="9" t="n">
        <v>4446</v>
      </c>
      <c r="B4450" s="9" t="inlineStr">
        <is>
          <t>Ratchet</t>
        </is>
      </c>
      <c r="C4450" s="9" t="inlineStr">
        <is>
          <t>Stochastic scalp with give-back trail exit</t>
        </is>
      </c>
      <c r="D4450" s="9" t="inlineStr">
        <is>
          <t>Long</t>
        </is>
      </c>
      <c r="E4450" s="10" t="n">
        <v>45720.90625</v>
      </c>
      <c r="F4450" s="10" t="n">
        <v>45720.9375</v>
      </c>
      <c r="G4450" s="11" t="n">
        <v>1.6</v>
      </c>
      <c r="H4450" s="11">
        <f>H4449+G4450</f>
        <v/>
      </c>
    </row>
    <row r="4451">
      <c r="A4451" s="9" t="n">
        <v>4447</v>
      </c>
      <c r="B4451" s="9" t="inlineStr">
        <is>
          <t>Meridian</t>
        </is>
      </c>
      <c r="C4451" s="9" t="inlineStr">
        <is>
          <t>21/50 MA cross, 250-period confirm filter, VWAP</t>
        </is>
      </c>
      <c r="D4451" s="9" t="inlineStr">
        <is>
          <t>Long</t>
        </is>
      </c>
      <c r="E4451" s="10" t="n">
        <v>45720.90625</v>
      </c>
      <c r="F4451" s="10" t="n">
        <v>45721.12152777778</v>
      </c>
      <c r="G4451" s="11" t="n">
        <v>-0.01</v>
      </c>
      <c r="H4451" s="11">
        <f>H4450+G4451</f>
        <v/>
      </c>
    </row>
    <row r="4452">
      <c r="A4452" s="9" t="n">
        <v>4448</v>
      </c>
      <c r="B4452" s="9" t="inlineStr">
        <is>
          <t>Vanguard_M5</t>
        </is>
      </c>
      <c r="C4452" s="9" t="inlineStr">
        <is>
          <t>Trendline breakout (fractal swing line) + VWAP/S-R distance gate</t>
        </is>
      </c>
      <c r="D4452" s="9" t="inlineStr">
        <is>
          <t>Short</t>
        </is>
      </c>
      <c r="E4452" s="10" t="n">
        <v>45721.04861111111</v>
      </c>
      <c r="F4452" s="10" t="n">
        <v>45721.45833333334</v>
      </c>
      <c r="G4452" s="11" t="n">
        <v>-6.21</v>
      </c>
      <c r="H4452" s="11">
        <f>H4451+G4452</f>
        <v/>
      </c>
    </row>
    <row r="4453">
      <c r="A4453" s="9" t="n">
        <v>4449</v>
      </c>
      <c r="B4453" s="9" t="inlineStr">
        <is>
          <t>Ratchet</t>
        </is>
      </c>
      <c r="C4453" s="9" t="inlineStr">
        <is>
          <t>Stochastic scalp with give-back trail exit</t>
        </is>
      </c>
      <c r="D4453" s="9" t="inlineStr">
        <is>
          <t>Long</t>
        </is>
      </c>
      <c r="E4453" s="10" t="n">
        <v>45721.45138888889</v>
      </c>
      <c r="F4453" s="10" t="n">
        <v>45721.46180555555</v>
      </c>
      <c r="G4453" s="11" t="n">
        <v>0.36</v>
      </c>
      <c r="H4453" s="11">
        <f>H4452+G4453</f>
        <v/>
      </c>
    </row>
    <row r="4454">
      <c r="A4454" s="9" t="n">
        <v>4450</v>
      </c>
      <c r="B4454" s="9" t="inlineStr">
        <is>
          <t>Aurelius_M5</t>
        </is>
      </c>
      <c r="C4454" s="9" t="inlineStr">
        <is>
          <t>MA alignment (EMA21&gt;EMA50&gt;SMA250&gt;SMMA500 vs EMA2400 trend filter)</t>
        </is>
      </c>
      <c r="D4454" s="9" t="inlineStr">
        <is>
          <t>Long</t>
        </is>
      </c>
      <c r="E4454" s="10" t="n">
        <v>45721.41666666666</v>
      </c>
      <c r="F4454" s="10" t="n">
        <v>45721.53819444445</v>
      </c>
      <c r="G4454" s="11" t="n">
        <v>-3.89</v>
      </c>
      <c r="H4454" s="11">
        <f>H4453+G4454</f>
        <v/>
      </c>
    </row>
    <row r="4455">
      <c r="A4455" s="9" t="n">
        <v>4451</v>
      </c>
      <c r="B4455" s="9" t="inlineStr">
        <is>
          <t>Aurelius_M15</t>
        </is>
      </c>
      <c r="C4455" s="9" t="inlineStr">
        <is>
          <t>MA alignment (EMA21&gt;EMA50&gt;SMA250&gt;SMMA500 vs EMA2400 trend filter) - M15 chart</t>
        </is>
      </c>
      <c r="D4455" s="9" t="inlineStr">
        <is>
          <t>Long</t>
        </is>
      </c>
      <c r="E4455" s="10" t="n">
        <v>45721.39583333334</v>
      </c>
      <c r="F4455" s="10" t="n">
        <v>45721.64583333334</v>
      </c>
      <c r="G4455" s="11" t="n">
        <v>-9.23</v>
      </c>
      <c r="H4455" s="11">
        <f>H4454+G4455</f>
        <v/>
      </c>
    </row>
    <row r="4456">
      <c r="A4456" s="9" t="n">
        <v>4452</v>
      </c>
      <c r="B4456" s="9" t="inlineStr">
        <is>
          <t>Vanguard_M5</t>
        </is>
      </c>
      <c r="C4456" s="9" t="inlineStr">
        <is>
          <t>Trendline breakout (fractal swing line) + VWAP/S-R distance gate</t>
        </is>
      </c>
      <c r="D4456" s="9" t="inlineStr">
        <is>
          <t>Short</t>
        </is>
      </c>
      <c r="E4456" s="10" t="n">
        <v>45721.63194444445</v>
      </c>
      <c r="F4456" s="10" t="n">
        <v>45721.71180555555</v>
      </c>
      <c r="G4456" s="11" t="n">
        <v>-8.51</v>
      </c>
      <c r="H4456" s="11">
        <f>H4455+G4456</f>
        <v/>
      </c>
    </row>
    <row r="4457">
      <c r="A4457" s="9" t="n">
        <v>4453</v>
      </c>
      <c r="B4457" s="9" t="inlineStr">
        <is>
          <t>Vanguard_M15</t>
        </is>
      </c>
      <c r="C4457" s="9" t="inlineStr">
        <is>
          <t>Trendline breakout (fractal swing line) + VWAP/S-R distance gate - M15 chart</t>
        </is>
      </c>
      <c r="D4457" s="9" t="inlineStr">
        <is>
          <t>Short</t>
        </is>
      </c>
      <c r="E4457" s="10" t="n">
        <v>45721.64583333334</v>
      </c>
      <c r="F4457" s="10" t="n">
        <v>45721.75</v>
      </c>
      <c r="G4457" s="11" t="n">
        <v>-11.71</v>
      </c>
      <c r="H4457" s="11">
        <f>H4456+G4457</f>
        <v/>
      </c>
    </row>
    <row r="4458">
      <c r="A4458" s="9" t="n">
        <v>4454</v>
      </c>
      <c r="B4458" s="9" t="inlineStr">
        <is>
          <t>Meridian</t>
        </is>
      </c>
      <c r="C4458" s="9" t="inlineStr">
        <is>
          <t>21/50 MA cross, 250-period confirm filter, VWAP</t>
        </is>
      </c>
      <c r="D4458" s="9" t="inlineStr">
        <is>
          <t>Long</t>
        </is>
      </c>
      <c r="E4458" s="10" t="n">
        <v>45721.72569444445</v>
      </c>
      <c r="F4458" s="10" t="n">
        <v>45721.86458333334</v>
      </c>
      <c r="G4458" s="11" t="n">
        <v>-4.44</v>
      </c>
      <c r="H4458" s="11">
        <f>H4457+G4458</f>
        <v/>
      </c>
    </row>
    <row r="4459">
      <c r="A4459" s="9" t="n">
        <v>4455</v>
      </c>
      <c r="B4459" s="9" t="inlineStr">
        <is>
          <t>Meridian</t>
        </is>
      </c>
      <c r="C4459" s="9" t="inlineStr">
        <is>
          <t>21/50 MA cross, 250-period confirm filter, VWAP</t>
        </is>
      </c>
      <c r="D4459" s="9" t="inlineStr">
        <is>
          <t>Long</t>
        </is>
      </c>
      <c r="E4459" s="10" t="n">
        <v>45721.90277777778</v>
      </c>
      <c r="F4459" s="10" t="n">
        <v>45722.05208333334</v>
      </c>
      <c r="G4459" s="11" t="n">
        <v>-1.73</v>
      </c>
      <c r="H4459" s="11">
        <f>H4458+G4459</f>
        <v/>
      </c>
    </row>
    <row r="4460">
      <c r="A4460" s="9" t="n">
        <v>4456</v>
      </c>
      <c r="B4460" s="9" t="inlineStr">
        <is>
          <t>Aurelius_M5</t>
        </is>
      </c>
      <c r="C4460" s="9" t="inlineStr">
        <is>
          <t>MA alignment (EMA21&gt;EMA50&gt;SMA250&gt;SMMA500 vs EMA2400 trend filter)</t>
        </is>
      </c>
      <c r="D4460" s="9" t="inlineStr">
        <is>
          <t>Long</t>
        </is>
      </c>
      <c r="E4460" s="10" t="n">
        <v>45722.17361111111</v>
      </c>
      <c r="F4460" s="10" t="n">
        <v>45722.21180555555</v>
      </c>
      <c r="G4460" s="11" t="n">
        <v>-3.48</v>
      </c>
      <c r="H4460" s="11">
        <f>H4459+G4460</f>
        <v/>
      </c>
    </row>
    <row r="4461">
      <c r="A4461" s="9" t="n">
        <v>4457</v>
      </c>
      <c r="B4461" s="9" t="inlineStr">
        <is>
          <t>Meridian</t>
        </is>
      </c>
      <c r="C4461" s="9" t="inlineStr">
        <is>
          <t>21/50 MA cross, 250-period confirm filter, VWAP</t>
        </is>
      </c>
      <c r="D4461" s="9" t="inlineStr">
        <is>
          <t>Long</t>
        </is>
      </c>
      <c r="E4461" s="10" t="n">
        <v>45722.15625</v>
      </c>
      <c r="F4461" s="10" t="n">
        <v>45722.25347222222</v>
      </c>
      <c r="G4461" s="11" t="n">
        <v>-3.09</v>
      </c>
      <c r="H4461" s="11">
        <f>H4460+G4461</f>
        <v/>
      </c>
    </row>
    <row r="4462">
      <c r="A4462" s="9" t="n">
        <v>4458</v>
      </c>
      <c r="B4462" s="9" t="inlineStr">
        <is>
          <t>Meridian</t>
        </is>
      </c>
      <c r="C4462" s="9" t="inlineStr">
        <is>
          <t>21/50 MA cross, 250-period confirm filter, VWAP</t>
        </is>
      </c>
      <c r="D4462" s="9" t="inlineStr">
        <is>
          <t>Short</t>
        </is>
      </c>
      <c r="E4462" s="10" t="n">
        <v>45722.26736111111</v>
      </c>
      <c r="F4462" s="10" t="n">
        <v>45722.32986111111</v>
      </c>
      <c r="G4462" s="11" t="n">
        <v>-3.27</v>
      </c>
      <c r="H4462" s="11">
        <f>H4461+G4462</f>
        <v/>
      </c>
    </row>
    <row r="4463">
      <c r="A4463" s="9" t="n">
        <v>4459</v>
      </c>
      <c r="B4463" s="9" t="inlineStr">
        <is>
          <t>Meridian</t>
        </is>
      </c>
      <c r="C4463" s="9" t="inlineStr">
        <is>
          <t>21/50 MA cross, 250-period confirm filter, VWAP</t>
        </is>
      </c>
      <c r="D4463" s="9" t="inlineStr">
        <is>
          <t>Long</t>
        </is>
      </c>
      <c r="E4463" s="10" t="n">
        <v>45722.35763888889</v>
      </c>
      <c r="F4463" s="10" t="n">
        <v>45722.38888888889</v>
      </c>
      <c r="G4463" s="11" t="n">
        <v>-3.81</v>
      </c>
      <c r="H4463" s="11">
        <f>H4462+G4463</f>
        <v/>
      </c>
    </row>
    <row r="4464">
      <c r="A4464" s="9" t="n">
        <v>4460</v>
      </c>
      <c r="B4464" s="9" t="inlineStr">
        <is>
          <t>Ratchet</t>
        </is>
      </c>
      <c r="C4464" s="9" t="inlineStr">
        <is>
          <t>Stochastic scalp with give-back trail exit</t>
        </is>
      </c>
      <c r="D4464" s="9" t="inlineStr">
        <is>
          <t>Long</t>
        </is>
      </c>
      <c r="E4464" s="10" t="n">
        <v>45722.36805555555</v>
      </c>
      <c r="F4464" s="10" t="n">
        <v>45722.38888888889</v>
      </c>
      <c r="G4464" s="11" t="n">
        <v>-2.89</v>
      </c>
      <c r="H4464" s="11">
        <f>H4463+G4464</f>
        <v/>
      </c>
    </row>
    <row r="4465">
      <c r="A4465" s="9" t="n">
        <v>4461</v>
      </c>
      <c r="B4465" s="9" t="inlineStr">
        <is>
          <t>Aurelius_M5</t>
        </is>
      </c>
      <c r="C4465" s="9" t="inlineStr">
        <is>
          <t>MA alignment (EMA21&gt;EMA50&gt;SMA250&gt;SMMA500 vs EMA2400 trend filter)</t>
        </is>
      </c>
      <c r="D4465" s="9" t="inlineStr">
        <is>
          <t>Long</t>
        </is>
      </c>
      <c r="E4465" s="10" t="n">
        <v>45722.38194444445</v>
      </c>
      <c r="F4465" s="10" t="n">
        <v>45722.38888888889</v>
      </c>
      <c r="G4465" s="11" t="n">
        <v>-4.08</v>
      </c>
      <c r="H4465" s="11">
        <f>H4464+G4465</f>
        <v/>
      </c>
    </row>
    <row r="4466">
      <c r="A4466" s="9" t="n">
        <v>4462</v>
      </c>
      <c r="B4466" s="9" t="inlineStr">
        <is>
          <t>Ratchet</t>
        </is>
      </c>
      <c r="C4466" s="9" t="inlineStr">
        <is>
          <t>Stochastic scalp with give-back trail exit</t>
        </is>
      </c>
      <c r="D4466" s="9" t="inlineStr">
        <is>
          <t>Short</t>
        </is>
      </c>
      <c r="E4466" s="10" t="n">
        <v>45722.50347222222</v>
      </c>
      <c r="F4466" s="10" t="n">
        <v>45722.51388888889</v>
      </c>
      <c r="G4466" s="11" t="n">
        <v>-5.24</v>
      </c>
      <c r="H4466" s="11">
        <f>H4465+G4466</f>
        <v/>
      </c>
    </row>
    <row r="4467">
      <c r="A4467" s="9" t="n">
        <v>4463</v>
      </c>
      <c r="B4467" s="9" t="inlineStr">
        <is>
          <t>Meridian</t>
        </is>
      </c>
      <c r="C4467" s="9" t="inlineStr">
        <is>
          <t>21/50 MA cross, 250-period confirm filter, VWAP</t>
        </is>
      </c>
      <c r="D4467" s="9" t="inlineStr">
        <is>
          <t>Short</t>
        </is>
      </c>
      <c r="E4467" s="10" t="n">
        <v>45722.39583333334</v>
      </c>
      <c r="F4467" s="10" t="n">
        <v>45722.67013888889</v>
      </c>
      <c r="G4467" s="11" t="n">
        <v>9.460000000000001</v>
      </c>
      <c r="H4467" s="11">
        <f>H4466+G4467</f>
        <v/>
      </c>
    </row>
    <row r="4468">
      <c r="A4468" s="9" t="n">
        <v>4464</v>
      </c>
      <c r="B4468" s="9" t="inlineStr">
        <is>
          <t>Ratchet</t>
        </is>
      </c>
      <c r="C4468" s="9" t="inlineStr">
        <is>
          <t>Stochastic scalp with give-back trail exit</t>
        </is>
      </c>
      <c r="D4468" s="9" t="inlineStr">
        <is>
          <t>Long</t>
        </is>
      </c>
      <c r="E4468" s="10" t="n">
        <v>45723.60416666666</v>
      </c>
      <c r="F4468" s="10" t="n">
        <v>45723.61111111111</v>
      </c>
      <c r="G4468" s="11" t="n">
        <v>0</v>
      </c>
      <c r="H4468" s="11">
        <f>H4467+G4468</f>
        <v/>
      </c>
    </row>
    <row r="4469">
      <c r="A4469" s="9" t="n">
        <v>4465</v>
      </c>
      <c r="B4469" s="9" t="inlineStr">
        <is>
          <t>Aurelius_M5</t>
        </is>
      </c>
      <c r="C4469" s="9" t="inlineStr">
        <is>
          <t>MA alignment (EMA21&gt;EMA50&gt;SMA250&gt;SMMA500 vs EMA2400 trend filter)</t>
        </is>
      </c>
      <c r="D4469" s="9" t="inlineStr">
        <is>
          <t>Long</t>
        </is>
      </c>
      <c r="E4469" s="10" t="n">
        <v>45723.58680555555</v>
      </c>
      <c r="F4469" s="10" t="n">
        <v>45723.63541666666</v>
      </c>
      <c r="G4469" s="11" t="n">
        <v>-4.17</v>
      </c>
      <c r="H4469" s="11">
        <f>H4468+G4469</f>
        <v/>
      </c>
    </row>
    <row r="4470">
      <c r="A4470" s="9" t="n">
        <v>4466</v>
      </c>
      <c r="B4470" s="9" t="inlineStr">
        <is>
          <t>Meridian</t>
        </is>
      </c>
      <c r="C4470" s="9" t="inlineStr">
        <is>
          <t>21/50 MA cross, 250-period confirm filter, VWAP</t>
        </is>
      </c>
      <c r="D4470" s="9" t="inlineStr">
        <is>
          <t>Short</t>
        </is>
      </c>
      <c r="E4470" s="10" t="n">
        <v>45723.64236111111</v>
      </c>
      <c r="F4470" s="10" t="n">
        <v>45723.64583333334</v>
      </c>
      <c r="G4470" s="11" t="n">
        <v>-5.6</v>
      </c>
      <c r="H4470" s="11">
        <f>H4469+G4470</f>
        <v/>
      </c>
    </row>
    <row r="4471">
      <c r="A4471" s="9" t="n">
        <v>4467</v>
      </c>
      <c r="B4471" s="9" t="inlineStr">
        <is>
          <t>Aurelius_M15</t>
        </is>
      </c>
      <c r="C4471" s="9" t="inlineStr">
        <is>
          <t>MA alignment (EMA21&gt;EMA50&gt;SMA250&gt;SMMA500 vs EMA2400 trend filter) - M15 chart</t>
        </is>
      </c>
      <c r="D4471" s="9" t="inlineStr">
        <is>
          <t>Long</t>
        </is>
      </c>
      <c r="E4471" s="10" t="n">
        <v>45723.65625</v>
      </c>
      <c r="F4471" s="10" t="n">
        <v>45723.66666666666</v>
      </c>
      <c r="G4471" s="11" t="n">
        <v>-10.42</v>
      </c>
      <c r="H4471" s="11">
        <f>H4470+G4471</f>
        <v/>
      </c>
    </row>
    <row r="4472">
      <c r="A4472" s="9" t="n">
        <v>4468</v>
      </c>
      <c r="B4472" s="9" t="inlineStr">
        <is>
          <t>Meridian</t>
        </is>
      </c>
      <c r="C4472" s="9" t="inlineStr">
        <is>
          <t>21/50 MA cross, 250-period confirm filter, VWAP</t>
        </is>
      </c>
      <c r="D4472" s="9" t="inlineStr">
        <is>
          <t>Long</t>
        </is>
      </c>
      <c r="E4472" s="10" t="n">
        <v>45723.70486111111</v>
      </c>
      <c r="F4472" s="10" t="n">
        <v>45723.73611111111</v>
      </c>
      <c r="G4472" s="11" t="n">
        <v>-10.2</v>
      </c>
      <c r="H4472" s="11">
        <f>H4471+G4472</f>
        <v/>
      </c>
    </row>
    <row r="4473">
      <c r="A4473" s="9" t="n">
        <v>4469</v>
      </c>
      <c r="B4473" s="9" t="inlineStr">
        <is>
          <t>Aurelius_M5</t>
        </is>
      </c>
      <c r="C4473" s="9" t="inlineStr">
        <is>
          <t>MA alignment (EMA21&gt;EMA50&gt;SMA250&gt;SMMA500 vs EMA2400 trend filter)</t>
        </is>
      </c>
      <c r="D4473" s="9" t="inlineStr">
        <is>
          <t>Long</t>
        </is>
      </c>
      <c r="E4473" s="10" t="n">
        <v>45723.73263888889</v>
      </c>
      <c r="F4473" s="10" t="n">
        <v>45723.73611111111</v>
      </c>
      <c r="G4473" s="11" t="n">
        <v>-9.720000000000001</v>
      </c>
      <c r="H4473" s="11">
        <f>H4472+G4473</f>
        <v/>
      </c>
    </row>
    <row r="4474">
      <c r="A4474" s="9" t="n">
        <v>4470</v>
      </c>
      <c r="B4474" s="9" t="inlineStr">
        <is>
          <t>Meridian</t>
        </is>
      </c>
      <c r="C4474" s="9" t="inlineStr">
        <is>
          <t>21/50 MA cross, 250-period confirm filter, VWAP</t>
        </is>
      </c>
      <c r="D4474" s="9" t="inlineStr">
        <is>
          <t>Short</t>
        </is>
      </c>
      <c r="E4474" s="10" t="n">
        <v>45726.18402777778</v>
      </c>
      <c r="F4474" s="10" t="n">
        <v>45726.375</v>
      </c>
      <c r="G4474" s="11" t="n">
        <v>-3.33</v>
      </c>
      <c r="H4474" s="11">
        <f>H4473+G4474</f>
        <v/>
      </c>
    </row>
    <row r="4475">
      <c r="A4475" s="9" t="n">
        <v>4471</v>
      </c>
      <c r="B4475" s="9" t="inlineStr">
        <is>
          <t>Ratchet</t>
        </is>
      </c>
      <c r="C4475" s="9" t="inlineStr">
        <is>
          <t>Stochastic scalp with give-back trail exit</t>
        </is>
      </c>
      <c r="D4475" s="9" t="inlineStr">
        <is>
          <t>Short</t>
        </is>
      </c>
      <c r="E4475" s="10" t="n">
        <v>45726.43402777778</v>
      </c>
      <c r="F4475" s="10" t="n">
        <v>45726.44444444445</v>
      </c>
      <c r="G4475" s="11" t="n">
        <v>0.83</v>
      </c>
      <c r="H4475" s="11">
        <f>H4474+G4475</f>
        <v/>
      </c>
    </row>
    <row r="4476">
      <c r="A4476" s="9" t="n">
        <v>4472</v>
      </c>
      <c r="B4476" s="9" t="inlineStr">
        <is>
          <t>Vanguard_M15</t>
        </is>
      </c>
      <c r="C4476" s="9" t="inlineStr">
        <is>
          <t>Trendline breakout (fractal swing line) + VWAP/S-R distance gate - M15 chart</t>
        </is>
      </c>
      <c r="D4476" s="9" t="inlineStr">
        <is>
          <t>Short</t>
        </is>
      </c>
      <c r="E4476" s="10" t="n">
        <v>45726.4375</v>
      </c>
      <c r="F4476" s="10" t="n">
        <v>45726.47916666666</v>
      </c>
      <c r="G4476" s="11" t="n">
        <v>-10.66</v>
      </c>
      <c r="H4476" s="11">
        <f>H4475+G4476</f>
        <v/>
      </c>
    </row>
    <row r="4477">
      <c r="A4477" s="9" t="n">
        <v>4473</v>
      </c>
      <c r="B4477" s="9" t="inlineStr">
        <is>
          <t>Meridian</t>
        </is>
      </c>
      <c r="C4477" s="9" t="inlineStr">
        <is>
          <t>21/50 MA cross, 250-period confirm filter, VWAP</t>
        </is>
      </c>
      <c r="D4477" s="9" t="inlineStr">
        <is>
          <t>Short</t>
        </is>
      </c>
      <c r="E4477" s="10" t="n">
        <v>45726.42013888889</v>
      </c>
      <c r="F4477" s="10" t="n">
        <v>45726.49652777778</v>
      </c>
      <c r="G4477" s="11" t="n">
        <v>-4.62</v>
      </c>
      <c r="H4477" s="11">
        <f>H4476+G4477</f>
        <v/>
      </c>
    </row>
    <row r="4478">
      <c r="A4478" s="9" t="n">
        <v>4474</v>
      </c>
      <c r="B4478" s="9" t="inlineStr">
        <is>
          <t>Ratchet</t>
        </is>
      </c>
      <c r="C4478" s="9" t="inlineStr">
        <is>
          <t>Stochastic scalp with give-back trail exit</t>
        </is>
      </c>
      <c r="D4478" s="9" t="inlineStr">
        <is>
          <t>Short</t>
        </is>
      </c>
      <c r="E4478" s="10" t="n">
        <v>45726.53125</v>
      </c>
      <c r="F4478" s="10" t="n">
        <v>45726.57638888889</v>
      </c>
      <c r="G4478" s="11" t="n">
        <v>1.01</v>
      </c>
      <c r="H4478" s="11">
        <f>H4477+G4478</f>
        <v/>
      </c>
    </row>
    <row r="4479">
      <c r="A4479" s="9" t="n">
        <v>4475</v>
      </c>
      <c r="B4479" s="9" t="inlineStr">
        <is>
          <t>Meridian</t>
        </is>
      </c>
      <c r="C4479" s="9" t="inlineStr">
        <is>
          <t>21/50 MA cross, 250-period confirm filter, VWAP</t>
        </is>
      </c>
      <c r="D4479" s="9" t="inlineStr">
        <is>
          <t>Short</t>
        </is>
      </c>
      <c r="E4479" s="10" t="n">
        <v>45726.51388888889</v>
      </c>
      <c r="F4479" s="10" t="n">
        <v>45726.70833333334</v>
      </c>
      <c r="G4479" s="11" t="n">
        <v>-2.44</v>
      </c>
      <c r="H4479" s="11">
        <f>H4478+G4479</f>
        <v/>
      </c>
    </row>
    <row r="4480">
      <c r="A4480" s="9" t="n">
        <v>4476</v>
      </c>
      <c r="B4480" s="9" t="inlineStr">
        <is>
          <t>Meridian</t>
        </is>
      </c>
      <c r="C4480" s="9" t="inlineStr">
        <is>
          <t>21/50 MA cross, 250-period confirm filter, VWAP</t>
        </is>
      </c>
      <c r="D4480" s="9" t="inlineStr">
        <is>
          <t>Short</t>
        </is>
      </c>
      <c r="E4480" s="10" t="n">
        <v>45726.71875</v>
      </c>
      <c r="F4480" s="10" t="n">
        <v>45726.72569444445</v>
      </c>
      <c r="G4480" s="11" t="n">
        <v>-2.78</v>
      </c>
      <c r="H4480" s="11">
        <f>H4479+G4480</f>
        <v/>
      </c>
    </row>
    <row r="4481">
      <c r="A4481" s="9" t="n">
        <v>4477</v>
      </c>
      <c r="B4481" s="9" t="inlineStr">
        <is>
          <t>Ratchet</t>
        </is>
      </c>
      <c r="C4481" s="9" t="inlineStr">
        <is>
          <t>Stochastic scalp with give-back trail exit</t>
        </is>
      </c>
      <c r="D4481" s="9" t="inlineStr">
        <is>
          <t>Short</t>
        </is>
      </c>
      <c r="E4481" s="10" t="n">
        <v>45726.77777777778</v>
      </c>
      <c r="F4481" s="10" t="n">
        <v>45727.09722222222</v>
      </c>
      <c r="G4481" s="11" t="n">
        <v>15.17</v>
      </c>
      <c r="H4481" s="11">
        <f>H4480+G4481</f>
        <v/>
      </c>
    </row>
    <row r="4482">
      <c r="A4482" s="9" t="n">
        <v>4478</v>
      </c>
      <c r="B4482" s="9" t="inlineStr">
        <is>
          <t>Aurelius_M5</t>
        </is>
      </c>
      <c r="C4482" s="9" t="inlineStr">
        <is>
          <t>MA alignment (EMA21&gt;EMA50&gt;SMA250&gt;SMMA500 vs EMA2400 trend filter)</t>
        </is>
      </c>
      <c r="D4482" s="9" t="inlineStr">
        <is>
          <t>Short</t>
        </is>
      </c>
      <c r="E4482" s="10" t="n">
        <v>45727.12847222222</v>
      </c>
      <c r="F4482" s="10" t="n">
        <v>45727.13888888889</v>
      </c>
      <c r="G4482" s="11" t="n">
        <v>-5.45</v>
      </c>
      <c r="H4482" s="11">
        <f>H4481+G4482</f>
        <v/>
      </c>
    </row>
    <row r="4483">
      <c r="A4483" s="9" t="n">
        <v>4479</v>
      </c>
      <c r="B4483" s="9" t="inlineStr">
        <is>
          <t>Meridian</t>
        </is>
      </c>
      <c r="C4483" s="9" t="inlineStr">
        <is>
          <t>21/50 MA cross, 250-period confirm filter, VWAP</t>
        </is>
      </c>
      <c r="D4483" s="9" t="inlineStr">
        <is>
          <t>Short</t>
        </is>
      </c>
      <c r="E4483" s="10" t="n">
        <v>45726.77083333334</v>
      </c>
      <c r="F4483" s="10" t="n">
        <v>45727.15277777778</v>
      </c>
      <c r="G4483" s="11" t="n">
        <v>13.37</v>
      </c>
      <c r="H4483" s="11">
        <f>H4482+G4483</f>
        <v/>
      </c>
    </row>
    <row r="4484">
      <c r="A4484" s="9" t="n">
        <v>4480</v>
      </c>
      <c r="B4484" s="9" t="inlineStr">
        <is>
          <t>Vanguard_M15</t>
        </is>
      </c>
      <c r="C4484" s="9" t="inlineStr">
        <is>
          <t>Trendline breakout (fractal swing line) + VWAP/S-R distance gate - M15 chart</t>
        </is>
      </c>
      <c r="D4484" s="9" t="inlineStr">
        <is>
          <t>Short</t>
        </is>
      </c>
      <c r="E4484" s="10" t="n">
        <v>45726.52083333334</v>
      </c>
      <c r="F4484" s="10" t="n">
        <v>45727.41666666666</v>
      </c>
      <c r="G4484" s="11" t="n">
        <v>-1.14</v>
      </c>
      <c r="H4484" s="11">
        <f>H4483+G4484</f>
        <v/>
      </c>
    </row>
    <row r="4485">
      <c r="A4485" s="9" t="n">
        <v>4481</v>
      </c>
      <c r="B4485" s="9" t="inlineStr">
        <is>
          <t>Vanguard_M5</t>
        </is>
      </c>
      <c r="C4485" s="9" t="inlineStr">
        <is>
          <t>Trendline breakout (fractal swing line) + VWAP/S-R distance gate</t>
        </is>
      </c>
      <c r="D4485" s="9" t="inlineStr">
        <is>
          <t>Short</t>
        </is>
      </c>
      <c r="E4485" s="10" t="n">
        <v>45726.43055555555</v>
      </c>
      <c r="F4485" s="10" t="n">
        <v>45727.43055555555</v>
      </c>
      <c r="G4485" s="11" t="n">
        <v>-0.09</v>
      </c>
      <c r="H4485" s="11">
        <f>H4484+G4485</f>
        <v/>
      </c>
    </row>
    <row r="4486">
      <c r="A4486" s="9" t="n">
        <v>4482</v>
      </c>
      <c r="B4486" s="9" t="inlineStr">
        <is>
          <t>Ratchet</t>
        </is>
      </c>
      <c r="C4486" s="9" t="inlineStr">
        <is>
          <t>Stochastic scalp with give-back trail exit</t>
        </is>
      </c>
      <c r="D4486" s="9" t="inlineStr">
        <is>
          <t>Long</t>
        </is>
      </c>
      <c r="E4486" s="10" t="n">
        <v>45727.65972222222</v>
      </c>
      <c r="F4486" s="10" t="n">
        <v>45727.6875</v>
      </c>
      <c r="G4486" s="11" t="n">
        <v>-5.79</v>
      </c>
      <c r="H4486" s="11">
        <f>H4485+G4486</f>
        <v/>
      </c>
    </row>
    <row r="4487">
      <c r="A4487" s="9" t="n">
        <v>4483</v>
      </c>
      <c r="B4487" s="9" t="inlineStr">
        <is>
          <t>Ratchet</t>
        </is>
      </c>
      <c r="C4487" s="9" t="inlineStr">
        <is>
          <t>Stochastic scalp with give-back trail exit</t>
        </is>
      </c>
      <c r="D4487" s="9" t="inlineStr">
        <is>
          <t>Long</t>
        </is>
      </c>
      <c r="E4487" s="10" t="n">
        <v>45727.73611111111</v>
      </c>
      <c r="F4487" s="10" t="n">
        <v>45727.90972222222</v>
      </c>
      <c r="G4487" s="11" t="n">
        <v>0.82</v>
      </c>
      <c r="H4487" s="11">
        <f>H4486+G4487</f>
        <v/>
      </c>
    </row>
    <row r="4488">
      <c r="A4488" s="9" t="n">
        <v>4484</v>
      </c>
      <c r="B4488" s="9" t="inlineStr">
        <is>
          <t>Ratchet</t>
        </is>
      </c>
      <c r="C4488" s="9" t="inlineStr">
        <is>
          <t>Stochastic scalp with give-back trail exit</t>
        </is>
      </c>
      <c r="D4488" s="9" t="inlineStr">
        <is>
          <t>Long</t>
        </is>
      </c>
      <c r="E4488" s="10" t="n">
        <v>45728.21875</v>
      </c>
      <c r="F4488" s="10" t="n">
        <v>45728.24305555555</v>
      </c>
      <c r="G4488" s="11" t="n">
        <v>-2.6</v>
      </c>
      <c r="H4488" s="11">
        <f>H4487+G4488</f>
        <v/>
      </c>
    </row>
    <row r="4489">
      <c r="A4489" s="9" t="n">
        <v>4485</v>
      </c>
      <c r="B4489" s="9" t="inlineStr">
        <is>
          <t>Aurelius_M5</t>
        </is>
      </c>
      <c r="C4489" s="9" t="inlineStr">
        <is>
          <t>MA alignment (EMA21&gt;EMA50&gt;SMA250&gt;SMMA500 vs EMA2400 trend filter)</t>
        </is>
      </c>
      <c r="D4489" s="9" t="inlineStr">
        <is>
          <t>Long</t>
        </is>
      </c>
      <c r="E4489" s="10" t="n">
        <v>45728.22916666666</v>
      </c>
      <c r="F4489" s="10" t="n">
        <v>45728.24652777778</v>
      </c>
      <c r="G4489" s="11" t="n">
        <v>-3.87</v>
      </c>
      <c r="H4489" s="11">
        <f>H4488+G4489</f>
        <v/>
      </c>
    </row>
    <row r="4490">
      <c r="A4490" s="9" t="n">
        <v>4486</v>
      </c>
      <c r="B4490" s="9" t="inlineStr">
        <is>
          <t>Meridian</t>
        </is>
      </c>
      <c r="C4490" s="9" t="inlineStr">
        <is>
          <t>21/50 MA cross, 250-period confirm filter, VWAP</t>
        </is>
      </c>
      <c r="D4490" s="9" t="inlineStr">
        <is>
          <t>Long</t>
        </is>
      </c>
      <c r="E4490" s="10" t="n">
        <v>45728.20138888889</v>
      </c>
      <c r="F4490" s="10" t="n">
        <v>45728.26041666666</v>
      </c>
      <c r="G4490" s="11" t="n">
        <v>-3.54</v>
      </c>
      <c r="H4490" s="11">
        <f>H4489+G4490</f>
        <v/>
      </c>
    </row>
    <row r="4491">
      <c r="A4491" s="9" t="n">
        <v>4487</v>
      </c>
      <c r="B4491" s="9" t="inlineStr">
        <is>
          <t>Meridian</t>
        </is>
      </c>
      <c r="C4491" s="9" t="inlineStr">
        <is>
          <t>21/50 MA cross, 250-period confirm filter, VWAP</t>
        </is>
      </c>
      <c r="D4491" s="9" t="inlineStr">
        <is>
          <t>Long</t>
        </is>
      </c>
      <c r="E4491" s="10" t="n">
        <v>45728.34027777778</v>
      </c>
      <c r="F4491" s="10" t="n">
        <v>45728.35069444445</v>
      </c>
      <c r="G4491" s="11" t="n">
        <v>-3.58</v>
      </c>
      <c r="H4491" s="11">
        <f>H4490+G4491</f>
        <v/>
      </c>
    </row>
    <row r="4492">
      <c r="A4492" s="9" t="n">
        <v>4488</v>
      </c>
      <c r="B4492" s="9" t="inlineStr">
        <is>
          <t>Vanguard_M15</t>
        </is>
      </c>
      <c r="C4492" s="9" t="inlineStr">
        <is>
          <t>Trendline breakout (fractal swing line) + VWAP/S-R distance gate - M15 chart</t>
        </is>
      </c>
      <c r="D4492" s="9" t="inlineStr">
        <is>
          <t>Long</t>
        </is>
      </c>
      <c r="E4492" s="10" t="n">
        <v>45728.34375</v>
      </c>
      <c r="F4492" s="10" t="n">
        <v>45728.35416666666</v>
      </c>
      <c r="G4492" s="11" t="n">
        <v>-7.59</v>
      </c>
      <c r="H4492" s="11">
        <f>H4491+G4492</f>
        <v/>
      </c>
    </row>
    <row r="4493">
      <c r="A4493" s="9" t="n">
        <v>4489</v>
      </c>
      <c r="B4493" s="9" t="inlineStr">
        <is>
          <t>Vanguard_M5</t>
        </is>
      </c>
      <c r="C4493" s="9" t="inlineStr">
        <is>
          <t>Trendline breakout (fractal swing line) + VWAP/S-R distance gate</t>
        </is>
      </c>
      <c r="D4493" s="9" t="inlineStr">
        <is>
          <t>Long</t>
        </is>
      </c>
      <c r="E4493" s="10" t="n">
        <v>45728.34027777778</v>
      </c>
      <c r="F4493" s="10" t="n">
        <v>45728.35763888889</v>
      </c>
      <c r="G4493" s="11" t="n">
        <v>-5.73</v>
      </c>
      <c r="H4493" s="11">
        <f>H4492+G4493</f>
        <v/>
      </c>
    </row>
    <row r="4494">
      <c r="A4494" s="9" t="n">
        <v>4490</v>
      </c>
      <c r="B4494" s="9" t="inlineStr">
        <is>
          <t>Meridian</t>
        </is>
      </c>
      <c r="C4494" s="9" t="inlineStr">
        <is>
          <t>21/50 MA cross, 250-period confirm filter, VWAP</t>
        </is>
      </c>
      <c r="D4494" s="9" t="inlineStr">
        <is>
          <t>Short</t>
        </is>
      </c>
      <c r="E4494" s="10" t="n">
        <v>45728.36805555555</v>
      </c>
      <c r="F4494" s="10" t="n">
        <v>45728.42361111111</v>
      </c>
      <c r="G4494" s="11" t="n">
        <v>-4.34</v>
      </c>
      <c r="H4494" s="11">
        <f>H4493+G4494</f>
        <v/>
      </c>
    </row>
    <row r="4495">
      <c r="A4495" s="9" t="n">
        <v>4491</v>
      </c>
      <c r="B4495" s="9" t="inlineStr">
        <is>
          <t>Ratchet</t>
        </is>
      </c>
      <c r="C4495" s="9" t="inlineStr">
        <is>
          <t>Stochastic scalp with give-back trail exit</t>
        </is>
      </c>
      <c r="D4495" s="9" t="inlineStr">
        <is>
          <t>Long</t>
        </is>
      </c>
      <c r="E4495" s="10" t="n">
        <v>45728.44444444445</v>
      </c>
      <c r="F4495" s="10" t="n">
        <v>45728.46180555555</v>
      </c>
      <c r="G4495" s="11" t="n">
        <v>0.87</v>
      </c>
      <c r="H4495" s="11">
        <f>H4494+G4495</f>
        <v/>
      </c>
    </row>
    <row r="4496">
      <c r="A4496" s="9" t="n">
        <v>4492</v>
      </c>
      <c r="B4496" s="9" t="inlineStr">
        <is>
          <t>Ratchet</t>
        </is>
      </c>
      <c r="C4496" s="9" t="inlineStr">
        <is>
          <t>Stochastic scalp with give-back trail exit</t>
        </is>
      </c>
      <c r="D4496" s="9" t="inlineStr">
        <is>
          <t>Long</t>
        </is>
      </c>
      <c r="E4496" s="10" t="n">
        <v>45728.46527777778</v>
      </c>
      <c r="F4496" s="10" t="n">
        <v>45728.46527777778</v>
      </c>
      <c r="G4496" s="11" t="n">
        <v>-3.6</v>
      </c>
      <c r="H4496" s="11">
        <f>H4495+G4496</f>
        <v/>
      </c>
    </row>
    <row r="4497">
      <c r="A4497" s="9" t="n">
        <v>4493</v>
      </c>
      <c r="B4497" s="9" t="inlineStr">
        <is>
          <t>Ratchet</t>
        </is>
      </c>
      <c r="C4497" s="9" t="inlineStr">
        <is>
          <t>Stochastic scalp with give-back trail exit</t>
        </is>
      </c>
      <c r="D4497" s="9" t="inlineStr">
        <is>
          <t>Long</t>
        </is>
      </c>
      <c r="E4497" s="10" t="n">
        <v>45728.47222222222</v>
      </c>
      <c r="F4497" s="10" t="n">
        <v>45728.48611111111</v>
      </c>
      <c r="G4497" s="11" t="n">
        <v>-3.78</v>
      </c>
      <c r="H4497" s="11">
        <f>H4496+G4497</f>
        <v/>
      </c>
    </row>
    <row r="4498">
      <c r="A4498" s="9" t="n">
        <v>4494</v>
      </c>
      <c r="B4498" s="9" t="inlineStr">
        <is>
          <t>Meridian</t>
        </is>
      </c>
      <c r="C4498" s="9" t="inlineStr">
        <is>
          <t>21/50 MA cross, 250-period confirm filter, VWAP</t>
        </is>
      </c>
      <c r="D4498" s="9" t="inlineStr">
        <is>
          <t>Long</t>
        </is>
      </c>
      <c r="E4498" s="10" t="n">
        <v>45728.4375</v>
      </c>
      <c r="F4498" s="10" t="n">
        <v>45728.52083333334</v>
      </c>
      <c r="G4498" s="11" t="n">
        <v>-4.06</v>
      </c>
      <c r="H4498" s="11">
        <f>H4497+G4498</f>
        <v/>
      </c>
    </row>
    <row r="4499">
      <c r="A4499" s="9" t="n">
        <v>4495</v>
      </c>
      <c r="B4499" s="9" t="inlineStr">
        <is>
          <t>Vanguard_M5</t>
        </is>
      </c>
      <c r="C4499" s="9" t="inlineStr">
        <is>
          <t>Trendline breakout (fractal swing line) + VWAP/S-R distance gate</t>
        </is>
      </c>
      <c r="D4499" s="9" t="inlineStr">
        <is>
          <t>Long</t>
        </is>
      </c>
      <c r="E4499" s="10" t="n">
        <v>45728.44444444445</v>
      </c>
      <c r="F4499" s="10" t="n">
        <v>45728.63541666666</v>
      </c>
      <c r="G4499" s="11" t="n">
        <v>-7.46</v>
      </c>
      <c r="H4499" s="11">
        <f>H4498+G4499</f>
        <v/>
      </c>
    </row>
    <row r="4500">
      <c r="A4500" s="9" t="n">
        <v>4496</v>
      </c>
      <c r="B4500" s="9" t="inlineStr">
        <is>
          <t>Vanguard_M15</t>
        </is>
      </c>
      <c r="C4500" s="9" t="inlineStr">
        <is>
          <t>Trendline breakout (fractal swing line) + VWAP/S-R distance gate - M15 chart</t>
        </is>
      </c>
      <c r="D4500" s="9" t="inlineStr">
        <is>
          <t>Long</t>
        </is>
      </c>
      <c r="E4500" s="10" t="n">
        <v>45728.44791666666</v>
      </c>
      <c r="F4500" s="10" t="n">
        <v>45728.63541666666</v>
      </c>
      <c r="G4500" s="11" t="n">
        <v>-8.869999999999999</v>
      </c>
      <c r="H4500" s="11">
        <f>H4499+G4500</f>
        <v/>
      </c>
    </row>
    <row r="4501">
      <c r="A4501" s="9" t="n">
        <v>4497</v>
      </c>
      <c r="B4501" s="9" t="inlineStr">
        <is>
          <t>Meridian</t>
        </is>
      </c>
      <c r="C4501" s="9" t="inlineStr">
        <is>
          <t>21/50 MA cross, 250-period confirm filter, VWAP</t>
        </is>
      </c>
      <c r="D4501" s="9" t="inlineStr">
        <is>
          <t>Long</t>
        </is>
      </c>
      <c r="E4501" s="10" t="n">
        <v>45728.61458333334</v>
      </c>
      <c r="F4501" s="10" t="n">
        <v>45728.63541666666</v>
      </c>
      <c r="G4501" s="11" t="n">
        <v>-6.3</v>
      </c>
      <c r="H4501" s="11">
        <f>H4500+G4501</f>
        <v/>
      </c>
    </row>
    <row r="4502">
      <c r="A4502" s="9" t="n">
        <v>4498</v>
      </c>
      <c r="B4502" s="9" t="inlineStr">
        <is>
          <t>Aurelius_M15</t>
        </is>
      </c>
      <c r="C4502" s="9" t="inlineStr">
        <is>
          <t>MA alignment (EMA21&gt;EMA50&gt;SMA250&gt;SMMA500 vs EMA2400 trend filter) - M15 chart</t>
        </is>
      </c>
      <c r="D4502" s="9" t="inlineStr">
        <is>
          <t>Long</t>
        </is>
      </c>
      <c r="E4502" s="10" t="n">
        <v>45728.625</v>
      </c>
      <c r="F4502" s="10" t="n">
        <v>45728.63541666666</v>
      </c>
      <c r="G4502" s="11" t="n">
        <v>-8.460000000000001</v>
      </c>
      <c r="H4502" s="11">
        <f>H4501+G4502</f>
        <v/>
      </c>
    </row>
    <row r="4503">
      <c r="A4503" s="9" t="n">
        <v>4499</v>
      </c>
      <c r="B4503" s="9" t="inlineStr">
        <is>
          <t>Meridian</t>
        </is>
      </c>
      <c r="C4503" s="9" t="inlineStr">
        <is>
          <t>21/50 MA cross, 250-period confirm filter, VWAP</t>
        </is>
      </c>
      <c r="D4503" s="9" t="inlineStr">
        <is>
          <t>Short</t>
        </is>
      </c>
      <c r="E4503" s="10" t="n">
        <v>45728.64236111111</v>
      </c>
      <c r="F4503" s="10" t="n">
        <v>45728.65625</v>
      </c>
      <c r="G4503" s="11" t="n">
        <v>-7.44</v>
      </c>
      <c r="H4503" s="11">
        <f>H4502+G4503</f>
        <v/>
      </c>
    </row>
    <row r="4504">
      <c r="A4504" s="9" t="n">
        <v>4500</v>
      </c>
      <c r="B4504" s="9" t="inlineStr">
        <is>
          <t>Ratchet</t>
        </is>
      </c>
      <c r="C4504" s="9" t="inlineStr">
        <is>
          <t>Stochastic scalp with give-back trail exit</t>
        </is>
      </c>
      <c r="D4504" s="9" t="inlineStr">
        <is>
          <t>Long</t>
        </is>
      </c>
      <c r="E4504" s="10" t="n">
        <v>45729.25694444445</v>
      </c>
      <c r="F4504" s="10" t="n">
        <v>45729.30208333334</v>
      </c>
      <c r="G4504" s="11" t="n">
        <v>-2.22</v>
      </c>
      <c r="H4504" s="11">
        <f>H4503+G4504</f>
        <v/>
      </c>
    </row>
    <row r="4505">
      <c r="A4505" s="9" t="n">
        <v>4501</v>
      </c>
      <c r="B4505" s="9" t="inlineStr">
        <is>
          <t>Aurelius_M5</t>
        </is>
      </c>
      <c r="C4505" s="9" t="inlineStr">
        <is>
          <t>MA alignment (EMA21&gt;EMA50&gt;SMA250&gt;SMMA500 vs EMA2400 trend filter)</t>
        </is>
      </c>
      <c r="D4505" s="9" t="inlineStr">
        <is>
          <t>Long</t>
        </is>
      </c>
      <c r="E4505" s="10" t="n">
        <v>45728.71527777778</v>
      </c>
      <c r="F4505" s="10" t="n">
        <v>45729.32638888889</v>
      </c>
      <c r="G4505" s="11" t="n">
        <v>14.35</v>
      </c>
      <c r="H4505" s="11">
        <f>H4504+G4505</f>
        <v/>
      </c>
    </row>
    <row r="4506">
      <c r="A4506" s="9" t="n">
        <v>4502</v>
      </c>
      <c r="B4506" s="9" t="inlineStr">
        <is>
          <t>Meridian</t>
        </is>
      </c>
      <c r="C4506" s="9" t="inlineStr">
        <is>
          <t>21/50 MA cross, 250-period confirm filter, VWAP</t>
        </is>
      </c>
      <c r="D4506" s="9" t="inlineStr">
        <is>
          <t>Long</t>
        </is>
      </c>
      <c r="E4506" s="10" t="n">
        <v>45728.69097222222</v>
      </c>
      <c r="F4506" s="10" t="n">
        <v>45729.33680555555</v>
      </c>
      <c r="G4506" s="11" t="n">
        <v>20.66</v>
      </c>
      <c r="H4506" s="11">
        <f>H4505+G4506</f>
        <v/>
      </c>
    </row>
    <row r="4507">
      <c r="A4507" s="9" t="n">
        <v>4503</v>
      </c>
      <c r="B4507" s="9" t="inlineStr">
        <is>
          <t>Aurelius_M15</t>
        </is>
      </c>
      <c r="C4507" s="9" t="inlineStr">
        <is>
          <t>MA alignment (EMA21&gt;EMA50&gt;SMA250&gt;SMMA500 vs EMA2400 trend filter) - M15 chart</t>
        </is>
      </c>
      <c r="D4507" s="9" t="inlineStr">
        <is>
          <t>Long</t>
        </is>
      </c>
      <c r="E4507" s="10" t="n">
        <v>45728.72916666666</v>
      </c>
      <c r="F4507" s="10" t="n">
        <v>45729.39583333334</v>
      </c>
      <c r="G4507" s="11" t="n">
        <v>11.14</v>
      </c>
      <c r="H4507" s="11">
        <f>H4506+G4507</f>
        <v/>
      </c>
    </row>
    <row r="4508">
      <c r="A4508" s="9" t="n">
        <v>4504</v>
      </c>
      <c r="B4508" s="9" t="inlineStr">
        <is>
          <t>Ratchet</t>
        </is>
      </c>
      <c r="C4508" s="9" t="inlineStr">
        <is>
          <t>Stochastic scalp with give-back trail exit</t>
        </is>
      </c>
      <c r="D4508" s="9" t="inlineStr">
        <is>
          <t>Long</t>
        </is>
      </c>
      <c r="E4508" s="10" t="n">
        <v>45729.44791666666</v>
      </c>
      <c r="F4508" s="10" t="n">
        <v>45729.50694444445</v>
      </c>
      <c r="G4508" s="11" t="n">
        <v>1.47</v>
      </c>
      <c r="H4508" s="11">
        <f>H4507+G4508</f>
        <v/>
      </c>
    </row>
    <row r="4509">
      <c r="A4509" s="9" t="n">
        <v>4505</v>
      </c>
      <c r="B4509" s="9" t="inlineStr">
        <is>
          <t>Ratchet</t>
        </is>
      </c>
      <c r="C4509" s="9" t="inlineStr">
        <is>
          <t>Stochastic scalp with give-back trail exit</t>
        </is>
      </c>
      <c r="D4509" s="9" t="inlineStr">
        <is>
          <t>Long</t>
        </is>
      </c>
      <c r="E4509" s="10" t="n">
        <v>45729.55555555555</v>
      </c>
      <c r="F4509" s="10" t="n">
        <v>45729.57291666666</v>
      </c>
      <c r="G4509" s="11" t="n">
        <v>0.48</v>
      </c>
      <c r="H4509" s="11">
        <f>H4508+G4509</f>
        <v/>
      </c>
    </row>
    <row r="4510">
      <c r="A4510" s="9" t="n">
        <v>4506</v>
      </c>
      <c r="B4510" s="9" t="inlineStr">
        <is>
          <t>Aurelius_M5</t>
        </is>
      </c>
      <c r="C4510" s="9" t="inlineStr">
        <is>
          <t>MA alignment (EMA21&gt;EMA50&gt;SMA250&gt;SMMA500 vs EMA2400 trend filter)</t>
        </is>
      </c>
      <c r="D4510" s="9" t="inlineStr">
        <is>
          <t>Long</t>
        </is>
      </c>
      <c r="E4510" s="10" t="n">
        <v>45729.61111111111</v>
      </c>
      <c r="F4510" s="10" t="n">
        <v>45729.625</v>
      </c>
      <c r="G4510" s="11" t="n">
        <v>-5.91</v>
      </c>
      <c r="H4510" s="11">
        <f>H4509+G4510</f>
        <v/>
      </c>
    </row>
    <row r="4511">
      <c r="A4511" s="9" t="n">
        <v>4507</v>
      </c>
      <c r="B4511" s="9" t="inlineStr">
        <is>
          <t>Ratchet</t>
        </is>
      </c>
      <c r="C4511" s="9" t="inlineStr">
        <is>
          <t>Stochastic scalp with give-back trail exit</t>
        </is>
      </c>
      <c r="D4511" s="9" t="inlineStr">
        <is>
          <t>Long</t>
        </is>
      </c>
      <c r="E4511" s="10" t="n">
        <v>45729.8125</v>
      </c>
      <c r="F4511" s="10" t="n">
        <v>45729.82638888889</v>
      </c>
      <c r="G4511" s="11" t="n">
        <v>0</v>
      </c>
      <c r="H4511" s="11">
        <f>H4510+G4511</f>
        <v/>
      </c>
    </row>
    <row r="4512">
      <c r="A4512" s="9" t="n">
        <v>4508</v>
      </c>
      <c r="B4512" s="9" t="inlineStr">
        <is>
          <t>Meridian</t>
        </is>
      </c>
      <c r="C4512" s="9" t="inlineStr">
        <is>
          <t>21/50 MA cross, 250-period confirm filter, VWAP</t>
        </is>
      </c>
      <c r="D4512" s="9" t="inlineStr">
        <is>
          <t>Long</t>
        </is>
      </c>
      <c r="E4512" s="10" t="n">
        <v>45729.44791666666</v>
      </c>
      <c r="F4512" s="10" t="n">
        <v>45730.30902777778</v>
      </c>
      <c r="G4512" s="11" t="n">
        <v>41.21</v>
      </c>
      <c r="H4512" s="11">
        <f>H4511+G4512</f>
        <v/>
      </c>
    </row>
    <row r="4513">
      <c r="A4513" s="9" t="n">
        <v>4509</v>
      </c>
      <c r="B4513" s="9" t="inlineStr">
        <is>
          <t>Aurelius_M5</t>
        </is>
      </c>
      <c r="C4513" s="9" t="inlineStr">
        <is>
          <t>MA alignment (EMA21&gt;EMA50&gt;SMA250&gt;SMMA500 vs EMA2400 trend filter)</t>
        </is>
      </c>
      <c r="D4513" s="9" t="inlineStr">
        <is>
          <t>Long</t>
        </is>
      </c>
      <c r="E4513" s="10" t="n">
        <v>45729.67013888889</v>
      </c>
      <c r="F4513" s="10" t="n">
        <v>45730.30902777778</v>
      </c>
      <c r="G4513" s="11" t="n">
        <v>32.1</v>
      </c>
      <c r="H4513" s="11">
        <f>H4512+G4513</f>
        <v/>
      </c>
    </row>
    <row r="4514">
      <c r="A4514" s="9" t="n">
        <v>4510</v>
      </c>
      <c r="B4514" s="9" t="inlineStr">
        <is>
          <t>Aurelius_M5</t>
        </is>
      </c>
      <c r="C4514" s="9" t="inlineStr">
        <is>
          <t>MA alignment (EMA21&gt;EMA50&gt;SMA250&gt;SMMA500 vs EMA2400 trend filter)</t>
        </is>
      </c>
      <c r="D4514" s="9" t="inlineStr">
        <is>
          <t>Long</t>
        </is>
      </c>
      <c r="E4514" s="10" t="n">
        <v>45730.57638888889</v>
      </c>
      <c r="F4514" s="10" t="n">
        <v>45730.64583333334</v>
      </c>
      <c r="G4514" s="11" t="n">
        <v>-6.92</v>
      </c>
      <c r="H4514" s="11">
        <f>H4513+G4514</f>
        <v/>
      </c>
    </row>
    <row r="4515">
      <c r="A4515" s="9" t="n">
        <v>4511</v>
      </c>
      <c r="B4515" s="9" t="inlineStr">
        <is>
          <t>Meridian</t>
        </is>
      </c>
      <c r="C4515" s="9" t="inlineStr">
        <is>
          <t>21/50 MA cross, 250-period confirm filter, VWAP</t>
        </is>
      </c>
      <c r="D4515" s="9" t="inlineStr">
        <is>
          <t>Short</t>
        </is>
      </c>
      <c r="E4515" s="10" t="n">
        <v>45730.82638888889</v>
      </c>
      <c r="F4515" s="10" t="n">
        <v>45730.82986111111</v>
      </c>
      <c r="G4515" s="11" t="n">
        <v>-0.98</v>
      </c>
      <c r="H4515" s="11">
        <f>H4514+G4515</f>
        <v/>
      </c>
    </row>
    <row r="4516">
      <c r="A4516" s="9" t="n">
        <v>4512</v>
      </c>
      <c r="B4516" s="9" t="inlineStr">
        <is>
          <t>Vanguard_M5</t>
        </is>
      </c>
      <c r="C4516" s="9" t="inlineStr">
        <is>
          <t>Trendline breakout (fractal swing line) + VWAP/S-R distance gate</t>
        </is>
      </c>
      <c r="D4516" s="9" t="inlineStr">
        <is>
          <t>Long</t>
        </is>
      </c>
      <c r="E4516" s="10" t="n">
        <v>45728.69791666666</v>
      </c>
      <c r="F4516" s="10" t="n">
        <v>45730.85069444445</v>
      </c>
      <c r="G4516" s="11" t="n">
        <v>65.62</v>
      </c>
      <c r="H4516" s="11">
        <f>H4515+G4516</f>
        <v/>
      </c>
    </row>
    <row r="4517">
      <c r="A4517" s="9" t="n">
        <v>4513</v>
      </c>
      <c r="B4517" s="9" t="inlineStr">
        <is>
          <t>Vanguard_M15</t>
        </is>
      </c>
      <c r="C4517" s="9" t="inlineStr">
        <is>
          <t>Trendline breakout (fractal swing line) + VWAP/S-R distance gate - M15 chart</t>
        </is>
      </c>
      <c r="D4517" s="9" t="inlineStr">
        <is>
          <t>Long</t>
        </is>
      </c>
      <c r="E4517" s="10" t="n">
        <v>45728.69791666666</v>
      </c>
      <c r="F4517" s="10" t="n">
        <v>45730.85416666666</v>
      </c>
      <c r="G4517" s="11" t="n">
        <v>64.97</v>
      </c>
      <c r="H4517" s="11">
        <f>H4516+G4517</f>
        <v/>
      </c>
    </row>
    <row r="4518">
      <c r="A4518" s="9" t="n">
        <v>4514</v>
      </c>
      <c r="B4518" s="9" t="inlineStr">
        <is>
          <t>Aurelius_M15</t>
        </is>
      </c>
      <c r="C4518" s="9" t="inlineStr">
        <is>
          <t>MA alignment (EMA21&gt;EMA50&gt;SMA250&gt;SMMA500 vs EMA2400 trend filter) - M15 chart</t>
        </is>
      </c>
      <c r="D4518" s="9" t="inlineStr">
        <is>
          <t>Long</t>
        </is>
      </c>
      <c r="E4518" s="10" t="n">
        <v>45729.61458333334</v>
      </c>
      <c r="F4518" s="10" t="n">
        <v>45730.875</v>
      </c>
      <c r="G4518" s="11" t="n">
        <v>37.15</v>
      </c>
      <c r="H4518" s="11">
        <f>H4517+G4518</f>
        <v/>
      </c>
    </row>
    <row r="4519">
      <c r="A4519" s="9" t="n">
        <v>4515</v>
      </c>
      <c r="B4519" s="9" t="inlineStr">
        <is>
          <t>Meridian</t>
        </is>
      </c>
      <c r="C4519" s="9" t="inlineStr">
        <is>
          <t>21/50 MA cross, 250-period confirm filter, VWAP</t>
        </is>
      </c>
      <c r="D4519" s="9" t="inlineStr">
        <is>
          <t>Short</t>
        </is>
      </c>
      <c r="E4519" s="10" t="n">
        <v>45730.83333333334</v>
      </c>
      <c r="F4519" s="10" t="n">
        <v>45730.91666666666</v>
      </c>
      <c r="G4519" s="11" t="n">
        <v>2.53</v>
      </c>
      <c r="H4519" s="11">
        <f>H4518+G4519</f>
        <v/>
      </c>
    </row>
    <row r="4520">
      <c r="A4520" s="9" t="n">
        <v>4516</v>
      </c>
      <c r="B4520" s="9" t="inlineStr">
        <is>
          <t>Vanguard_M5</t>
        </is>
      </c>
      <c r="C4520" s="9" t="inlineStr">
        <is>
          <t>Trendline breakout (fractal swing line) + VWAP/S-R distance gate</t>
        </is>
      </c>
      <c r="D4520" s="9" t="inlineStr">
        <is>
          <t>Short</t>
        </is>
      </c>
      <c r="E4520" s="10" t="n">
        <v>45730.85416666666</v>
      </c>
      <c r="F4520" s="10" t="n">
        <v>45733.05208333334</v>
      </c>
      <c r="G4520" s="11" t="n">
        <v>-6.51</v>
      </c>
      <c r="H4520" s="11">
        <f>H4519+G4520</f>
        <v/>
      </c>
    </row>
    <row r="4521">
      <c r="A4521" s="9" t="n">
        <v>4517</v>
      </c>
      <c r="B4521" s="9" t="inlineStr">
        <is>
          <t>Ratchet</t>
        </is>
      </c>
      <c r="C4521" s="9" t="inlineStr">
        <is>
          <t>Stochastic scalp with give-back trail exit</t>
        </is>
      </c>
      <c r="D4521" s="9" t="inlineStr">
        <is>
          <t>Long</t>
        </is>
      </c>
      <c r="E4521" s="10" t="n">
        <v>45733.07291666666</v>
      </c>
      <c r="F4521" s="10" t="n">
        <v>45733.07986111111</v>
      </c>
      <c r="G4521" s="11" t="n">
        <v>-2.5</v>
      </c>
      <c r="H4521" s="11">
        <f>H4520+G4521</f>
        <v/>
      </c>
    </row>
    <row r="4522">
      <c r="A4522" s="9" t="n">
        <v>4518</v>
      </c>
      <c r="B4522" s="9" t="inlineStr">
        <is>
          <t>Ratchet</t>
        </is>
      </c>
      <c r="C4522" s="9" t="inlineStr">
        <is>
          <t>Stochastic scalp with give-back trail exit</t>
        </is>
      </c>
      <c r="D4522" s="9" t="inlineStr">
        <is>
          <t>Long</t>
        </is>
      </c>
      <c r="E4522" s="10" t="n">
        <v>45733.16319444445</v>
      </c>
      <c r="F4522" s="10" t="n">
        <v>45733.18055555555</v>
      </c>
      <c r="G4522" s="11" t="n">
        <v>-3.14</v>
      </c>
      <c r="H4522" s="11">
        <f>H4521+G4522</f>
        <v/>
      </c>
    </row>
    <row r="4523">
      <c r="A4523" s="9" t="n">
        <v>4519</v>
      </c>
      <c r="B4523" s="9" t="inlineStr">
        <is>
          <t>Aurelius_M5</t>
        </is>
      </c>
      <c r="C4523" s="9" t="inlineStr">
        <is>
          <t>MA alignment (EMA21&gt;EMA50&gt;SMA250&gt;SMMA500 vs EMA2400 trend filter)</t>
        </is>
      </c>
      <c r="D4523" s="9" t="inlineStr">
        <is>
          <t>Long</t>
        </is>
      </c>
      <c r="E4523" s="10" t="n">
        <v>45733.13888888889</v>
      </c>
      <c r="F4523" s="10" t="n">
        <v>45733.20138888889</v>
      </c>
      <c r="G4523" s="11" t="n">
        <v>-2.86</v>
      </c>
      <c r="H4523" s="11">
        <f>H4522+G4523</f>
        <v/>
      </c>
    </row>
    <row r="4524">
      <c r="A4524" s="9" t="n">
        <v>4520</v>
      </c>
      <c r="B4524" s="9" t="inlineStr">
        <is>
          <t>Meridian</t>
        </is>
      </c>
      <c r="C4524" s="9" t="inlineStr">
        <is>
          <t>21/50 MA cross, 250-period confirm filter, VWAP</t>
        </is>
      </c>
      <c r="D4524" s="9" t="inlineStr">
        <is>
          <t>Short</t>
        </is>
      </c>
      <c r="E4524" s="10" t="n">
        <v>45733.20486111111</v>
      </c>
      <c r="F4524" s="10" t="n">
        <v>45733.36111111111</v>
      </c>
      <c r="G4524" s="11" t="n">
        <v>-2.27</v>
      </c>
      <c r="H4524" s="11">
        <f>H4523+G4524</f>
        <v/>
      </c>
    </row>
    <row r="4525">
      <c r="A4525" s="9" t="n">
        <v>4521</v>
      </c>
      <c r="B4525" s="9" t="inlineStr">
        <is>
          <t>Vanguard_M15</t>
        </is>
      </c>
      <c r="C4525" s="9" t="inlineStr">
        <is>
          <t>Trendline breakout (fractal swing line) + VWAP/S-R distance gate - M15 chart</t>
        </is>
      </c>
      <c r="D4525" s="9" t="inlineStr">
        <is>
          <t>Short</t>
        </is>
      </c>
      <c r="E4525" s="10" t="n">
        <v>45730.86458333334</v>
      </c>
      <c r="F4525" s="10" t="n">
        <v>45733.4375</v>
      </c>
      <c r="G4525" s="11" t="n">
        <v>-3.4</v>
      </c>
      <c r="H4525" s="11">
        <f>H4524+G4525</f>
        <v/>
      </c>
    </row>
    <row r="4526">
      <c r="A4526" s="9" t="n">
        <v>4522</v>
      </c>
      <c r="B4526" s="9" t="inlineStr">
        <is>
          <t>Meridian</t>
        </is>
      </c>
      <c r="C4526" s="9" t="inlineStr">
        <is>
          <t>21/50 MA cross, 250-period confirm filter, VWAP</t>
        </is>
      </c>
      <c r="D4526" s="9" t="inlineStr">
        <is>
          <t>Short</t>
        </is>
      </c>
      <c r="E4526" s="10" t="n">
        <v>45733.42013888889</v>
      </c>
      <c r="F4526" s="10" t="n">
        <v>45733.45833333334</v>
      </c>
      <c r="G4526" s="11" t="n">
        <v>-3.08</v>
      </c>
      <c r="H4526" s="11">
        <f>H4525+G4526</f>
        <v/>
      </c>
    </row>
    <row r="4527">
      <c r="A4527" s="9" t="n">
        <v>4523</v>
      </c>
      <c r="B4527" s="9" t="inlineStr">
        <is>
          <t>Ratchet</t>
        </is>
      </c>
      <c r="C4527" s="9" t="inlineStr">
        <is>
          <t>Stochastic scalp with give-back trail exit</t>
        </is>
      </c>
      <c r="D4527" s="9" t="inlineStr">
        <is>
          <t>Long</t>
        </is>
      </c>
      <c r="E4527" s="10" t="n">
        <v>45733.48263888889</v>
      </c>
      <c r="F4527" s="10" t="n">
        <v>45733.58680555555</v>
      </c>
      <c r="G4527" s="11" t="n">
        <v>2.11</v>
      </c>
      <c r="H4527" s="11">
        <f>H4526+G4527</f>
        <v/>
      </c>
    </row>
    <row r="4528">
      <c r="A4528" s="9" t="n">
        <v>4524</v>
      </c>
      <c r="B4528" s="9" t="inlineStr">
        <is>
          <t>Meridian</t>
        </is>
      </c>
      <c r="C4528" s="9" t="inlineStr">
        <is>
          <t>21/50 MA cross, 250-period confirm filter, VWAP</t>
        </is>
      </c>
      <c r="D4528" s="9" t="inlineStr">
        <is>
          <t>Short</t>
        </is>
      </c>
      <c r="E4528" s="10" t="n">
        <v>45733.61805555555</v>
      </c>
      <c r="F4528" s="10" t="n">
        <v>45733.68055555555</v>
      </c>
      <c r="G4528" s="11" t="n">
        <v>-7.69</v>
      </c>
      <c r="H4528" s="11">
        <f>H4527+G4528</f>
        <v/>
      </c>
    </row>
    <row r="4529">
      <c r="A4529" s="9" t="n">
        <v>4525</v>
      </c>
      <c r="B4529" s="9" t="inlineStr">
        <is>
          <t>Ratchet</t>
        </is>
      </c>
      <c r="C4529" s="9" t="inlineStr">
        <is>
          <t>Stochastic scalp with give-back trail exit</t>
        </is>
      </c>
      <c r="D4529" s="9" t="inlineStr">
        <is>
          <t>Long</t>
        </is>
      </c>
      <c r="E4529" s="10" t="n">
        <v>45733.69791666666</v>
      </c>
      <c r="F4529" s="10" t="n">
        <v>45733.71180555555</v>
      </c>
      <c r="G4529" s="11" t="n">
        <v>-4.87</v>
      </c>
      <c r="H4529" s="11">
        <f>H4528+G4529</f>
        <v/>
      </c>
    </row>
    <row r="4530">
      <c r="A4530" s="9" t="n">
        <v>4526</v>
      </c>
      <c r="B4530" s="9" t="inlineStr">
        <is>
          <t>Ratchet</t>
        </is>
      </c>
      <c r="C4530" s="9" t="inlineStr">
        <is>
          <t>Stochastic scalp with give-back trail exit</t>
        </is>
      </c>
      <c r="D4530" s="9" t="inlineStr">
        <is>
          <t>Long</t>
        </is>
      </c>
      <c r="E4530" s="10" t="n">
        <v>45733.74305555555</v>
      </c>
      <c r="F4530" s="10" t="n">
        <v>45733.74652777778</v>
      </c>
      <c r="G4530" s="11" t="n">
        <v>0.45</v>
      </c>
      <c r="H4530" s="11">
        <f>H4529+G4530</f>
        <v/>
      </c>
    </row>
    <row r="4531">
      <c r="A4531" s="9" t="n">
        <v>4527</v>
      </c>
      <c r="B4531" s="9" t="inlineStr">
        <is>
          <t>Ratchet</t>
        </is>
      </c>
      <c r="C4531" s="9" t="inlineStr">
        <is>
          <t>Stochastic scalp with give-back trail exit</t>
        </is>
      </c>
      <c r="D4531" s="9" t="inlineStr">
        <is>
          <t>Long</t>
        </is>
      </c>
      <c r="E4531" s="10" t="n">
        <v>45733.76388888889</v>
      </c>
      <c r="F4531" s="10" t="n">
        <v>45733.77430555555</v>
      </c>
      <c r="G4531" s="11" t="n">
        <v>-3.51</v>
      </c>
      <c r="H4531" s="11">
        <f>H4530+G4531</f>
        <v/>
      </c>
    </row>
    <row r="4532">
      <c r="A4532" s="9" t="n">
        <v>4528</v>
      </c>
      <c r="B4532" s="9" t="inlineStr">
        <is>
          <t>Ratchet</t>
        </is>
      </c>
      <c r="C4532" s="9" t="inlineStr">
        <is>
          <t>Stochastic scalp with give-back trail exit</t>
        </is>
      </c>
      <c r="D4532" s="9" t="inlineStr">
        <is>
          <t>Long</t>
        </is>
      </c>
      <c r="E4532" s="10" t="n">
        <v>45733.80208333334</v>
      </c>
      <c r="F4532" s="10" t="n">
        <v>45733.82986111111</v>
      </c>
      <c r="G4532" s="11" t="n">
        <v>0.53</v>
      </c>
      <c r="H4532" s="11">
        <f>H4531+G4532</f>
        <v/>
      </c>
    </row>
    <row r="4533">
      <c r="A4533" s="9" t="n">
        <v>4529</v>
      </c>
      <c r="B4533" s="9" t="inlineStr">
        <is>
          <t>Ratchet</t>
        </is>
      </c>
      <c r="C4533" s="9" t="inlineStr">
        <is>
          <t>Stochastic scalp with give-back trail exit</t>
        </is>
      </c>
      <c r="D4533" s="9" t="inlineStr">
        <is>
          <t>Long</t>
        </is>
      </c>
      <c r="E4533" s="10" t="n">
        <v>45733.85069444445</v>
      </c>
      <c r="F4533" s="10" t="n">
        <v>45733.89930555555</v>
      </c>
      <c r="G4533" s="11" t="n">
        <v>-1.96</v>
      </c>
      <c r="H4533" s="11">
        <f>H4532+G4533</f>
        <v/>
      </c>
    </row>
    <row r="4534">
      <c r="A4534" s="9" t="n">
        <v>4530</v>
      </c>
      <c r="B4534" s="9" t="inlineStr">
        <is>
          <t>Ratchet</t>
        </is>
      </c>
      <c r="C4534" s="9" t="inlineStr">
        <is>
          <t>Stochastic scalp with give-back trail exit</t>
        </is>
      </c>
      <c r="D4534" s="9" t="inlineStr">
        <is>
          <t>Long</t>
        </is>
      </c>
      <c r="E4534" s="10" t="n">
        <v>45734.15972222222</v>
      </c>
      <c r="F4534" s="10" t="n">
        <v>45734.16666666666</v>
      </c>
      <c r="G4534" s="11" t="n">
        <v>0.38</v>
      </c>
      <c r="H4534" s="11">
        <f>H4533+G4534</f>
        <v/>
      </c>
    </row>
    <row r="4535">
      <c r="A4535" s="9" t="n">
        <v>4531</v>
      </c>
      <c r="B4535" s="9" t="inlineStr">
        <is>
          <t>Ratchet</t>
        </is>
      </c>
      <c r="C4535" s="9" t="inlineStr">
        <is>
          <t>Stochastic scalp with give-back trail exit</t>
        </is>
      </c>
      <c r="D4535" s="9" t="inlineStr">
        <is>
          <t>Long</t>
        </is>
      </c>
      <c r="E4535" s="10" t="n">
        <v>45734.17708333334</v>
      </c>
      <c r="F4535" s="10" t="n">
        <v>45734.19097222222</v>
      </c>
      <c r="G4535" s="11" t="n">
        <v>0.34</v>
      </c>
      <c r="H4535" s="11">
        <f>H4534+G4535</f>
        <v/>
      </c>
    </row>
    <row r="4536">
      <c r="A4536" s="9" t="n">
        <v>4532</v>
      </c>
      <c r="B4536" s="9" t="inlineStr">
        <is>
          <t>Ratchet</t>
        </is>
      </c>
      <c r="C4536" s="9" t="inlineStr">
        <is>
          <t>Stochastic scalp with give-back trail exit</t>
        </is>
      </c>
      <c r="D4536" s="9" t="inlineStr">
        <is>
          <t>Long</t>
        </is>
      </c>
      <c r="E4536" s="10" t="n">
        <v>45734.34027777778</v>
      </c>
      <c r="F4536" s="10" t="n">
        <v>45734.34722222222</v>
      </c>
      <c r="G4536" s="11" t="n">
        <v>-4.24</v>
      </c>
      <c r="H4536" s="11">
        <f>H4535+G4536</f>
        <v/>
      </c>
    </row>
    <row r="4537">
      <c r="A4537" s="9" t="n">
        <v>4533</v>
      </c>
      <c r="B4537" s="9" t="inlineStr">
        <is>
          <t>Ratchet</t>
        </is>
      </c>
      <c r="C4537" s="9" t="inlineStr">
        <is>
          <t>Stochastic scalp with give-back trail exit</t>
        </is>
      </c>
      <c r="D4537" s="9" t="inlineStr">
        <is>
          <t>Long</t>
        </is>
      </c>
      <c r="E4537" s="10" t="n">
        <v>45734.37152777778</v>
      </c>
      <c r="F4537" s="10" t="n">
        <v>45734.38541666666</v>
      </c>
      <c r="G4537" s="11" t="n">
        <v>0</v>
      </c>
      <c r="H4537" s="11">
        <f>H4536+G4537</f>
        <v/>
      </c>
    </row>
    <row r="4538">
      <c r="A4538" s="9" t="n">
        <v>4534</v>
      </c>
      <c r="B4538" s="9" t="inlineStr">
        <is>
          <t>Ratchet</t>
        </is>
      </c>
      <c r="C4538" s="9" t="inlineStr">
        <is>
          <t>Stochastic scalp with give-back trail exit</t>
        </is>
      </c>
      <c r="D4538" s="9" t="inlineStr">
        <is>
          <t>Long</t>
        </is>
      </c>
      <c r="E4538" s="10" t="n">
        <v>45734.39930555555</v>
      </c>
      <c r="F4538" s="10" t="n">
        <v>45734.40277777778</v>
      </c>
      <c r="G4538" s="11" t="n">
        <v>0</v>
      </c>
      <c r="H4538" s="11">
        <f>H4537+G4538</f>
        <v/>
      </c>
    </row>
    <row r="4539">
      <c r="A4539" s="9" t="n">
        <v>4535</v>
      </c>
      <c r="B4539" s="9" t="inlineStr">
        <is>
          <t>Ratchet</t>
        </is>
      </c>
      <c r="C4539" s="9" t="inlineStr">
        <is>
          <t>Stochastic scalp with give-back trail exit</t>
        </is>
      </c>
      <c r="D4539" s="9" t="inlineStr">
        <is>
          <t>Long</t>
        </is>
      </c>
      <c r="E4539" s="10" t="n">
        <v>45734.40625</v>
      </c>
      <c r="F4539" s="10" t="n">
        <v>45734.47916666666</v>
      </c>
      <c r="G4539" s="11" t="n">
        <v>2.81</v>
      </c>
      <c r="H4539" s="11">
        <f>H4538+G4539</f>
        <v/>
      </c>
    </row>
    <row r="4540">
      <c r="A4540" s="9" t="n">
        <v>4536</v>
      </c>
      <c r="B4540" s="9" t="inlineStr">
        <is>
          <t>Ratchet</t>
        </is>
      </c>
      <c r="C4540" s="9" t="inlineStr">
        <is>
          <t>Stochastic scalp with give-back trail exit</t>
        </is>
      </c>
      <c r="D4540" s="9" t="inlineStr">
        <is>
          <t>Long</t>
        </is>
      </c>
      <c r="E4540" s="10" t="n">
        <v>45734.51736111111</v>
      </c>
      <c r="F4540" s="10" t="n">
        <v>45734.52777777778</v>
      </c>
      <c r="G4540" s="11" t="n">
        <v>-3.73</v>
      </c>
      <c r="H4540" s="11">
        <f>H4539+G4540</f>
        <v/>
      </c>
    </row>
    <row r="4541">
      <c r="A4541" s="9" t="n">
        <v>4537</v>
      </c>
      <c r="B4541" s="9" t="inlineStr">
        <is>
          <t>Ratchet</t>
        </is>
      </c>
      <c r="C4541" s="9" t="inlineStr">
        <is>
          <t>Stochastic scalp with give-back trail exit</t>
        </is>
      </c>
      <c r="D4541" s="9" t="inlineStr">
        <is>
          <t>Long</t>
        </is>
      </c>
      <c r="E4541" s="10" t="n">
        <v>45734.73611111111</v>
      </c>
      <c r="F4541" s="10" t="n">
        <v>45734.80555555555</v>
      </c>
      <c r="G4541" s="11" t="n">
        <v>1.53</v>
      </c>
      <c r="H4541" s="11">
        <f>H4540+G4541</f>
        <v/>
      </c>
    </row>
    <row r="4542">
      <c r="A4542" s="9" t="n">
        <v>4538</v>
      </c>
      <c r="B4542" s="9" t="inlineStr">
        <is>
          <t>Ratchet</t>
        </is>
      </c>
      <c r="C4542" s="9" t="inlineStr">
        <is>
          <t>Stochastic scalp with give-back trail exit</t>
        </is>
      </c>
      <c r="D4542" s="9" t="inlineStr">
        <is>
          <t>Long</t>
        </is>
      </c>
      <c r="E4542" s="10" t="n">
        <v>45734.86458333334</v>
      </c>
      <c r="F4542" s="10" t="n">
        <v>45734.87152777778</v>
      </c>
      <c r="G4542" s="11" t="n">
        <v>0</v>
      </c>
      <c r="H4542" s="11">
        <f>H4541+G4542</f>
        <v/>
      </c>
    </row>
    <row r="4543">
      <c r="A4543" s="9" t="n">
        <v>4539</v>
      </c>
      <c r="B4543" s="9" t="inlineStr">
        <is>
          <t>Aurelius_M5</t>
        </is>
      </c>
      <c r="C4543" s="9" t="inlineStr">
        <is>
          <t>MA alignment (EMA21&gt;EMA50&gt;SMA250&gt;SMMA500 vs EMA2400 trend filter)</t>
        </is>
      </c>
      <c r="D4543" s="9" t="inlineStr">
        <is>
          <t>Long</t>
        </is>
      </c>
      <c r="E4543" s="10" t="n">
        <v>45734.12847222222</v>
      </c>
      <c r="F4543" s="10" t="n">
        <v>45734.94791666666</v>
      </c>
      <c r="G4543" s="11" t="n">
        <v>32.24</v>
      </c>
      <c r="H4543" s="11">
        <f>H4542+G4543</f>
        <v/>
      </c>
    </row>
    <row r="4544">
      <c r="A4544" s="9" t="n">
        <v>4540</v>
      </c>
      <c r="B4544" s="9" t="inlineStr">
        <is>
          <t>Ratchet</t>
        </is>
      </c>
      <c r="C4544" s="9" t="inlineStr">
        <is>
          <t>Stochastic scalp with give-back trail exit</t>
        </is>
      </c>
      <c r="D4544" s="9" t="inlineStr">
        <is>
          <t>Long</t>
        </is>
      </c>
      <c r="E4544" s="10" t="n">
        <v>45735.26041666666</v>
      </c>
      <c r="F4544" s="10" t="n">
        <v>45735.27777777778</v>
      </c>
      <c r="G4544" s="11" t="n">
        <v>0.45</v>
      </c>
      <c r="H4544" s="11">
        <f>H4543+G4544</f>
        <v/>
      </c>
    </row>
    <row r="4545">
      <c r="A4545" s="9" t="n">
        <v>4541</v>
      </c>
      <c r="B4545" s="9" t="inlineStr">
        <is>
          <t>Meridian</t>
        </is>
      </c>
      <c r="C4545" s="9" t="inlineStr">
        <is>
          <t>21/50 MA cross, 250-period confirm filter, VWAP</t>
        </is>
      </c>
      <c r="D4545" s="9" t="inlineStr">
        <is>
          <t>Long</t>
        </is>
      </c>
      <c r="E4545" s="10" t="n">
        <v>45733.69097222222</v>
      </c>
      <c r="F4545" s="10" t="n">
        <v>45735.42708333334</v>
      </c>
      <c r="G4545" s="11" t="n">
        <v>35.48</v>
      </c>
      <c r="H4545" s="11">
        <f>H4544+G4545</f>
        <v/>
      </c>
    </row>
    <row r="4546">
      <c r="A4546" s="9" t="n">
        <v>4542</v>
      </c>
      <c r="B4546" s="9" t="inlineStr">
        <is>
          <t>Aurelius_M15</t>
        </is>
      </c>
      <c r="C4546" s="9" t="inlineStr">
        <is>
          <t>MA alignment (EMA21&gt;EMA50&gt;SMA250&gt;SMMA500 vs EMA2400 trend filter) - M15 chart</t>
        </is>
      </c>
      <c r="D4546" s="9" t="inlineStr">
        <is>
          <t>Long</t>
        </is>
      </c>
      <c r="E4546" s="10" t="n">
        <v>45733.67708333334</v>
      </c>
      <c r="F4546" s="10" t="n">
        <v>45735.5</v>
      </c>
      <c r="G4546" s="11" t="n">
        <v>37.22</v>
      </c>
      <c r="H4546" s="11">
        <f>H4545+G4546</f>
        <v/>
      </c>
    </row>
    <row r="4547">
      <c r="A4547" s="9" t="n">
        <v>4543</v>
      </c>
      <c r="B4547" s="9" t="inlineStr">
        <is>
          <t>Meridian</t>
        </is>
      </c>
      <c r="C4547" s="9" t="inlineStr">
        <is>
          <t>21/50 MA cross, 250-period confirm filter, VWAP</t>
        </is>
      </c>
      <c r="D4547" s="9" t="inlineStr">
        <is>
          <t>Long</t>
        </is>
      </c>
      <c r="E4547" s="10" t="n">
        <v>45735.54861111111</v>
      </c>
      <c r="F4547" s="10" t="n">
        <v>45735.64583333334</v>
      </c>
      <c r="G4547" s="11" t="n">
        <v>-4.74</v>
      </c>
      <c r="H4547" s="11">
        <f>H4546+G4547</f>
        <v/>
      </c>
    </row>
    <row r="4548">
      <c r="A4548" s="9" t="n">
        <v>4544</v>
      </c>
      <c r="B4548" s="9" t="inlineStr">
        <is>
          <t>Meridian</t>
        </is>
      </c>
      <c r="C4548" s="9" t="inlineStr">
        <is>
          <t>21/50 MA cross, 250-period confirm filter, VWAP</t>
        </is>
      </c>
      <c r="D4548" s="9" t="inlineStr">
        <is>
          <t>Short</t>
        </is>
      </c>
      <c r="E4548" s="10" t="n">
        <v>45735.65277777778</v>
      </c>
      <c r="F4548" s="10" t="n">
        <v>45735.66319444445</v>
      </c>
      <c r="G4548" s="11" t="n">
        <v>-5.83</v>
      </c>
      <c r="H4548" s="11">
        <f>H4547+G4548</f>
        <v/>
      </c>
    </row>
    <row r="4549">
      <c r="A4549" s="9" t="n">
        <v>4545</v>
      </c>
      <c r="B4549" s="9" t="inlineStr">
        <is>
          <t>Meridian</t>
        </is>
      </c>
      <c r="C4549" s="9" t="inlineStr">
        <is>
          <t>21/50 MA cross, 250-period confirm filter, VWAP</t>
        </is>
      </c>
      <c r="D4549" s="9" t="inlineStr">
        <is>
          <t>Short</t>
        </is>
      </c>
      <c r="E4549" s="10" t="n">
        <v>45735.81944444445</v>
      </c>
      <c r="F4549" s="10" t="n">
        <v>45735.83333333334</v>
      </c>
      <c r="G4549" s="11" t="n">
        <v>-4.53</v>
      </c>
      <c r="H4549" s="11">
        <f>H4548+G4549</f>
        <v/>
      </c>
    </row>
    <row r="4550">
      <c r="A4550" s="9" t="n">
        <v>4546</v>
      </c>
      <c r="B4550" s="9" t="inlineStr">
        <is>
          <t>Ratchet</t>
        </is>
      </c>
      <c r="C4550" s="9" t="inlineStr">
        <is>
          <t>Stochastic scalp with give-back trail exit</t>
        </is>
      </c>
      <c r="D4550" s="9" t="inlineStr">
        <is>
          <t>Long</t>
        </is>
      </c>
      <c r="E4550" s="10" t="n">
        <v>45735.87152777778</v>
      </c>
      <c r="F4550" s="10" t="n">
        <v>45735.87847222222</v>
      </c>
      <c r="G4550" s="11" t="n">
        <v>0.62</v>
      </c>
      <c r="H4550" s="11">
        <f>H4549+G4550</f>
        <v/>
      </c>
    </row>
    <row r="4551">
      <c r="A4551" s="9" t="n">
        <v>4547</v>
      </c>
      <c r="B4551" s="9" t="inlineStr">
        <is>
          <t>Ratchet</t>
        </is>
      </c>
      <c r="C4551" s="9" t="inlineStr">
        <is>
          <t>Stochastic scalp with give-back trail exit</t>
        </is>
      </c>
      <c r="D4551" s="9" t="inlineStr">
        <is>
          <t>Long</t>
        </is>
      </c>
      <c r="E4551" s="10" t="n">
        <v>45735.93055555555</v>
      </c>
      <c r="F4551" s="10" t="n">
        <v>45736.16666666666</v>
      </c>
      <c r="G4551" s="11" t="n">
        <v>2.7</v>
      </c>
      <c r="H4551" s="11">
        <f>H4550+G4551</f>
        <v/>
      </c>
    </row>
    <row r="4552">
      <c r="A4552" s="9" t="n">
        <v>4548</v>
      </c>
      <c r="B4552" s="9" t="inlineStr">
        <is>
          <t>Aurelius_M5</t>
        </is>
      </c>
      <c r="C4552" s="9" t="inlineStr">
        <is>
          <t>MA alignment (EMA21&gt;EMA50&gt;SMA250&gt;SMMA500 vs EMA2400 trend filter)</t>
        </is>
      </c>
      <c r="D4552" s="9" t="inlineStr">
        <is>
          <t>Long</t>
        </is>
      </c>
      <c r="E4552" s="10" t="n">
        <v>45735.86111111111</v>
      </c>
      <c r="F4552" s="10" t="n">
        <v>45736.1875</v>
      </c>
      <c r="G4552" s="11" t="n">
        <v>6.71</v>
      </c>
      <c r="H4552" s="11">
        <f>H4551+G4552</f>
        <v/>
      </c>
    </row>
    <row r="4553">
      <c r="A4553" s="9" t="n">
        <v>4549</v>
      </c>
      <c r="B4553" s="9" t="inlineStr">
        <is>
          <t>Aurelius_M15</t>
        </is>
      </c>
      <c r="C4553" s="9" t="inlineStr">
        <is>
          <t>MA alignment (EMA21&gt;EMA50&gt;SMA250&gt;SMMA500 vs EMA2400 trend filter) - M15 chart</t>
        </is>
      </c>
      <c r="D4553" s="9" t="inlineStr">
        <is>
          <t>Long</t>
        </is>
      </c>
      <c r="E4553" s="10" t="n">
        <v>45735.91666666666</v>
      </c>
      <c r="F4553" s="10" t="n">
        <v>45736.23958333334</v>
      </c>
      <c r="G4553" s="11" t="n">
        <v>-0.04</v>
      </c>
      <c r="H4553" s="11">
        <f>H4552+G4553</f>
        <v/>
      </c>
    </row>
    <row r="4554">
      <c r="A4554" s="9" t="n">
        <v>4550</v>
      </c>
      <c r="B4554" s="9" t="inlineStr">
        <is>
          <t>Aurelius_M5</t>
        </is>
      </c>
      <c r="C4554" s="9" t="inlineStr">
        <is>
          <t>MA alignment (EMA21&gt;EMA50&gt;SMA250&gt;SMMA500 vs EMA2400 trend filter)</t>
        </is>
      </c>
      <c r="D4554" s="9" t="inlineStr">
        <is>
          <t>Long</t>
        </is>
      </c>
      <c r="E4554" s="10" t="n">
        <v>45736.28819444445</v>
      </c>
      <c r="F4554" s="10" t="n">
        <v>45736.29513888889</v>
      </c>
      <c r="G4554" s="11" t="n">
        <v>-4.05</v>
      </c>
      <c r="H4554" s="11">
        <f>H4553+G4554</f>
        <v/>
      </c>
    </row>
    <row r="4555">
      <c r="A4555" s="9" t="n">
        <v>4551</v>
      </c>
      <c r="B4555" s="9" t="inlineStr">
        <is>
          <t>Meridian</t>
        </is>
      </c>
      <c r="C4555" s="9" t="inlineStr">
        <is>
          <t>21/50 MA cross, 250-period confirm filter, VWAP</t>
        </is>
      </c>
      <c r="D4555" s="9" t="inlineStr">
        <is>
          <t>Long</t>
        </is>
      </c>
      <c r="E4555" s="10" t="n">
        <v>45736.27083333334</v>
      </c>
      <c r="F4555" s="10" t="n">
        <v>45736.30555555555</v>
      </c>
      <c r="G4555" s="11" t="n">
        <v>-3.86</v>
      </c>
      <c r="H4555" s="11">
        <f>H4554+G4555</f>
        <v/>
      </c>
    </row>
    <row r="4556">
      <c r="A4556" s="9" t="n">
        <v>4552</v>
      </c>
      <c r="B4556" s="9" t="inlineStr">
        <is>
          <t>Vanguard_M5</t>
        </is>
      </c>
      <c r="C4556" s="9" t="inlineStr">
        <is>
          <t>Trendline breakout (fractal swing line) + VWAP/S-R distance gate</t>
        </is>
      </c>
      <c r="D4556" s="9" t="inlineStr">
        <is>
          <t>Short</t>
        </is>
      </c>
      <c r="E4556" s="10" t="n">
        <v>45736.50694444445</v>
      </c>
      <c r="F4556" s="10" t="n">
        <v>45736.84027777778</v>
      </c>
      <c r="G4556" s="11" t="n">
        <v>-8.49</v>
      </c>
      <c r="H4556" s="11">
        <f>H4555+G4556</f>
        <v/>
      </c>
    </row>
    <row r="4557">
      <c r="A4557" s="9" t="n">
        <v>4553</v>
      </c>
      <c r="B4557" s="9" t="inlineStr">
        <is>
          <t>Vanguard_M15</t>
        </is>
      </c>
      <c r="C4557" s="9" t="inlineStr">
        <is>
          <t>Trendline breakout (fractal swing line) + VWAP/S-R distance gate - M15 chart</t>
        </is>
      </c>
      <c r="D4557" s="9" t="inlineStr">
        <is>
          <t>Short</t>
        </is>
      </c>
      <c r="E4557" s="10" t="n">
        <v>45736.51041666666</v>
      </c>
      <c r="F4557" s="10" t="n">
        <v>45736.84375</v>
      </c>
      <c r="G4557" s="11" t="n">
        <v>-10.9</v>
      </c>
      <c r="H4557" s="11">
        <f>H4556+G4557</f>
        <v/>
      </c>
    </row>
    <row r="4558">
      <c r="A4558" s="9" t="n">
        <v>4554</v>
      </c>
      <c r="B4558" s="9" t="inlineStr">
        <is>
          <t>Ratchet</t>
        </is>
      </c>
      <c r="C4558" s="9" t="inlineStr">
        <is>
          <t>Stochastic scalp with give-back trail exit</t>
        </is>
      </c>
      <c r="D4558" s="9" t="inlineStr">
        <is>
          <t>Long</t>
        </is>
      </c>
      <c r="E4558" s="10" t="n">
        <v>45736.94444444445</v>
      </c>
      <c r="F4558" s="10" t="n">
        <v>45737</v>
      </c>
      <c r="G4558" s="11" t="n">
        <v>-1.48</v>
      </c>
      <c r="H4558" s="11">
        <f>H4557+G4558</f>
        <v/>
      </c>
    </row>
    <row r="4559">
      <c r="A4559" s="9" t="n">
        <v>4555</v>
      </c>
      <c r="B4559" s="9" t="inlineStr">
        <is>
          <t>Ratchet</t>
        </is>
      </c>
      <c r="C4559" s="9" t="inlineStr">
        <is>
          <t>Stochastic scalp with give-back trail exit</t>
        </is>
      </c>
      <c r="D4559" s="9" t="inlineStr">
        <is>
          <t>Long</t>
        </is>
      </c>
      <c r="E4559" s="10" t="n">
        <v>45737.04513888889</v>
      </c>
      <c r="F4559" s="10" t="n">
        <v>45737.05902777778</v>
      </c>
      <c r="G4559" s="11" t="n">
        <v>-1.28</v>
      </c>
      <c r="H4559" s="11">
        <f>H4558+G4559</f>
        <v/>
      </c>
    </row>
    <row r="4560">
      <c r="A4560" s="9" t="n">
        <v>4556</v>
      </c>
      <c r="B4560" s="9" t="inlineStr">
        <is>
          <t>Vanguard_M5</t>
        </is>
      </c>
      <c r="C4560" s="9" t="inlineStr">
        <is>
          <t>Trendline breakout (fractal swing line) + VWAP/S-R distance gate</t>
        </is>
      </c>
      <c r="D4560" s="9" t="inlineStr">
        <is>
          <t>Short</t>
        </is>
      </c>
      <c r="E4560" s="10" t="n">
        <v>45737.30208333334</v>
      </c>
      <c r="F4560" s="10" t="n">
        <v>45737.34027777778</v>
      </c>
      <c r="G4560" s="11" t="n">
        <v>-5.25</v>
      </c>
      <c r="H4560" s="11">
        <f>H4559+G4560</f>
        <v/>
      </c>
    </row>
    <row r="4561">
      <c r="A4561" s="9" t="n">
        <v>4557</v>
      </c>
      <c r="B4561" s="9" t="inlineStr">
        <is>
          <t>Vanguard_M15</t>
        </is>
      </c>
      <c r="C4561" s="9" t="inlineStr">
        <is>
          <t>Trendline breakout (fractal swing line) + VWAP/S-R distance gate - M15 chart</t>
        </is>
      </c>
      <c r="D4561" s="9" t="inlineStr">
        <is>
          <t>Short</t>
        </is>
      </c>
      <c r="E4561" s="10" t="n">
        <v>45737.30208333334</v>
      </c>
      <c r="F4561" s="10" t="n">
        <v>45737.41666666666</v>
      </c>
      <c r="G4561" s="11" t="n">
        <v>-7.26</v>
      </c>
      <c r="H4561" s="11">
        <f>H4560+G4561</f>
        <v/>
      </c>
    </row>
    <row r="4562">
      <c r="A4562" s="9" t="n">
        <v>4558</v>
      </c>
      <c r="B4562" s="9" t="inlineStr">
        <is>
          <t>Meridian</t>
        </is>
      </c>
      <c r="C4562" s="9" t="inlineStr">
        <is>
          <t>21/50 MA cross, 250-period confirm filter, VWAP</t>
        </is>
      </c>
      <c r="D4562" s="9" t="inlineStr">
        <is>
          <t>Short</t>
        </is>
      </c>
      <c r="E4562" s="10" t="n">
        <v>45737.47222222222</v>
      </c>
      <c r="F4562" s="10" t="n">
        <v>45737.51736111111</v>
      </c>
      <c r="G4562" s="11" t="n">
        <v>-3.24</v>
      </c>
      <c r="H4562" s="11">
        <f>H4561+G4562</f>
        <v/>
      </c>
    </row>
    <row r="4563">
      <c r="A4563" s="9" t="n">
        <v>4559</v>
      </c>
      <c r="B4563" s="9" t="inlineStr">
        <is>
          <t>Meridian</t>
        </is>
      </c>
      <c r="C4563" s="9" t="inlineStr">
        <is>
          <t>21/50 MA cross, 250-period confirm filter, VWAP</t>
        </is>
      </c>
      <c r="D4563" s="9" t="inlineStr">
        <is>
          <t>Short</t>
        </is>
      </c>
      <c r="E4563" s="10" t="n">
        <v>45737.65277777778</v>
      </c>
      <c r="F4563" s="10" t="n">
        <v>45737.86458333334</v>
      </c>
      <c r="G4563" s="11" t="n">
        <v>-3.98</v>
      </c>
      <c r="H4563" s="11">
        <f>H4562+G4563</f>
        <v/>
      </c>
    </row>
    <row r="4564">
      <c r="A4564" s="9" t="n">
        <v>4560</v>
      </c>
      <c r="B4564" s="9" t="inlineStr">
        <is>
          <t>Meridian</t>
        </is>
      </c>
      <c r="C4564" s="9" t="inlineStr">
        <is>
          <t>21/50 MA cross, 250-period confirm filter, VWAP</t>
        </is>
      </c>
      <c r="D4564" s="9" t="inlineStr">
        <is>
          <t>Short</t>
        </is>
      </c>
      <c r="E4564" s="10" t="n">
        <v>45740.125</v>
      </c>
      <c r="F4564" s="10" t="n">
        <v>45740.12847222222</v>
      </c>
      <c r="G4564" s="11" t="n">
        <v>-3.31</v>
      </c>
      <c r="H4564" s="11">
        <f>H4563+G4564</f>
        <v/>
      </c>
    </row>
    <row r="4565">
      <c r="A4565" s="9" t="n">
        <v>4561</v>
      </c>
      <c r="B4565" s="9" t="inlineStr">
        <is>
          <t>Meridian</t>
        </is>
      </c>
      <c r="C4565" s="9" t="inlineStr">
        <is>
          <t>21/50 MA cross, 250-period confirm filter, VWAP</t>
        </is>
      </c>
      <c r="D4565" s="9" t="inlineStr">
        <is>
          <t>Long</t>
        </is>
      </c>
      <c r="E4565" s="10" t="n">
        <v>45740.15277777778</v>
      </c>
      <c r="F4565" s="10" t="n">
        <v>45740.16319444445</v>
      </c>
      <c r="G4565" s="11" t="n">
        <v>-4.34</v>
      </c>
      <c r="H4565" s="11">
        <f>H4564+G4565</f>
        <v/>
      </c>
    </row>
    <row r="4566">
      <c r="A4566" s="9" t="n">
        <v>4562</v>
      </c>
      <c r="B4566" s="9" t="inlineStr">
        <is>
          <t>Meridian</t>
        </is>
      </c>
      <c r="C4566" s="9" t="inlineStr">
        <is>
          <t>21/50 MA cross, 250-period confirm filter, VWAP</t>
        </is>
      </c>
      <c r="D4566" s="9" t="inlineStr">
        <is>
          <t>Short</t>
        </is>
      </c>
      <c r="E4566" s="10" t="n">
        <v>45740.19444444445</v>
      </c>
      <c r="F4566" s="10" t="n">
        <v>45740.3125</v>
      </c>
      <c r="G4566" s="11" t="n">
        <v>-2.09</v>
      </c>
      <c r="H4566" s="11">
        <f>H4565+G4566</f>
        <v/>
      </c>
    </row>
    <row r="4567">
      <c r="A4567" s="9" t="n">
        <v>4563</v>
      </c>
      <c r="B4567" s="9" t="inlineStr">
        <is>
          <t>Vanguard_M5</t>
        </is>
      </c>
      <c r="C4567" s="9" t="inlineStr">
        <is>
          <t>Trendline breakout (fractal swing line) + VWAP/S-R distance gate</t>
        </is>
      </c>
      <c r="D4567" s="9" t="inlineStr">
        <is>
          <t>Short</t>
        </is>
      </c>
      <c r="E4567" s="10" t="n">
        <v>45737.64930555555</v>
      </c>
      <c r="F4567" s="10" t="n">
        <v>45740.37847222222</v>
      </c>
      <c r="G4567" s="11" t="n">
        <v>0.24</v>
      </c>
      <c r="H4567" s="11">
        <f>H4566+G4567</f>
        <v/>
      </c>
    </row>
    <row r="4568">
      <c r="A4568" s="9" t="n">
        <v>4564</v>
      </c>
      <c r="B4568" s="9" t="inlineStr">
        <is>
          <t>Vanguard_M15</t>
        </is>
      </c>
      <c r="C4568" s="9" t="inlineStr">
        <is>
          <t>Trendline breakout (fractal swing line) + VWAP/S-R distance gate - M15 chart</t>
        </is>
      </c>
      <c r="D4568" s="9" t="inlineStr">
        <is>
          <t>Short</t>
        </is>
      </c>
      <c r="E4568" s="10" t="n">
        <v>45737.65625</v>
      </c>
      <c r="F4568" s="10" t="n">
        <v>45740.38541666666</v>
      </c>
      <c r="G4568" s="11" t="n">
        <v>-13.41</v>
      </c>
      <c r="H4568" s="11">
        <f>H4567+G4568</f>
        <v/>
      </c>
    </row>
    <row r="4569">
      <c r="A4569" s="9" t="n">
        <v>4565</v>
      </c>
      <c r="B4569" s="9" t="inlineStr">
        <is>
          <t>Vanguard_M5</t>
        </is>
      </c>
      <c r="C4569" s="9" t="inlineStr">
        <is>
          <t>Trendline breakout (fractal swing line) + VWAP/S-R distance gate</t>
        </is>
      </c>
      <c r="D4569" s="9" t="inlineStr">
        <is>
          <t>Long</t>
        </is>
      </c>
      <c r="E4569" s="10" t="n">
        <v>45740.38194444445</v>
      </c>
      <c r="F4569" s="10" t="n">
        <v>45740.65625</v>
      </c>
      <c r="G4569" s="11" t="n">
        <v>-6.16</v>
      </c>
      <c r="H4569" s="11">
        <f>H4568+G4569</f>
        <v/>
      </c>
    </row>
    <row r="4570">
      <c r="A4570" s="9" t="n">
        <v>4566</v>
      </c>
      <c r="B4570" s="9" t="inlineStr">
        <is>
          <t>Vanguard_M15</t>
        </is>
      </c>
      <c r="C4570" s="9" t="inlineStr">
        <is>
          <t>Trendline breakout (fractal swing line) + VWAP/S-R distance gate - M15 chart</t>
        </is>
      </c>
      <c r="D4570" s="9" t="inlineStr">
        <is>
          <t>Long</t>
        </is>
      </c>
      <c r="E4570" s="10" t="n">
        <v>45740.42708333334</v>
      </c>
      <c r="F4570" s="10" t="n">
        <v>45740.67708333334</v>
      </c>
      <c r="G4570" s="11" t="n">
        <v>-9.02</v>
      </c>
      <c r="H4570" s="11">
        <f>H4569+G4570</f>
        <v/>
      </c>
    </row>
    <row r="4571">
      <c r="A4571" s="9" t="n">
        <v>4567</v>
      </c>
      <c r="B4571" s="9" t="inlineStr">
        <is>
          <t>Meridian</t>
        </is>
      </c>
      <c r="C4571" s="9" t="inlineStr">
        <is>
          <t>21/50 MA cross, 250-period confirm filter, VWAP</t>
        </is>
      </c>
      <c r="D4571" s="9" t="inlineStr">
        <is>
          <t>Short</t>
        </is>
      </c>
      <c r="E4571" s="10" t="n">
        <v>45741.20138888889</v>
      </c>
      <c r="F4571" s="10" t="n">
        <v>45741.21527777778</v>
      </c>
      <c r="G4571" s="11" t="n">
        <v>-3.73</v>
      </c>
      <c r="H4571" s="11">
        <f>H4570+G4571</f>
        <v/>
      </c>
    </row>
    <row r="4572">
      <c r="A4572" s="9" t="n">
        <v>4568</v>
      </c>
      <c r="B4572" s="9" t="inlineStr">
        <is>
          <t>Meridian</t>
        </is>
      </c>
      <c r="C4572" s="9" t="inlineStr">
        <is>
          <t>21/50 MA cross, 250-period confirm filter, VWAP</t>
        </is>
      </c>
      <c r="D4572" s="9" t="inlineStr">
        <is>
          <t>Short</t>
        </is>
      </c>
      <c r="E4572" s="10" t="n">
        <v>45741.40972222222</v>
      </c>
      <c r="F4572" s="10" t="n">
        <v>45741.43055555555</v>
      </c>
      <c r="G4572" s="11" t="n">
        <v>-3.67</v>
      </c>
      <c r="H4572" s="11">
        <f>H4571+G4572</f>
        <v/>
      </c>
    </row>
    <row r="4573">
      <c r="A4573" s="9" t="n">
        <v>4569</v>
      </c>
      <c r="B4573" s="9" t="inlineStr">
        <is>
          <t>Meridian</t>
        </is>
      </c>
      <c r="C4573" s="9" t="inlineStr">
        <is>
          <t>21/50 MA cross, 250-period confirm filter, VWAP</t>
        </is>
      </c>
      <c r="D4573" s="9" t="inlineStr">
        <is>
          <t>Long</t>
        </is>
      </c>
      <c r="E4573" s="10" t="n">
        <v>45741.44444444445</v>
      </c>
      <c r="F4573" s="10" t="n">
        <v>45741.59027777778</v>
      </c>
      <c r="G4573" s="11" t="n">
        <v>-4.45</v>
      </c>
      <c r="H4573" s="11">
        <f>H4572+G4573</f>
        <v/>
      </c>
    </row>
    <row r="4574">
      <c r="A4574" s="9" t="n">
        <v>4570</v>
      </c>
      <c r="B4574" s="9" t="inlineStr">
        <is>
          <t>Vanguard_M5</t>
        </is>
      </c>
      <c r="C4574" s="9" t="inlineStr">
        <is>
          <t>Trendline breakout (fractal swing line) + VWAP/S-R distance gate</t>
        </is>
      </c>
      <c r="D4574" s="9" t="inlineStr">
        <is>
          <t>Long</t>
        </is>
      </c>
      <c r="E4574" s="10" t="n">
        <v>45741.65277777778</v>
      </c>
      <c r="F4574" s="10" t="n">
        <v>45741.72916666666</v>
      </c>
      <c r="G4574" s="11" t="n">
        <v>-8.949999999999999</v>
      </c>
      <c r="H4574" s="11">
        <f>H4573+G4574</f>
        <v/>
      </c>
    </row>
    <row r="4575">
      <c r="A4575" s="9" t="n">
        <v>4571</v>
      </c>
      <c r="B4575" s="9" t="inlineStr">
        <is>
          <t>Meridian</t>
        </is>
      </c>
      <c r="C4575" s="9" t="inlineStr">
        <is>
          <t>21/50 MA cross, 250-period confirm filter, VWAP</t>
        </is>
      </c>
      <c r="D4575" s="9" t="inlineStr">
        <is>
          <t>Long</t>
        </is>
      </c>
      <c r="E4575" s="10" t="n">
        <v>45741.63194444445</v>
      </c>
      <c r="F4575" s="10" t="n">
        <v>45741.75347222222</v>
      </c>
      <c r="G4575" s="11" t="n">
        <v>-0.33</v>
      </c>
      <c r="H4575" s="11">
        <f>H4574+G4575</f>
        <v/>
      </c>
    </row>
    <row r="4576">
      <c r="A4576" s="9" t="n">
        <v>4572</v>
      </c>
      <c r="B4576" s="9" t="inlineStr">
        <is>
          <t>Meridian</t>
        </is>
      </c>
      <c r="C4576" s="9" t="inlineStr">
        <is>
          <t>21/50 MA cross, 250-period confirm filter, VWAP</t>
        </is>
      </c>
      <c r="D4576" s="9" t="inlineStr">
        <is>
          <t>Long</t>
        </is>
      </c>
      <c r="E4576" s="10" t="n">
        <v>45742.05902777778</v>
      </c>
      <c r="F4576" s="10" t="n">
        <v>45742.10763888889</v>
      </c>
      <c r="G4576" s="11" t="n">
        <v>-1.86</v>
      </c>
      <c r="H4576" s="11">
        <f>H4575+G4576</f>
        <v/>
      </c>
    </row>
    <row r="4577">
      <c r="A4577" s="9" t="n">
        <v>4573</v>
      </c>
      <c r="B4577" s="9" t="inlineStr">
        <is>
          <t>Vanguard_M15</t>
        </is>
      </c>
      <c r="C4577" s="9" t="inlineStr">
        <is>
          <t>Trendline breakout (fractal swing line) + VWAP/S-R distance gate - M15 chart</t>
        </is>
      </c>
      <c r="D4577" s="9" t="inlineStr">
        <is>
          <t>Long</t>
        </is>
      </c>
      <c r="E4577" s="10" t="n">
        <v>45741.65625</v>
      </c>
      <c r="F4577" s="10" t="n">
        <v>45742.125</v>
      </c>
      <c r="G4577" s="11" t="n">
        <v>-10.75</v>
      </c>
      <c r="H4577" s="11">
        <f>H4576+G4577</f>
        <v/>
      </c>
    </row>
    <row r="4578">
      <c r="A4578" s="9" t="n">
        <v>4574</v>
      </c>
      <c r="B4578" s="9" t="inlineStr">
        <is>
          <t>Ratchet</t>
        </is>
      </c>
      <c r="C4578" s="9" t="inlineStr">
        <is>
          <t>Stochastic scalp with give-back trail exit</t>
        </is>
      </c>
      <c r="D4578" s="9" t="inlineStr">
        <is>
          <t>Long</t>
        </is>
      </c>
      <c r="E4578" s="10" t="n">
        <v>45742.18055555555</v>
      </c>
      <c r="F4578" s="10" t="n">
        <v>45742.1875</v>
      </c>
      <c r="G4578" s="11" t="n">
        <v>0</v>
      </c>
      <c r="H4578" s="11">
        <f>H4577+G4578</f>
        <v/>
      </c>
    </row>
    <row r="4579">
      <c r="A4579" s="9" t="n">
        <v>4575</v>
      </c>
      <c r="B4579" s="9" t="inlineStr">
        <is>
          <t>Meridian</t>
        </is>
      </c>
      <c r="C4579" s="9" t="inlineStr">
        <is>
          <t>21/50 MA cross, 250-period confirm filter, VWAP</t>
        </is>
      </c>
      <c r="D4579" s="9" t="inlineStr">
        <is>
          <t>Long</t>
        </is>
      </c>
      <c r="E4579" s="10" t="n">
        <v>45742.16666666666</v>
      </c>
      <c r="F4579" s="10" t="n">
        <v>45742.21527777778</v>
      </c>
      <c r="G4579" s="11" t="n">
        <v>-3.48</v>
      </c>
      <c r="H4579" s="11">
        <f>H4578+G4579</f>
        <v/>
      </c>
    </row>
    <row r="4580">
      <c r="A4580" s="9" t="n">
        <v>4576</v>
      </c>
      <c r="B4580" s="9" t="inlineStr">
        <is>
          <t>Meridian</t>
        </is>
      </c>
      <c r="C4580" s="9" t="inlineStr">
        <is>
          <t>21/50 MA cross, 250-period confirm filter, VWAP</t>
        </is>
      </c>
      <c r="D4580" s="9" t="inlineStr">
        <is>
          <t>Short</t>
        </is>
      </c>
      <c r="E4580" s="10" t="n">
        <v>45742.23611111111</v>
      </c>
      <c r="F4580" s="10" t="n">
        <v>45742.32638888889</v>
      </c>
      <c r="G4580" s="11" t="n">
        <v>-3.65</v>
      </c>
      <c r="H4580" s="11">
        <f>H4579+G4580</f>
        <v/>
      </c>
    </row>
    <row r="4581">
      <c r="A4581" s="9" t="n">
        <v>4577</v>
      </c>
      <c r="B4581" s="9" t="inlineStr">
        <is>
          <t>Ratchet</t>
        </is>
      </c>
      <c r="C4581" s="9" t="inlineStr">
        <is>
          <t>Stochastic scalp with give-back trail exit</t>
        </is>
      </c>
      <c r="D4581" s="9" t="inlineStr">
        <is>
          <t>Long</t>
        </is>
      </c>
      <c r="E4581" s="10" t="n">
        <v>45742.36458333334</v>
      </c>
      <c r="F4581" s="10" t="n">
        <v>45742.375</v>
      </c>
      <c r="G4581" s="11" t="n">
        <v>0.31</v>
      </c>
      <c r="H4581" s="11">
        <f>H4580+G4581</f>
        <v/>
      </c>
    </row>
    <row r="4582">
      <c r="A4582" s="9" t="n">
        <v>4578</v>
      </c>
      <c r="B4582" s="9" t="inlineStr">
        <is>
          <t>Meridian</t>
        </is>
      </c>
      <c r="C4582" s="9" t="inlineStr">
        <is>
          <t>21/50 MA cross, 250-period confirm filter, VWAP</t>
        </is>
      </c>
      <c r="D4582" s="9" t="inlineStr">
        <is>
          <t>Long</t>
        </is>
      </c>
      <c r="E4582" s="10" t="n">
        <v>45742.34027777778</v>
      </c>
      <c r="F4582" s="10" t="n">
        <v>45742.46875</v>
      </c>
      <c r="G4582" s="11" t="n">
        <v>-3.87</v>
      </c>
      <c r="H4582" s="11">
        <f>H4581+G4582</f>
        <v/>
      </c>
    </row>
    <row r="4583">
      <c r="A4583" s="9" t="n">
        <v>4579</v>
      </c>
      <c r="B4583" s="9" t="inlineStr">
        <is>
          <t>Meridian</t>
        </is>
      </c>
      <c r="C4583" s="9" t="inlineStr">
        <is>
          <t>21/50 MA cross, 250-period confirm filter, VWAP</t>
        </is>
      </c>
      <c r="D4583" s="9" t="inlineStr">
        <is>
          <t>Short</t>
        </is>
      </c>
      <c r="E4583" s="10" t="n">
        <v>45742.48263888889</v>
      </c>
      <c r="F4583" s="10" t="n">
        <v>45742.51388888889</v>
      </c>
      <c r="G4583" s="11" t="n">
        <v>-3.83</v>
      </c>
      <c r="H4583" s="11">
        <f>H4582+G4583</f>
        <v/>
      </c>
    </row>
    <row r="4584">
      <c r="A4584" s="9" t="n">
        <v>4580</v>
      </c>
      <c r="B4584" s="9" t="inlineStr">
        <is>
          <t>Ratchet</t>
        </is>
      </c>
      <c r="C4584" s="9" t="inlineStr">
        <is>
          <t>Stochastic scalp with give-back trail exit</t>
        </is>
      </c>
      <c r="D4584" s="9" t="inlineStr">
        <is>
          <t>Long</t>
        </is>
      </c>
      <c r="E4584" s="10" t="n">
        <v>45742.5625</v>
      </c>
      <c r="F4584" s="10" t="n">
        <v>45742.56944444445</v>
      </c>
      <c r="G4584" s="11" t="n">
        <v>0.26</v>
      </c>
      <c r="H4584" s="11">
        <f>H4583+G4584</f>
        <v/>
      </c>
    </row>
    <row r="4585">
      <c r="A4585" s="9" t="n">
        <v>4581</v>
      </c>
      <c r="B4585" s="9" t="inlineStr">
        <is>
          <t>Aurelius_M5</t>
        </is>
      </c>
      <c r="C4585" s="9" t="inlineStr">
        <is>
          <t>MA alignment (EMA21&gt;EMA50&gt;SMA250&gt;SMMA500 vs EMA2400 trend filter)</t>
        </is>
      </c>
      <c r="D4585" s="9" t="inlineStr">
        <is>
          <t>Long</t>
        </is>
      </c>
      <c r="E4585" s="10" t="n">
        <v>45742.56944444445</v>
      </c>
      <c r="F4585" s="10" t="n">
        <v>45742.59722222222</v>
      </c>
      <c r="G4585" s="11" t="n">
        <v>-3.99</v>
      </c>
      <c r="H4585" s="11">
        <f>H4584+G4585</f>
        <v/>
      </c>
    </row>
    <row r="4586">
      <c r="A4586" s="9" t="n">
        <v>4582</v>
      </c>
      <c r="B4586" s="9" t="inlineStr">
        <is>
          <t>Meridian</t>
        </is>
      </c>
      <c r="C4586" s="9" t="inlineStr">
        <is>
          <t>21/50 MA cross, 250-period confirm filter, VWAP</t>
        </is>
      </c>
      <c r="D4586" s="9" t="inlineStr">
        <is>
          <t>Long</t>
        </is>
      </c>
      <c r="E4586" s="10" t="n">
        <v>45742.55555555555</v>
      </c>
      <c r="F4586" s="10" t="n">
        <v>45742.63541666666</v>
      </c>
      <c r="G4586" s="11" t="n">
        <v>-3.92</v>
      </c>
      <c r="H4586" s="11">
        <f>H4585+G4586</f>
        <v/>
      </c>
    </row>
    <row r="4587">
      <c r="A4587" s="9" t="n">
        <v>4583</v>
      </c>
      <c r="B4587" s="9" t="inlineStr">
        <is>
          <t>Aurelius_M15</t>
        </is>
      </c>
      <c r="C4587" s="9" t="inlineStr">
        <is>
          <t>MA alignment (EMA21&gt;EMA50&gt;SMA250&gt;SMMA500 vs EMA2400 trend filter) - M15 chart</t>
        </is>
      </c>
      <c r="D4587" s="9" t="inlineStr">
        <is>
          <t>Long</t>
        </is>
      </c>
      <c r="E4587" s="10" t="n">
        <v>45742.61458333334</v>
      </c>
      <c r="F4587" s="10" t="n">
        <v>45742.63541666666</v>
      </c>
      <c r="G4587" s="11" t="n">
        <v>-7.25</v>
      </c>
      <c r="H4587" s="11">
        <f>H4586+G4587</f>
        <v/>
      </c>
    </row>
    <row r="4588">
      <c r="A4588" s="9" t="n">
        <v>4584</v>
      </c>
      <c r="B4588" s="9" t="inlineStr">
        <is>
          <t>Meridian</t>
        </is>
      </c>
      <c r="C4588" s="9" t="inlineStr">
        <is>
          <t>21/50 MA cross, 250-period confirm filter, VWAP</t>
        </is>
      </c>
      <c r="D4588" s="9" t="inlineStr">
        <is>
          <t>Short</t>
        </is>
      </c>
      <c r="E4588" s="10" t="n">
        <v>45742.88194444445</v>
      </c>
      <c r="F4588" s="10" t="n">
        <v>45742.92708333334</v>
      </c>
      <c r="G4588" s="11" t="n">
        <v>-3.19</v>
      </c>
      <c r="H4588" s="11">
        <f>H4587+G4588</f>
        <v/>
      </c>
    </row>
    <row r="4589">
      <c r="A4589" s="9" t="n">
        <v>4585</v>
      </c>
      <c r="B4589" s="9" t="inlineStr">
        <is>
          <t>Vanguard_M5</t>
        </is>
      </c>
      <c r="C4589" s="9" t="inlineStr">
        <is>
          <t>Trendline breakout (fractal swing line) + VWAP/S-R distance gate</t>
        </is>
      </c>
      <c r="D4589" s="9" t="inlineStr">
        <is>
          <t>Short</t>
        </is>
      </c>
      <c r="E4589" s="10" t="n">
        <v>45742.67013888889</v>
      </c>
      <c r="F4589" s="10" t="n">
        <v>45743.12152777778</v>
      </c>
      <c r="G4589" s="11" t="n">
        <v>-9.880000000000001</v>
      </c>
      <c r="H4589" s="11">
        <f>H4588+G4589</f>
        <v/>
      </c>
    </row>
    <row r="4590">
      <c r="A4590" s="9" t="n">
        <v>4586</v>
      </c>
      <c r="B4590" s="9" t="inlineStr">
        <is>
          <t>Vanguard_M15</t>
        </is>
      </c>
      <c r="C4590" s="9" t="inlineStr">
        <is>
          <t>Trendline breakout (fractal swing line) + VWAP/S-R distance gate - M15 chart</t>
        </is>
      </c>
      <c r="D4590" s="9" t="inlineStr">
        <is>
          <t>Short</t>
        </is>
      </c>
      <c r="E4590" s="10" t="n">
        <v>45742.6875</v>
      </c>
      <c r="F4590" s="10" t="n">
        <v>45743.125</v>
      </c>
      <c r="G4590" s="11" t="n">
        <v>-10.78</v>
      </c>
      <c r="H4590" s="11">
        <f>H4589+G4590</f>
        <v/>
      </c>
    </row>
    <row r="4591">
      <c r="A4591" s="9" t="n">
        <v>4587</v>
      </c>
      <c r="B4591" s="9" t="inlineStr">
        <is>
          <t>Ratchet</t>
        </is>
      </c>
      <c r="C4591" s="9" t="inlineStr">
        <is>
          <t>Stochastic scalp with give-back trail exit</t>
        </is>
      </c>
      <c r="D4591" s="9" t="inlineStr">
        <is>
          <t>Long</t>
        </is>
      </c>
      <c r="E4591" s="10" t="n">
        <v>45743.17708333334</v>
      </c>
      <c r="F4591" s="10" t="n">
        <v>45743.32986111111</v>
      </c>
      <c r="G4591" s="11" t="n">
        <v>3.3</v>
      </c>
      <c r="H4591" s="11">
        <f>H4590+G4591</f>
        <v/>
      </c>
    </row>
    <row r="4592">
      <c r="A4592" s="9" t="n">
        <v>4588</v>
      </c>
      <c r="B4592" s="9" t="inlineStr">
        <is>
          <t>Ratchet</t>
        </is>
      </c>
      <c r="C4592" s="9" t="inlineStr">
        <is>
          <t>Stochastic scalp with give-back trail exit</t>
        </is>
      </c>
      <c r="D4592" s="9" t="inlineStr">
        <is>
          <t>Long</t>
        </is>
      </c>
      <c r="E4592" s="10" t="n">
        <v>45743.40972222222</v>
      </c>
      <c r="F4592" s="10" t="n">
        <v>45743.41666666666</v>
      </c>
      <c r="G4592" s="11" t="n">
        <v>0.5600000000000001</v>
      </c>
      <c r="H4592" s="11">
        <f>H4591+G4592</f>
        <v/>
      </c>
    </row>
    <row r="4593">
      <c r="A4593" s="9" t="n">
        <v>4589</v>
      </c>
      <c r="B4593" s="9" t="inlineStr">
        <is>
          <t>Ratchet</t>
        </is>
      </c>
      <c r="C4593" s="9" t="inlineStr">
        <is>
          <t>Stochastic scalp with give-back trail exit</t>
        </is>
      </c>
      <c r="D4593" s="9" t="inlineStr">
        <is>
          <t>Long</t>
        </is>
      </c>
      <c r="E4593" s="10" t="n">
        <v>45743.47222222222</v>
      </c>
      <c r="F4593" s="10" t="n">
        <v>45743.63541666666</v>
      </c>
      <c r="G4593" s="11" t="n">
        <v>5.38</v>
      </c>
      <c r="H4593" s="11">
        <f>H4592+G4593</f>
        <v/>
      </c>
    </row>
    <row r="4594">
      <c r="A4594" s="9" t="n">
        <v>4590</v>
      </c>
      <c r="B4594" s="9" t="inlineStr">
        <is>
          <t>Meridian</t>
        </is>
      </c>
      <c r="C4594" s="9" t="inlineStr">
        <is>
          <t>21/50 MA cross, 250-period confirm filter, VWAP</t>
        </is>
      </c>
      <c r="D4594" s="9" t="inlineStr">
        <is>
          <t>Long</t>
        </is>
      </c>
      <c r="E4594" s="10" t="n">
        <v>45743.38541666666</v>
      </c>
      <c r="F4594" s="10" t="n">
        <v>45743.65625</v>
      </c>
      <c r="G4594" s="11" t="n">
        <v>5.49</v>
      </c>
      <c r="H4594" s="11">
        <f>H4593+G4594</f>
        <v/>
      </c>
    </row>
    <row r="4595">
      <c r="A4595" s="9" t="n">
        <v>4591</v>
      </c>
      <c r="B4595" s="9" t="inlineStr">
        <is>
          <t>Ratchet</t>
        </is>
      </c>
      <c r="C4595" s="9" t="inlineStr">
        <is>
          <t>Stochastic scalp with give-back trail exit</t>
        </is>
      </c>
      <c r="D4595" s="9" t="inlineStr">
        <is>
          <t>Long</t>
        </is>
      </c>
      <c r="E4595" s="10" t="n">
        <v>45743.69097222222</v>
      </c>
      <c r="F4595" s="10" t="n">
        <v>45743.70833333334</v>
      </c>
      <c r="G4595" s="11" t="n">
        <v>2.32</v>
      </c>
      <c r="H4595" s="11">
        <f>H4594+G4595</f>
        <v/>
      </c>
    </row>
    <row r="4596">
      <c r="A4596" s="9" t="n">
        <v>4592</v>
      </c>
      <c r="B4596" s="9" t="inlineStr">
        <is>
          <t>Ratchet</t>
        </is>
      </c>
      <c r="C4596" s="9" t="inlineStr">
        <is>
          <t>Stochastic scalp with give-back trail exit</t>
        </is>
      </c>
      <c r="D4596" s="9" t="inlineStr">
        <is>
          <t>Long</t>
        </is>
      </c>
      <c r="E4596" s="10" t="n">
        <v>45744.24652777778</v>
      </c>
      <c r="F4596" s="10" t="n">
        <v>45744.25</v>
      </c>
      <c r="G4596" s="11" t="n">
        <v>0.27</v>
      </c>
      <c r="H4596" s="11">
        <f>H4595+G4596</f>
        <v/>
      </c>
    </row>
    <row r="4597">
      <c r="A4597" s="9" t="n">
        <v>4593</v>
      </c>
      <c r="B4597" s="9" t="inlineStr">
        <is>
          <t>Meridian</t>
        </is>
      </c>
      <c r="C4597" s="9" t="inlineStr">
        <is>
          <t>21/50 MA cross, 250-period confirm filter, VWAP</t>
        </is>
      </c>
      <c r="D4597" s="9" t="inlineStr">
        <is>
          <t>Long</t>
        </is>
      </c>
      <c r="E4597" s="10" t="n">
        <v>45743.69097222222</v>
      </c>
      <c r="F4597" s="10" t="n">
        <v>45744.44097222222</v>
      </c>
      <c r="G4597" s="11" t="n">
        <v>17.84</v>
      </c>
      <c r="H4597" s="11">
        <f>H4596+G4597</f>
        <v/>
      </c>
    </row>
    <row r="4598">
      <c r="A4598" s="9" t="n">
        <v>4594</v>
      </c>
      <c r="B4598" s="9" t="inlineStr">
        <is>
          <t>Ratchet</t>
        </is>
      </c>
      <c r="C4598" s="9" t="inlineStr">
        <is>
          <t>Stochastic scalp with give-back trail exit</t>
        </is>
      </c>
      <c r="D4598" s="9" t="inlineStr">
        <is>
          <t>Long</t>
        </is>
      </c>
      <c r="E4598" s="10" t="n">
        <v>45744.55902777778</v>
      </c>
      <c r="F4598" s="10" t="n">
        <v>45744.56597222222</v>
      </c>
      <c r="G4598" s="11" t="n">
        <v>0</v>
      </c>
      <c r="H4598" s="11">
        <f>H4597+G4598</f>
        <v/>
      </c>
    </row>
    <row r="4599">
      <c r="A4599" s="9" t="n">
        <v>4595</v>
      </c>
      <c r="B4599" s="9" t="inlineStr">
        <is>
          <t>Ratchet</t>
        </is>
      </c>
      <c r="C4599" s="9" t="inlineStr">
        <is>
          <t>Stochastic scalp with give-back trail exit</t>
        </is>
      </c>
      <c r="D4599" s="9" t="inlineStr">
        <is>
          <t>Long</t>
        </is>
      </c>
      <c r="E4599" s="10" t="n">
        <v>45744.56944444445</v>
      </c>
      <c r="F4599" s="10" t="n">
        <v>45744.57986111111</v>
      </c>
      <c r="G4599" s="11" t="n">
        <v>-2.81</v>
      </c>
      <c r="H4599" s="11">
        <f>H4598+G4599</f>
        <v/>
      </c>
    </row>
    <row r="4600">
      <c r="A4600" s="9" t="n">
        <v>4596</v>
      </c>
      <c r="B4600" s="9" t="inlineStr">
        <is>
          <t>Meridian</t>
        </is>
      </c>
      <c r="C4600" s="9" t="inlineStr">
        <is>
          <t>21/50 MA cross, 250-period confirm filter, VWAP</t>
        </is>
      </c>
      <c r="D4600" s="9" t="inlineStr">
        <is>
          <t>Long</t>
        </is>
      </c>
      <c r="E4600" s="10" t="n">
        <v>45744.55902777778</v>
      </c>
      <c r="F4600" s="10" t="n">
        <v>45744.58680555555</v>
      </c>
      <c r="G4600" s="11" t="n">
        <v>-4.67</v>
      </c>
      <c r="H4600" s="11">
        <f>H4599+G4600</f>
        <v/>
      </c>
    </row>
    <row r="4601">
      <c r="A4601" s="9" t="n">
        <v>4597</v>
      </c>
      <c r="B4601" s="9" t="inlineStr">
        <is>
          <t>Aurelius_M5</t>
        </is>
      </c>
      <c r="C4601" s="9" t="inlineStr">
        <is>
          <t>MA alignment (EMA21&gt;EMA50&gt;SMA250&gt;SMMA500 vs EMA2400 trend filter)</t>
        </is>
      </c>
      <c r="D4601" s="9" t="inlineStr">
        <is>
          <t>Long</t>
        </is>
      </c>
      <c r="E4601" s="10" t="n">
        <v>45744.59375</v>
      </c>
      <c r="F4601" s="10" t="n">
        <v>45744.63194444445</v>
      </c>
      <c r="G4601" s="11" t="n">
        <v>-4.46</v>
      </c>
      <c r="H4601" s="11">
        <f>H4600+G4601</f>
        <v/>
      </c>
    </row>
    <row r="4602">
      <c r="A4602" s="9" t="n">
        <v>4598</v>
      </c>
      <c r="B4602" s="9" t="inlineStr">
        <is>
          <t>Ratchet</t>
        </is>
      </c>
      <c r="C4602" s="9" t="inlineStr">
        <is>
          <t>Stochastic scalp with give-back trail exit</t>
        </is>
      </c>
      <c r="D4602" s="9" t="inlineStr">
        <is>
          <t>Long</t>
        </is>
      </c>
      <c r="E4602" s="10" t="n">
        <v>45744.66666666666</v>
      </c>
      <c r="F4602" s="10" t="n">
        <v>45744.67013888889</v>
      </c>
      <c r="G4602" s="11" t="n">
        <v>0</v>
      </c>
      <c r="H4602" s="11">
        <f>H4601+G4602</f>
        <v/>
      </c>
    </row>
    <row r="4603">
      <c r="A4603" s="9" t="n">
        <v>4599</v>
      </c>
      <c r="B4603" s="9" t="inlineStr">
        <is>
          <t>Aurelius_M15</t>
        </is>
      </c>
      <c r="C4603" s="9" t="inlineStr">
        <is>
          <t>MA alignment (EMA21&gt;EMA50&gt;SMA250&gt;SMMA500 vs EMA2400 trend filter) - M15 chart</t>
        </is>
      </c>
      <c r="D4603" s="9" t="inlineStr">
        <is>
          <t>Long</t>
        </is>
      </c>
      <c r="E4603" s="10" t="n">
        <v>45744.61458333334</v>
      </c>
      <c r="F4603" s="10" t="n">
        <v>45744.6875</v>
      </c>
      <c r="G4603" s="11" t="n">
        <v>-9.710000000000001</v>
      </c>
      <c r="H4603" s="11">
        <f>H4602+G4603</f>
        <v/>
      </c>
    </row>
    <row r="4604">
      <c r="A4604" s="9" t="n">
        <v>4600</v>
      </c>
      <c r="B4604" s="9" t="inlineStr">
        <is>
          <t>Aurelius_M5</t>
        </is>
      </c>
      <c r="C4604" s="9" t="inlineStr">
        <is>
          <t>MA alignment (EMA21&gt;EMA50&gt;SMA250&gt;SMMA500 vs EMA2400 trend filter)</t>
        </is>
      </c>
      <c r="D4604" s="9" t="inlineStr">
        <is>
          <t>Long</t>
        </is>
      </c>
      <c r="E4604" s="10" t="n">
        <v>45744.67361111111</v>
      </c>
      <c r="F4604" s="10" t="n">
        <v>45744.6875</v>
      </c>
      <c r="G4604" s="11" t="n">
        <v>-9.710000000000001</v>
      </c>
      <c r="H4604" s="11">
        <f>H4603+G4604</f>
        <v/>
      </c>
    </row>
    <row r="4605">
      <c r="A4605" s="9" t="n">
        <v>4601</v>
      </c>
      <c r="B4605" s="9" t="inlineStr">
        <is>
          <t>Ratchet</t>
        </is>
      </c>
      <c r="C4605" s="9" t="inlineStr">
        <is>
          <t>Stochastic scalp with give-back trail exit</t>
        </is>
      </c>
      <c r="D4605" s="9" t="inlineStr">
        <is>
          <t>Long</t>
        </is>
      </c>
      <c r="E4605" s="10" t="n">
        <v>45744.68055555555</v>
      </c>
      <c r="F4605" s="10" t="n">
        <v>45744.6875</v>
      </c>
      <c r="G4605" s="11" t="n">
        <v>-8.109999999999999</v>
      </c>
      <c r="H4605" s="11">
        <f>H4604+G4605</f>
        <v/>
      </c>
    </row>
    <row r="4606">
      <c r="A4606" s="9" t="n">
        <v>4602</v>
      </c>
      <c r="B4606" s="9" t="inlineStr">
        <is>
          <t>Ratchet</t>
        </is>
      </c>
      <c r="C4606" s="9" t="inlineStr">
        <is>
          <t>Stochastic scalp with give-back trail exit</t>
        </is>
      </c>
      <c r="D4606" s="9" t="inlineStr">
        <is>
          <t>Long</t>
        </is>
      </c>
      <c r="E4606" s="10" t="n">
        <v>45744.73263888889</v>
      </c>
      <c r="F4606" s="10" t="n">
        <v>45744.75694444445</v>
      </c>
      <c r="G4606" s="11" t="n">
        <v>1.68</v>
      </c>
      <c r="H4606" s="11">
        <f>H4605+G4606</f>
        <v/>
      </c>
    </row>
    <row r="4607">
      <c r="A4607" s="9" t="n">
        <v>4603</v>
      </c>
      <c r="B4607" s="9" t="inlineStr">
        <is>
          <t>Ratchet</t>
        </is>
      </c>
      <c r="C4607" s="9" t="inlineStr">
        <is>
          <t>Stochastic scalp with give-back trail exit</t>
        </is>
      </c>
      <c r="D4607" s="9" t="inlineStr">
        <is>
          <t>Long</t>
        </is>
      </c>
      <c r="E4607" s="10" t="n">
        <v>45744.78472222222</v>
      </c>
      <c r="F4607" s="10" t="n">
        <v>45744.79861111111</v>
      </c>
      <c r="G4607" s="11" t="n">
        <v>0.47</v>
      </c>
      <c r="H4607" s="11">
        <f>H4606+G4607</f>
        <v/>
      </c>
    </row>
    <row r="4608">
      <c r="A4608" s="9" t="n">
        <v>4604</v>
      </c>
      <c r="B4608" s="9" t="inlineStr">
        <is>
          <t>Meridian</t>
        </is>
      </c>
      <c r="C4608" s="9" t="inlineStr">
        <is>
          <t>21/50 MA cross, 250-period confirm filter, VWAP</t>
        </is>
      </c>
      <c r="D4608" s="9" t="inlineStr">
        <is>
          <t>Long</t>
        </is>
      </c>
      <c r="E4608" s="10" t="n">
        <v>45744.73263888889</v>
      </c>
      <c r="F4608" s="10" t="n">
        <v>45744.85763888889</v>
      </c>
      <c r="G4608" s="11" t="n">
        <v>-2.71</v>
      </c>
      <c r="H4608" s="11">
        <f>H4607+G4608</f>
        <v/>
      </c>
    </row>
    <row r="4609">
      <c r="A4609" s="9" t="n">
        <v>4605</v>
      </c>
      <c r="B4609" s="9" t="inlineStr">
        <is>
          <t>Aurelius_M15</t>
        </is>
      </c>
      <c r="C4609" s="9" t="inlineStr">
        <is>
          <t>MA alignment (EMA21&gt;EMA50&gt;SMA250&gt;SMMA500 vs EMA2400 trend filter) - M15 chart</t>
        </is>
      </c>
      <c r="D4609" s="9" t="inlineStr">
        <is>
          <t>Long</t>
        </is>
      </c>
      <c r="E4609" s="10" t="n">
        <v>45744.73958333334</v>
      </c>
      <c r="F4609" s="10" t="n">
        <v>45744.88541666666</v>
      </c>
      <c r="G4609" s="11" t="n">
        <v>-3.75</v>
      </c>
      <c r="H4609" s="11">
        <f>H4608+G4609</f>
        <v/>
      </c>
    </row>
    <row r="4610">
      <c r="A4610" s="9" t="n">
        <v>4606</v>
      </c>
      <c r="B4610" s="9" t="inlineStr">
        <is>
          <t>Meridian</t>
        </is>
      </c>
      <c r="C4610" s="9" t="inlineStr">
        <is>
          <t>21/50 MA cross, 250-period confirm filter, VWAP</t>
        </is>
      </c>
      <c r="D4610" s="9" t="inlineStr">
        <is>
          <t>Long</t>
        </is>
      </c>
      <c r="E4610" s="10" t="n">
        <v>45744.89930555555</v>
      </c>
      <c r="F4610" s="10" t="n">
        <v>45744.91666666666</v>
      </c>
      <c r="G4610" s="11" t="n">
        <v>-0.38</v>
      </c>
      <c r="H4610" s="11">
        <f>H4609+G4610</f>
        <v/>
      </c>
    </row>
    <row r="4611">
      <c r="A4611" s="9" t="n">
        <v>4607</v>
      </c>
      <c r="B4611" s="9" t="inlineStr">
        <is>
          <t>Ratchet</t>
        </is>
      </c>
      <c r="C4611" s="9" t="inlineStr">
        <is>
          <t>Stochastic scalp with give-back trail exit</t>
        </is>
      </c>
      <c r="D4611" s="9" t="inlineStr">
        <is>
          <t>Long</t>
        </is>
      </c>
      <c r="E4611" s="10" t="n">
        <v>45747.12152777778</v>
      </c>
      <c r="F4611" s="10" t="n">
        <v>45747.125</v>
      </c>
      <c r="G4611" s="11" t="n">
        <v>-2.17</v>
      </c>
      <c r="H4611" s="11">
        <f>H4610+G4611</f>
        <v/>
      </c>
    </row>
    <row r="4612">
      <c r="A4612" s="9" t="n">
        <v>4608</v>
      </c>
      <c r="B4612" s="9" t="inlineStr">
        <is>
          <t>Meridian</t>
        </is>
      </c>
      <c r="C4612" s="9" t="inlineStr">
        <is>
          <t>21/50 MA cross, 250-period confirm filter, VWAP</t>
        </is>
      </c>
      <c r="D4612" s="9" t="inlineStr">
        <is>
          <t>Short</t>
        </is>
      </c>
      <c r="E4612" s="10" t="n">
        <v>45747.16666666666</v>
      </c>
      <c r="F4612" s="10" t="n">
        <v>45747.18055555555</v>
      </c>
      <c r="G4612" s="11" t="n">
        <v>-4.74</v>
      </c>
      <c r="H4612" s="11">
        <f>H4611+G4612</f>
        <v/>
      </c>
    </row>
    <row r="4613">
      <c r="A4613" s="9" t="n">
        <v>4609</v>
      </c>
      <c r="B4613" s="9" t="inlineStr">
        <is>
          <t>Ratchet</t>
        </is>
      </c>
      <c r="C4613" s="9" t="inlineStr">
        <is>
          <t>Stochastic scalp with give-back trail exit</t>
        </is>
      </c>
      <c r="D4613" s="9" t="inlineStr">
        <is>
          <t>Long</t>
        </is>
      </c>
      <c r="E4613" s="10" t="n">
        <v>45747.19791666666</v>
      </c>
      <c r="F4613" s="10" t="n">
        <v>45747.47569444445</v>
      </c>
      <c r="G4613" s="11" t="n">
        <v>30.37</v>
      </c>
      <c r="H4613" s="11">
        <f>H4612+G4613</f>
        <v/>
      </c>
    </row>
    <row r="4614">
      <c r="A4614" s="9" t="n">
        <v>4610</v>
      </c>
      <c r="B4614" s="9" t="inlineStr">
        <is>
          <t>Ratchet</t>
        </is>
      </c>
      <c r="C4614" s="9" t="inlineStr">
        <is>
          <t>Stochastic scalp with give-back trail exit</t>
        </is>
      </c>
      <c r="D4614" s="9" t="inlineStr">
        <is>
          <t>Long</t>
        </is>
      </c>
      <c r="E4614" s="10" t="n">
        <v>45747.49652777778</v>
      </c>
      <c r="F4614" s="10" t="n">
        <v>45747.51388888889</v>
      </c>
      <c r="G4614" s="11" t="n">
        <v>-3.71</v>
      </c>
      <c r="H4614" s="11">
        <f>H4613+G4614</f>
        <v/>
      </c>
    </row>
    <row r="4615">
      <c r="A4615" s="9" t="n">
        <v>4611</v>
      </c>
      <c r="B4615" s="9" t="inlineStr">
        <is>
          <t>Aurelius_M5</t>
        </is>
      </c>
      <c r="C4615" s="9" t="inlineStr">
        <is>
          <t>MA alignment (EMA21&gt;EMA50&gt;SMA250&gt;SMMA500 vs EMA2400 trend filter)</t>
        </is>
      </c>
      <c r="D4615" s="9" t="inlineStr">
        <is>
          <t>Long</t>
        </is>
      </c>
      <c r="E4615" s="10" t="n">
        <v>45747.21527777778</v>
      </c>
      <c r="F4615" s="10" t="n">
        <v>45747.54861111111</v>
      </c>
      <c r="G4615" s="11" t="n">
        <v>13.78</v>
      </c>
      <c r="H4615" s="11">
        <f>H4614+G4615</f>
        <v/>
      </c>
    </row>
    <row r="4616">
      <c r="A4616" s="9" t="n">
        <v>4612</v>
      </c>
      <c r="B4616" s="9" t="inlineStr">
        <is>
          <t>Meridian</t>
        </is>
      </c>
      <c r="C4616" s="9" t="inlineStr">
        <is>
          <t>21/50 MA cross, 250-period confirm filter, VWAP</t>
        </is>
      </c>
      <c r="D4616" s="9" t="inlineStr">
        <is>
          <t>Long</t>
        </is>
      </c>
      <c r="E4616" s="10" t="n">
        <v>45747.19097222222</v>
      </c>
      <c r="F4616" s="10" t="n">
        <v>45747.55208333334</v>
      </c>
      <c r="G4616" s="11" t="n">
        <v>19.81</v>
      </c>
      <c r="H4616" s="11">
        <f>H4615+G4616</f>
        <v/>
      </c>
    </row>
    <row r="4617">
      <c r="A4617" s="9" t="n">
        <v>4613</v>
      </c>
      <c r="B4617" s="9" t="inlineStr">
        <is>
          <t>Meridian</t>
        </is>
      </c>
      <c r="C4617" s="9" t="inlineStr">
        <is>
          <t>21/50 MA cross, 250-period confirm filter, VWAP</t>
        </is>
      </c>
      <c r="D4617" s="9" t="inlineStr">
        <is>
          <t>Long</t>
        </is>
      </c>
      <c r="E4617" s="10" t="n">
        <v>45747.56944444445</v>
      </c>
      <c r="F4617" s="10" t="n">
        <v>45747.60069444445</v>
      </c>
      <c r="G4617" s="11" t="n">
        <v>-6.65</v>
      </c>
      <c r="H4617" s="11">
        <f>H4616+G4617</f>
        <v/>
      </c>
    </row>
    <row r="4618">
      <c r="A4618" s="9" t="n">
        <v>4614</v>
      </c>
      <c r="B4618" s="9" t="inlineStr">
        <is>
          <t>Ratchet</t>
        </is>
      </c>
      <c r="C4618" s="9" t="inlineStr">
        <is>
          <t>Stochastic scalp with give-back trail exit</t>
        </is>
      </c>
      <c r="D4618" s="9" t="inlineStr">
        <is>
          <t>Long</t>
        </is>
      </c>
      <c r="E4618" s="10" t="n">
        <v>45747.64236111111</v>
      </c>
      <c r="F4618" s="10" t="n">
        <v>45747.64583333334</v>
      </c>
      <c r="G4618" s="11" t="n">
        <v>0.49</v>
      </c>
      <c r="H4618" s="11">
        <f>H4617+G4618</f>
        <v/>
      </c>
    </row>
    <row r="4619">
      <c r="A4619" s="9" t="n">
        <v>4615</v>
      </c>
      <c r="B4619" s="9" t="inlineStr">
        <is>
          <t>Meridian</t>
        </is>
      </c>
      <c r="C4619" s="9" t="inlineStr">
        <is>
          <t>21/50 MA cross, 250-period confirm filter, VWAP</t>
        </is>
      </c>
      <c r="D4619" s="9" t="inlineStr">
        <is>
          <t>Long</t>
        </is>
      </c>
      <c r="E4619" s="10" t="n">
        <v>45747.62847222222</v>
      </c>
      <c r="F4619" s="10" t="n">
        <v>45747.67013888889</v>
      </c>
      <c r="G4619" s="11" t="n">
        <v>-6.32</v>
      </c>
      <c r="H4619" s="11">
        <f>H4618+G4619</f>
        <v/>
      </c>
    </row>
    <row r="4620">
      <c r="A4620" s="9" t="n">
        <v>4616</v>
      </c>
      <c r="B4620" s="9" t="inlineStr">
        <is>
          <t>Aurelius_M5</t>
        </is>
      </c>
      <c r="C4620" s="9" t="inlineStr">
        <is>
          <t>MA alignment (EMA21&gt;EMA50&gt;SMA250&gt;SMMA500 vs EMA2400 trend filter)</t>
        </is>
      </c>
      <c r="D4620" s="9" t="inlineStr">
        <is>
          <t>Long</t>
        </is>
      </c>
      <c r="E4620" s="10" t="n">
        <v>45747.65972222222</v>
      </c>
      <c r="F4620" s="10" t="n">
        <v>45747.67013888889</v>
      </c>
      <c r="G4620" s="11" t="n">
        <v>-7.02</v>
      </c>
      <c r="H4620" s="11">
        <f>H4619+G4620</f>
        <v/>
      </c>
    </row>
    <row r="4621">
      <c r="A4621" s="9" t="n">
        <v>4617</v>
      </c>
      <c r="B4621" s="9" t="inlineStr">
        <is>
          <t>Meridian</t>
        </is>
      </c>
      <c r="C4621" s="9" t="inlineStr">
        <is>
          <t>21/50 MA cross, 250-period confirm filter, VWAP</t>
        </is>
      </c>
      <c r="D4621" s="9" t="inlineStr">
        <is>
          <t>Long</t>
        </is>
      </c>
      <c r="E4621" s="10" t="n">
        <v>45747.75347222222</v>
      </c>
      <c r="F4621" s="10" t="n">
        <v>45747.78472222222</v>
      </c>
      <c r="G4621" s="11" t="n">
        <v>-9.49</v>
      </c>
      <c r="H4621" s="11">
        <f>H4620+G4621</f>
        <v/>
      </c>
    </row>
    <row r="4622">
      <c r="A4622" s="9" t="n">
        <v>4618</v>
      </c>
      <c r="B4622" s="9" t="inlineStr">
        <is>
          <t>Meridian</t>
        </is>
      </c>
      <c r="C4622" s="9" t="inlineStr">
        <is>
          <t>21/50 MA cross, 250-period confirm filter, VWAP</t>
        </is>
      </c>
      <c r="D4622" s="9" t="inlineStr">
        <is>
          <t>Long</t>
        </is>
      </c>
      <c r="E4622" s="10" t="n">
        <v>45747.84027777778</v>
      </c>
      <c r="F4622" s="10" t="n">
        <v>45747.86458333334</v>
      </c>
      <c r="G4622" s="11" t="n">
        <v>-2.26</v>
      </c>
      <c r="H4622" s="11">
        <f>H4621+G4622</f>
        <v/>
      </c>
    </row>
    <row r="4623">
      <c r="A4623" s="9" t="n">
        <v>4619</v>
      </c>
      <c r="B4623" s="9" t="inlineStr">
        <is>
          <t>Ratchet</t>
        </is>
      </c>
      <c r="C4623" s="9" t="inlineStr">
        <is>
          <t>Stochastic scalp with give-back trail exit</t>
        </is>
      </c>
      <c r="D4623" s="9" t="inlineStr">
        <is>
          <t>Long</t>
        </is>
      </c>
      <c r="E4623" s="10" t="n">
        <v>45747.84027777778</v>
      </c>
      <c r="F4623" s="10" t="n">
        <v>45747.99652777778</v>
      </c>
      <c r="G4623" s="11" t="n">
        <v>4.42</v>
      </c>
      <c r="H4623" s="11">
        <f>H4622+G4623</f>
        <v/>
      </c>
    </row>
    <row r="4624">
      <c r="A4624" s="9" t="n">
        <v>4620</v>
      </c>
      <c r="B4624" s="9" t="inlineStr">
        <is>
          <t>Ratchet</t>
        </is>
      </c>
      <c r="C4624" s="9" t="inlineStr">
        <is>
          <t>Stochastic scalp with give-back trail exit</t>
        </is>
      </c>
      <c r="D4624" s="9" t="inlineStr">
        <is>
          <t>Long</t>
        </is>
      </c>
      <c r="E4624" s="10" t="n">
        <v>45748.09375</v>
      </c>
      <c r="F4624" s="10" t="n">
        <v>45748.11458333334</v>
      </c>
      <c r="G4624" s="11" t="n">
        <v>0</v>
      </c>
      <c r="H4624" s="11">
        <f>H4623+G4624</f>
        <v/>
      </c>
    </row>
    <row r="4625">
      <c r="A4625" s="9" t="n">
        <v>4621</v>
      </c>
      <c r="B4625" s="9" t="inlineStr">
        <is>
          <t>Ratchet</t>
        </is>
      </c>
      <c r="C4625" s="9" t="inlineStr">
        <is>
          <t>Stochastic scalp with give-back trail exit</t>
        </is>
      </c>
      <c r="D4625" s="9" t="inlineStr">
        <is>
          <t>Long</t>
        </is>
      </c>
      <c r="E4625" s="10" t="n">
        <v>45748.16319444445</v>
      </c>
      <c r="F4625" s="10" t="n">
        <v>45748.17013888889</v>
      </c>
      <c r="G4625" s="11" t="n">
        <v>0.57</v>
      </c>
      <c r="H4625" s="11">
        <f>H4624+G4625</f>
        <v/>
      </c>
    </row>
    <row r="4626">
      <c r="A4626" s="9" t="n">
        <v>4622</v>
      </c>
      <c r="B4626" s="9" t="inlineStr">
        <is>
          <t>Meridian</t>
        </is>
      </c>
      <c r="C4626" s="9" t="inlineStr">
        <is>
          <t>21/50 MA cross, 250-period confirm filter, VWAP</t>
        </is>
      </c>
      <c r="D4626" s="9" t="inlineStr">
        <is>
          <t>Long</t>
        </is>
      </c>
      <c r="E4626" s="10" t="n">
        <v>45747.87152777778</v>
      </c>
      <c r="F4626" s="10" t="n">
        <v>45748.38541666666</v>
      </c>
      <c r="G4626" s="11" t="n">
        <v>12.01</v>
      </c>
      <c r="H4626" s="11">
        <f>H4625+G4626</f>
        <v/>
      </c>
    </row>
    <row r="4627">
      <c r="A4627" s="9" t="n">
        <v>4623</v>
      </c>
      <c r="B4627" s="9" t="inlineStr">
        <is>
          <t>Aurelius_M15</t>
        </is>
      </c>
      <c r="C4627" s="9" t="inlineStr">
        <is>
          <t>MA alignment (EMA21&gt;EMA50&gt;SMA250&gt;SMMA500 vs EMA2400 trend filter) - M15 chart</t>
        </is>
      </c>
      <c r="D4627" s="9" t="inlineStr">
        <is>
          <t>Long</t>
        </is>
      </c>
      <c r="E4627" s="10" t="n">
        <v>45747.73958333334</v>
      </c>
      <c r="F4627" s="10" t="n">
        <v>45748.64583333334</v>
      </c>
      <c r="G4627" s="11" t="n">
        <v>13.95</v>
      </c>
      <c r="H4627" s="11">
        <f>H4626+G4627</f>
        <v/>
      </c>
    </row>
    <row r="4628">
      <c r="A4628" s="9" t="n">
        <v>4624</v>
      </c>
      <c r="B4628" s="9" t="inlineStr">
        <is>
          <t>Meridian</t>
        </is>
      </c>
      <c r="C4628" s="9" t="inlineStr">
        <is>
          <t>21/50 MA cross, 250-period confirm filter, VWAP</t>
        </is>
      </c>
      <c r="D4628" s="9" t="inlineStr">
        <is>
          <t>Long</t>
        </is>
      </c>
      <c r="E4628" s="10" t="n">
        <v>45748.67361111111</v>
      </c>
      <c r="F4628" s="10" t="n">
        <v>45748.68055555555</v>
      </c>
      <c r="G4628" s="11" t="n">
        <v>-6.41</v>
      </c>
      <c r="H4628" s="11">
        <f>H4627+G4628</f>
        <v/>
      </c>
    </row>
    <row r="4629">
      <c r="A4629" s="9" t="n">
        <v>4625</v>
      </c>
      <c r="B4629" s="9" t="inlineStr">
        <is>
          <t>Vanguard_M15</t>
        </is>
      </c>
      <c r="C4629" s="9" t="inlineStr">
        <is>
          <t>Trendline breakout (fractal swing line) + VWAP/S-R distance gate - M15 chart</t>
        </is>
      </c>
      <c r="D4629" s="9" t="inlineStr">
        <is>
          <t>Long</t>
        </is>
      </c>
      <c r="E4629" s="10" t="n">
        <v>45743.19791666666</v>
      </c>
      <c r="F4629" s="10" t="n">
        <v>45748.70833333334</v>
      </c>
      <c r="G4629" s="11" t="n">
        <v>93.64</v>
      </c>
      <c r="H4629" s="11">
        <f>H4628+G4629</f>
        <v/>
      </c>
    </row>
    <row r="4630">
      <c r="A4630" s="9" t="n">
        <v>4626</v>
      </c>
      <c r="B4630" s="9" t="inlineStr">
        <is>
          <t>Vanguard_M5</t>
        </is>
      </c>
      <c r="C4630" s="9" t="inlineStr">
        <is>
          <t>Trendline breakout (fractal swing line) + VWAP/S-R distance gate</t>
        </is>
      </c>
      <c r="D4630" s="9" t="inlineStr">
        <is>
          <t>Long</t>
        </is>
      </c>
      <c r="E4630" s="10" t="n">
        <v>45743.19097222222</v>
      </c>
      <c r="F4630" s="10" t="n">
        <v>45748.71527777778</v>
      </c>
      <c r="G4630" s="11" t="n">
        <v>96.36</v>
      </c>
      <c r="H4630" s="11">
        <f>H4629+G4630</f>
        <v/>
      </c>
    </row>
    <row r="4631">
      <c r="A4631" s="9" t="n">
        <v>4627</v>
      </c>
      <c r="B4631" s="9" t="inlineStr">
        <is>
          <t>Ratchet</t>
        </is>
      </c>
      <c r="C4631" s="9" t="inlineStr">
        <is>
          <t>Stochastic scalp with give-back trail exit</t>
        </is>
      </c>
      <c r="D4631" s="9" t="inlineStr">
        <is>
          <t>Long</t>
        </is>
      </c>
      <c r="E4631" s="10" t="n">
        <v>45749.23958333334</v>
      </c>
      <c r="F4631" s="10" t="n">
        <v>45749.25</v>
      </c>
      <c r="G4631" s="11" t="n">
        <v>-3.64</v>
      </c>
      <c r="H4631" s="11">
        <f>H4630+G4631</f>
        <v/>
      </c>
    </row>
    <row r="4632">
      <c r="A4632" s="9" t="n">
        <v>4628</v>
      </c>
      <c r="B4632" s="9" t="inlineStr">
        <is>
          <t>Ratchet</t>
        </is>
      </c>
      <c r="C4632" s="9" t="inlineStr">
        <is>
          <t>Stochastic scalp with give-back trail exit</t>
        </is>
      </c>
      <c r="D4632" s="9" t="inlineStr">
        <is>
          <t>Long</t>
        </is>
      </c>
      <c r="E4632" s="10" t="n">
        <v>45749.26041666666</v>
      </c>
      <c r="F4632" s="10" t="n">
        <v>45749.27083333334</v>
      </c>
      <c r="G4632" s="11" t="n">
        <v>-3.87</v>
      </c>
      <c r="H4632" s="11">
        <f>H4631+G4632</f>
        <v/>
      </c>
    </row>
    <row r="4633">
      <c r="A4633" s="9" t="n">
        <v>4629</v>
      </c>
      <c r="B4633" s="9" t="inlineStr">
        <is>
          <t>Meridian</t>
        </is>
      </c>
      <c r="C4633" s="9" t="inlineStr">
        <is>
          <t>21/50 MA cross, 250-period confirm filter, VWAP</t>
        </is>
      </c>
      <c r="D4633" s="9" t="inlineStr">
        <is>
          <t>Short</t>
        </is>
      </c>
      <c r="E4633" s="10" t="n">
        <v>45749.32291666666</v>
      </c>
      <c r="F4633" s="10" t="n">
        <v>45749.45138888889</v>
      </c>
      <c r="G4633" s="11" t="n">
        <v>-4.7</v>
      </c>
      <c r="H4633" s="11">
        <f>H4632+G4633</f>
        <v/>
      </c>
    </row>
    <row r="4634">
      <c r="A4634" s="9" t="n">
        <v>4630</v>
      </c>
      <c r="B4634" s="9" t="inlineStr">
        <is>
          <t>Vanguard_M15</t>
        </is>
      </c>
      <c r="C4634" s="9" t="inlineStr">
        <is>
          <t>Trendline breakout (fractal swing line) + VWAP/S-R distance gate - M15 chart</t>
        </is>
      </c>
      <c r="D4634" s="9" t="inlineStr">
        <is>
          <t>Short</t>
        </is>
      </c>
      <c r="E4634" s="10" t="n">
        <v>45748.71875</v>
      </c>
      <c r="F4634" s="10" t="n">
        <v>45749.54166666666</v>
      </c>
      <c r="G4634" s="11" t="n">
        <v>-5.1</v>
      </c>
      <c r="H4634" s="11">
        <f>H4633+G4634</f>
        <v/>
      </c>
    </row>
    <row r="4635">
      <c r="A4635" s="9" t="n">
        <v>4631</v>
      </c>
      <c r="B4635" s="9" t="inlineStr">
        <is>
          <t>Vanguard_M5</t>
        </is>
      </c>
      <c r="C4635" s="9" t="inlineStr">
        <is>
          <t>Trendline breakout (fractal swing line) + VWAP/S-R distance gate</t>
        </is>
      </c>
      <c r="D4635" s="9" t="inlineStr">
        <is>
          <t>Short</t>
        </is>
      </c>
      <c r="E4635" s="10" t="n">
        <v>45748.71875</v>
      </c>
      <c r="F4635" s="10" t="n">
        <v>45749.54166666666</v>
      </c>
      <c r="G4635" s="11" t="n">
        <v>-5.01</v>
      </c>
      <c r="H4635" s="11">
        <f>H4634+G4635</f>
        <v/>
      </c>
    </row>
    <row r="4636">
      <c r="A4636" s="9" t="n">
        <v>4632</v>
      </c>
      <c r="B4636" s="9" t="inlineStr">
        <is>
          <t>Meridian</t>
        </is>
      </c>
      <c r="C4636" s="9" t="inlineStr">
        <is>
          <t>21/50 MA cross, 250-period confirm filter, VWAP</t>
        </is>
      </c>
      <c r="D4636" s="9" t="inlineStr">
        <is>
          <t>Long</t>
        </is>
      </c>
      <c r="E4636" s="10" t="n">
        <v>45749.46527777778</v>
      </c>
      <c r="F4636" s="10" t="n">
        <v>45749.56944444445</v>
      </c>
      <c r="G4636" s="11" t="n">
        <v>-6.15</v>
      </c>
      <c r="H4636" s="11">
        <f>H4635+G4636</f>
        <v/>
      </c>
    </row>
    <row r="4637">
      <c r="A4637" s="9" t="n">
        <v>4633</v>
      </c>
      <c r="B4637" s="9" t="inlineStr">
        <is>
          <t>Meridian</t>
        </is>
      </c>
      <c r="C4637" s="9" t="inlineStr">
        <is>
          <t>21/50 MA cross, 250-period confirm filter, VWAP</t>
        </is>
      </c>
      <c r="D4637" s="9" t="inlineStr">
        <is>
          <t>Short</t>
        </is>
      </c>
      <c r="E4637" s="10" t="n">
        <v>45749.57986111111</v>
      </c>
      <c r="F4637" s="10" t="n">
        <v>45749.58680555555</v>
      </c>
      <c r="G4637" s="11" t="n">
        <v>-7.12</v>
      </c>
      <c r="H4637" s="11">
        <f>H4636+G4637</f>
        <v/>
      </c>
    </row>
    <row r="4638">
      <c r="A4638" s="9" t="n">
        <v>4634</v>
      </c>
      <c r="B4638" s="9" t="inlineStr">
        <is>
          <t>Meridian</t>
        </is>
      </c>
      <c r="C4638" s="9" t="inlineStr">
        <is>
          <t>21/50 MA cross, 250-period confirm filter, VWAP</t>
        </is>
      </c>
      <c r="D4638" s="9" t="inlineStr">
        <is>
          <t>Long</t>
        </is>
      </c>
      <c r="E4638" s="10" t="n">
        <v>45749.68055555555</v>
      </c>
      <c r="F4638" s="10" t="n">
        <v>45749.70138888889</v>
      </c>
      <c r="G4638" s="11" t="n">
        <v>-7.41</v>
      </c>
      <c r="H4638" s="11">
        <f>H4637+G4638</f>
        <v/>
      </c>
    </row>
    <row r="4639">
      <c r="A4639" s="9" t="n">
        <v>4635</v>
      </c>
      <c r="B4639" s="9" t="inlineStr">
        <is>
          <t>Vanguard_M5</t>
        </is>
      </c>
      <c r="C4639" s="9" t="inlineStr">
        <is>
          <t>Trendline breakout (fractal swing line) + VWAP/S-R distance gate</t>
        </is>
      </c>
      <c r="D4639" s="9" t="inlineStr">
        <is>
          <t>Long</t>
        </is>
      </c>
      <c r="E4639" s="10" t="n">
        <v>45749.69097222222</v>
      </c>
      <c r="F4639" s="10" t="n">
        <v>45749.70138888889</v>
      </c>
      <c r="G4639" s="11" t="n">
        <v>-12.68</v>
      </c>
      <c r="H4639" s="11">
        <f>H4638+G4639</f>
        <v/>
      </c>
    </row>
    <row r="4640">
      <c r="A4640" s="9" t="n">
        <v>4636</v>
      </c>
      <c r="B4640" s="9" t="inlineStr">
        <is>
          <t>Aurelius_M5</t>
        </is>
      </c>
      <c r="C4640" s="9" t="inlineStr">
        <is>
          <t>MA alignment (EMA21&gt;EMA50&gt;SMA250&gt;SMMA500 vs EMA2400 trend filter)</t>
        </is>
      </c>
      <c r="D4640" s="9" t="inlineStr">
        <is>
          <t>Long</t>
        </is>
      </c>
      <c r="E4640" s="10" t="n">
        <v>45749.8125</v>
      </c>
      <c r="F4640" s="10" t="n">
        <v>45749.84722222222</v>
      </c>
      <c r="G4640" s="11" t="n">
        <v>-6.58</v>
      </c>
      <c r="H4640" s="11">
        <f>H4639+G4640</f>
        <v/>
      </c>
    </row>
    <row r="4641">
      <c r="A4641" s="9" t="n">
        <v>4637</v>
      </c>
      <c r="B4641" s="9" t="inlineStr">
        <is>
          <t>Meridian</t>
        </is>
      </c>
      <c r="C4641" s="9" t="inlineStr">
        <is>
          <t>21/50 MA cross, 250-period confirm filter, VWAP</t>
        </is>
      </c>
      <c r="D4641" s="9" t="inlineStr">
        <is>
          <t>Long</t>
        </is>
      </c>
      <c r="E4641" s="10" t="n">
        <v>45749.72222222222</v>
      </c>
      <c r="F4641" s="10" t="n">
        <v>45749.87152777778</v>
      </c>
      <c r="G4641" s="11" t="n">
        <v>-0.74</v>
      </c>
      <c r="H4641" s="11">
        <f>H4640+G4641</f>
        <v/>
      </c>
    </row>
    <row r="4642">
      <c r="A4642" s="9" t="n">
        <v>4638</v>
      </c>
      <c r="B4642" s="9" t="inlineStr">
        <is>
          <t>Aurelius_M15</t>
        </is>
      </c>
      <c r="C4642" s="9" t="inlineStr">
        <is>
          <t>MA alignment (EMA21&gt;EMA50&gt;SMA250&gt;SMMA500 vs EMA2400 trend filter) - M15 chart</t>
        </is>
      </c>
      <c r="D4642" s="9" t="inlineStr">
        <is>
          <t>Long</t>
        </is>
      </c>
      <c r="E4642" s="10" t="n">
        <v>45749.65625</v>
      </c>
      <c r="F4642" s="10" t="n">
        <v>45749.95833333334</v>
      </c>
      <c r="G4642" s="11" t="n">
        <v>-12.79</v>
      </c>
      <c r="H4642" s="11">
        <f>H4641+G4642</f>
        <v/>
      </c>
    </row>
    <row r="4643">
      <c r="A4643" s="9" t="n">
        <v>4639</v>
      </c>
      <c r="B4643" s="9" t="inlineStr">
        <is>
          <t>Vanguard_M15</t>
        </is>
      </c>
      <c r="C4643" s="9" t="inlineStr">
        <is>
          <t>Trendline breakout (fractal swing line) + VWAP/S-R distance gate - M15 chart</t>
        </is>
      </c>
      <c r="D4643" s="9" t="inlineStr">
        <is>
          <t>Long</t>
        </is>
      </c>
      <c r="E4643" s="10" t="n">
        <v>45749.78125</v>
      </c>
      <c r="F4643" s="10" t="n">
        <v>45749.95833333334</v>
      </c>
      <c r="G4643" s="11" t="n">
        <v>-15.79</v>
      </c>
      <c r="H4643" s="11">
        <f>H4642+G4643</f>
        <v/>
      </c>
    </row>
    <row r="4644">
      <c r="A4644" s="9" t="n">
        <v>4640</v>
      </c>
      <c r="B4644" s="9" t="inlineStr">
        <is>
          <t>Vanguard_M5</t>
        </is>
      </c>
      <c r="C4644" s="9" t="inlineStr">
        <is>
          <t>Trendline breakout (fractal swing line) + VWAP/S-R distance gate</t>
        </is>
      </c>
      <c r="D4644" s="9" t="inlineStr">
        <is>
          <t>Long</t>
        </is>
      </c>
      <c r="E4644" s="10" t="n">
        <v>45749.74305555555</v>
      </c>
      <c r="F4644" s="10" t="n">
        <v>45749.96527777778</v>
      </c>
      <c r="G4644" s="11" t="n">
        <v>-13.52</v>
      </c>
      <c r="H4644" s="11">
        <f>H4643+G4644</f>
        <v/>
      </c>
    </row>
    <row r="4645">
      <c r="A4645" s="9" t="n">
        <v>4641</v>
      </c>
      <c r="B4645" s="9" t="inlineStr">
        <is>
          <t>Ratchet</t>
        </is>
      </c>
      <c r="C4645" s="9" t="inlineStr">
        <is>
          <t>Stochastic scalp with give-back trail exit</t>
        </is>
      </c>
      <c r="D4645" s="9" t="inlineStr">
        <is>
          <t>Long</t>
        </is>
      </c>
      <c r="E4645" s="10" t="n">
        <v>45750.07291666666</v>
      </c>
      <c r="F4645" s="10" t="n">
        <v>45750.13541666666</v>
      </c>
      <c r="G4645" s="11" t="n">
        <v>6.67</v>
      </c>
      <c r="H4645" s="11">
        <f>H4644+G4645</f>
        <v/>
      </c>
    </row>
    <row r="4646">
      <c r="A4646" s="9" t="n">
        <v>4642</v>
      </c>
      <c r="B4646" s="9" t="inlineStr">
        <is>
          <t>Aurelius_M15</t>
        </is>
      </c>
      <c r="C4646" s="9" t="inlineStr">
        <is>
          <t>MA alignment (EMA21&gt;EMA50&gt;SMA250&gt;SMMA500 vs EMA2400 trend filter) - M15 chart</t>
        </is>
      </c>
      <c r="D4646" s="9" t="inlineStr">
        <is>
          <t>Long</t>
        </is>
      </c>
      <c r="E4646" s="10" t="n">
        <v>45750.125</v>
      </c>
      <c r="F4646" s="10" t="n">
        <v>45750.13541666666</v>
      </c>
      <c r="G4646" s="11" t="n">
        <v>-21.96</v>
      </c>
      <c r="H4646" s="11">
        <f>H4645+G4646</f>
        <v/>
      </c>
    </row>
    <row r="4647">
      <c r="A4647" s="9" t="n">
        <v>4643</v>
      </c>
      <c r="B4647" s="9" t="inlineStr">
        <is>
          <t>Aurelius_M5</t>
        </is>
      </c>
      <c r="C4647" s="9" t="inlineStr">
        <is>
          <t>MA alignment (EMA21&gt;EMA50&gt;SMA250&gt;SMMA500 vs EMA2400 trend filter)</t>
        </is>
      </c>
      <c r="D4647" s="9" t="inlineStr">
        <is>
          <t>Long</t>
        </is>
      </c>
      <c r="E4647" s="10" t="n">
        <v>45750.0625</v>
      </c>
      <c r="F4647" s="10" t="n">
        <v>45750.25347222222</v>
      </c>
      <c r="G4647" s="11" t="n">
        <v>12.44</v>
      </c>
      <c r="H4647" s="11">
        <f>H4646+G4647</f>
        <v/>
      </c>
    </row>
    <row r="4648">
      <c r="A4648" s="9" t="n">
        <v>4644</v>
      </c>
      <c r="B4648" s="9" t="inlineStr">
        <is>
          <t>Meridian</t>
        </is>
      </c>
      <c r="C4648" s="9" t="inlineStr">
        <is>
          <t>21/50 MA cross, 250-period confirm filter, VWAP</t>
        </is>
      </c>
      <c r="D4648" s="9" t="inlineStr">
        <is>
          <t>Long</t>
        </is>
      </c>
      <c r="E4648" s="10" t="n">
        <v>45749.98263888889</v>
      </c>
      <c r="F4648" s="10" t="n">
        <v>45750.31944444445</v>
      </c>
      <c r="G4648" s="11" t="n">
        <v>12.79</v>
      </c>
      <c r="H4648" s="11">
        <f>H4647+G4648</f>
        <v/>
      </c>
    </row>
    <row r="4649">
      <c r="A4649" s="9" t="n">
        <v>4645</v>
      </c>
      <c r="B4649" s="9" t="inlineStr">
        <is>
          <t>Vanguard_M15</t>
        </is>
      </c>
      <c r="C4649" s="9" t="inlineStr">
        <is>
          <t>Trendline breakout (fractal swing line) + VWAP/S-R distance gate - M15 chart</t>
        </is>
      </c>
      <c r="D4649" s="9" t="inlineStr">
        <is>
          <t>Long</t>
        </is>
      </c>
      <c r="E4649" s="10" t="n">
        <v>45749.97916666666</v>
      </c>
      <c r="F4649" s="10" t="n">
        <v>45750.54166666666</v>
      </c>
      <c r="G4649" s="11" t="n">
        <v>-22.76</v>
      </c>
      <c r="H4649" s="11">
        <f>H4648+G4649</f>
        <v/>
      </c>
    </row>
    <row r="4650">
      <c r="A4650" s="9" t="n">
        <v>4646</v>
      </c>
      <c r="B4650" s="9" t="inlineStr">
        <is>
          <t>Vanguard_M5</t>
        </is>
      </c>
      <c r="C4650" s="9" t="inlineStr">
        <is>
          <t>Trendline breakout (fractal swing line) + VWAP/S-R distance gate</t>
        </is>
      </c>
      <c r="D4650" s="9" t="inlineStr">
        <is>
          <t>Long</t>
        </is>
      </c>
      <c r="E4650" s="10" t="n">
        <v>45749.97916666666</v>
      </c>
      <c r="F4650" s="10" t="n">
        <v>45750.55208333334</v>
      </c>
      <c r="G4650" s="11" t="n">
        <v>-24.77</v>
      </c>
      <c r="H4650" s="11">
        <f>H4649+G4650</f>
        <v/>
      </c>
    </row>
    <row r="4651">
      <c r="A4651" s="9" t="n">
        <v>4647</v>
      </c>
      <c r="B4651" s="9" t="inlineStr">
        <is>
          <t>Ratchet</t>
        </is>
      </c>
      <c r="C4651" s="9" t="inlineStr">
        <is>
          <t>Stochastic scalp with give-back trail exit</t>
        </is>
      </c>
      <c r="D4651" s="9" t="inlineStr">
        <is>
          <t>Short</t>
        </is>
      </c>
      <c r="E4651" s="10" t="n">
        <v>45750.66666666666</v>
      </c>
      <c r="F4651" s="10" t="n">
        <v>45750.6875</v>
      </c>
      <c r="G4651" s="11" t="n">
        <v>5.05</v>
      </c>
      <c r="H4651" s="11">
        <f>H4650+G4651</f>
        <v/>
      </c>
    </row>
    <row r="4652">
      <c r="A4652" s="9" t="n">
        <v>4648</v>
      </c>
      <c r="B4652" s="9" t="inlineStr">
        <is>
          <t>Vanguard_M15</t>
        </is>
      </c>
      <c r="C4652" s="9" t="inlineStr">
        <is>
          <t>Trendline breakout (fractal swing line) + VWAP/S-R distance gate - M15 chart</t>
        </is>
      </c>
      <c r="D4652" s="9" t="inlineStr">
        <is>
          <t>Short</t>
        </is>
      </c>
      <c r="E4652" s="10" t="n">
        <v>45750.58333333334</v>
      </c>
      <c r="F4652" s="10" t="n">
        <v>45750.71875</v>
      </c>
      <c r="G4652" s="11" t="n">
        <v>-24.51</v>
      </c>
      <c r="H4652" s="11">
        <f>H4651+G4652</f>
        <v/>
      </c>
    </row>
    <row r="4653">
      <c r="A4653" s="9" t="n">
        <v>4649</v>
      </c>
      <c r="B4653" s="9" t="inlineStr">
        <is>
          <t>Vanguard_M5</t>
        </is>
      </c>
      <c r="C4653" s="9" t="inlineStr">
        <is>
          <t>Trendline breakout (fractal swing line) + VWAP/S-R distance gate</t>
        </is>
      </c>
      <c r="D4653" s="9" t="inlineStr">
        <is>
          <t>Short</t>
        </is>
      </c>
      <c r="E4653" s="10" t="n">
        <v>45750.56597222222</v>
      </c>
      <c r="F4653" s="10" t="n">
        <v>45750.72569444445</v>
      </c>
      <c r="G4653" s="11" t="n">
        <v>-18.78</v>
      </c>
      <c r="H4653" s="11">
        <f>H4652+G4653</f>
        <v/>
      </c>
    </row>
    <row r="4654">
      <c r="A4654" s="9" t="n">
        <v>4650</v>
      </c>
      <c r="B4654" s="9" t="inlineStr">
        <is>
          <t>Vanguard_M15</t>
        </is>
      </c>
      <c r="C4654" s="9" t="inlineStr">
        <is>
          <t>Trendline breakout (fractal swing line) + VWAP/S-R distance gate - M15 chart</t>
        </is>
      </c>
      <c r="D4654" s="9" t="inlineStr">
        <is>
          <t>Short</t>
        </is>
      </c>
      <c r="E4654" s="10" t="n">
        <v>45750.77083333334</v>
      </c>
      <c r="F4654" s="10" t="n">
        <v>45751.36458333334</v>
      </c>
      <c r="G4654" s="11" t="n">
        <v>-2.69</v>
      </c>
      <c r="H4654" s="11">
        <f>H4653+G4654</f>
        <v/>
      </c>
    </row>
    <row r="4655">
      <c r="A4655" s="9" t="n">
        <v>4651</v>
      </c>
      <c r="B4655" s="9" t="inlineStr">
        <is>
          <t>Vanguard_M5</t>
        </is>
      </c>
      <c r="C4655" s="9" t="inlineStr">
        <is>
          <t>Trendline breakout (fractal swing line) + VWAP/S-R distance gate</t>
        </is>
      </c>
      <c r="D4655" s="9" t="inlineStr">
        <is>
          <t>Short</t>
        </is>
      </c>
      <c r="E4655" s="10" t="n">
        <v>45750.76388888889</v>
      </c>
      <c r="F4655" s="10" t="n">
        <v>45751.36805555555</v>
      </c>
      <c r="G4655" s="11" t="n">
        <v>0.65</v>
      </c>
      <c r="H4655" s="11">
        <f>H4654+G4655</f>
        <v/>
      </c>
    </row>
    <row r="4656">
      <c r="A4656" s="9" t="n">
        <v>4652</v>
      </c>
      <c r="B4656" s="9" t="inlineStr">
        <is>
          <t>Meridian</t>
        </is>
      </c>
      <c r="C4656" s="9" t="inlineStr">
        <is>
          <t>21/50 MA cross, 250-period confirm filter, VWAP</t>
        </is>
      </c>
      <c r="D4656" s="9" t="inlineStr">
        <is>
          <t>Short</t>
        </is>
      </c>
      <c r="E4656" s="10" t="n">
        <v>45751.22222222222</v>
      </c>
      <c r="F4656" s="10" t="n">
        <v>45751.375</v>
      </c>
      <c r="G4656" s="11" t="n">
        <v>1.6</v>
      </c>
      <c r="H4656" s="11">
        <f>H4655+G4656</f>
        <v/>
      </c>
    </row>
    <row r="4657">
      <c r="A4657" s="9" t="n">
        <v>4653</v>
      </c>
      <c r="B4657" s="9" t="inlineStr">
        <is>
          <t>Vanguard_M5</t>
        </is>
      </c>
      <c r="C4657" s="9" t="inlineStr">
        <is>
          <t>Trendline breakout (fractal swing line) + VWAP/S-R distance gate</t>
        </is>
      </c>
      <c r="D4657" s="9" t="inlineStr">
        <is>
          <t>Long</t>
        </is>
      </c>
      <c r="E4657" s="10" t="n">
        <v>45751.37152777778</v>
      </c>
      <c r="F4657" s="10" t="n">
        <v>45751.43055555555</v>
      </c>
      <c r="G4657" s="11" t="n">
        <v>-11.91</v>
      </c>
      <c r="H4657" s="11">
        <f>H4656+G4657</f>
        <v/>
      </c>
    </row>
    <row r="4658">
      <c r="A4658" s="9" t="n">
        <v>4654</v>
      </c>
      <c r="B4658" s="9" t="inlineStr">
        <is>
          <t>Vanguard_M15</t>
        </is>
      </c>
      <c r="C4658" s="9" t="inlineStr">
        <is>
          <t>Trendline breakout (fractal swing line) + VWAP/S-R distance gate - M15 chart</t>
        </is>
      </c>
      <c r="D4658" s="9" t="inlineStr">
        <is>
          <t>Long</t>
        </is>
      </c>
      <c r="E4658" s="10" t="n">
        <v>45751.375</v>
      </c>
      <c r="F4658" s="10" t="n">
        <v>45751.45833333334</v>
      </c>
      <c r="G4658" s="11" t="n">
        <v>-17.26</v>
      </c>
      <c r="H4658" s="11">
        <f>H4657+G4658</f>
        <v/>
      </c>
    </row>
    <row r="4659">
      <c r="A4659" s="9" t="n">
        <v>4655</v>
      </c>
      <c r="B4659" s="9" t="inlineStr">
        <is>
          <t>Meridian</t>
        </is>
      </c>
      <c r="C4659" s="9" t="inlineStr">
        <is>
          <t>21/50 MA cross, 250-period confirm filter, VWAP</t>
        </is>
      </c>
      <c r="D4659" s="9" t="inlineStr">
        <is>
          <t>Short</t>
        </is>
      </c>
      <c r="E4659" s="10" t="n">
        <v>45751.41319444445</v>
      </c>
      <c r="F4659" s="10" t="n">
        <v>45751.5625</v>
      </c>
      <c r="G4659" s="11" t="n">
        <v>-6.81</v>
      </c>
      <c r="H4659" s="11">
        <f>H4658+G4659</f>
        <v/>
      </c>
    </row>
    <row r="4660">
      <c r="A4660" s="9" t="n">
        <v>4656</v>
      </c>
      <c r="B4660" s="9" t="inlineStr">
        <is>
          <t>Vanguard_M15</t>
        </is>
      </c>
      <c r="C4660" s="9" t="inlineStr">
        <is>
          <t>Trendline breakout (fractal swing line) + VWAP/S-R distance gate - M15 chart</t>
        </is>
      </c>
      <c r="D4660" s="9" t="inlineStr">
        <is>
          <t>Long</t>
        </is>
      </c>
      <c r="E4660" s="10" t="n">
        <v>45751.5625</v>
      </c>
      <c r="F4660" s="10" t="n">
        <v>45751.64583333334</v>
      </c>
      <c r="G4660" s="11" t="n">
        <v>-20.62</v>
      </c>
      <c r="H4660" s="11">
        <f>H4659+G4660</f>
        <v/>
      </c>
    </row>
    <row r="4661">
      <c r="A4661" s="9" t="n">
        <v>4657</v>
      </c>
      <c r="B4661" s="9" t="inlineStr">
        <is>
          <t>Vanguard_M5</t>
        </is>
      </c>
      <c r="C4661" s="9" t="inlineStr">
        <is>
          <t>Trendline breakout (fractal swing line) + VWAP/S-R distance gate</t>
        </is>
      </c>
      <c r="D4661" s="9" t="inlineStr">
        <is>
          <t>Long</t>
        </is>
      </c>
      <c r="E4661" s="10" t="n">
        <v>45751.5625</v>
      </c>
      <c r="F4661" s="10" t="n">
        <v>45751.64583333334</v>
      </c>
      <c r="G4661" s="11" t="n">
        <v>-18.35</v>
      </c>
      <c r="H4661" s="11">
        <f>H4660+G4661</f>
        <v/>
      </c>
    </row>
    <row r="4662">
      <c r="A4662" s="9" t="n">
        <v>4658</v>
      </c>
      <c r="B4662" s="9" t="inlineStr">
        <is>
          <t>Meridian</t>
        </is>
      </c>
      <c r="C4662" s="9" t="inlineStr">
        <is>
          <t>21/50 MA cross, 250-period confirm filter, VWAP</t>
        </is>
      </c>
      <c r="D4662" s="9" t="inlineStr">
        <is>
          <t>Short</t>
        </is>
      </c>
      <c r="E4662" s="10" t="n">
        <v>45751.65277777778</v>
      </c>
      <c r="F4662" s="10" t="n">
        <v>45751.91666666666</v>
      </c>
      <c r="G4662" s="11" t="n">
        <v>54.39</v>
      </c>
      <c r="H4662" s="11">
        <f>H4661+G4662</f>
        <v/>
      </c>
    </row>
    <row r="4663">
      <c r="A4663" s="9" t="n">
        <v>4659</v>
      </c>
      <c r="B4663" s="9" t="inlineStr">
        <is>
          <t>Ratchet</t>
        </is>
      </c>
      <c r="C4663" s="9" t="inlineStr">
        <is>
          <t>Stochastic scalp with give-back trail exit</t>
        </is>
      </c>
      <c r="D4663" s="9" t="inlineStr">
        <is>
          <t>Short</t>
        </is>
      </c>
      <c r="E4663" s="10" t="n">
        <v>45751.68402777778</v>
      </c>
      <c r="F4663" s="10" t="n">
        <v>45751.91666666666</v>
      </c>
      <c r="G4663" s="11" t="n">
        <v>57.92</v>
      </c>
      <c r="H4663" s="11">
        <f>H4662+G4663</f>
        <v/>
      </c>
    </row>
    <row r="4664">
      <c r="A4664" s="9" t="n">
        <v>4660</v>
      </c>
      <c r="B4664" s="9" t="inlineStr">
        <is>
          <t>Aurelius_M5</t>
        </is>
      </c>
      <c r="C4664" s="9" t="inlineStr">
        <is>
          <t>MA alignment (EMA21&gt;EMA50&gt;SMA250&gt;SMMA500 vs EMA2400 trend filter)</t>
        </is>
      </c>
      <c r="D4664" s="9" t="inlineStr">
        <is>
          <t>Short</t>
        </is>
      </c>
      <c r="E4664" s="10" t="n">
        <v>45751.67013888889</v>
      </c>
      <c r="F4664" s="10" t="n">
        <v>45751.92013888889</v>
      </c>
      <c r="G4664" s="11" t="n">
        <v>49.11</v>
      </c>
      <c r="H4664" s="11">
        <f>H4663+G4664</f>
        <v/>
      </c>
    </row>
    <row r="4665">
      <c r="A4665" s="9" t="n">
        <v>4661</v>
      </c>
      <c r="B4665" s="9" t="inlineStr">
        <is>
          <t>Ratchet</t>
        </is>
      </c>
      <c r="C4665" s="9" t="inlineStr">
        <is>
          <t>Stochastic scalp with give-back trail exit</t>
        </is>
      </c>
      <c r="D4665" s="9" t="inlineStr">
        <is>
          <t>Short</t>
        </is>
      </c>
      <c r="E4665" s="10" t="n">
        <v>45754.16666666666</v>
      </c>
      <c r="F4665" s="10" t="n">
        <v>45754.17361111111</v>
      </c>
      <c r="G4665" s="11" t="n">
        <v>-18.76</v>
      </c>
      <c r="H4665" s="11">
        <f>H4664+G4665</f>
        <v/>
      </c>
    </row>
    <row r="4666">
      <c r="A4666" s="9" t="n">
        <v>4662</v>
      </c>
      <c r="B4666" s="9" t="inlineStr">
        <is>
          <t>Ratchet</t>
        </is>
      </c>
      <c r="C4666" s="9" t="inlineStr">
        <is>
          <t>Stochastic scalp with give-back trail exit</t>
        </is>
      </c>
      <c r="D4666" s="9" t="inlineStr">
        <is>
          <t>Short</t>
        </is>
      </c>
      <c r="E4666" s="10" t="n">
        <v>45754.73263888889</v>
      </c>
      <c r="F4666" s="10" t="n">
        <v>45754.73611111111</v>
      </c>
      <c r="G4666" s="11" t="n">
        <v>2.23</v>
      </c>
      <c r="H4666" s="11">
        <f>H4665+G4666</f>
        <v/>
      </c>
    </row>
    <row r="4667">
      <c r="A4667" s="9" t="n">
        <v>4663</v>
      </c>
      <c r="B4667" s="9" t="inlineStr">
        <is>
          <t>Aurelius_M5</t>
        </is>
      </c>
      <c r="C4667" s="9" t="inlineStr">
        <is>
          <t>MA alignment (EMA21&gt;EMA50&gt;SMA250&gt;SMMA500 vs EMA2400 trend filter)</t>
        </is>
      </c>
      <c r="D4667" s="9" t="inlineStr">
        <is>
          <t>Short</t>
        </is>
      </c>
      <c r="E4667" s="10" t="n">
        <v>45754.73611111111</v>
      </c>
      <c r="F4667" s="10" t="n">
        <v>45754.99305555555</v>
      </c>
      <c r="G4667" s="11" t="n">
        <v>13.97</v>
      </c>
      <c r="H4667" s="11">
        <f>H4666+G4667</f>
        <v/>
      </c>
    </row>
    <row r="4668">
      <c r="A4668" s="9" t="n">
        <v>4664</v>
      </c>
      <c r="B4668" s="9" t="inlineStr">
        <is>
          <t>Aurelius_M15</t>
        </is>
      </c>
      <c r="C4668" s="9" t="inlineStr">
        <is>
          <t>MA alignment (EMA21&gt;EMA50&gt;SMA250&gt;SMMA500 vs EMA2400 trend filter) - M15 chart</t>
        </is>
      </c>
      <c r="D4668" s="9" t="inlineStr">
        <is>
          <t>Short</t>
        </is>
      </c>
      <c r="E4668" s="10" t="n">
        <v>45754.76041666666</v>
      </c>
      <c r="F4668" s="10" t="n">
        <v>45755.25</v>
      </c>
      <c r="G4668" s="11" t="n">
        <v>-16.27</v>
      </c>
      <c r="H4668" s="11">
        <f>H4667+G4668</f>
        <v/>
      </c>
    </row>
    <row r="4669">
      <c r="A4669" s="9" t="n">
        <v>4665</v>
      </c>
      <c r="B4669" s="9" t="inlineStr">
        <is>
          <t>Meridian</t>
        </is>
      </c>
      <c r="C4669" s="9" t="inlineStr">
        <is>
          <t>21/50 MA cross, 250-period confirm filter, VWAP</t>
        </is>
      </c>
      <c r="D4669" s="9" t="inlineStr">
        <is>
          <t>Long</t>
        </is>
      </c>
      <c r="E4669" s="10" t="n">
        <v>45755.54513888889</v>
      </c>
      <c r="F4669" s="10" t="n">
        <v>45755.76041666666</v>
      </c>
      <c r="G4669" s="11" t="n">
        <v>-3.92</v>
      </c>
      <c r="H4669" s="11">
        <f>H4668+G4669</f>
        <v/>
      </c>
    </row>
    <row r="4670">
      <c r="A4670" s="9" t="n">
        <v>4666</v>
      </c>
      <c r="B4670" s="9" t="inlineStr">
        <is>
          <t>Ratchet</t>
        </is>
      </c>
      <c r="C4670" s="9" t="inlineStr">
        <is>
          <t>Stochastic scalp with give-back trail exit</t>
        </is>
      </c>
      <c r="D4670" s="9" t="inlineStr">
        <is>
          <t>Short</t>
        </is>
      </c>
      <c r="E4670" s="10" t="n">
        <v>45755.83333333334</v>
      </c>
      <c r="F4670" s="10" t="n">
        <v>45755.86111111111</v>
      </c>
      <c r="G4670" s="11" t="n">
        <v>3.06</v>
      </c>
      <c r="H4670" s="11">
        <f>H4669+G4670</f>
        <v/>
      </c>
    </row>
    <row r="4671">
      <c r="A4671" s="9" t="n">
        <v>4667</v>
      </c>
      <c r="B4671" s="9" t="inlineStr">
        <is>
          <t>Aurelius_M5</t>
        </is>
      </c>
      <c r="C4671" s="9" t="inlineStr">
        <is>
          <t>MA alignment (EMA21&gt;EMA50&gt;SMA250&gt;SMMA500 vs EMA2400 trend filter)</t>
        </is>
      </c>
      <c r="D4671" s="9" t="inlineStr">
        <is>
          <t>Short</t>
        </is>
      </c>
      <c r="E4671" s="10" t="n">
        <v>45756.12847222222</v>
      </c>
      <c r="F4671" s="10" t="n">
        <v>45756.18402777778</v>
      </c>
      <c r="G4671" s="11" t="n">
        <v>-9.369999999999999</v>
      </c>
      <c r="H4671" s="11">
        <f>H4670+G4671</f>
        <v/>
      </c>
    </row>
    <row r="4672">
      <c r="A4672" s="9" t="n">
        <v>4668</v>
      </c>
      <c r="B4672" s="9" t="inlineStr">
        <is>
          <t>Aurelius_M15</t>
        </is>
      </c>
      <c r="C4672" s="9" t="inlineStr">
        <is>
          <t>MA alignment (EMA21&gt;EMA50&gt;SMA250&gt;SMMA500 vs EMA2400 trend filter) - M15 chart</t>
        </is>
      </c>
      <c r="D4672" s="9" t="inlineStr">
        <is>
          <t>Short</t>
        </is>
      </c>
      <c r="E4672" s="10" t="n">
        <v>45755.85416666666</v>
      </c>
      <c r="F4672" s="10" t="n">
        <v>45756.1875</v>
      </c>
      <c r="G4672" s="11" t="n">
        <v>-19.48</v>
      </c>
      <c r="H4672" s="11">
        <f>H4671+G4672</f>
        <v/>
      </c>
    </row>
    <row r="4673">
      <c r="A4673" s="9" t="n">
        <v>4669</v>
      </c>
      <c r="B4673" s="9" t="inlineStr">
        <is>
          <t>Ratchet</t>
        </is>
      </c>
      <c r="C4673" s="9" t="inlineStr">
        <is>
          <t>Stochastic scalp with give-back trail exit</t>
        </is>
      </c>
      <c r="D4673" s="9" t="inlineStr">
        <is>
          <t>Long</t>
        </is>
      </c>
      <c r="E4673" s="10" t="n">
        <v>45756.61805555555</v>
      </c>
      <c r="F4673" s="10" t="n">
        <v>45756.62847222222</v>
      </c>
      <c r="G4673" s="11" t="n">
        <v>1.75</v>
      </c>
      <c r="H4673" s="11">
        <f>H4672+G4673</f>
        <v/>
      </c>
    </row>
    <row r="4674">
      <c r="A4674" s="9" t="n">
        <v>4670</v>
      </c>
      <c r="B4674" s="9" t="inlineStr">
        <is>
          <t>Ratchet</t>
        </is>
      </c>
      <c r="C4674" s="9" t="inlineStr">
        <is>
          <t>Stochastic scalp with give-back trail exit</t>
        </is>
      </c>
      <c r="D4674" s="9" t="inlineStr">
        <is>
          <t>Long</t>
        </is>
      </c>
      <c r="E4674" s="10" t="n">
        <v>45756.94097222222</v>
      </c>
      <c r="F4674" s="10" t="n">
        <v>45756.94791666666</v>
      </c>
      <c r="G4674" s="11" t="n">
        <v>1.56</v>
      </c>
      <c r="H4674" s="11">
        <f>H4673+G4674</f>
        <v/>
      </c>
    </row>
    <row r="4675">
      <c r="A4675" s="9" t="n">
        <v>4671</v>
      </c>
      <c r="B4675" s="9" t="inlineStr">
        <is>
          <t>Ratchet</t>
        </is>
      </c>
      <c r="C4675" s="9" t="inlineStr">
        <is>
          <t>Stochastic scalp with give-back trail exit</t>
        </is>
      </c>
      <c r="D4675" s="9" t="inlineStr">
        <is>
          <t>Long</t>
        </is>
      </c>
      <c r="E4675" s="10" t="n">
        <v>45756.96180555555</v>
      </c>
      <c r="F4675" s="10" t="n">
        <v>45756.98263888889</v>
      </c>
      <c r="G4675" s="11" t="n">
        <v>-13.36</v>
      </c>
      <c r="H4675" s="11">
        <f>H4674+G4675</f>
        <v/>
      </c>
    </row>
    <row r="4676">
      <c r="A4676" s="9" t="n">
        <v>4672</v>
      </c>
      <c r="B4676" s="9" t="inlineStr">
        <is>
          <t>Meridian</t>
        </is>
      </c>
      <c r="C4676" s="9" t="inlineStr">
        <is>
          <t>21/50 MA cross, 250-period confirm filter, VWAP</t>
        </is>
      </c>
      <c r="D4676" s="9" t="inlineStr">
        <is>
          <t>Long</t>
        </is>
      </c>
      <c r="E4676" s="10" t="n">
        <v>45756.93055555555</v>
      </c>
      <c r="F4676" s="10" t="n">
        <v>45757.04513888889</v>
      </c>
      <c r="G4676" s="11" t="n">
        <v>-21.32</v>
      </c>
      <c r="H4676" s="11">
        <f>H4675+G4676</f>
        <v/>
      </c>
    </row>
    <row r="4677">
      <c r="A4677" s="9" t="n">
        <v>4673</v>
      </c>
      <c r="B4677" s="9" t="inlineStr">
        <is>
          <t>Ratchet</t>
        </is>
      </c>
      <c r="C4677" s="9" t="inlineStr">
        <is>
          <t>Stochastic scalp with give-back trail exit</t>
        </is>
      </c>
      <c r="D4677" s="9" t="inlineStr">
        <is>
          <t>Long</t>
        </is>
      </c>
      <c r="E4677" s="10" t="n">
        <v>45757.10763888889</v>
      </c>
      <c r="F4677" s="10" t="n">
        <v>45757.17013888889</v>
      </c>
      <c r="G4677" s="11" t="n">
        <v>3.28</v>
      </c>
      <c r="H4677" s="11">
        <f>H4676+G4677</f>
        <v/>
      </c>
    </row>
    <row r="4678">
      <c r="A4678" s="9" t="n">
        <v>4674</v>
      </c>
      <c r="B4678" s="9" t="inlineStr">
        <is>
          <t>Aurelius_M5</t>
        </is>
      </c>
      <c r="C4678" s="9" t="inlineStr">
        <is>
          <t>MA alignment (EMA21&gt;EMA50&gt;SMA250&gt;SMMA500 vs EMA2400 trend filter)</t>
        </is>
      </c>
      <c r="D4678" s="9" t="inlineStr">
        <is>
          <t>Long</t>
        </is>
      </c>
      <c r="E4678" s="10" t="n">
        <v>45757.19791666666</v>
      </c>
      <c r="F4678" s="10" t="n">
        <v>45757.45138888889</v>
      </c>
      <c r="G4678" s="11" t="n">
        <v>25.02</v>
      </c>
      <c r="H4678" s="11">
        <f>H4677+G4678</f>
        <v/>
      </c>
    </row>
    <row r="4679">
      <c r="A4679" s="9" t="n">
        <v>4675</v>
      </c>
      <c r="B4679" s="9" t="inlineStr">
        <is>
          <t>Ratchet</t>
        </is>
      </c>
      <c r="C4679" s="9" t="inlineStr">
        <is>
          <t>Stochastic scalp with give-back trail exit</t>
        </is>
      </c>
      <c r="D4679" s="9" t="inlineStr">
        <is>
          <t>Long</t>
        </is>
      </c>
      <c r="E4679" s="10" t="n">
        <v>45757.20833333334</v>
      </c>
      <c r="F4679" s="10" t="n">
        <v>45757.48263888889</v>
      </c>
      <c r="G4679" s="11" t="n">
        <v>10.79</v>
      </c>
      <c r="H4679" s="11">
        <f>H4678+G4679</f>
        <v/>
      </c>
    </row>
    <row r="4680">
      <c r="A4680" s="9" t="n">
        <v>4676</v>
      </c>
      <c r="B4680" s="9" t="inlineStr">
        <is>
          <t>Ratchet</t>
        </is>
      </c>
      <c r="C4680" s="9" t="inlineStr">
        <is>
          <t>Stochastic scalp with give-back trail exit</t>
        </is>
      </c>
      <c r="D4680" s="9" t="inlineStr">
        <is>
          <t>Long</t>
        </is>
      </c>
      <c r="E4680" s="10" t="n">
        <v>45757.5625</v>
      </c>
      <c r="F4680" s="10" t="n">
        <v>45757.58680555555</v>
      </c>
      <c r="G4680" s="11" t="n">
        <v>-6.29</v>
      </c>
      <c r="H4680" s="11">
        <f>H4679+G4680</f>
        <v/>
      </c>
    </row>
    <row r="4681">
      <c r="A4681" s="9" t="n">
        <v>4677</v>
      </c>
      <c r="B4681" s="9" t="inlineStr">
        <is>
          <t>Ratchet</t>
        </is>
      </c>
      <c r="C4681" s="9" t="inlineStr">
        <is>
          <t>Stochastic scalp with give-back trail exit</t>
        </is>
      </c>
      <c r="D4681" s="9" t="inlineStr">
        <is>
          <t>Long</t>
        </is>
      </c>
      <c r="E4681" s="10" t="n">
        <v>45757.62152777778</v>
      </c>
      <c r="F4681" s="10" t="n">
        <v>45757.625</v>
      </c>
      <c r="G4681" s="11" t="n">
        <v>0.91</v>
      </c>
      <c r="H4681" s="11">
        <f>H4680+G4681</f>
        <v/>
      </c>
    </row>
    <row r="4682">
      <c r="A4682" s="9" t="n">
        <v>4678</v>
      </c>
      <c r="B4682" s="9" t="inlineStr">
        <is>
          <t>Ratchet</t>
        </is>
      </c>
      <c r="C4682" s="9" t="inlineStr">
        <is>
          <t>Stochastic scalp with give-back trail exit</t>
        </is>
      </c>
      <c r="D4682" s="9" t="inlineStr">
        <is>
          <t>Long</t>
        </is>
      </c>
      <c r="E4682" s="10" t="n">
        <v>45757.62847222222</v>
      </c>
      <c r="F4682" s="10" t="n">
        <v>45757.63194444445</v>
      </c>
      <c r="G4682" s="11" t="n">
        <v>0.96</v>
      </c>
      <c r="H4682" s="11">
        <f>H4681+G4682</f>
        <v/>
      </c>
    </row>
    <row r="4683">
      <c r="A4683" s="9" t="n">
        <v>4679</v>
      </c>
      <c r="B4683" s="9" t="inlineStr">
        <is>
          <t>Ratchet</t>
        </is>
      </c>
      <c r="C4683" s="9" t="inlineStr">
        <is>
          <t>Stochastic scalp with give-back trail exit</t>
        </is>
      </c>
      <c r="D4683" s="9" t="inlineStr">
        <is>
          <t>Long</t>
        </is>
      </c>
      <c r="E4683" s="10" t="n">
        <v>45757.8125</v>
      </c>
      <c r="F4683" s="10" t="n">
        <v>45757.82638888889</v>
      </c>
      <c r="G4683" s="11" t="n">
        <v>-0</v>
      </c>
      <c r="H4683" s="11">
        <f>H4682+G4683</f>
        <v/>
      </c>
    </row>
    <row r="4684">
      <c r="A4684" s="9" t="n">
        <v>4680</v>
      </c>
      <c r="B4684" s="9" t="inlineStr">
        <is>
          <t>Ratchet</t>
        </is>
      </c>
      <c r="C4684" s="9" t="inlineStr">
        <is>
          <t>Stochastic scalp with give-back trail exit</t>
        </is>
      </c>
      <c r="D4684" s="9" t="inlineStr">
        <is>
          <t>Long</t>
        </is>
      </c>
      <c r="E4684" s="10" t="n">
        <v>45757.86111111111</v>
      </c>
      <c r="F4684" s="10" t="n">
        <v>45757.99652777778</v>
      </c>
      <c r="G4684" s="11" t="n">
        <v>12.51</v>
      </c>
      <c r="H4684" s="11">
        <f>H4683+G4684</f>
        <v/>
      </c>
    </row>
    <row r="4685">
      <c r="A4685" s="9" t="n">
        <v>4681</v>
      </c>
      <c r="B4685" s="9" t="inlineStr">
        <is>
          <t>Aurelius_M5</t>
        </is>
      </c>
      <c r="C4685" s="9" t="inlineStr">
        <is>
          <t>MA alignment (EMA21&gt;EMA50&gt;SMA250&gt;SMMA500 vs EMA2400 trend filter)</t>
        </is>
      </c>
      <c r="D4685" s="9" t="inlineStr">
        <is>
          <t>Long</t>
        </is>
      </c>
      <c r="E4685" s="10" t="n">
        <v>45757.58680555555</v>
      </c>
      <c r="F4685" s="10" t="n">
        <v>45758.04166666666</v>
      </c>
      <c r="G4685" s="11" t="n">
        <v>59.23</v>
      </c>
      <c r="H4685" s="11">
        <f>H4684+G4685</f>
        <v/>
      </c>
    </row>
    <row r="4686">
      <c r="A4686" s="9" t="n">
        <v>4682</v>
      </c>
      <c r="B4686" s="9" t="inlineStr">
        <is>
          <t>Ratchet</t>
        </is>
      </c>
      <c r="C4686" s="9" t="inlineStr">
        <is>
          <t>Stochastic scalp with give-back trail exit</t>
        </is>
      </c>
      <c r="D4686" s="9" t="inlineStr">
        <is>
          <t>Long</t>
        </is>
      </c>
      <c r="E4686" s="10" t="n">
        <v>45758.18402777778</v>
      </c>
      <c r="F4686" s="10" t="n">
        <v>45758.20138888889</v>
      </c>
      <c r="G4686" s="11" t="n">
        <v>2.17</v>
      </c>
      <c r="H4686" s="11">
        <f>H4685+G4686</f>
        <v/>
      </c>
    </row>
    <row r="4687">
      <c r="A4687" s="9" t="n">
        <v>4683</v>
      </c>
      <c r="B4687" s="9" t="inlineStr">
        <is>
          <t>Ratchet</t>
        </is>
      </c>
      <c r="C4687" s="9" t="inlineStr">
        <is>
          <t>Stochastic scalp with give-back trail exit</t>
        </is>
      </c>
      <c r="D4687" s="9" t="inlineStr">
        <is>
          <t>Long</t>
        </is>
      </c>
      <c r="E4687" s="10" t="n">
        <v>45758.29166666666</v>
      </c>
      <c r="F4687" s="10" t="n">
        <v>45758.30208333334</v>
      </c>
      <c r="G4687" s="11" t="n">
        <v>-5.31</v>
      </c>
      <c r="H4687" s="11">
        <f>H4686+G4687</f>
        <v/>
      </c>
    </row>
    <row r="4688">
      <c r="A4688" s="9" t="n">
        <v>4684</v>
      </c>
      <c r="B4688" s="9" t="inlineStr">
        <is>
          <t>Ratchet</t>
        </is>
      </c>
      <c r="C4688" s="9" t="inlineStr">
        <is>
          <t>Stochastic scalp with give-back trail exit</t>
        </is>
      </c>
      <c r="D4688" s="9" t="inlineStr">
        <is>
          <t>Long</t>
        </is>
      </c>
      <c r="E4688" s="10" t="n">
        <v>45758.35069444445</v>
      </c>
      <c r="F4688" s="10" t="n">
        <v>45758.35416666666</v>
      </c>
      <c r="G4688" s="11" t="n">
        <v>0</v>
      </c>
      <c r="H4688" s="11">
        <f>H4687+G4688</f>
        <v/>
      </c>
    </row>
    <row r="4689">
      <c r="A4689" s="9" t="n">
        <v>4685</v>
      </c>
      <c r="B4689" s="9" t="inlineStr">
        <is>
          <t>Aurelius_M5</t>
        </is>
      </c>
      <c r="C4689" s="9" t="inlineStr">
        <is>
          <t>MA alignment (EMA21&gt;EMA50&gt;SMA250&gt;SMMA500 vs EMA2400 trend filter)</t>
        </is>
      </c>
      <c r="D4689" s="9" t="inlineStr">
        <is>
          <t>Long</t>
        </is>
      </c>
      <c r="E4689" s="10" t="n">
        <v>45758.34722222222</v>
      </c>
      <c r="F4689" s="10" t="n">
        <v>45758.36111111111</v>
      </c>
      <c r="G4689" s="11" t="n">
        <v>-9.050000000000001</v>
      </c>
      <c r="H4689" s="11">
        <f>H4688+G4689</f>
        <v/>
      </c>
    </row>
    <row r="4690">
      <c r="A4690" s="9" t="n">
        <v>4686</v>
      </c>
      <c r="B4690" s="9" t="inlineStr">
        <is>
          <t>Meridian</t>
        </is>
      </c>
      <c r="C4690" s="9" t="inlineStr">
        <is>
          <t>21/50 MA cross, 250-period confirm filter, VWAP</t>
        </is>
      </c>
      <c r="D4690" s="9" t="inlineStr">
        <is>
          <t>Long</t>
        </is>
      </c>
      <c r="E4690" s="10" t="n">
        <v>45757.5625</v>
      </c>
      <c r="F4690" s="10" t="n">
        <v>45758.36805555555</v>
      </c>
      <c r="G4690" s="11" t="n">
        <v>71.48</v>
      </c>
      <c r="H4690" s="11">
        <f>H4689+G4690</f>
        <v/>
      </c>
    </row>
    <row r="4691">
      <c r="A4691" s="9" t="n">
        <v>4687</v>
      </c>
      <c r="B4691" s="9" t="inlineStr">
        <is>
          <t>Ratchet</t>
        </is>
      </c>
      <c r="C4691" s="9" t="inlineStr">
        <is>
          <t>Stochastic scalp with give-back trail exit</t>
        </is>
      </c>
      <c r="D4691" s="9" t="inlineStr">
        <is>
          <t>Long</t>
        </is>
      </c>
      <c r="E4691" s="10" t="n">
        <v>45758.53125</v>
      </c>
      <c r="F4691" s="10" t="n">
        <v>45758.55902777778</v>
      </c>
      <c r="G4691" s="11" t="n">
        <v>3.7</v>
      </c>
      <c r="H4691" s="11">
        <f>H4690+G4691</f>
        <v/>
      </c>
    </row>
    <row r="4692">
      <c r="A4692" s="9" t="n">
        <v>4688</v>
      </c>
      <c r="B4692" s="9" t="inlineStr">
        <is>
          <t>Ratchet</t>
        </is>
      </c>
      <c r="C4692" s="9" t="inlineStr">
        <is>
          <t>Stochastic scalp with give-back trail exit</t>
        </is>
      </c>
      <c r="D4692" s="9" t="inlineStr">
        <is>
          <t>Long</t>
        </is>
      </c>
      <c r="E4692" s="10" t="n">
        <v>45758.75694444445</v>
      </c>
      <c r="F4692" s="10" t="n">
        <v>45758.77430555555</v>
      </c>
      <c r="G4692" s="11" t="n">
        <v>1.09</v>
      </c>
      <c r="H4692" s="11">
        <f>H4691+G4692</f>
        <v/>
      </c>
    </row>
    <row r="4693">
      <c r="A4693" s="9" t="n">
        <v>4689</v>
      </c>
      <c r="B4693" s="9" t="inlineStr">
        <is>
          <t>Aurelius_M5</t>
        </is>
      </c>
      <c r="C4693" s="9" t="inlineStr">
        <is>
          <t>MA alignment (EMA21&gt;EMA50&gt;SMA250&gt;SMMA500 vs EMA2400 trend filter)</t>
        </is>
      </c>
      <c r="D4693" s="9" t="inlineStr">
        <is>
          <t>Long</t>
        </is>
      </c>
      <c r="E4693" s="10" t="n">
        <v>45758.47569444445</v>
      </c>
      <c r="F4693" s="10" t="n">
        <v>45758.83680555555</v>
      </c>
      <c r="G4693" s="11" t="n">
        <v>6.2</v>
      </c>
      <c r="H4693" s="11">
        <f>H4692+G4693</f>
        <v/>
      </c>
    </row>
    <row r="4694">
      <c r="A4694" s="9" t="n">
        <v>4690</v>
      </c>
      <c r="B4694" s="9" t="inlineStr">
        <is>
          <t>Meridian</t>
        </is>
      </c>
      <c r="C4694" s="9" t="inlineStr">
        <is>
          <t>21/50 MA cross, 250-period confirm filter, VWAP</t>
        </is>
      </c>
      <c r="D4694" s="9" t="inlineStr">
        <is>
          <t>Long</t>
        </is>
      </c>
      <c r="E4694" s="10" t="n">
        <v>45758.45833333334</v>
      </c>
      <c r="F4694" s="10" t="n">
        <v>45758.85069444445</v>
      </c>
      <c r="G4694" s="11" t="n">
        <v>14.1</v>
      </c>
      <c r="H4694" s="11">
        <f>H4693+G4694</f>
        <v/>
      </c>
    </row>
    <row r="4695">
      <c r="A4695" s="9" t="n">
        <v>4691</v>
      </c>
      <c r="B4695" s="9" t="inlineStr">
        <is>
          <t>Meridian</t>
        </is>
      </c>
      <c r="C4695" s="9" t="inlineStr">
        <is>
          <t>21/50 MA cross, 250-period confirm filter, VWAP</t>
        </is>
      </c>
      <c r="D4695" s="9" t="inlineStr">
        <is>
          <t>Long</t>
        </is>
      </c>
      <c r="E4695" s="10" t="n">
        <v>45758.86111111111</v>
      </c>
      <c r="F4695" s="10" t="n">
        <v>45758.91666666666</v>
      </c>
      <c r="G4695" s="11" t="n">
        <v>0.7</v>
      </c>
      <c r="H4695" s="11">
        <f>H4694+G4695</f>
        <v/>
      </c>
    </row>
    <row r="4696">
      <c r="A4696" s="9" t="n">
        <v>4692</v>
      </c>
      <c r="B4696" s="9" t="inlineStr">
        <is>
          <t>Aurelius_M15</t>
        </is>
      </c>
      <c r="C4696" s="9" t="inlineStr">
        <is>
          <t>MA alignment (EMA21&gt;EMA50&gt;SMA250&gt;SMMA500 vs EMA2400 trend filter) - M15 chart</t>
        </is>
      </c>
      <c r="D4696" s="9" t="inlineStr">
        <is>
          <t>Long</t>
        </is>
      </c>
      <c r="E4696" s="10" t="n">
        <v>45757.65625</v>
      </c>
      <c r="F4696" s="10" t="n">
        <v>45758.92708333334</v>
      </c>
      <c r="G4696" s="11" t="n">
        <v>105.7</v>
      </c>
      <c r="H4696" s="11">
        <f>H4695+G4696</f>
        <v/>
      </c>
    </row>
    <row r="4697">
      <c r="A4697" s="9" t="n">
        <v>4693</v>
      </c>
      <c r="B4697" s="9" t="inlineStr">
        <is>
          <t>Ratchet</t>
        </is>
      </c>
      <c r="C4697" s="9" t="inlineStr">
        <is>
          <t>Stochastic scalp with give-back trail exit</t>
        </is>
      </c>
      <c r="D4697" s="9" t="inlineStr">
        <is>
          <t>Long</t>
        </is>
      </c>
      <c r="E4697" s="10" t="n">
        <v>45761.20486111111</v>
      </c>
      <c r="F4697" s="10" t="n">
        <v>45761.21875</v>
      </c>
      <c r="G4697" s="11" t="n">
        <v>0.9399999999999999</v>
      </c>
      <c r="H4697" s="11">
        <f>H4696+G4697</f>
        <v/>
      </c>
    </row>
    <row r="4698">
      <c r="A4698" s="9" t="n">
        <v>4694</v>
      </c>
      <c r="B4698" s="9" t="inlineStr">
        <is>
          <t>Meridian</t>
        </is>
      </c>
      <c r="C4698" s="9" t="inlineStr">
        <is>
          <t>21/50 MA cross, 250-period confirm filter, VWAP</t>
        </is>
      </c>
      <c r="D4698" s="9" t="inlineStr">
        <is>
          <t>Long</t>
        </is>
      </c>
      <c r="E4698" s="10" t="n">
        <v>45761.19444444445</v>
      </c>
      <c r="F4698" s="10" t="n">
        <v>45761.25</v>
      </c>
      <c r="G4698" s="11" t="n">
        <v>-11.23</v>
      </c>
      <c r="H4698" s="11">
        <f>H4697+G4698</f>
        <v/>
      </c>
    </row>
    <row r="4699">
      <c r="A4699" s="9" t="n">
        <v>4695</v>
      </c>
      <c r="B4699" s="9" t="inlineStr">
        <is>
          <t>Vanguard_M15</t>
        </is>
      </c>
      <c r="C4699" s="9" t="inlineStr">
        <is>
          <t>Trendline breakout (fractal swing line) + VWAP/S-R distance gate - M15 chart</t>
        </is>
      </c>
      <c r="D4699" s="9" t="inlineStr">
        <is>
          <t>Long</t>
        </is>
      </c>
      <c r="E4699" s="10" t="n">
        <v>45756.32291666666</v>
      </c>
      <c r="F4699" s="10" t="n">
        <v>45761.38541666666</v>
      </c>
      <c r="G4699" s="11" t="n">
        <v>225.31</v>
      </c>
      <c r="H4699" s="11">
        <f>H4698+G4699</f>
        <v/>
      </c>
    </row>
    <row r="4700">
      <c r="A4700" s="9" t="n">
        <v>4696</v>
      </c>
      <c r="B4700" s="9" t="inlineStr">
        <is>
          <t>Vanguard_M5</t>
        </is>
      </c>
      <c r="C4700" s="9" t="inlineStr">
        <is>
          <t>Trendline breakout (fractal swing line) + VWAP/S-R distance gate</t>
        </is>
      </c>
      <c r="D4700" s="9" t="inlineStr">
        <is>
          <t>Long</t>
        </is>
      </c>
      <c r="E4700" s="10" t="n">
        <v>45756.30902777778</v>
      </c>
      <c r="F4700" s="10" t="n">
        <v>45761.38888888889</v>
      </c>
      <c r="G4700" s="11" t="n">
        <v>223.24</v>
      </c>
      <c r="H4700" s="11">
        <f>H4699+G4700</f>
        <v/>
      </c>
    </row>
    <row r="4701">
      <c r="A4701" s="9" t="n">
        <v>4697</v>
      </c>
      <c r="B4701" s="9" t="inlineStr">
        <is>
          <t>Ratchet</t>
        </is>
      </c>
      <c r="C4701" s="9" t="inlineStr">
        <is>
          <t>Stochastic scalp with give-back trail exit</t>
        </is>
      </c>
      <c r="D4701" s="9" t="inlineStr">
        <is>
          <t>Long</t>
        </is>
      </c>
      <c r="E4701" s="10" t="n">
        <v>45761.39583333334</v>
      </c>
      <c r="F4701" s="10" t="n">
        <v>45761.40625</v>
      </c>
      <c r="G4701" s="11" t="n">
        <v>-6.79</v>
      </c>
      <c r="H4701" s="11">
        <f>H4700+G4701</f>
        <v/>
      </c>
    </row>
    <row r="4702">
      <c r="A4702" s="9" t="n">
        <v>4698</v>
      </c>
      <c r="B4702" s="9" t="inlineStr">
        <is>
          <t>Meridian</t>
        </is>
      </c>
      <c r="C4702" s="9" t="inlineStr">
        <is>
          <t>21/50 MA cross, 250-period confirm filter, VWAP</t>
        </is>
      </c>
      <c r="D4702" s="9" t="inlineStr">
        <is>
          <t>Long</t>
        </is>
      </c>
      <c r="E4702" s="10" t="n">
        <v>45761.39236111111</v>
      </c>
      <c r="F4702" s="10" t="n">
        <v>45761.44791666666</v>
      </c>
      <c r="G4702" s="11" t="n">
        <v>-8.41</v>
      </c>
      <c r="H4702" s="11">
        <f>H4701+G4702</f>
        <v/>
      </c>
    </row>
    <row r="4703">
      <c r="A4703" s="9" t="n">
        <v>4699</v>
      </c>
      <c r="B4703" s="9" t="inlineStr">
        <is>
          <t>Meridian</t>
        </is>
      </c>
      <c r="C4703" s="9" t="inlineStr">
        <is>
          <t>21/50 MA cross, 250-period confirm filter, VWAP</t>
        </is>
      </c>
      <c r="D4703" s="9" t="inlineStr">
        <is>
          <t>Short</t>
        </is>
      </c>
      <c r="E4703" s="10" t="n">
        <v>45761.45486111111</v>
      </c>
      <c r="F4703" s="10" t="n">
        <v>45761.85763888889</v>
      </c>
      <c r="G4703" s="11" t="n">
        <v>11.75</v>
      </c>
      <c r="H4703" s="11">
        <f>H4702+G4703</f>
        <v/>
      </c>
    </row>
    <row r="4704">
      <c r="A4704" s="9" t="n">
        <v>4700</v>
      </c>
      <c r="B4704" s="9" t="inlineStr">
        <is>
          <t>Meridian</t>
        </is>
      </c>
      <c r="C4704" s="9" t="inlineStr">
        <is>
          <t>21/50 MA cross, 250-period confirm filter, VWAP</t>
        </is>
      </c>
      <c r="D4704" s="9" t="inlineStr">
        <is>
          <t>Short</t>
        </is>
      </c>
      <c r="E4704" s="10" t="n">
        <v>45761.91319444445</v>
      </c>
      <c r="F4704" s="10" t="n">
        <v>45761.92708333334</v>
      </c>
      <c r="G4704" s="11" t="n">
        <v>-6.93</v>
      </c>
      <c r="H4704" s="11">
        <f>H4703+G4704</f>
        <v/>
      </c>
    </row>
    <row r="4705">
      <c r="A4705" s="9" t="n">
        <v>4701</v>
      </c>
      <c r="B4705" s="9" t="inlineStr">
        <is>
          <t>Aurelius_M5</t>
        </is>
      </c>
      <c r="C4705" s="9" t="inlineStr">
        <is>
          <t>MA alignment (EMA21&gt;EMA50&gt;SMA250&gt;SMMA500 vs EMA2400 trend filter)</t>
        </is>
      </c>
      <c r="D4705" s="9" t="inlineStr">
        <is>
          <t>Long</t>
        </is>
      </c>
      <c r="E4705" s="10" t="n">
        <v>45762.38194444445</v>
      </c>
      <c r="F4705" s="10" t="n">
        <v>45762.43402777778</v>
      </c>
      <c r="G4705" s="11" t="n">
        <v>-6.01</v>
      </c>
      <c r="H4705" s="11">
        <f>H4704+G4705</f>
        <v/>
      </c>
    </row>
    <row r="4706">
      <c r="A4706" s="9" t="n">
        <v>4702</v>
      </c>
      <c r="B4706" s="9" t="inlineStr">
        <is>
          <t>Ratchet</t>
        </is>
      </c>
      <c r="C4706" s="9" t="inlineStr">
        <is>
          <t>Stochastic scalp with give-back trail exit</t>
        </is>
      </c>
      <c r="D4706" s="9" t="inlineStr">
        <is>
          <t>Long</t>
        </is>
      </c>
      <c r="E4706" s="10" t="n">
        <v>45762.48263888889</v>
      </c>
      <c r="F4706" s="10" t="n">
        <v>45762.52430555555</v>
      </c>
      <c r="G4706" s="11" t="n">
        <v>-5.16</v>
      </c>
      <c r="H4706" s="11">
        <f>H4705+G4706</f>
        <v/>
      </c>
    </row>
    <row r="4707">
      <c r="A4707" s="9" t="n">
        <v>4703</v>
      </c>
      <c r="B4707" s="9" t="inlineStr">
        <is>
          <t>Meridian</t>
        </is>
      </c>
      <c r="C4707" s="9" t="inlineStr">
        <is>
          <t>21/50 MA cross, 250-period confirm filter, VWAP</t>
        </is>
      </c>
      <c r="D4707" s="9" t="inlineStr">
        <is>
          <t>Long</t>
        </is>
      </c>
      <c r="E4707" s="10" t="n">
        <v>45762.46875</v>
      </c>
      <c r="F4707" s="10" t="n">
        <v>45762.52777777778</v>
      </c>
      <c r="G4707" s="11" t="n">
        <v>-6.99</v>
      </c>
      <c r="H4707" s="11">
        <f>H4706+G4707</f>
        <v/>
      </c>
    </row>
    <row r="4708">
      <c r="A4708" s="9" t="n">
        <v>4704</v>
      </c>
      <c r="B4708" s="9" t="inlineStr">
        <is>
          <t>Meridian</t>
        </is>
      </c>
      <c r="C4708" s="9" t="inlineStr">
        <is>
          <t>21/50 MA cross, 250-period confirm filter, VWAP</t>
        </is>
      </c>
      <c r="D4708" s="9" t="inlineStr">
        <is>
          <t>Long</t>
        </is>
      </c>
      <c r="E4708" s="10" t="n">
        <v>45762.54861111111</v>
      </c>
      <c r="F4708" s="10" t="n">
        <v>45762.55902777778</v>
      </c>
      <c r="G4708" s="11" t="n">
        <v>-1.51</v>
      </c>
      <c r="H4708" s="11">
        <f>H4707+G4708</f>
        <v/>
      </c>
    </row>
    <row r="4709">
      <c r="A4709" s="9" t="n">
        <v>4705</v>
      </c>
      <c r="B4709" s="9" t="inlineStr">
        <is>
          <t>Aurelius_M15</t>
        </is>
      </c>
      <c r="C4709" s="9" t="inlineStr">
        <is>
          <t>MA alignment (EMA21&gt;EMA50&gt;SMA250&gt;SMMA500 vs EMA2400 trend filter) - M15 chart</t>
        </is>
      </c>
      <c r="D4709" s="9" t="inlineStr">
        <is>
          <t>Long</t>
        </is>
      </c>
      <c r="E4709" s="10" t="n">
        <v>45762.46875</v>
      </c>
      <c r="F4709" s="10" t="n">
        <v>45762.57291666666</v>
      </c>
      <c r="G4709" s="11" t="n">
        <v>-11.34</v>
      </c>
      <c r="H4709" s="11">
        <f>H4708+G4709</f>
        <v/>
      </c>
    </row>
    <row r="4710">
      <c r="A4710" s="9" t="n">
        <v>4706</v>
      </c>
      <c r="B4710" s="9" t="inlineStr">
        <is>
          <t>Meridian</t>
        </is>
      </c>
      <c r="C4710" s="9" t="inlineStr">
        <is>
          <t>21/50 MA cross, 250-period confirm filter, VWAP</t>
        </is>
      </c>
      <c r="D4710" s="9" t="inlineStr">
        <is>
          <t>Long</t>
        </is>
      </c>
      <c r="E4710" s="10" t="n">
        <v>45762.80208333334</v>
      </c>
      <c r="F4710" s="10" t="n">
        <v>45762.81597222222</v>
      </c>
      <c r="G4710" s="11" t="n">
        <v>-3.38</v>
      </c>
      <c r="H4710" s="11">
        <f>H4709+G4710</f>
        <v/>
      </c>
    </row>
    <row r="4711">
      <c r="A4711" s="9" t="n">
        <v>4707</v>
      </c>
      <c r="B4711" s="9" t="inlineStr">
        <is>
          <t>Meridian</t>
        </is>
      </c>
      <c r="C4711" s="9" t="inlineStr">
        <is>
          <t>21/50 MA cross, 250-period confirm filter, VWAP</t>
        </is>
      </c>
      <c r="D4711" s="9" t="inlineStr">
        <is>
          <t>Long</t>
        </is>
      </c>
      <c r="E4711" s="10" t="n">
        <v>45762.82638888889</v>
      </c>
      <c r="F4711" s="10" t="n">
        <v>45762.82986111111</v>
      </c>
      <c r="G4711" s="11" t="n">
        <v>-1.37</v>
      </c>
      <c r="H4711" s="11">
        <f>H4710+G4711</f>
        <v/>
      </c>
    </row>
    <row r="4712">
      <c r="A4712" s="9" t="n">
        <v>4708</v>
      </c>
      <c r="B4712" s="9" t="inlineStr">
        <is>
          <t>Ratchet</t>
        </is>
      </c>
      <c r="C4712" s="9" t="inlineStr">
        <is>
          <t>Stochastic scalp with give-back trail exit</t>
        </is>
      </c>
      <c r="D4712" s="9" t="inlineStr">
        <is>
          <t>Long</t>
        </is>
      </c>
      <c r="E4712" s="10" t="n">
        <v>45763.32638888889</v>
      </c>
      <c r="F4712" s="10" t="n">
        <v>45763.47916666666</v>
      </c>
      <c r="G4712" s="11" t="n">
        <v>10.16</v>
      </c>
      <c r="H4712" s="11">
        <f>H4711+G4712</f>
        <v/>
      </c>
    </row>
    <row r="4713">
      <c r="A4713" s="9" t="n">
        <v>4709</v>
      </c>
      <c r="B4713" s="9" t="inlineStr">
        <is>
          <t>Ratchet</t>
        </is>
      </c>
      <c r="C4713" s="9" t="inlineStr">
        <is>
          <t>Stochastic scalp with give-back trail exit</t>
        </is>
      </c>
      <c r="D4713" s="9" t="inlineStr">
        <is>
          <t>Long</t>
        </is>
      </c>
      <c r="E4713" s="10" t="n">
        <v>45763.57638888889</v>
      </c>
      <c r="F4713" s="10" t="n">
        <v>45763.58333333334</v>
      </c>
      <c r="G4713" s="11" t="n">
        <v>-4.86</v>
      </c>
      <c r="H4713" s="11">
        <f>H4712+G4713</f>
        <v/>
      </c>
    </row>
    <row r="4714">
      <c r="A4714" s="9" t="n">
        <v>4710</v>
      </c>
      <c r="B4714" s="9" t="inlineStr">
        <is>
          <t>Aurelius_M5</t>
        </is>
      </c>
      <c r="C4714" s="9" t="inlineStr">
        <is>
          <t>MA alignment (EMA21&gt;EMA50&gt;SMA250&gt;SMMA500 vs EMA2400 trend filter)</t>
        </is>
      </c>
      <c r="D4714" s="9" t="inlineStr">
        <is>
          <t>Long</t>
        </is>
      </c>
      <c r="E4714" s="10" t="n">
        <v>45763.61805555555</v>
      </c>
      <c r="F4714" s="10" t="n">
        <v>45763.68055555555</v>
      </c>
      <c r="G4714" s="11" t="n">
        <v>-10.71</v>
      </c>
      <c r="H4714" s="11">
        <f>H4713+G4714</f>
        <v/>
      </c>
    </row>
    <row r="4715">
      <c r="A4715" s="9" t="n">
        <v>4711</v>
      </c>
      <c r="B4715" s="9" t="inlineStr">
        <is>
          <t>Ratchet</t>
        </is>
      </c>
      <c r="C4715" s="9" t="inlineStr">
        <is>
          <t>Stochastic scalp with give-back trail exit</t>
        </is>
      </c>
      <c r="D4715" s="9" t="inlineStr">
        <is>
          <t>Long</t>
        </is>
      </c>
      <c r="E4715" s="10" t="n">
        <v>45763.85763888889</v>
      </c>
      <c r="F4715" s="10" t="n">
        <v>45763.87847222222</v>
      </c>
      <c r="G4715" s="11" t="n">
        <v>0.64</v>
      </c>
      <c r="H4715" s="11">
        <f>H4714+G4715</f>
        <v/>
      </c>
    </row>
    <row r="4716">
      <c r="A4716" s="9" t="n">
        <v>4712</v>
      </c>
      <c r="B4716" s="9" t="inlineStr">
        <is>
          <t>Aurelius_M5</t>
        </is>
      </c>
      <c r="C4716" s="9" t="inlineStr">
        <is>
          <t>MA alignment (EMA21&gt;EMA50&gt;SMA250&gt;SMMA500 vs EMA2400 trend filter)</t>
        </is>
      </c>
      <c r="D4716" s="9" t="inlineStr">
        <is>
          <t>Long</t>
        </is>
      </c>
      <c r="E4716" s="10" t="n">
        <v>45763.70138888889</v>
      </c>
      <c r="F4716" s="10" t="n">
        <v>45764.04166666666</v>
      </c>
      <c r="G4716" s="11" t="n">
        <v>37.92</v>
      </c>
      <c r="H4716" s="11">
        <f>H4715+G4716</f>
        <v/>
      </c>
    </row>
    <row r="4717">
      <c r="A4717" s="9" t="n">
        <v>4713</v>
      </c>
      <c r="B4717" s="9" t="inlineStr">
        <is>
          <t>Ratchet</t>
        </is>
      </c>
      <c r="C4717" s="9" t="inlineStr">
        <is>
          <t>Stochastic scalp with give-back trail exit</t>
        </is>
      </c>
      <c r="D4717" s="9" t="inlineStr">
        <is>
          <t>Long</t>
        </is>
      </c>
      <c r="E4717" s="10" t="n">
        <v>45764.11805555555</v>
      </c>
      <c r="F4717" s="10" t="n">
        <v>45764.12152777778</v>
      </c>
      <c r="G4717" s="11" t="n">
        <v>-3.32</v>
      </c>
      <c r="H4717" s="11">
        <f>H4716+G4717</f>
        <v/>
      </c>
    </row>
    <row r="4718">
      <c r="A4718" s="9" t="n">
        <v>4714</v>
      </c>
      <c r="B4718" s="9" t="inlineStr">
        <is>
          <t>Aurelius_M5</t>
        </is>
      </c>
      <c r="C4718" s="9" t="inlineStr">
        <is>
          <t>MA alignment (EMA21&gt;EMA50&gt;SMA250&gt;SMMA500 vs EMA2400 trend filter)</t>
        </is>
      </c>
      <c r="D4718" s="9" t="inlineStr">
        <is>
          <t>Long</t>
        </is>
      </c>
      <c r="E4718" s="10" t="n">
        <v>45764.17708333334</v>
      </c>
      <c r="F4718" s="10" t="n">
        <v>45764.1875</v>
      </c>
      <c r="G4718" s="11" t="n">
        <v>-9.630000000000001</v>
      </c>
      <c r="H4718" s="11">
        <f>H4717+G4718</f>
        <v/>
      </c>
    </row>
    <row r="4719">
      <c r="A4719" s="9" t="n">
        <v>4715</v>
      </c>
      <c r="B4719" s="9" t="inlineStr">
        <is>
          <t>Meridian</t>
        </is>
      </c>
      <c r="C4719" s="9" t="inlineStr">
        <is>
          <t>21/50 MA cross, 250-period confirm filter, VWAP</t>
        </is>
      </c>
      <c r="D4719" s="9" t="inlineStr">
        <is>
          <t>Long</t>
        </is>
      </c>
      <c r="E4719" s="10" t="n">
        <v>45762.83680555555</v>
      </c>
      <c r="F4719" s="10" t="n">
        <v>45764.20138888889</v>
      </c>
      <c r="G4719" s="11" t="n">
        <v>106.01</v>
      </c>
      <c r="H4719" s="11">
        <f>H4718+G4719</f>
        <v/>
      </c>
    </row>
    <row r="4720">
      <c r="A4720" s="9" t="n">
        <v>4716</v>
      </c>
      <c r="B4720" s="9" t="inlineStr">
        <is>
          <t>Meridian</t>
        </is>
      </c>
      <c r="C4720" s="9" t="inlineStr">
        <is>
          <t>21/50 MA cross, 250-period confirm filter, VWAP</t>
        </is>
      </c>
      <c r="D4720" s="9" t="inlineStr">
        <is>
          <t>Short</t>
        </is>
      </c>
      <c r="E4720" s="10" t="n">
        <v>45764.6875</v>
      </c>
      <c r="F4720" s="10" t="n">
        <v>45764.69791666666</v>
      </c>
      <c r="G4720" s="11" t="n">
        <v>-6.91</v>
      </c>
      <c r="H4720" s="11">
        <f>H4719+G4720</f>
        <v/>
      </c>
    </row>
    <row r="4721">
      <c r="A4721" s="9" t="n">
        <v>4717</v>
      </c>
      <c r="B4721" s="9" t="inlineStr">
        <is>
          <t>Meridian</t>
        </is>
      </c>
      <c r="C4721" s="9" t="inlineStr">
        <is>
          <t>21/50 MA cross, 250-period confirm filter, VWAP</t>
        </is>
      </c>
      <c r="D4721" s="9" t="inlineStr">
        <is>
          <t>Short</t>
        </is>
      </c>
      <c r="E4721" s="10" t="n">
        <v>45764.70138888889</v>
      </c>
      <c r="F4721" s="10" t="n">
        <v>45764.84375</v>
      </c>
      <c r="G4721" s="11" t="n">
        <v>3.09</v>
      </c>
      <c r="H4721" s="11">
        <f>H4720+G4721</f>
        <v/>
      </c>
    </row>
    <row r="4722">
      <c r="A4722" s="9" t="n">
        <v>4718</v>
      </c>
      <c r="B4722" s="9" t="inlineStr">
        <is>
          <t>Ratchet</t>
        </is>
      </c>
      <c r="C4722" s="9" t="inlineStr">
        <is>
          <t>Stochastic scalp with give-back trail exit</t>
        </is>
      </c>
      <c r="D4722" s="9" t="inlineStr">
        <is>
          <t>Long</t>
        </is>
      </c>
      <c r="E4722" s="10" t="n">
        <v>45768.125</v>
      </c>
      <c r="F4722" s="10" t="n">
        <v>45768.40277777778</v>
      </c>
      <c r="G4722" s="11" t="n">
        <v>42.21</v>
      </c>
      <c r="H4722" s="11">
        <f>H4721+G4722</f>
        <v/>
      </c>
    </row>
    <row r="4723">
      <c r="A4723" s="9" t="n">
        <v>4719</v>
      </c>
      <c r="B4723" s="9" t="inlineStr">
        <is>
          <t>Ratchet</t>
        </is>
      </c>
      <c r="C4723" s="9" t="inlineStr">
        <is>
          <t>Stochastic scalp with give-back trail exit</t>
        </is>
      </c>
      <c r="D4723" s="9" t="inlineStr">
        <is>
          <t>Long</t>
        </is>
      </c>
      <c r="E4723" s="10" t="n">
        <v>45768.55555555555</v>
      </c>
      <c r="F4723" s="10" t="n">
        <v>45768.56597222222</v>
      </c>
      <c r="G4723" s="11" t="n">
        <v>-4.29</v>
      </c>
      <c r="H4723" s="11">
        <f>H4722+G4723</f>
        <v/>
      </c>
    </row>
    <row r="4724">
      <c r="A4724" s="9" t="n">
        <v>4720</v>
      </c>
      <c r="B4724" s="9" t="inlineStr">
        <is>
          <t>Ratchet</t>
        </is>
      </c>
      <c r="C4724" s="9" t="inlineStr">
        <is>
          <t>Stochastic scalp with give-back trail exit</t>
        </is>
      </c>
      <c r="D4724" s="9" t="inlineStr">
        <is>
          <t>Long</t>
        </is>
      </c>
      <c r="E4724" s="10" t="n">
        <v>45768.70486111111</v>
      </c>
      <c r="F4724" s="10" t="n">
        <v>45768.71527777778</v>
      </c>
      <c r="G4724" s="11" t="n">
        <v>1.49</v>
      </c>
      <c r="H4724" s="11">
        <f>H4723+G4724</f>
        <v/>
      </c>
    </row>
    <row r="4725">
      <c r="A4725" s="9" t="n">
        <v>4721</v>
      </c>
      <c r="B4725" s="9" t="inlineStr">
        <is>
          <t>Aurelius_M5</t>
        </is>
      </c>
      <c r="C4725" s="9" t="inlineStr">
        <is>
          <t>MA alignment (EMA21&gt;EMA50&gt;SMA250&gt;SMMA500 vs EMA2400 trend filter)</t>
        </is>
      </c>
      <c r="D4725" s="9" t="inlineStr">
        <is>
          <t>Long</t>
        </is>
      </c>
      <c r="E4725" s="10" t="n">
        <v>45768.60416666666</v>
      </c>
      <c r="F4725" s="10" t="n">
        <v>45768.85069444445</v>
      </c>
      <c r="G4725" s="11" t="n">
        <v>19.53</v>
      </c>
      <c r="H4725" s="11">
        <f>H4724+G4725</f>
        <v/>
      </c>
    </row>
    <row r="4726">
      <c r="A4726" s="9" t="n">
        <v>4722</v>
      </c>
      <c r="B4726" s="9" t="inlineStr">
        <is>
          <t>Ratchet</t>
        </is>
      </c>
      <c r="C4726" s="9" t="inlineStr">
        <is>
          <t>Stochastic scalp with give-back trail exit</t>
        </is>
      </c>
      <c r="D4726" s="9" t="inlineStr">
        <is>
          <t>Long</t>
        </is>
      </c>
      <c r="E4726" s="10" t="n">
        <v>45768.89583333334</v>
      </c>
      <c r="F4726" s="10" t="n">
        <v>45768.90277777778</v>
      </c>
      <c r="G4726" s="11" t="n">
        <v>0</v>
      </c>
      <c r="H4726" s="11">
        <f>H4725+G4726</f>
        <v/>
      </c>
    </row>
    <row r="4727">
      <c r="A4727" s="9" t="n">
        <v>4723</v>
      </c>
      <c r="B4727" s="9" t="inlineStr">
        <is>
          <t>Meridian</t>
        </is>
      </c>
      <c r="C4727" s="9" t="inlineStr">
        <is>
          <t>21/50 MA cross, 250-period confirm filter, VWAP</t>
        </is>
      </c>
      <c r="D4727" s="9" t="inlineStr">
        <is>
          <t>Long</t>
        </is>
      </c>
      <c r="E4727" s="10" t="n">
        <v>45768.85763888889</v>
      </c>
      <c r="F4727" s="10" t="n">
        <v>45769.16666666666</v>
      </c>
      <c r="G4727" s="11" t="n">
        <v>7.46</v>
      </c>
      <c r="H4727" s="11">
        <f>H4726+G4727</f>
        <v/>
      </c>
    </row>
    <row r="4728">
      <c r="A4728" s="9" t="n">
        <v>4724</v>
      </c>
      <c r="B4728" s="9" t="inlineStr">
        <is>
          <t>Ratchet</t>
        </is>
      </c>
      <c r="C4728" s="9" t="inlineStr">
        <is>
          <t>Stochastic scalp with give-back trail exit</t>
        </is>
      </c>
      <c r="D4728" s="9" t="inlineStr">
        <is>
          <t>Long</t>
        </is>
      </c>
      <c r="E4728" s="10" t="n">
        <v>45769.17708333334</v>
      </c>
      <c r="F4728" s="10" t="n">
        <v>45769.375</v>
      </c>
      <c r="G4728" s="11" t="n">
        <v>60.43</v>
      </c>
      <c r="H4728" s="11">
        <f>H4727+G4728</f>
        <v/>
      </c>
    </row>
    <row r="4729">
      <c r="A4729" s="9" t="n">
        <v>4725</v>
      </c>
      <c r="B4729" s="9" t="inlineStr">
        <is>
          <t>Aurelius_M5</t>
        </is>
      </c>
      <c r="C4729" s="9" t="inlineStr">
        <is>
          <t>MA alignment (EMA21&gt;EMA50&gt;SMA250&gt;SMMA500 vs EMA2400 trend filter)</t>
        </is>
      </c>
      <c r="D4729" s="9" t="inlineStr">
        <is>
          <t>Long</t>
        </is>
      </c>
      <c r="E4729" s="10" t="n">
        <v>45769.20138888889</v>
      </c>
      <c r="F4729" s="10" t="n">
        <v>45769.4375</v>
      </c>
      <c r="G4729" s="11" t="n">
        <v>13.06</v>
      </c>
      <c r="H4729" s="11">
        <f>H4728+G4729</f>
        <v/>
      </c>
    </row>
    <row r="4730">
      <c r="A4730" s="9" t="n">
        <v>4726</v>
      </c>
      <c r="B4730" s="9" t="inlineStr">
        <is>
          <t>Vanguard_M5</t>
        </is>
      </c>
      <c r="C4730" s="9" t="inlineStr">
        <is>
          <t>Trendline breakout (fractal swing line) + VWAP/S-R distance gate</t>
        </is>
      </c>
      <c r="D4730" s="9" t="inlineStr">
        <is>
          <t>Long</t>
        </is>
      </c>
      <c r="E4730" s="10" t="n">
        <v>45762.86111111111</v>
      </c>
      <c r="F4730" s="10" t="n">
        <v>45770.04166666666</v>
      </c>
      <c r="G4730" s="11" t="n">
        <v>98.89</v>
      </c>
      <c r="H4730" s="11">
        <f>H4729+G4730</f>
        <v/>
      </c>
    </row>
    <row r="4731">
      <c r="A4731" s="9" t="n">
        <v>4727</v>
      </c>
      <c r="B4731" s="9" t="inlineStr">
        <is>
          <t>Vanguard_M15</t>
        </is>
      </c>
      <c r="C4731" s="9" t="inlineStr">
        <is>
          <t>Trendline breakout (fractal swing line) + VWAP/S-R distance gate - M15 chart</t>
        </is>
      </c>
      <c r="D4731" s="9" t="inlineStr">
        <is>
          <t>Long</t>
        </is>
      </c>
      <c r="E4731" s="10" t="n">
        <v>45762.86458333334</v>
      </c>
      <c r="F4731" s="10" t="n">
        <v>45770.04166666666</v>
      </c>
      <c r="G4731" s="11" t="n">
        <v>105.75</v>
      </c>
      <c r="H4731" s="11">
        <f>H4730+G4731</f>
        <v/>
      </c>
    </row>
    <row r="4732">
      <c r="A4732" s="9" t="n">
        <v>4728</v>
      </c>
      <c r="B4732" s="9" t="inlineStr">
        <is>
          <t>Vanguard_M5</t>
        </is>
      </c>
      <c r="C4732" s="9" t="inlineStr">
        <is>
          <t>Trendline breakout (fractal swing line) + VWAP/S-R distance gate</t>
        </is>
      </c>
      <c r="D4732" s="9" t="inlineStr">
        <is>
          <t>Short</t>
        </is>
      </c>
      <c r="E4732" s="10" t="n">
        <v>45770.04513888889</v>
      </c>
      <c r="F4732" s="10" t="n">
        <v>45770.15625</v>
      </c>
      <c r="G4732" s="11" t="n">
        <v>-35.11</v>
      </c>
      <c r="H4732" s="11">
        <f>H4731+G4732</f>
        <v/>
      </c>
    </row>
    <row r="4733">
      <c r="A4733" s="9" t="n">
        <v>4729</v>
      </c>
      <c r="B4733" s="9" t="inlineStr">
        <is>
          <t>Meridian</t>
        </is>
      </c>
      <c r="C4733" s="9" t="inlineStr">
        <is>
          <t>21/50 MA cross, 250-period confirm filter, VWAP</t>
        </is>
      </c>
      <c r="D4733" s="9" t="inlineStr">
        <is>
          <t>Short</t>
        </is>
      </c>
      <c r="E4733" s="10" t="n">
        <v>45770.25694444445</v>
      </c>
      <c r="F4733" s="10" t="n">
        <v>45770.52430555555</v>
      </c>
      <c r="G4733" s="11" t="n">
        <v>8.16</v>
      </c>
      <c r="H4733" s="11">
        <f>H4732+G4733</f>
        <v/>
      </c>
    </row>
    <row r="4734">
      <c r="A4734" s="9" t="n">
        <v>4730</v>
      </c>
      <c r="B4734" s="9" t="inlineStr">
        <is>
          <t>Meridian</t>
        </is>
      </c>
      <c r="C4734" s="9" t="inlineStr">
        <is>
          <t>21/50 MA cross, 250-period confirm filter, VWAP</t>
        </is>
      </c>
      <c r="D4734" s="9" t="inlineStr">
        <is>
          <t>Short</t>
        </is>
      </c>
      <c r="E4734" s="10" t="n">
        <v>45770.63888888889</v>
      </c>
      <c r="F4734" s="10" t="n">
        <v>45770.64236111111</v>
      </c>
      <c r="G4734" s="11" t="n">
        <v>-5.49</v>
      </c>
      <c r="H4734" s="11">
        <f>H4733+G4734</f>
        <v/>
      </c>
    </row>
    <row r="4735">
      <c r="A4735" s="9" t="n">
        <v>4731</v>
      </c>
      <c r="B4735" s="9" t="inlineStr">
        <is>
          <t>Ratchet</t>
        </is>
      </c>
      <c r="C4735" s="9" t="inlineStr">
        <is>
          <t>Stochastic scalp with give-back trail exit</t>
        </is>
      </c>
      <c r="D4735" s="9" t="inlineStr">
        <is>
          <t>Short</t>
        </is>
      </c>
      <c r="E4735" s="10" t="n">
        <v>45770.71527777778</v>
      </c>
      <c r="F4735" s="10" t="n">
        <v>45770.72222222222</v>
      </c>
      <c r="G4735" s="11" t="n">
        <v>-18.75</v>
      </c>
      <c r="H4735" s="11">
        <f>H4734+G4735</f>
        <v/>
      </c>
    </row>
    <row r="4736">
      <c r="A4736" s="9" t="n">
        <v>4732</v>
      </c>
      <c r="B4736" s="9" t="inlineStr">
        <is>
          <t>Ratchet</t>
        </is>
      </c>
      <c r="C4736" s="9" t="inlineStr">
        <is>
          <t>Stochastic scalp with give-back trail exit</t>
        </is>
      </c>
      <c r="D4736" s="9" t="inlineStr">
        <is>
          <t>Short</t>
        </is>
      </c>
      <c r="E4736" s="10" t="n">
        <v>45770.89930555555</v>
      </c>
      <c r="F4736" s="10" t="n">
        <v>45770.92013888889</v>
      </c>
      <c r="G4736" s="11" t="n">
        <v>-6.77</v>
      </c>
      <c r="H4736" s="11">
        <f>H4735+G4736</f>
        <v/>
      </c>
    </row>
    <row r="4737">
      <c r="A4737" s="9" t="n">
        <v>4733</v>
      </c>
      <c r="B4737" s="9" t="inlineStr">
        <is>
          <t>Meridian</t>
        </is>
      </c>
      <c r="C4737" s="9" t="inlineStr">
        <is>
          <t>21/50 MA cross, 250-period confirm filter, VWAP</t>
        </is>
      </c>
      <c r="D4737" s="9" t="inlineStr">
        <is>
          <t>Short</t>
        </is>
      </c>
      <c r="E4737" s="10" t="n">
        <v>45770.64930555555</v>
      </c>
      <c r="F4737" s="10" t="n">
        <v>45770.95138888889</v>
      </c>
      <c r="G4737" s="11" t="n">
        <v>30.67</v>
      </c>
      <c r="H4737" s="11">
        <f>H4736+G4737</f>
        <v/>
      </c>
    </row>
    <row r="4738">
      <c r="A4738" s="9" t="n">
        <v>4734</v>
      </c>
      <c r="B4738" s="9" t="inlineStr">
        <is>
          <t>Vanguard_M5</t>
        </is>
      </c>
      <c r="C4738" s="9" t="inlineStr">
        <is>
          <t>Trendline breakout (fractal swing line) + VWAP/S-R distance gate</t>
        </is>
      </c>
      <c r="D4738" s="9" t="inlineStr">
        <is>
          <t>Long</t>
        </is>
      </c>
      <c r="E4738" s="10" t="n">
        <v>45771.59722222222</v>
      </c>
      <c r="F4738" s="10" t="n">
        <v>45771.6875</v>
      </c>
      <c r="G4738" s="11" t="n">
        <v>-15.21</v>
      </c>
      <c r="H4738" s="11">
        <f>H4737+G4738</f>
        <v/>
      </c>
    </row>
    <row r="4739">
      <c r="A4739" s="9" t="n">
        <v>4735</v>
      </c>
      <c r="B4739" s="9" t="inlineStr">
        <is>
          <t>Vanguard_M15</t>
        </is>
      </c>
      <c r="C4739" s="9" t="inlineStr">
        <is>
          <t>Trendline breakout (fractal swing line) + VWAP/S-R distance gate - M15 chart</t>
        </is>
      </c>
      <c r="D4739" s="9" t="inlineStr">
        <is>
          <t>Long</t>
        </is>
      </c>
      <c r="E4739" s="10" t="n">
        <v>45771.60416666666</v>
      </c>
      <c r="F4739" s="10" t="n">
        <v>45771.6875</v>
      </c>
      <c r="G4739" s="11" t="n">
        <v>-22.92</v>
      </c>
      <c r="H4739" s="11">
        <f>H4738+G4739</f>
        <v/>
      </c>
    </row>
    <row r="4740">
      <c r="A4740" s="9" t="n">
        <v>4736</v>
      </c>
      <c r="B4740" s="9" t="inlineStr">
        <is>
          <t>Ratchet</t>
        </is>
      </c>
      <c r="C4740" s="9" t="inlineStr">
        <is>
          <t>Stochastic scalp with give-back trail exit</t>
        </is>
      </c>
      <c r="D4740" s="9" t="inlineStr">
        <is>
          <t>Long</t>
        </is>
      </c>
      <c r="E4740" s="10" t="n">
        <v>45772.17013888889</v>
      </c>
      <c r="F4740" s="10" t="n">
        <v>45772.17361111111</v>
      </c>
      <c r="G4740" s="11" t="n">
        <v>0</v>
      </c>
      <c r="H4740" s="11">
        <f>H4739+G4740</f>
        <v/>
      </c>
    </row>
    <row r="4741">
      <c r="A4741" s="9" t="n">
        <v>4737</v>
      </c>
      <c r="B4741" s="9" t="inlineStr">
        <is>
          <t>Meridian</t>
        </is>
      </c>
      <c r="C4741" s="9" t="inlineStr">
        <is>
          <t>21/50 MA cross, 250-period confirm filter, VWAP</t>
        </is>
      </c>
      <c r="D4741" s="9" t="inlineStr">
        <is>
          <t>Long</t>
        </is>
      </c>
      <c r="E4741" s="10" t="n">
        <v>45771.80555555555</v>
      </c>
      <c r="F4741" s="10" t="n">
        <v>45772.21180555555</v>
      </c>
      <c r="G4741" s="11" t="n">
        <v>17.26</v>
      </c>
      <c r="H4741" s="11">
        <f>H4740+G4741</f>
        <v/>
      </c>
    </row>
    <row r="4742">
      <c r="A4742" s="9" t="n">
        <v>4738</v>
      </c>
      <c r="B4742" s="9" t="inlineStr">
        <is>
          <t>Ratchet</t>
        </is>
      </c>
      <c r="C4742" s="9" t="inlineStr">
        <is>
          <t>Stochastic scalp with give-back trail exit</t>
        </is>
      </c>
      <c r="D4742" s="9" t="inlineStr">
        <is>
          <t>Short</t>
        </is>
      </c>
      <c r="E4742" s="10" t="n">
        <v>45772.63888888889</v>
      </c>
      <c r="F4742" s="10" t="n">
        <v>45772.64236111111</v>
      </c>
      <c r="G4742" s="11" t="n">
        <v>-7.21</v>
      </c>
      <c r="H4742" s="11">
        <f>H4741+G4742</f>
        <v/>
      </c>
    </row>
    <row r="4743">
      <c r="A4743" s="9" t="n">
        <v>4739</v>
      </c>
      <c r="B4743" s="9" t="inlineStr">
        <is>
          <t>Aurelius_M5</t>
        </is>
      </c>
      <c r="C4743" s="9" t="inlineStr">
        <is>
          <t>MA alignment (EMA21&gt;EMA50&gt;SMA250&gt;SMMA500 vs EMA2400 trend filter)</t>
        </is>
      </c>
      <c r="D4743" s="9" t="inlineStr">
        <is>
          <t>Short</t>
        </is>
      </c>
      <c r="E4743" s="10" t="n">
        <v>45772.64930555555</v>
      </c>
      <c r="F4743" s="10" t="n">
        <v>45772.85416666666</v>
      </c>
      <c r="G4743" s="11" t="n">
        <v>8.26</v>
      </c>
      <c r="H4743" s="11">
        <f>H4742+G4743</f>
        <v/>
      </c>
    </row>
    <row r="4744">
      <c r="A4744" s="9" t="n">
        <v>4740</v>
      </c>
      <c r="B4744" s="9" t="inlineStr">
        <is>
          <t>Meridian</t>
        </is>
      </c>
      <c r="C4744" s="9" t="inlineStr">
        <is>
          <t>21/50 MA cross, 250-period confirm filter, VWAP</t>
        </is>
      </c>
      <c r="D4744" s="9" t="inlineStr">
        <is>
          <t>Short</t>
        </is>
      </c>
      <c r="E4744" s="10" t="n">
        <v>45775.1875</v>
      </c>
      <c r="F4744" s="10" t="n">
        <v>45775.33680555555</v>
      </c>
      <c r="G4744" s="11" t="n">
        <v>-7.33</v>
      </c>
      <c r="H4744" s="11">
        <f>H4743+G4744</f>
        <v/>
      </c>
    </row>
    <row r="4745">
      <c r="A4745" s="9" t="n">
        <v>4741</v>
      </c>
      <c r="B4745" s="9" t="inlineStr">
        <is>
          <t>Aurelius_M5</t>
        </is>
      </c>
      <c r="C4745" s="9" t="inlineStr">
        <is>
          <t>MA alignment (EMA21&gt;EMA50&gt;SMA250&gt;SMMA500 vs EMA2400 trend filter)</t>
        </is>
      </c>
      <c r="D4745" s="9" t="inlineStr">
        <is>
          <t>Short</t>
        </is>
      </c>
      <c r="E4745" s="10" t="n">
        <v>45775.42013888889</v>
      </c>
      <c r="F4745" s="10" t="n">
        <v>45775.44097222222</v>
      </c>
      <c r="G4745" s="11" t="n">
        <v>-10.25</v>
      </c>
      <c r="H4745" s="11">
        <f>H4744+G4745</f>
        <v/>
      </c>
    </row>
    <row r="4746">
      <c r="A4746" s="9" t="n">
        <v>4742</v>
      </c>
      <c r="B4746" s="9" t="inlineStr">
        <is>
          <t>Ratchet</t>
        </is>
      </c>
      <c r="C4746" s="9" t="inlineStr">
        <is>
          <t>Stochastic scalp with give-back trail exit</t>
        </is>
      </c>
      <c r="D4746" s="9" t="inlineStr">
        <is>
          <t>Short</t>
        </is>
      </c>
      <c r="E4746" s="10" t="n">
        <v>45775.48958333334</v>
      </c>
      <c r="F4746" s="10" t="n">
        <v>45775.49305555555</v>
      </c>
      <c r="G4746" s="11" t="n">
        <v>-0</v>
      </c>
      <c r="H4746" s="11">
        <f>H4745+G4746</f>
        <v/>
      </c>
    </row>
    <row r="4747">
      <c r="A4747" s="9" t="n">
        <v>4743</v>
      </c>
      <c r="B4747" s="9" t="inlineStr">
        <is>
          <t>Aurelius_M5</t>
        </is>
      </c>
      <c r="C4747" s="9" t="inlineStr">
        <is>
          <t>MA alignment (EMA21&gt;EMA50&gt;SMA250&gt;SMMA500 vs EMA2400 trend filter)</t>
        </is>
      </c>
      <c r="D4747" s="9" t="inlineStr">
        <is>
          <t>Short</t>
        </is>
      </c>
      <c r="E4747" s="10" t="n">
        <v>45775.52430555555</v>
      </c>
      <c r="F4747" s="10" t="n">
        <v>45775.56944444445</v>
      </c>
      <c r="G4747" s="11" t="n">
        <v>-8.779999999999999</v>
      </c>
      <c r="H4747" s="11">
        <f>H4746+G4747</f>
        <v/>
      </c>
    </row>
    <row r="4748">
      <c r="A4748" s="9" t="n">
        <v>4744</v>
      </c>
      <c r="B4748" s="9" t="inlineStr">
        <is>
          <t>Meridian</t>
        </is>
      </c>
      <c r="C4748" s="9" t="inlineStr">
        <is>
          <t>21/50 MA cross, 250-period confirm filter, VWAP</t>
        </is>
      </c>
      <c r="D4748" s="9" t="inlineStr">
        <is>
          <t>Short</t>
        </is>
      </c>
      <c r="E4748" s="10" t="n">
        <v>45775.40277777778</v>
      </c>
      <c r="F4748" s="10" t="n">
        <v>45775.59027777778</v>
      </c>
      <c r="G4748" s="11" t="n">
        <v>-3.33</v>
      </c>
      <c r="H4748" s="11">
        <f>H4747+G4748</f>
        <v/>
      </c>
    </row>
    <row r="4749">
      <c r="A4749" s="9" t="n">
        <v>4745</v>
      </c>
      <c r="B4749" s="9" t="inlineStr">
        <is>
          <t>Vanguard_M5</t>
        </is>
      </c>
      <c r="C4749" s="9" t="inlineStr">
        <is>
          <t>Trendline breakout (fractal swing line) + VWAP/S-R distance gate</t>
        </is>
      </c>
      <c r="D4749" s="9" t="inlineStr">
        <is>
          <t>Short</t>
        </is>
      </c>
      <c r="E4749" s="10" t="n">
        <v>45772.29166666666</v>
      </c>
      <c r="F4749" s="10" t="n">
        <v>45775.72222222222</v>
      </c>
      <c r="G4749" s="11" t="n">
        <v>10.12</v>
      </c>
      <c r="H4749" s="11">
        <f>H4748+G4749</f>
        <v/>
      </c>
    </row>
    <row r="4750">
      <c r="A4750" s="9" t="n">
        <v>4746</v>
      </c>
      <c r="B4750" s="9" t="inlineStr">
        <is>
          <t>Vanguard_M15</t>
        </is>
      </c>
      <c r="C4750" s="9" t="inlineStr">
        <is>
          <t>Trendline breakout (fractal swing line) + VWAP/S-R distance gate - M15 chart</t>
        </is>
      </c>
      <c r="D4750" s="9" t="inlineStr">
        <is>
          <t>Short</t>
        </is>
      </c>
      <c r="E4750" s="10" t="n">
        <v>45772.29166666666</v>
      </c>
      <c r="F4750" s="10" t="n">
        <v>45775.72916666666</v>
      </c>
      <c r="G4750" s="11" t="n">
        <v>-6.48</v>
      </c>
      <c r="H4750" s="11">
        <f>H4749+G4750</f>
        <v/>
      </c>
    </row>
    <row r="4751">
      <c r="A4751" s="9" t="n">
        <v>4747</v>
      </c>
      <c r="B4751" s="9" t="inlineStr">
        <is>
          <t>Ratchet</t>
        </is>
      </c>
      <c r="C4751" s="9" t="inlineStr">
        <is>
          <t>Stochastic scalp with give-back trail exit</t>
        </is>
      </c>
      <c r="D4751" s="9" t="inlineStr">
        <is>
          <t>Long</t>
        </is>
      </c>
      <c r="E4751" s="10" t="n">
        <v>45775.94791666666</v>
      </c>
      <c r="F4751" s="10" t="n">
        <v>45775.95833333334</v>
      </c>
      <c r="G4751" s="11" t="n">
        <v>0.62</v>
      </c>
      <c r="H4751" s="11">
        <f>H4750+G4751</f>
        <v/>
      </c>
    </row>
    <row r="4752">
      <c r="A4752" s="9" t="n">
        <v>4748</v>
      </c>
      <c r="B4752" s="9" t="inlineStr">
        <is>
          <t>Vanguard_M15</t>
        </is>
      </c>
      <c r="C4752" s="9" t="inlineStr">
        <is>
          <t>Trendline breakout (fractal swing line) + VWAP/S-R distance gate - M15 chart</t>
        </is>
      </c>
      <c r="D4752" s="9" t="inlineStr">
        <is>
          <t>Long</t>
        </is>
      </c>
      <c r="E4752" s="10" t="n">
        <v>45775.73958333334</v>
      </c>
      <c r="F4752" s="10" t="n">
        <v>45776.34375</v>
      </c>
      <c r="G4752" s="11" t="n">
        <v>-24.66</v>
      </c>
      <c r="H4752" s="11">
        <f>H4751+G4752</f>
        <v/>
      </c>
    </row>
    <row r="4753">
      <c r="A4753" s="9" t="n">
        <v>4749</v>
      </c>
      <c r="B4753" s="9" t="inlineStr">
        <is>
          <t>Vanguard_M5</t>
        </is>
      </c>
      <c r="C4753" s="9" t="inlineStr">
        <is>
          <t>Trendline breakout (fractal swing line) + VWAP/S-R distance gate</t>
        </is>
      </c>
      <c r="D4753" s="9" t="inlineStr">
        <is>
          <t>Long</t>
        </is>
      </c>
      <c r="E4753" s="10" t="n">
        <v>45775.72569444445</v>
      </c>
      <c r="F4753" s="10" t="n">
        <v>45776.54861111111</v>
      </c>
      <c r="G4753" s="11" t="n">
        <v>-1.35</v>
      </c>
      <c r="H4753" s="11">
        <f>H4752+G4753</f>
        <v/>
      </c>
    </row>
    <row r="4754">
      <c r="A4754" s="9" t="n">
        <v>4750</v>
      </c>
      <c r="B4754" s="9" t="inlineStr">
        <is>
          <t>Meridian</t>
        </is>
      </c>
      <c r="C4754" s="9" t="inlineStr">
        <is>
          <t>21/50 MA cross, 250-period confirm filter, VWAP</t>
        </is>
      </c>
      <c r="D4754" s="9" t="inlineStr">
        <is>
          <t>Short</t>
        </is>
      </c>
      <c r="E4754" s="10" t="n">
        <v>45776.5</v>
      </c>
      <c r="F4754" s="10" t="n">
        <v>45776.6875</v>
      </c>
      <c r="G4754" s="11" t="n">
        <v>-7.07</v>
      </c>
      <c r="H4754" s="11">
        <f>H4753+G4754</f>
        <v/>
      </c>
    </row>
    <row r="4755">
      <c r="A4755" s="9" t="n">
        <v>4751</v>
      </c>
      <c r="B4755" s="9" t="inlineStr">
        <is>
          <t>Meridian</t>
        </is>
      </c>
      <c r="C4755" s="9" t="inlineStr">
        <is>
          <t>21/50 MA cross, 250-period confirm filter, VWAP</t>
        </is>
      </c>
      <c r="D4755" s="9" t="inlineStr">
        <is>
          <t>Short</t>
        </is>
      </c>
      <c r="E4755" s="10" t="n">
        <v>45776.70138888889</v>
      </c>
      <c r="F4755" s="10" t="n">
        <v>45776.72569444445</v>
      </c>
      <c r="G4755" s="11" t="n">
        <v>-13.34</v>
      </c>
      <c r="H4755" s="11">
        <f>H4754+G4755</f>
        <v/>
      </c>
    </row>
    <row r="4756">
      <c r="A4756" s="9" t="n">
        <v>4752</v>
      </c>
      <c r="B4756" s="9" t="inlineStr">
        <is>
          <t>Meridian</t>
        </is>
      </c>
      <c r="C4756" s="9" t="inlineStr">
        <is>
          <t>21/50 MA cross, 250-period confirm filter, VWAP</t>
        </is>
      </c>
      <c r="D4756" s="9" t="inlineStr">
        <is>
          <t>Short</t>
        </is>
      </c>
      <c r="E4756" s="10" t="n">
        <v>45776.76736111111</v>
      </c>
      <c r="F4756" s="10" t="n">
        <v>45776.79861111111</v>
      </c>
      <c r="G4756" s="11" t="n">
        <v>-4.4</v>
      </c>
      <c r="H4756" s="11">
        <f>H4755+G4756</f>
        <v/>
      </c>
    </row>
    <row r="4757">
      <c r="A4757" s="9" t="n">
        <v>4753</v>
      </c>
      <c r="B4757" s="9" t="inlineStr">
        <is>
          <t>Ratchet</t>
        </is>
      </c>
      <c r="C4757" s="9" t="inlineStr">
        <is>
          <t>Stochastic scalp with give-back trail exit</t>
        </is>
      </c>
      <c r="D4757" s="9" t="inlineStr">
        <is>
          <t>Long</t>
        </is>
      </c>
      <c r="E4757" s="10" t="n">
        <v>45776.84027777778</v>
      </c>
      <c r="F4757" s="10" t="n">
        <v>45776.86805555555</v>
      </c>
      <c r="G4757" s="11" t="n">
        <v>-5.85</v>
      </c>
      <c r="H4757" s="11">
        <f>H4756+G4757</f>
        <v/>
      </c>
    </row>
    <row r="4758">
      <c r="A4758" s="9" t="n">
        <v>4754</v>
      </c>
      <c r="B4758" s="9" t="inlineStr">
        <is>
          <t>Ratchet</t>
        </is>
      </c>
      <c r="C4758" s="9" t="inlineStr">
        <is>
          <t>Stochastic scalp with give-back trail exit</t>
        </is>
      </c>
      <c r="D4758" s="9" t="inlineStr">
        <is>
          <t>Long</t>
        </is>
      </c>
      <c r="E4758" s="10" t="n">
        <v>45776.96527777778</v>
      </c>
      <c r="F4758" s="10" t="n">
        <v>45776.98958333334</v>
      </c>
      <c r="G4758" s="11" t="n">
        <v>-4.62</v>
      </c>
      <c r="H4758" s="11">
        <f>H4757+G4758</f>
        <v/>
      </c>
    </row>
    <row r="4759">
      <c r="A4759" s="9" t="n">
        <v>4755</v>
      </c>
      <c r="B4759" s="9" t="inlineStr">
        <is>
          <t>Meridian</t>
        </is>
      </c>
      <c r="C4759" s="9" t="inlineStr">
        <is>
          <t>21/50 MA cross, 250-period confirm filter, VWAP</t>
        </is>
      </c>
      <c r="D4759" s="9" t="inlineStr">
        <is>
          <t>Long</t>
        </is>
      </c>
      <c r="E4759" s="10" t="n">
        <v>45777.13888888889</v>
      </c>
      <c r="F4759" s="10" t="n">
        <v>45777.15277777778</v>
      </c>
      <c r="G4759" s="11" t="n">
        <v>-6.2</v>
      </c>
      <c r="H4759" s="11">
        <f>H4758+G4759</f>
        <v/>
      </c>
    </row>
    <row r="4760">
      <c r="A4760" s="9" t="n">
        <v>4756</v>
      </c>
      <c r="B4760" s="9" t="inlineStr">
        <is>
          <t>Aurelius_M5</t>
        </is>
      </c>
      <c r="C4760" s="9" t="inlineStr">
        <is>
          <t>MA alignment (EMA21&gt;EMA50&gt;SMA250&gt;SMMA500 vs EMA2400 trend filter)</t>
        </is>
      </c>
      <c r="D4760" s="9" t="inlineStr">
        <is>
          <t>Short</t>
        </is>
      </c>
      <c r="E4760" s="10" t="n">
        <v>45777.42361111111</v>
      </c>
      <c r="F4760" s="10" t="n">
        <v>45777.42708333334</v>
      </c>
      <c r="G4760" s="11" t="n">
        <v>-2.27</v>
      </c>
      <c r="H4760" s="11">
        <f>H4759+G4760</f>
        <v/>
      </c>
    </row>
    <row r="4761">
      <c r="A4761" s="9" t="n">
        <v>4757</v>
      </c>
      <c r="B4761" s="9" t="inlineStr">
        <is>
          <t>Meridian</t>
        </is>
      </c>
      <c r="C4761" s="9" t="inlineStr">
        <is>
          <t>21/50 MA cross, 250-period confirm filter, VWAP</t>
        </is>
      </c>
      <c r="D4761" s="9" t="inlineStr">
        <is>
          <t>Long</t>
        </is>
      </c>
      <c r="E4761" s="10" t="n">
        <v>45777.44791666666</v>
      </c>
      <c r="F4761" s="10" t="n">
        <v>45777.45486111111</v>
      </c>
      <c r="G4761" s="11" t="n">
        <v>-6.21</v>
      </c>
      <c r="H4761" s="11">
        <f>H4760+G4761</f>
        <v/>
      </c>
    </row>
    <row r="4762">
      <c r="A4762" s="9" t="n">
        <v>4758</v>
      </c>
      <c r="B4762" s="9" t="inlineStr">
        <is>
          <t>Ratchet</t>
        </is>
      </c>
      <c r="C4762" s="9" t="inlineStr">
        <is>
          <t>Stochastic scalp with give-back trail exit</t>
        </is>
      </c>
      <c r="D4762" s="9" t="inlineStr">
        <is>
          <t>Short</t>
        </is>
      </c>
      <c r="E4762" s="10" t="n">
        <v>45777.48611111111</v>
      </c>
      <c r="F4762" s="10" t="n">
        <v>45777.5</v>
      </c>
      <c r="G4762" s="11" t="n">
        <v>0.79</v>
      </c>
      <c r="H4762" s="11">
        <f>H4761+G4762</f>
        <v/>
      </c>
    </row>
    <row r="4763">
      <c r="A4763" s="9" t="n">
        <v>4759</v>
      </c>
      <c r="B4763" s="9" t="inlineStr">
        <is>
          <t>Ratchet</t>
        </is>
      </c>
      <c r="C4763" s="9" t="inlineStr">
        <is>
          <t>Stochastic scalp with give-back trail exit</t>
        </is>
      </c>
      <c r="D4763" s="9" t="inlineStr">
        <is>
          <t>Short</t>
        </is>
      </c>
      <c r="E4763" s="10" t="n">
        <v>45777.57638888889</v>
      </c>
      <c r="F4763" s="10" t="n">
        <v>45777.58680555555</v>
      </c>
      <c r="G4763" s="11" t="n">
        <v>1.68</v>
      </c>
      <c r="H4763" s="11">
        <f>H4762+G4763</f>
        <v/>
      </c>
    </row>
    <row r="4764">
      <c r="A4764" s="9" t="n">
        <v>4760</v>
      </c>
      <c r="B4764" s="9" t="inlineStr">
        <is>
          <t>Ratchet</t>
        </is>
      </c>
      <c r="C4764" s="9" t="inlineStr">
        <is>
          <t>Stochastic scalp with give-back trail exit</t>
        </is>
      </c>
      <c r="D4764" s="9" t="inlineStr">
        <is>
          <t>Short</t>
        </is>
      </c>
      <c r="E4764" s="10" t="n">
        <v>45777.59722222222</v>
      </c>
      <c r="F4764" s="10" t="n">
        <v>45777.60069444445</v>
      </c>
      <c r="G4764" s="11" t="n">
        <v>-5.96</v>
      </c>
      <c r="H4764" s="11">
        <f>H4763+G4764</f>
        <v/>
      </c>
    </row>
    <row r="4765">
      <c r="A4765" s="9" t="n">
        <v>4761</v>
      </c>
      <c r="B4765" s="9" t="inlineStr">
        <is>
          <t>Aurelius_M5</t>
        </is>
      </c>
      <c r="C4765" s="9" t="inlineStr">
        <is>
          <t>MA alignment (EMA21&gt;EMA50&gt;SMA250&gt;SMMA500 vs EMA2400 trend filter)</t>
        </is>
      </c>
      <c r="D4765" s="9" t="inlineStr">
        <is>
          <t>Short</t>
        </is>
      </c>
      <c r="E4765" s="10" t="n">
        <v>45777.48263888889</v>
      </c>
      <c r="F4765" s="10" t="n">
        <v>45777.65625</v>
      </c>
      <c r="G4765" s="11" t="n">
        <v>-11.13</v>
      </c>
      <c r="H4765" s="11">
        <f>H4764+G4765</f>
        <v/>
      </c>
    </row>
    <row r="4766">
      <c r="A4766" s="9" t="n">
        <v>4762</v>
      </c>
      <c r="B4766" s="9" t="inlineStr">
        <is>
          <t>Meridian</t>
        </is>
      </c>
      <c r="C4766" s="9" t="inlineStr">
        <is>
          <t>21/50 MA cross, 250-period confirm filter, VWAP</t>
        </is>
      </c>
      <c r="D4766" s="9" t="inlineStr">
        <is>
          <t>Short</t>
        </is>
      </c>
      <c r="E4766" s="10" t="n">
        <v>45777.46180555555</v>
      </c>
      <c r="F4766" s="10" t="n">
        <v>45777.66319444445</v>
      </c>
      <c r="G4766" s="11" t="n">
        <v>5.86</v>
      </c>
      <c r="H4766" s="11">
        <f>H4765+G4766</f>
        <v/>
      </c>
    </row>
    <row r="4767">
      <c r="A4767" s="9" t="n">
        <v>4763</v>
      </c>
      <c r="B4767" s="9" t="inlineStr">
        <is>
          <t>Vanguard_M15</t>
        </is>
      </c>
      <c r="C4767" s="9" t="inlineStr">
        <is>
          <t>Trendline breakout (fractal swing line) + VWAP/S-R distance gate - M15 chart</t>
        </is>
      </c>
      <c r="D4767" s="9" t="inlineStr">
        <is>
          <t>Short</t>
        </is>
      </c>
      <c r="E4767" s="10" t="n">
        <v>45777.20833333334</v>
      </c>
      <c r="F4767" s="10" t="n">
        <v>45777.66666666666</v>
      </c>
      <c r="G4767" s="11" t="n">
        <v>-0.24</v>
      </c>
      <c r="H4767" s="11">
        <f>H4766+G4767</f>
        <v/>
      </c>
    </row>
    <row r="4768">
      <c r="A4768" s="9" t="n">
        <v>4764</v>
      </c>
      <c r="B4768" s="9" t="inlineStr">
        <is>
          <t>Vanguard_M5</t>
        </is>
      </c>
      <c r="C4768" s="9" t="inlineStr">
        <is>
          <t>Trendline breakout (fractal swing line) + VWAP/S-R distance gate</t>
        </is>
      </c>
      <c r="D4768" s="9" t="inlineStr">
        <is>
          <t>Short</t>
        </is>
      </c>
      <c r="E4768" s="10" t="n">
        <v>45777.20833333334</v>
      </c>
      <c r="F4768" s="10" t="n">
        <v>45777.67361111111</v>
      </c>
      <c r="G4768" s="11" t="n">
        <v>-0.24</v>
      </c>
      <c r="H4768" s="11">
        <f>H4767+G4768</f>
        <v/>
      </c>
    </row>
    <row r="4769">
      <c r="A4769" s="9" t="n">
        <v>4765</v>
      </c>
      <c r="B4769" s="9" t="inlineStr">
        <is>
          <t>Vanguard_M5</t>
        </is>
      </c>
      <c r="C4769" s="9" t="inlineStr">
        <is>
          <t>Trendline breakout (fractal swing line) + VWAP/S-R distance gate</t>
        </is>
      </c>
      <c r="D4769" s="9" t="inlineStr">
        <is>
          <t>Long</t>
        </is>
      </c>
      <c r="E4769" s="10" t="n">
        <v>45777.67708333334</v>
      </c>
      <c r="F4769" s="10" t="n">
        <v>45777.98263888889</v>
      </c>
      <c r="G4769" s="11" t="n">
        <v>-24.33</v>
      </c>
      <c r="H4769" s="11">
        <f>H4768+G4769</f>
        <v/>
      </c>
    </row>
    <row r="4770">
      <c r="A4770" s="9" t="n">
        <v>4766</v>
      </c>
      <c r="B4770" s="9" t="inlineStr">
        <is>
          <t>Vanguard_M15</t>
        </is>
      </c>
      <c r="C4770" s="9" t="inlineStr">
        <is>
          <t>Trendline breakout (fractal swing line) + VWAP/S-R distance gate - M15 chart</t>
        </is>
      </c>
      <c r="D4770" s="9" t="inlineStr">
        <is>
          <t>Long</t>
        </is>
      </c>
      <c r="E4770" s="10" t="n">
        <v>45777.67708333334</v>
      </c>
      <c r="F4770" s="10" t="n">
        <v>45778.04166666666</v>
      </c>
      <c r="G4770" s="11" t="n">
        <v>-25.6</v>
      </c>
      <c r="H4770" s="11">
        <f>H4769+G4770</f>
        <v/>
      </c>
    </row>
    <row r="4771">
      <c r="A4771" s="9" t="n">
        <v>4767</v>
      </c>
      <c r="B4771" s="9" t="inlineStr">
        <is>
          <t>Ratchet</t>
        </is>
      </c>
      <c r="C4771" s="9" t="inlineStr">
        <is>
          <t>Stochastic scalp with give-back trail exit</t>
        </is>
      </c>
      <c r="D4771" s="9" t="inlineStr">
        <is>
          <t>Short</t>
        </is>
      </c>
      <c r="E4771" s="10" t="n">
        <v>45778.51736111111</v>
      </c>
      <c r="F4771" s="10" t="n">
        <v>45778.52430555555</v>
      </c>
      <c r="G4771" s="11" t="n">
        <v>4.53</v>
      </c>
      <c r="H4771" s="11">
        <f>H4770+G4771</f>
        <v/>
      </c>
    </row>
    <row r="4772">
      <c r="A4772" s="9" t="n">
        <v>4768</v>
      </c>
      <c r="B4772" s="9" t="inlineStr">
        <is>
          <t>Aurelius_M5</t>
        </is>
      </c>
      <c r="C4772" s="9" t="inlineStr">
        <is>
          <t>MA alignment (EMA21&gt;EMA50&gt;SMA250&gt;SMMA500 vs EMA2400 trend filter)</t>
        </is>
      </c>
      <c r="D4772" s="9" t="inlineStr">
        <is>
          <t>Short</t>
        </is>
      </c>
      <c r="E4772" s="10" t="n">
        <v>45778.51041666666</v>
      </c>
      <c r="F4772" s="10" t="n">
        <v>45778.69444444445</v>
      </c>
      <c r="G4772" s="11" t="n">
        <v>1.3</v>
      </c>
      <c r="H4772" s="11">
        <f>H4771+G4772</f>
        <v/>
      </c>
    </row>
    <row r="4773">
      <c r="A4773" s="9" t="n">
        <v>4769</v>
      </c>
      <c r="B4773" s="9" t="inlineStr">
        <is>
          <t>Meridian</t>
        </is>
      </c>
      <c r="C4773" s="9" t="inlineStr">
        <is>
          <t>21/50 MA cross, 250-period confirm filter, VWAP</t>
        </is>
      </c>
      <c r="D4773" s="9" t="inlineStr">
        <is>
          <t>Short</t>
        </is>
      </c>
      <c r="E4773" s="10" t="n">
        <v>45778.72569444445</v>
      </c>
      <c r="F4773" s="10" t="n">
        <v>45778.73611111111</v>
      </c>
      <c r="G4773" s="11" t="n">
        <v>-10.47</v>
      </c>
      <c r="H4773" s="11">
        <f>H4772+G4773</f>
        <v/>
      </c>
    </row>
    <row r="4774">
      <c r="A4774" s="9" t="n">
        <v>4770</v>
      </c>
      <c r="B4774" s="9" t="inlineStr">
        <is>
          <t>Ratchet</t>
        </is>
      </c>
      <c r="C4774" s="9" t="inlineStr">
        <is>
          <t>Stochastic scalp with give-back trail exit</t>
        </is>
      </c>
      <c r="D4774" s="9" t="inlineStr">
        <is>
          <t>Short</t>
        </is>
      </c>
      <c r="E4774" s="10" t="n">
        <v>45778.76041666666</v>
      </c>
      <c r="F4774" s="10" t="n">
        <v>45778.76388888889</v>
      </c>
      <c r="G4774" s="11" t="n">
        <v>-0</v>
      </c>
      <c r="H4774" s="11">
        <f>H4773+G4774</f>
        <v/>
      </c>
    </row>
    <row r="4775">
      <c r="A4775" s="9" t="n">
        <v>4771</v>
      </c>
      <c r="B4775" s="9" t="inlineStr">
        <is>
          <t>Ratchet</t>
        </is>
      </c>
      <c r="C4775" s="9" t="inlineStr">
        <is>
          <t>Stochastic scalp with give-back trail exit</t>
        </is>
      </c>
      <c r="D4775" s="9" t="inlineStr">
        <is>
          <t>Short</t>
        </is>
      </c>
      <c r="E4775" s="10" t="n">
        <v>45778.77083333334</v>
      </c>
      <c r="F4775" s="10" t="n">
        <v>45778.78472222222</v>
      </c>
      <c r="G4775" s="11" t="n">
        <v>2.48</v>
      </c>
      <c r="H4775" s="11">
        <f>H4774+G4775</f>
        <v/>
      </c>
    </row>
    <row r="4776">
      <c r="A4776" s="9" t="n">
        <v>4772</v>
      </c>
      <c r="B4776" s="9" t="inlineStr">
        <is>
          <t>Ratchet</t>
        </is>
      </c>
      <c r="C4776" s="9" t="inlineStr">
        <is>
          <t>Stochastic scalp with give-back trail exit</t>
        </is>
      </c>
      <c r="D4776" s="9" t="inlineStr">
        <is>
          <t>Short</t>
        </is>
      </c>
      <c r="E4776" s="10" t="n">
        <v>45778.80902777778</v>
      </c>
      <c r="F4776" s="10" t="n">
        <v>45778.8125</v>
      </c>
      <c r="G4776" s="11" t="n">
        <v>-0</v>
      </c>
      <c r="H4776" s="11">
        <f>H4775+G4776</f>
        <v/>
      </c>
    </row>
    <row r="4777">
      <c r="A4777" s="9" t="n">
        <v>4773</v>
      </c>
      <c r="B4777" s="9" t="inlineStr">
        <is>
          <t>Meridian</t>
        </is>
      </c>
      <c r="C4777" s="9" t="inlineStr">
        <is>
          <t>21/50 MA cross, 250-period confirm filter, VWAP</t>
        </is>
      </c>
      <c r="D4777" s="9" t="inlineStr">
        <is>
          <t>Short</t>
        </is>
      </c>
      <c r="E4777" s="10" t="n">
        <v>45778.75694444445</v>
      </c>
      <c r="F4777" s="10" t="n">
        <v>45778.90625</v>
      </c>
      <c r="G4777" s="11" t="n">
        <v>-6.45</v>
      </c>
      <c r="H4777" s="11">
        <f>H4776+G4777</f>
        <v/>
      </c>
    </row>
    <row r="4778">
      <c r="A4778" s="9" t="n">
        <v>4774</v>
      </c>
      <c r="B4778" s="9" t="inlineStr">
        <is>
          <t>Meridian</t>
        </is>
      </c>
      <c r="C4778" s="9" t="inlineStr">
        <is>
          <t>21/50 MA cross, 250-period confirm filter, VWAP</t>
        </is>
      </c>
      <c r="D4778" s="9" t="inlineStr">
        <is>
          <t>Long</t>
        </is>
      </c>
      <c r="E4778" s="10" t="n">
        <v>45779.75694444445</v>
      </c>
      <c r="F4778" s="10" t="n">
        <v>45779.77083333334</v>
      </c>
      <c r="G4778" s="11" t="n">
        <v>-10.77</v>
      </c>
      <c r="H4778" s="11">
        <f>H4777+G4778</f>
        <v/>
      </c>
    </row>
    <row r="4779">
      <c r="A4779" s="9" t="n">
        <v>4775</v>
      </c>
      <c r="B4779" s="9" t="inlineStr">
        <is>
          <t>Ratchet</t>
        </is>
      </c>
      <c r="C4779" s="9" t="inlineStr">
        <is>
          <t>Stochastic scalp with give-back trail exit</t>
        </is>
      </c>
      <c r="D4779" s="9" t="inlineStr">
        <is>
          <t>Short</t>
        </is>
      </c>
      <c r="E4779" s="10" t="n">
        <v>45779.80555555555</v>
      </c>
      <c r="F4779" s="10" t="n">
        <v>45779.83333333334</v>
      </c>
      <c r="G4779" s="11" t="n">
        <v>-0</v>
      </c>
      <c r="H4779" s="11">
        <f>H4778+G4779</f>
        <v/>
      </c>
    </row>
    <row r="4780">
      <c r="A4780" s="9" t="n">
        <v>4776</v>
      </c>
      <c r="B4780" s="9" t="inlineStr">
        <is>
          <t>Aurelius_M15</t>
        </is>
      </c>
      <c r="C4780" s="9" t="inlineStr">
        <is>
          <t>MA alignment (EMA21&gt;EMA50&gt;SMA250&gt;SMMA500 vs EMA2400 trend filter) - M15 chart</t>
        </is>
      </c>
      <c r="D4780" s="9" t="inlineStr">
        <is>
          <t>Short</t>
        </is>
      </c>
      <c r="E4780" s="10" t="n">
        <v>45779.82291666666</v>
      </c>
      <c r="F4780" s="10" t="n">
        <v>45779.92708333334</v>
      </c>
      <c r="G4780" s="11" t="n">
        <v>4.59</v>
      </c>
      <c r="H4780" s="11">
        <f>H4779+G4780</f>
        <v/>
      </c>
    </row>
    <row r="4781">
      <c r="A4781" s="9" t="n">
        <v>4777</v>
      </c>
      <c r="B4781" s="9" t="inlineStr">
        <is>
          <t>Ratchet</t>
        </is>
      </c>
      <c r="C4781" s="9" t="inlineStr">
        <is>
          <t>Stochastic scalp with give-back trail exit</t>
        </is>
      </c>
      <c r="D4781" s="9" t="inlineStr">
        <is>
          <t>Long</t>
        </is>
      </c>
      <c r="E4781" s="10" t="n">
        <v>45782.63541666666</v>
      </c>
      <c r="F4781" s="10" t="n">
        <v>45782.63888888889</v>
      </c>
      <c r="G4781" s="11" t="n">
        <v>0.92</v>
      </c>
      <c r="H4781" s="11">
        <f>H4780+G4781</f>
        <v/>
      </c>
    </row>
    <row r="4782">
      <c r="A4782" s="9" t="n">
        <v>4778</v>
      </c>
      <c r="B4782" s="9" t="inlineStr">
        <is>
          <t>Ratchet</t>
        </is>
      </c>
      <c r="C4782" s="9" t="inlineStr">
        <is>
          <t>Stochastic scalp with give-back trail exit</t>
        </is>
      </c>
      <c r="D4782" s="9" t="inlineStr">
        <is>
          <t>Long</t>
        </is>
      </c>
      <c r="E4782" s="10" t="n">
        <v>45783.07638888889</v>
      </c>
      <c r="F4782" s="10" t="n">
        <v>45783.08680555555</v>
      </c>
      <c r="G4782" s="11" t="n">
        <v>0</v>
      </c>
      <c r="H4782" s="11">
        <f>H4781+G4782</f>
        <v/>
      </c>
    </row>
    <row r="4783">
      <c r="A4783" s="9" t="n">
        <v>4779</v>
      </c>
      <c r="B4783" s="9" t="inlineStr">
        <is>
          <t>Ratchet</t>
        </is>
      </c>
      <c r="C4783" s="9" t="inlineStr">
        <is>
          <t>Stochastic scalp with give-back trail exit</t>
        </is>
      </c>
      <c r="D4783" s="9" t="inlineStr">
        <is>
          <t>Long</t>
        </is>
      </c>
      <c r="E4783" s="10" t="n">
        <v>45783.125</v>
      </c>
      <c r="F4783" s="10" t="n">
        <v>45783.13541666666</v>
      </c>
      <c r="G4783" s="11" t="n">
        <v>-4.48</v>
      </c>
      <c r="H4783" s="11">
        <f>H4782+G4783</f>
        <v/>
      </c>
    </row>
    <row r="4784">
      <c r="A4784" s="9" t="n">
        <v>4780</v>
      </c>
      <c r="B4784" s="9" t="inlineStr">
        <is>
          <t>Ratchet</t>
        </is>
      </c>
      <c r="C4784" s="9" t="inlineStr">
        <is>
          <t>Stochastic scalp with give-back trail exit</t>
        </is>
      </c>
      <c r="D4784" s="9" t="inlineStr">
        <is>
          <t>Long</t>
        </is>
      </c>
      <c r="E4784" s="10" t="n">
        <v>45783.46180555555</v>
      </c>
      <c r="F4784" s="10" t="n">
        <v>45783.50347222222</v>
      </c>
      <c r="G4784" s="11" t="n">
        <v>2.72</v>
      </c>
      <c r="H4784" s="11">
        <f>H4783+G4784</f>
        <v/>
      </c>
    </row>
    <row r="4785">
      <c r="A4785" s="9" t="n">
        <v>4781</v>
      </c>
      <c r="B4785" s="9" t="inlineStr">
        <is>
          <t>Ratchet</t>
        </is>
      </c>
      <c r="C4785" s="9" t="inlineStr">
        <is>
          <t>Stochastic scalp with give-back trail exit</t>
        </is>
      </c>
      <c r="D4785" s="9" t="inlineStr">
        <is>
          <t>Long</t>
        </is>
      </c>
      <c r="E4785" s="10" t="n">
        <v>45783.53472222222</v>
      </c>
      <c r="F4785" s="10" t="n">
        <v>45783.55555555555</v>
      </c>
      <c r="G4785" s="11" t="n">
        <v>1.23</v>
      </c>
      <c r="H4785" s="11">
        <f>H4784+G4785</f>
        <v/>
      </c>
    </row>
    <row r="4786">
      <c r="A4786" s="9" t="n">
        <v>4782</v>
      </c>
      <c r="B4786" s="9" t="inlineStr">
        <is>
          <t>Ratchet</t>
        </is>
      </c>
      <c r="C4786" s="9" t="inlineStr">
        <is>
          <t>Stochastic scalp with give-back trail exit</t>
        </is>
      </c>
      <c r="D4786" s="9" t="inlineStr">
        <is>
          <t>Long</t>
        </is>
      </c>
      <c r="E4786" s="10" t="n">
        <v>45783.88194444445</v>
      </c>
      <c r="F4786" s="10" t="n">
        <v>45783.91666666666</v>
      </c>
      <c r="G4786" s="11" t="n">
        <v>1.16</v>
      </c>
      <c r="H4786" s="11">
        <f>H4785+G4786</f>
        <v/>
      </c>
    </row>
    <row r="4787">
      <c r="A4787" s="9" t="n">
        <v>4783</v>
      </c>
      <c r="B4787" s="9" t="inlineStr">
        <is>
          <t>Ratchet</t>
        </is>
      </c>
      <c r="C4787" s="9" t="inlineStr">
        <is>
          <t>Stochastic scalp with give-back trail exit</t>
        </is>
      </c>
      <c r="D4787" s="9" t="inlineStr">
        <is>
          <t>Long</t>
        </is>
      </c>
      <c r="E4787" s="10" t="n">
        <v>45783.93402777778</v>
      </c>
      <c r="F4787" s="10" t="n">
        <v>45783.95833333334</v>
      </c>
      <c r="G4787" s="11" t="n">
        <v>6.47</v>
      </c>
      <c r="H4787" s="11">
        <f>H4786+G4787</f>
        <v/>
      </c>
    </row>
    <row r="4788">
      <c r="A4788" s="9" t="n">
        <v>4784</v>
      </c>
      <c r="B4788" s="9" t="inlineStr">
        <is>
          <t>Aurelius_M5</t>
        </is>
      </c>
      <c r="C4788" s="9" t="inlineStr">
        <is>
          <t>MA alignment (EMA21&gt;EMA50&gt;SMA250&gt;SMMA500 vs EMA2400 trend filter)</t>
        </is>
      </c>
      <c r="D4788" s="9" t="inlineStr">
        <is>
          <t>Long</t>
        </is>
      </c>
      <c r="E4788" s="10" t="n">
        <v>45783.17361111111</v>
      </c>
      <c r="F4788" s="10" t="n">
        <v>45784.04166666666</v>
      </c>
      <c r="G4788" s="11" t="n">
        <v>71.22</v>
      </c>
      <c r="H4788" s="11">
        <f>H4787+G4788</f>
        <v/>
      </c>
    </row>
    <row r="4789">
      <c r="A4789" s="9" t="n">
        <v>4785</v>
      </c>
      <c r="B4789" s="9" t="inlineStr">
        <is>
          <t>Meridian</t>
        </is>
      </c>
      <c r="C4789" s="9" t="inlineStr">
        <is>
          <t>21/50 MA cross, 250-period confirm filter, VWAP</t>
        </is>
      </c>
      <c r="D4789" s="9" t="inlineStr">
        <is>
          <t>Long</t>
        </is>
      </c>
      <c r="E4789" s="10" t="n">
        <v>45782.85763888889</v>
      </c>
      <c r="F4789" s="10" t="n">
        <v>45784.06597222222</v>
      </c>
      <c r="G4789" s="11" t="n">
        <v>80.22</v>
      </c>
      <c r="H4789" s="11">
        <f>H4788+G4789</f>
        <v/>
      </c>
    </row>
    <row r="4790">
      <c r="A4790" s="9" t="n">
        <v>4786</v>
      </c>
      <c r="B4790" s="9" t="inlineStr">
        <is>
          <t>Vanguard_M15</t>
        </is>
      </c>
      <c r="C4790" s="9" t="inlineStr">
        <is>
          <t>Trendline breakout (fractal swing line) + VWAP/S-R distance gate - M15 chart</t>
        </is>
      </c>
      <c r="D4790" s="9" t="inlineStr">
        <is>
          <t>Long</t>
        </is>
      </c>
      <c r="E4790" s="10" t="n">
        <v>45782.17708333334</v>
      </c>
      <c r="F4790" s="10" t="n">
        <v>45784.53125</v>
      </c>
      <c r="G4790" s="11" t="n">
        <v>110.7</v>
      </c>
      <c r="H4790" s="11">
        <f>H4789+G4790</f>
        <v/>
      </c>
    </row>
    <row r="4791">
      <c r="A4791" s="9" t="n">
        <v>4787</v>
      </c>
      <c r="B4791" s="9" t="inlineStr">
        <is>
          <t>Vanguard_M5</t>
        </is>
      </c>
      <c r="C4791" s="9" t="inlineStr">
        <is>
          <t>Trendline breakout (fractal swing line) + VWAP/S-R distance gate</t>
        </is>
      </c>
      <c r="D4791" s="9" t="inlineStr">
        <is>
          <t>Long</t>
        </is>
      </c>
      <c r="E4791" s="10" t="n">
        <v>45782.17361111111</v>
      </c>
      <c r="F4791" s="10" t="n">
        <v>45784.53472222222</v>
      </c>
      <c r="G4791" s="11" t="n">
        <v>117.45</v>
      </c>
      <c r="H4791" s="11">
        <f>H4790+G4791</f>
        <v/>
      </c>
    </row>
    <row r="4792">
      <c r="A4792" s="9" t="n">
        <v>4788</v>
      </c>
      <c r="B4792" s="9" t="inlineStr">
        <is>
          <t>Vanguard_M5</t>
        </is>
      </c>
      <c r="C4792" s="9" t="inlineStr">
        <is>
          <t>Trendline breakout (fractal swing line) + VWAP/S-R distance gate</t>
        </is>
      </c>
      <c r="D4792" s="9" t="inlineStr">
        <is>
          <t>Short</t>
        </is>
      </c>
      <c r="E4792" s="10" t="n">
        <v>45784.53819444445</v>
      </c>
      <c r="F4792" s="10" t="n">
        <v>45784.55208333334</v>
      </c>
      <c r="G4792" s="11" t="n">
        <v>-15.22</v>
      </c>
      <c r="H4792" s="11">
        <f>H4791+G4792</f>
        <v/>
      </c>
    </row>
    <row r="4793">
      <c r="A4793" s="9" t="n">
        <v>4789</v>
      </c>
      <c r="B4793" s="9" t="inlineStr">
        <is>
          <t>Meridian</t>
        </is>
      </c>
      <c r="C4793" s="9" t="inlineStr">
        <is>
          <t>21/50 MA cross, 250-period confirm filter, VWAP</t>
        </is>
      </c>
      <c r="D4793" s="9" t="inlineStr">
        <is>
          <t>Short</t>
        </is>
      </c>
      <c r="E4793" s="10" t="n">
        <v>45784.48263888889</v>
      </c>
      <c r="F4793" s="10" t="n">
        <v>45784.5625</v>
      </c>
      <c r="G4793" s="11" t="n">
        <v>-9.26</v>
      </c>
      <c r="H4793" s="11">
        <f>H4792+G4793</f>
        <v/>
      </c>
    </row>
    <row r="4794">
      <c r="A4794" s="9" t="n">
        <v>4790</v>
      </c>
      <c r="B4794" s="9" t="inlineStr">
        <is>
          <t>Vanguard_M15</t>
        </is>
      </c>
      <c r="C4794" s="9" t="inlineStr">
        <is>
          <t>Trendline breakout (fractal swing line) + VWAP/S-R distance gate - M15 chart</t>
        </is>
      </c>
      <c r="D4794" s="9" t="inlineStr">
        <is>
          <t>Short</t>
        </is>
      </c>
      <c r="E4794" s="10" t="n">
        <v>45784.54166666666</v>
      </c>
      <c r="F4794" s="10" t="n">
        <v>45784.5625</v>
      </c>
      <c r="G4794" s="11" t="n">
        <v>-22.13</v>
      </c>
      <c r="H4794" s="11">
        <f>H4793+G4794</f>
        <v/>
      </c>
    </row>
    <row r="4795">
      <c r="A4795" s="9" t="n">
        <v>4791</v>
      </c>
      <c r="B4795" s="9" t="inlineStr">
        <is>
          <t>Ratchet</t>
        </is>
      </c>
      <c r="C4795" s="9" t="inlineStr">
        <is>
          <t>Stochastic scalp with give-back trail exit</t>
        </is>
      </c>
      <c r="D4795" s="9" t="inlineStr">
        <is>
          <t>Long</t>
        </is>
      </c>
      <c r="E4795" s="10" t="n">
        <v>45784.69791666666</v>
      </c>
      <c r="F4795" s="10" t="n">
        <v>45784.70138888889</v>
      </c>
      <c r="G4795" s="11" t="n">
        <v>0.9</v>
      </c>
      <c r="H4795" s="11">
        <f>H4794+G4795</f>
        <v/>
      </c>
    </row>
    <row r="4796">
      <c r="A4796" s="9" t="n">
        <v>4792</v>
      </c>
      <c r="B4796" s="9" t="inlineStr">
        <is>
          <t>Meridian</t>
        </is>
      </c>
      <c r="C4796" s="9" t="inlineStr">
        <is>
          <t>21/50 MA cross, 250-period confirm filter, VWAP</t>
        </is>
      </c>
      <c r="D4796" s="9" t="inlineStr">
        <is>
          <t>Short</t>
        </is>
      </c>
      <c r="E4796" s="10" t="n">
        <v>45784.73958333334</v>
      </c>
      <c r="F4796" s="10" t="n">
        <v>45784.87847222222</v>
      </c>
      <c r="G4796" s="11" t="n">
        <v>-7.27</v>
      </c>
      <c r="H4796" s="11">
        <f>H4795+G4796</f>
        <v/>
      </c>
    </row>
    <row r="4797">
      <c r="A4797" s="9" t="n">
        <v>4793</v>
      </c>
      <c r="B4797" s="9" t="inlineStr">
        <is>
          <t>Vanguard_M5</t>
        </is>
      </c>
      <c r="C4797" s="9" t="inlineStr">
        <is>
          <t>Trendline breakout (fractal swing line) + VWAP/S-R distance gate</t>
        </is>
      </c>
      <c r="D4797" s="9" t="inlineStr">
        <is>
          <t>Short</t>
        </is>
      </c>
      <c r="E4797" s="10" t="n">
        <v>45784.60763888889</v>
      </c>
      <c r="F4797" s="10" t="n">
        <v>45785.11111111111</v>
      </c>
      <c r="G4797" s="11" t="n">
        <v>7.84</v>
      </c>
      <c r="H4797" s="11">
        <f>H4796+G4797</f>
        <v/>
      </c>
    </row>
    <row r="4798">
      <c r="A4798" s="9" t="n">
        <v>4794</v>
      </c>
      <c r="B4798" s="9" t="inlineStr">
        <is>
          <t>Meridian</t>
        </is>
      </c>
      <c r="C4798" s="9" t="inlineStr">
        <is>
          <t>21/50 MA cross, 250-period confirm filter, VWAP</t>
        </is>
      </c>
      <c r="D4798" s="9" t="inlineStr">
        <is>
          <t>Short</t>
        </is>
      </c>
      <c r="E4798" s="10" t="n">
        <v>45784.90972222222</v>
      </c>
      <c r="F4798" s="10" t="n">
        <v>45785.13888888889</v>
      </c>
      <c r="G4798" s="11" t="n">
        <v>0.76</v>
      </c>
      <c r="H4798" s="11">
        <f>H4797+G4798</f>
        <v/>
      </c>
    </row>
    <row r="4799">
      <c r="A4799" s="9" t="n">
        <v>4795</v>
      </c>
      <c r="B4799" s="9" t="inlineStr">
        <is>
          <t>Vanguard_M15</t>
        </is>
      </c>
      <c r="C4799" s="9" t="inlineStr">
        <is>
          <t>Trendline breakout (fractal swing line) + VWAP/S-R distance gate - M15 chart</t>
        </is>
      </c>
      <c r="D4799" s="9" t="inlineStr">
        <is>
          <t>Long</t>
        </is>
      </c>
      <c r="E4799" s="10" t="n">
        <v>45785.125</v>
      </c>
      <c r="F4799" s="10" t="n">
        <v>45785.36458333334</v>
      </c>
      <c r="G4799" s="11" t="n">
        <v>-17.2</v>
      </c>
      <c r="H4799" s="11">
        <f>H4798+G4799</f>
        <v/>
      </c>
    </row>
    <row r="4800">
      <c r="A4800" s="9" t="n">
        <v>4796</v>
      </c>
      <c r="B4800" s="9" t="inlineStr">
        <is>
          <t>Vanguard_M5</t>
        </is>
      </c>
      <c r="C4800" s="9" t="inlineStr">
        <is>
          <t>Trendline breakout (fractal swing line) + VWAP/S-R distance gate</t>
        </is>
      </c>
      <c r="D4800" s="9" t="inlineStr">
        <is>
          <t>Long</t>
        </is>
      </c>
      <c r="E4800" s="10" t="n">
        <v>45785.11458333334</v>
      </c>
      <c r="F4800" s="10" t="n">
        <v>45785.36805555555</v>
      </c>
      <c r="G4800" s="11" t="n">
        <v>-10.57</v>
      </c>
      <c r="H4800" s="11">
        <f>H4799+G4800</f>
        <v/>
      </c>
    </row>
    <row r="4801">
      <c r="A4801" s="9" t="n">
        <v>4797</v>
      </c>
      <c r="B4801" s="9" t="inlineStr">
        <is>
          <t>Meridian</t>
        </is>
      </c>
      <c r="C4801" s="9" t="inlineStr">
        <is>
          <t>21/50 MA cross, 250-period confirm filter, VWAP</t>
        </is>
      </c>
      <c r="D4801" s="9" t="inlineStr">
        <is>
          <t>Short</t>
        </is>
      </c>
      <c r="E4801" s="10" t="n">
        <v>45785.32986111111</v>
      </c>
      <c r="F4801" s="10" t="n">
        <v>45785.64236111111</v>
      </c>
      <c r="G4801" s="11" t="n">
        <v>30.26</v>
      </c>
      <c r="H4801" s="11">
        <f>H4800+G4801</f>
        <v/>
      </c>
    </row>
    <row r="4802">
      <c r="A4802" s="9" t="n">
        <v>4798</v>
      </c>
      <c r="B4802" s="9" t="inlineStr">
        <is>
          <t>Meridian</t>
        </is>
      </c>
      <c r="C4802" s="9" t="inlineStr">
        <is>
          <t>21/50 MA cross, 250-period confirm filter, VWAP</t>
        </is>
      </c>
      <c r="D4802" s="9" t="inlineStr">
        <is>
          <t>Short</t>
        </is>
      </c>
      <c r="E4802" s="10" t="n">
        <v>45785.78125</v>
      </c>
      <c r="F4802" s="10" t="n">
        <v>45786.07291666666</v>
      </c>
      <c r="G4802" s="11" t="n">
        <v>17.56</v>
      </c>
      <c r="H4802" s="11">
        <f>H4801+G4802</f>
        <v/>
      </c>
    </row>
    <row r="4803">
      <c r="A4803" s="9" t="n">
        <v>4799</v>
      </c>
      <c r="B4803" s="9" t="inlineStr">
        <is>
          <t>Ratchet</t>
        </is>
      </c>
      <c r="C4803" s="9" t="inlineStr">
        <is>
          <t>Stochastic scalp with give-back trail exit</t>
        </is>
      </c>
      <c r="D4803" s="9" t="inlineStr">
        <is>
          <t>Short</t>
        </is>
      </c>
      <c r="E4803" s="10" t="n">
        <v>45786.20138888889</v>
      </c>
      <c r="F4803" s="10" t="n">
        <v>45786.22916666666</v>
      </c>
      <c r="G4803" s="11" t="n">
        <v>4.53</v>
      </c>
      <c r="H4803" s="11">
        <f>H4802+G4803</f>
        <v/>
      </c>
    </row>
    <row r="4804">
      <c r="A4804" s="9" t="n">
        <v>4800</v>
      </c>
      <c r="B4804" s="9" t="inlineStr">
        <is>
          <t>Meridian</t>
        </is>
      </c>
      <c r="C4804" s="9" t="inlineStr">
        <is>
          <t>21/50 MA cross, 250-period confirm filter, VWAP</t>
        </is>
      </c>
      <c r="D4804" s="9" t="inlineStr">
        <is>
          <t>Short</t>
        </is>
      </c>
      <c r="E4804" s="10" t="n">
        <v>45786.1875</v>
      </c>
      <c r="F4804" s="10" t="n">
        <v>45786.25</v>
      </c>
      <c r="G4804" s="11" t="n">
        <v>-10.96</v>
      </c>
      <c r="H4804" s="11">
        <f>H4803+G4804</f>
        <v/>
      </c>
    </row>
    <row r="4805">
      <c r="A4805" s="9" t="n">
        <v>4801</v>
      </c>
      <c r="B4805" s="9" t="inlineStr">
        <is>
          <t>Ratchet</t>
        </is>
      </c>
      <c r="C4805" s="9" t="inlineStr">
        <is>
          <t>Stochastic scalp with give-back trail exit</t>
        </is>
      </c>
      <c r="D4805" s="9" t="inlineStr">
        <is>
          <t>Short</t>
        </is>
      </c>
      <c r="E4805" s="10" t="n">
        <v>45789.05902777778</v>
      </c>
      <c r="F4805" s="10" t="n">
        <v>45789.08680555555</v>
      </c>
      <c r="G4805" s="11" t="n">
        <v>1.78</v>
      </c>
      <c r="H4805" s="11">
        <f>H4804+G4805</f>
        <v/>
      </c>
    </row>
    <row r="4806">
      <c r="A4806" s="9" t="n">
        <v>4802</v>
      </c>
      <c r="B4806" s="9" t="inlineStr">
        <is>
          <t>Ratchet</t>
        </is>
      </c>
      <c r="C4806" s="9" t="inlineStr">
        <is>
          <t>Stochastic scalp with give-back trail exit</t>
        </is>
      </c>
      <c r="D4806" s="9" t="inlineStr">
        <is>
          <t>Short</t>
        </is>
      </c>
      <c r="E4806" s="10" t="n">
        <v>45789.11458333334</v>
      </c>
      <c r="F4806" s="10" t="n">
        <v>45789.15972222222</v>
      </c>
      <c r="G4806" s="11" t="n">
        <v>1.62</v>
      </c>
      <c r="H4806" s="11">
        <f>H4805+G4806</f>
        <v/>
      </c>
    </row>
    <row r="4807">
      <c r="A4807" s="9" t="n">
        <v>4803</v>
      </c>
      <c r="B4807" s="9" t="inlineStr">
        <is>
          <t>Ratchet</t>
        </is>
      </c>
      <c r="C4807" s="9" t="inlineStr">
        <is>
          <t>Stochastic scalp with give-back trail exit</t>
        </is>
      </c>
      <c r="D4807" s="9" t="inlineStr">
        <is>
          <t>Short</t>
        </is>
      </c>
      <c r="E4807" s="10" t="n">
        <v>45789.50694444445</v>
      </c>
      <c r="F4807" s="10" t="n">
        <v>45789.58680555555</v>
      </c>
      <c r="G4807" s="11" t="n">
        <v>5.68</v>
      </c>
      <c r="H4807" s="11">
        <f>H4806+G4807</f>
        <v/>
      </c>
    </row>
    <row r="4808">
      <c r="A4808" s="9" t="n">
        <v>4804</v>
      </c>
      <c r="B4808" s="9" t="inlineStr">
        <is>
          <t>Aurelius_M5</t>
        </is>
      </c>
      <c r="C4808" s="9" t="inlineStr">
        <is>
          <t>MA alignment (EMA21&gt;EMA50&gt;SMA250&gt;SMMA500 vs EMA2400 trend filter)</t>
        </is>
      </c>
      <c r="D4808" s="9" t="inlineStr">
        <is>
          <t>Short</t>
        </is>
      </c>
      <c r="E4808" s="10" t="n">
        <v>45789.42013888889</v>
      </c>
      <c r="F4808" s="10" t="n">
        <v>45789.67361111111</v>
      </c>
      <c r="G4808" s="11" t="n">
        <v>12.93</v>
      </c>
      <c r="H4808" s="11">
        <f>H4807+G4808</f>
        <v/>
      </c>
    </row>
    <row r="4809">
      <c r="A4809" s="9" t="n">
        <v>4805</v>
      </c>
      <c r="B4809" s="9" t="inlineStr">
        <is>
          <t>Ratchet</t>
        </is>
      </c>
      <c r="C4809" s="9" t="inlineStr">
        <is>
          <t>Stochastic scalp with give-back trail exit</t>
        </is>
      </c>
      <c r="D4809" s="9" t="inlineStr">
        <is>
          <t>Short</t>
        </is>
      </c>
      <c r="E4809" s="10" t="n">
        <v>45789.81597222222</v>
      </c>
      <c r="F4809" s="10" t="n">
        <v>45789.82986111111</v>
      </c>
      <c r="G4809" s="11" t="n">
        <v>-0</v>
      </c>
      <c r="H4809" s="11">
        <f>H4808+G4809</f>
        <v/>
      </c>
    </row>
    <row r="4810">
      <c r="A4810" s="9" t="n">
        <v>4806</v>
      </c>
      <c r="B4810" s="9" t="inlineStr">
        <is>
          <t>Ratchet</t>
        </is>
      </c>
      <c r="C4810" s="9" t="inlineStr">
        <is>
          <t>Stochastic scalp with give-back trail exit</t>
        </is>
      </c>
      <c r="D4810" s="9" t="inlineStr">
        <is>
          <t>Short</t>
        </is>
      </c>
      <c r="E4810" s="10" t="n">
        <v>45789.87152777778</v>
      </c>
      <c r="F4810" s="10" t="n">
        <v>45789.88541666666</v>
      </c>
      <c r="G4810" s="11" t="n">
        <v>-0</v>
      </c>
      <c r="H4810" s="11">
        <f>H4809+G4810</f>
        <v/>
      </c>
    </row>
    <row r="4811">
      <c r="A4811" s="9" t="n">
        <v>4807</v>
      </c>
      <c r="B4811" s="9" t="inlineStr">
        <is>
          <t>Meridian</t>
        </is>
      </c>
      <c r="C4811" s="9" t="inlineStr">
        <is>
          <t>21/50 MA cross, 250-period confirm filter, VWAP</t>
        </is>
      </c>
      <c r="D4811" s="9" t="inlineStr">
        <is>
          <t>Short</t>
        </is>
      </c>
      <c r="E4811" s="10" t="n">
        <v>45789.8125</v>
      </c>
      <c r="F4811" s="10" t="n">
        <v>45789.93402777778</v>
      </c>
      <c r="G4811" s="11" t="n">
        <v>-10.7</v>
      </c>
      <c r="H4811" s="11">
        <f>H4810+G4811</f>
        <v/>
      </c>
    </row>
    <row r="4812">
      <c r="A4812" s="9" t="n">
        <v>4808</v>
      </c>
      <c r="B4812" s="9" t="inlineStr">
        <is>
          <t>Aurelius_M15</t>
        </is>
      </c>
      <c r="C4812" s="9" t="inlineStr">
        <is>
          <t>MA alignment (EMA21&gt;EMA50&gt;SMA250&gt;SMMA500 vs EMA2400 trend filter) - M15 chart</t>
        </is>
      </c>
      <c r="D4812" s="9" t="inlineStr">
        <is>
          <t>Short</t>
        </is>
      </c>
      <c r="E4812" s="10" t="n">
        <v>45790.19791666666</v>
      </c>
      <c r="F4812" s="10" t="n">
        <v>45790.22916666666</v>
      </c>
      <c r="G4812" s="11" t="n">
        <v>-15.6</v>
      </c>
      <c r="H4812" s="11">
        <f>H4811+G4812</f>
        <v/>
      </c>
    </row>
    <row r="4813">
      <c r="A4813" s="9" t="n">
        <v>4809</v>
      </c>
      <c r="B4813" s="9" t="inlineStr">
        <is>
          <t>Ratchet</t>
        </is>
      </c>
      <c r="C4813" s="9" t="inlineStr">
        <is>
          <t>Stochastic scalp with give-back trail exit</t>
        </is>
      </c>
      <c r="D4813" s="9" t="inlineStr">
        <is>
          <t>Short</t>
        </is>
      </c>
      <c r="E4813" s="10" t="n">
        <v>45790.20486111111</v>
      </c>
      <c r="F4813" s="10" t="n">
        <v>45790.23263888889</v>
      </c>
      <c r="G4813" s="11" t="n">
        <v>-9.449999999999999</v>
      </c>
      <c r="H4813" s="11">
        <f>H4812+G4813</f>
        <v/>
      </c>
    </row>
    <row r="4814">
      <c r="A4814" s="9" t="n">
        <v>4810</v>
      </c>
      <c r="B4814" s="9" t="inlineStr">
        <is>
          <t>Meridian</t>
        </is>
      </c>
      <c r="C4814" s="9" t="inlineStr">
        <is>
          <t>21/50 MA cross, 250-period confirm filter, VWAP</t>
        </is>
      </c>
      <c r="D4814" s="9" t="inlineStr">
        <is>
          <t>Short</t>
        </is>
      </c>
      <c r="E4814" s="10" t="n">
        <v>45790.19444444445</v>
      </c>
      <c r="F4814" s="10" t="n">
        <v>45790.23611111111</v>
      </c>
      <c r="G4814" s="11" t="n">
        <v>-9.460000000000001</v>
      </c>
      <c r="H4814" s="11">
        <f>H4813+G4814</f>
        <v/>
      </c>
    </row>
    <row r="4815">
      <c r="A4815" s="9" t="n">
        <v>4811</v>
      </c>
      <c r="B4815" s="9" t="inlineStr">
        <is>
          <t>Aurelius_M5</t>
        </is>
      </c>
      <c r="C4815" s="9" t="inlineStr">
        <is>
          <t>MA alignment (EMA21&gt;EMA50&gt;SMA250&gt;SMMA500 vs EMA2400 trend filter)</t>
        </is>
      </c>
      <c r="D4815" s="9" t="inlineStr">
        <is>
          <t>Short</t>
        </is>
      </c>
      <c r="E4815" s="10" t="n">
        <v>45790.20833333334</v>
      </c>
      <c r="F4815" s="10" t="n">
        <v>45790.23611111111</v>
      </c>
      <c r="G4815" s="11" t="n">
        <v>-11.79</v>
      </c>
      <c r="H4815" s="11">
        <f>H4814+G4815</f>
        <v/>
      </c>
    </row>
    <row r="4816">
      <c r="A4816" s="9" t="n">
        <v>4812</v>
      </c>
      <c r="B4816" s="9" t="inlineStr">
        <is>
          <t>Ratchet</t>
        </is>
      </c>
      <c r="C4816" s="9" t="inlineStr">
        <is>
          <t>Stochastic scalp with give-back trail exit</t>
        </is>
      </c>
      <c r="D4816" s="9" t="inlineStr">
        <is>
          <t>Short</t>
        </is>
      </c>
      <c r="E4816" s="10" t="n">
        <v>45790.25347222222</v>
      </c>
      <c r="F4816" s="10" t="n">
        <v>45790.27083333334</v>
      </c>
      <c r="G4816" s="11" t="n">
        <v>-6.68</v>
      </c>
      <c r="H4816" s="11">
        <f>H4815+G4816</f>
        <v/>
      </c>
    </row>
    <row r="4817">
      <c r="A4817" s="9" t="n">
        <v>4813</v>
      </c>
      <c r="B4817" s="9" t="inlineStr">
        <is>
          <t>Aurelius_M5</t>
        </is>
      </c>
      <c r="C4817" s="9" t="inlineStr">
        <is>
          <t>MA alignment (EMA21&gt;EMA50&gt;SMA250&gt;SMMA500 vs EMA2400 trend filter)</t>
        </is>
      </c>
      <c r="D4817" s="9" t="inlineStr">
        <is>
          <t>Short</t>
        </is>
      </c>
      <c r="E4817" s="10" t="n">
        <v>45790.25347222222</v>
      </c>
      <c r="F4817" s="10" t="n">
        <v>45790.28472222222</v>
      </c>
      <c r="G4817" s="11" t="n">
        <v>-8.640000000000001</v>
      </c>
      <c r="H4817" s="11">
        <f>H4816+G4817</f>
        <v/>
      </c>
    </row>
    <row r="4818">
      <c r="A4818" s="9" t="n">
        <v>4814</v>
      </c>
      <c r="B4818" s="9" t="inlineStr">
        <is>
          <t>Meridian</t>
        </is>
      </c>
      <c r="C4818" s="9" t="inlineStr">
        <is>
          <t>21/50 MA cross, 250-period confirm filter, VWAP</t>
        </is>
      </c>
      <c r="D4818" s="9" t="inlineStr">
        <is>
          <t>Long</t>
        </is>
      </c>
      <c r="E4818" s="10" t="n">
        <v>45790.28472222222</v>
      </c>
      <c r="F4818" s="10" t="n">
        <v>45790.62847222222</v>
      </c>
      <c r="G4818" s="11" t="n">
        <v>6.66</v>
      </c>
      <c r="H4818" s="11">
        <f>H4817+G4818</f>
        <v/>
      </c>
    </row>
    <row r="4819">
      <c r="A4819" s="9" t="n">
        <v>4815</v>
      </c>
      <c r="B4819" s="9" t="inlineStr">
        <is>
          <t>Meridian</t>
        </is>
      </c>
      <c r="C4819" s="9" t="inlineStr">
        <is>
          <t>21/50 MA cross, 250-period confirm filter, VWAP</t>
        </is>
      </c>
      <c r="D4819" s="9" t="inlineStr">
        <is>
          <t>Long</t>
        </is>
      </c>
      <c r="E4819" s="10" t="n">
        <v>45790.78125</v>
      </c>
      <c r="F4819" s="10" t="n">
        <v>45790.86805555555</v>
      </c>
      <c r="G4819" s="11" t="n">
        <v>-5.32</v>
      </c>
      <c r="H4819" s="11">
        <f>H4818+G4819</f>
        <v/>
      </c>
    </row>
    <row r="4820">
      <c r="A4820" s="9" t="n">
        <v>4816</v>
      </c>
      <c r="B4820" s="9" t="inlineStr">
        <is>
          <t>Meridian</t>
        </is>
      </c>
      <c r="C4820" s="9" t="inlineStr">
        <is>
          <t>21/50 MA cross, 250-period confirm filter, VWAP</t>
        </is>
      </c>
      <c r="D4820" s="9" t="inlineStr">
        <is>
          <t>Long</t>
        </is>
      </c>
      <c r="E4820" s="10" t="n">
        <v>45790.90625</v>
      </c>
      <c r="F4820" s="10" t="n">
        <v>45791.13194444445</v>
      </c>
      <c r="G4820" s="11" t="n">
        <v>-5.63</v>
      </c>
      <c r="H4820" s="11">
        <f>H4819+G4820</f>
        <v/>
      </c>
    </row>
    <row r="4821">
      <c r="A4821" s="9" t="n">
        <v>4817</v>
      </c>
      <c r="B4821" s="9" t="inlineStr">
        <is>
          <t>Meridian</t>
        </is>
      </c>
      <c r="C4821" s="9" t="inlineStr">
        <is>
          <t>21/50 MA cross, 250-period confirm filter, VWAP</t>
        </is>
      </c>
      <c r="D4821" s="9" t="inlineStr">
        <is>
          <t>Short</t>
        </is>
      </c>
      <c r="E4821" s="10" t="n">
        <v>45791.13888888889</v>
      </c>
      <c r="F4821" s="10" t="n">
        <v>45791.14583333334</v>
      </c>
      <c r="G4821" s="11" t="n">
        <v>-5.59</v>
      </c>
      <c r="H4821" s="11">
        <f>H4820+G4821</f>
        <v/>
      </c>
    </row>
    <row r="4822">
      <c r="A4822" s="9" t="n">
        <v>4818</v>
      </c>
      <c r="B4822" s="9" t="inlineStr">
        <is>
          <t>Aurelius_M5</t>
        </is>
      </c>
      <c r="C4822" s="9" t="inlineStr">
        <is>
          <t>MA alignment (EMA21&gt;EMA50&gt;SMA250&gt;SMMA500 vs EMA2400 trend filter)</t>
        </is>
      </c>
      <c r="D4822" s="9" t="inlineStr">
        <is>
          <t>Short</t>
        </is>
      </c>
      <c r="E4822" s="10" t="n">
        <v>45791.17013888889</v>
      </c>
      <c r="F4822" s="10" t="n">
        <v>45791.18055555555</v>
      </c>
      <c r="G4822" s="11" t="n">
        <v>-7.12</v>
      </c>
      <c r="H4822" s="11">
        <f>H4821+G4822</f>
        <v/>
      </c>
    </row>
    <row r="4823">
      <c r="A4823" s="9" t="n">
        <v>4819</v>
      </c>
      <c r="B4823" s="9" t="inlineStr">
        <is>
          <t>Vanguard_M15</t>
        </is>
      </c>
      <c r="C4823" s="9" t="inlineStr">
        <is>
          <t>Trendline breakout (fractal swing line) + VWAP/S-R distance gate - M15 chart</t>
        </is>
      </c>
      <c r="D4823" s="9" t="inlineStr">
        <is>
          <t>Long</t>
        </is>
      </c>
      <c r="E4823" s="10" t="n">
        <v>45790.77083333334</v>
      </c>
      <c r="F4823" s="10" t="n">
        <v>45791.22916666666</v>
      </c>
      <c r="G4823" s="11" t="n">
        <v>-15.06</v>
      </c>
      <c r="H4823" s="11">
        <f>H4822+G4823</f>
        <v/>
      </c>
    </row>
    <row r="4824">
      <c r="A4824" s="9" t="n">
        <v>4820</v>
      </c>
      <c r="B4824" s="9" t="inlineStr">
        <is>
          <t>Vanguard_M5</t>
        </is>
      </c>
      <c r="C4824" s="9" t="inlineStr">
        <is>
          <t>Trendline breakout (fractal swing line) + VWAP/S-R distance gate</t>
        </is>
      </c>
      <c r="D4824" s="9" t="inlineStr">
        <is>
          <t>Long</t>
        </is>
      </c>
      <c r="E4824" s="10" t="n">
        <v>45790.76736111111</v>
      </c>
      <c r="F4824" s="10" t="n">
        <v>45791.23263888889</v>
      </c>
      <c r="G4824" s="11" t="n">
        <v>-17.21</v>
      </c>
      <c r="H4824" s="11">
        <f>H4823+G4824</f>
        <v/>
      </c>
    </row>
    <row r="4825">
      <c r="A4825" s="9" t="n">
        <v>4821</v>
      </c>
      <c r="B4825" s="9" t="inlineStr">
        <is>
          <t>Ratchet</t>
        </is>
      </c>
      <c r="C4825" s="9" t="inlineStr">
        <is>
          <t>Stochastic scalp with give-back trail exit</t>
        </is>
      </c>
      <c r="D4825" s="9" t="inlineStr">
        <is>
          <t>Short</t>
        </is>
      </c>
      <c r="E4825" s="10" t="n">
        <v>45791.27430555555</v>
      </c>
      <c r="F4825" s="10" t="n">
        <v>45791.29166666666</v>
      </c>
      <c r="G4825" s="11" t="n">
        <v>-0</v>
      </c>
      <c r="H4825" s="11">
        <f>H4824+G4825</f>
        <v/>
      </c>
    </row>
    <row r="4826">
      <c r="A4826" s="9" t="n">
        <v>4822</v>
      </c>
      <c r="B4826" s="9" t="inlineStr">
        <is>
          <t>Ratchet</t>
        </is>
      </c>
      <c r="C4826" s="9" t="inlineStr">
        <is>
          <t>Stochastic scalp with give-back trail exit</t>
        </is>
      </c>
      <c r="D4826" s="9" t="inlineStr">
        <is>
          <t>Short</t>
        </is>
      </c>
      <c r="E4826" s="10" t="n">
        <v>45791.34722222222</v>
      </c>
      <c r="F4826" s="10" t="n">
        <v>45791.36111111111</v>
      </c>
      <c r="G4826" s="11" t="n">
        <v>-5.12</v>
      </c>
      <c r="H4826" s="11">
        <f>H4825+G4826</f>
        <v/>
      </c>
    </row>
    <row r="4827">
      <c r="A4827" s="9" t="n">
        <v>4823</v>
      </c>
      <c r="B4827" s="9" t="inlineStr">
        <is>
          <t>Aurelius_M5</t>
        </is>
      </c>
      <c r="C4827" s="9" t="inlineStr">
        <is>
          <t>MA alignment (EMA21&gt;EMA50&gt;SMA250&gt;SMMA500 vs EMA2400 trend filter)</t>
        </is>
      </c>
      <c r="D4827" s="9" t="inlineStr">
        <is>
          <t>Short</t>
        </is>
      </c>
      <c r="E4827" s="10" t="n">
        <v>45791.20138888889</v>
      </c>
      <c r="F4827" s="10" t="n">
        <v>45791.39236111111</v>
      </c>
      <c r="G4827" s="11" t="n">
        <v>8.880000000000001</v>
      </c>
      <c r="H4827" s="11">
        <f>H4826+G4827</f>
        <v/>
      </c>
    </row>
    <row r="4828">
      <c r="A4828" s="9" t="n">
        <v>4824</v>
      </c>
      <c r="B4828" s="9" t="inlineStr">
        <is>
          <t>Ratchet</t>
        </is>
      </c>
      <c r="C4828" s="9" t="inlineStr">
        <is>
          <t>Stochastic scalp with give-back trail exit</t>
        </is>
      </c>
      <c r="D4828" s="9" t="inlineStr">
        <is>
          <t>Short</t>
        </is>
      </c>
      <c r="E4828" s="10" t="n">
        <v>45791.43055555555</v>
      </c>
      <c r="F4828" s="10" t="n">
        <v>45791.43402777778</v>
      </c>
      <c r="G4828" s="11" t="n">
        <v>-5.48</v>
      </c>
      <c r="H4828" s="11">
        <f>H4827+G4828</f>
        <v/>
      </c>
    </row>
    <row r="4829">
      <c r="A4829" s="9" t="n">
        <v>4825</v>
      </c>
      <c r="B4829" s="9" t="inlineStr">
        <is>
          <t>Meridian</t>
        </is>
      </c>
      <c r="C4829" s="9" t="inlineStr">
        <is>
          <t>21/50 MA cross, 250-period confirm filter, VWAP</t>
        </is>
      </c>
      <c r="D4829" s="9" t="inlineStr">
        <is>
          <t>Short</t>
        </is>
      </c>
      <c r="E4829" s="10" t="n">
        <v>45791.52777777778</v>
      </c>
      <c r="F4829" s="10" t="n">
        <v>45791.53125</v>
      </c>
      <c r="G4829" s="11" t="n">
        <v>-4.08</v>
      </c>
      <c r="H4829" s="11">
        <f>H4828+G4829</f>
        <v/>
      </c>
    </row>
    <row r="4830">
      <c r="A4830" s="9" t="n">
        <v>4826</v>
      </c>
      <c r="B4830" s="9" t="inlineStr">
        <is>
          <t>Ratchet</t>
        </is>
      </c>
      <c r="C4830" s="9" t="inlineStr">
        <is>
          <t>Stochastic scalp with give-back trail exit</t>
        </is>
      </c>
      <c r="D4830" s="9" t="inlineStr">
        <is>
          <t>Short</t>
        </is>
      </c>
      <c r="E4830" s="10" t="n">
        <v>45791.52777777778</v>
      </c>
      <c r="F4830" s="10" t="n">
        <v>45791.53125</v>
      </c>
      <c r="G4830" s="11" t="n">
        <v>-5.42</v>
      </c>
      <c r="H4830" s="11">
        <f>H4829+G4830</f>
        <v/>
      </c>
    </row>
    <row r="4831">
      <c r="A4831" s="9" t="n">
        <v>4827</v>
      </c>
      <c r="B4831" s="9" t="inlineStr">
        <is>
          <t>Meridian</t>
        </is>
      </c>
      <c r="C4831" s="9" t="inlineStr">
        <is>
          <t>21/50 MA cross, 250-period confirm filter, VWAP</t>
        </is>
      </c>
      <c r="D4831" s="9" t="inlineStr">
        <is>
          <t>Short</t>
        </is>
      </c>
      <c r="E4831" s="10" t="n">
        <v>45791.57638888889</v>
      </c>
      <c r="F4831" s="10" t="n">
        <v>45791.58333333334</v>
      </c>
      <c r="G4831" s="11" t="n">
        <v>-5.21</v>
      </c>
      <c r="H4831" s="11">
        <f>H4830+G4831</f>
        <v/>
      </c>
    </row>
    <row r="4832">
      <c r="A4832" s="9" t="n">
        <v>4828</v>
      </c>
      <c r="B4832" s="9" t="inlineStr">
        <is>
          <t>Ratchet</t>
        </is>
      </c>
      <c r="C4832" s="9" t="inlineStr">
        <is>
          <t>Stochastic scalp with give-back trail exit</t>
        </is>
      </c>
      <c r="D4832" s="9" t="inlineStr">
        <is>
          <t>Short</t>
        </is>
      </c>
      <c r="E4832" s="10" t="n">
        <v>45791.63194444445</v>
      </c>
      <c r="F4832" s="10" t="n">
        <v>45791.90972222222</v>
      </c>
      <c r="G4832" s="11" t="n">
        <v>45.52</v>
      </c>
      <c r="H4832" s="11">
        <f>H4831+G4832</f>
        <v/>
      </c>
    </row>
    <row r="4833">
      <c r="A4833" s="9" t="n">
        <v>4829</v>
      </c>
      <c r="B4833" s="9" t="inlineStr">
        <is>
          <t>Aurelius_M5</t>
        </is>
      </c>
      <c r="C4833" s="9" t="inlineStr">
        <is>
          <t>MA alignment (EMA21&gt;EMA50&gt;SMA250&gt;SMMA500 vs EMA2400 trend filter)</t>
        </is>
      </c>
      <c r="D4833" s="9" t="inlineStr">
        <is>
          <t>Short</t>
        </is>
      </c>
      <c r="E4833" s="10" t="n">
        <v>45791.63541666666</v>
      </c>
      <c r="F4833" s="10" t="n">
        <v>45792.04166666666</v>
      </c>
      <c r="G4833" s="11" t="n">
        <v>35.99</v>
      </c>
      <c r="H4833" s="11">
        <f>H4832+G4833</f>
        <v/>
      </c>
    </row>
    <row r="4834">
      <c r="A4834" s="9" t="n">
        <v>4830</v>
      </c>
      <c r="B4834" s="9" t="inlineStr">
        <is>
          <t>Vanguard_M5</t>
        </is>
      </c>
      <c r="C4834" s="9" t="inlineStr">
        <is>
          <t>Trendline breakout (fractal swing line) + VWAP/S-R distance gate</t>
        </is>
      </c>
      <c r="D4834" s="9" t="inlineStr">
        <is>
          <t>Short</t>
        </is>
      </c>
      <c r="E4834" s="10" t="n">
        <v>45791.23611111111</v>
      </c>
      <c r="F4834" s="10" t="n">
        <v>45792.05208333334</v>
      </c>
      <c r="G4834" s="11" t="n">
        <v>51.63</v>
      </c>
      <c r="H4834" s="11">
        <f>H4833+G4834</f>
        <v/>
      </c>
    </row>
    <row r="4835">
      <c r="A4835" s="9" t="n">
        <v>4831</v>
      </c>
      <c r="B4835" s="9" t="inlineStr">
        <is>
          <t>Vanguard_M15</t>
        </is>
      </c>
      <c r="C4835" s="9" t="inlineStr">
        <is>
          <t>Trendline breakout (fractal swing line) + VWAP/S-R distance gate - M15 chart</t>
        </is>
      </c>
      <c r="D4835" s="9" t="inlineStr">
        <is>
          <t>Short</t>
        </is>
      </c>
      <c r="E4835" s="10" t="n">
        <v>45791.23958333334</v>
      </c>
      <c r="F4835" s="10" t="n">
        <v>45792.05208333334</v>
      </c>
      <c r="G4835" s="11" t="n">
        <v>49.36</v>
      </c>
      <c r="H4835" s="11">
        <f>H4834+G4835</f>
        <v/>
      </c>
    </row>
    <row r="4836">
      <c r="A4836" s="9" t="n">
        <v>4832</v>
      </c>
      <c r="B4836" s="9" t="inlineStr">
        <is>
          <t>Meridian</t>
        </is>
      </c>
      <c r="C4836" s="9" t="inlineStr">
        <is>
          <t>21/50 MA cross, 250-period confirm filter, VWAP</t>
        </is>
      </c>
      <c r="D4836" s="9" t="inlineStr">
        <is>
          <t>Short</t>
        </is>
      </c>
      <c r="E4836" s="10" t="n">
        <v>45791.62152777778</v>
      </c>
      <c r="F4836" s="10" t="n">
        <v>45792.07291666666</v>
      </c>
      <c r="G4836" s="11" t="n">
        <v>43.59</v>
      </c>
      <c r="H4836" s="11">
        <f>H4835+G4836</f>
        <v/>
      </c>
    </row>
    <row r="4837">
      <c r="A4837" s="9" t="n">
        <v>4833</v>
      </c>
      <c r="B4837" s="9" t="inlineStr">
        <is>
          <t>Vanguard_M5</t>
        </is>
      </c>
      <c r="C4837" s="9" t="inlineStr">
        <is>
          <t>Trendline breakout (fractal swing line) + VWAP/S-R distance gate</t>
        </is>
      </c>
      <c r="D4837" s="9" t="inlineStr">
        <is>
          <t>Long</t>
        </is>
      </c>
      <c r="E4837" s="10" t="n">
        <v>45792.05555555555</v>
      </c>
      <c r="F4837" s="10" t="n">
        <v>45792.20138888889</v>
      </c>
      <c r="G4837" s="11" t="n">
        <v>-9.710000000000001</v>
      </c>
      <c r="H4837" s="11">
        <f>H4836+G4837</f>
        <v/>
      </c>
    </row>
    <row r="4838">
      <c r="A4838" s="9" t="n">
        <v>4834</v>
      </c>
      <c r="B4838" s="9" t="inlineStr">
        <is>
          <t>Vanguard_M15</t>
        </is>
      </c>
      <c r="C4838" s="9" t="inlineStr">
        <is>
          <t>Trendline breakout (fractal swing line) + VWAP/S-R distance gate - M15 chart</t>
        </is>
      </c>
      <c r="D4838" s="9" t="inlineStr">
        <is>
          <t>Long</t>
        </is>
      </c>
      <c r="E4838" s="10" t="n">
        <v>45792.0625</v>
      </c>
      <c r="F4838" s="10" t="n">
        <v>45792.21875</v>
      </c>
      <c r="G4838" s="11" t="n">
        <v>-16.22</v>
      </c>
      <c r="H4838" s="11">
        <f>H4837+G4838</f>
        <v/>
      </c>
    </row>
    <row r="4839">
      <c r="A4839" s="9" t="n">
        <v>4835</v>
      </c>
      <c r="B4839" s="9" t="inlineStr">
        <is>
          <t>Aurelius_M5</t>
        </is>
      </c>
      <c r="C4839" s="9" t="inlineStr">
        <is>
          <t>MA alignment (EMA21&gt;EMA50&gt;SMA250&gt;SMMA500 vs EMA2400 trend filter)</t>
        </is>
      </c>
      <c r="D4839" s="9" t="inlineStr">
        <is>
          <t>Short</t>
        </is>
      </c>
      <c r="E4839" s="10" t="n">
        <v>45792.44444444445</v>
      </c>
      <c r="F4839" s="10" t="n">
        <v>45792.46180555555</v>
      </c>
      <c r="G4839" s="11" t="n">
        <v>-12.73</v>
      </c>
      <c r="H4839" s="11">
        <f>H4838+G4839</f>
        <v/>
      </c>
    </row>
    <row r="4840">
      <c r="A4840" s="9" t="n">
        <v>4836</v>
      </c>
      <c r="B4840" s="9" t="inlineStr">
        <is>
          <t>Meridian</t>
        </is>
      </c>
      <c r="C4840" s="9" t="inlineStr">
        <is>
          <t>21/50 MA cross, 250-period confirm filter, VWAP</t>
        </is>
      </c>
      <c r="D4840" s="9" t="inlineStr">
        <is>
          <t>Short</t>
        </is>
      </c>
      <c r="E4840" s="10" t="n">
        <v>45792.20486111111</v>
      </c>
      <c r="F4840" s="10" t="n">
        <v>45792.48611111111</v>
      </c>
      <c r="G4840" s="11" t="n">
        <v>19.54</v>
      </c>
      <c r="H4840" s="11">
        <f>H4839+G4840</f>
        <v/>
      </c>
    </row>
    <row r="4841">
      <c r="A4841" s="9" t="n">
        <v>4837</v>
      </c>
      <c r="B4841" s="9" t="inlineStr">
        <is>
          <t>Aurelius_M15</t>
        </is>
      </c>
      <c r="C4841" s="9" t="inlineStr">
        <is>
          <t>MA alignment (EMA21&gt;EMA50&gt;SMA250&gt;SMMA500 vs EMA2400 trend filter) - M15 chart</t>
        </is>
      </c>
      <c r="D4841" s="9" t="inlineStr">
        <is>
          <t>Short</t>
        </is>
      </c>
      <c r="E4841" s="10" t="n">
        <v>45791.625</v>
      </c>
      <c r="F4841" s="10" t="n">
        <v>45792.5625</v>
      </c>
      <c r="G4841" s="11" t="n">
        <v>43.58</v>
      </c>
      <c r="H4841" s="11">
        <f>H4840+G4841</f>
        <v/>
      </c>
    </row>
    <row r="4842">
      <c r="A4842" s="9" t="n">
        <v>4838</v>
      </c>
      <c r="B4842" s="9" t="inlineStr">
        <is>
          <t>Vanguard_M5</t>
        </is>
      </c>
      <c r="C4842" s="9" t="inlineStr">
        <is>
          <t>Trendline breakout (fractal swing line) + VWAP/S-R distance gate</t>
        </is>
      </c>
      <c r="D4842" s="9" t="inlineStr">
        <is>
          <t>Long</t>
        </is>
      </c>
      <c r="E4842" s="10" t="n">
        <v>45792.48958333334</v>
      </c>
      <c r="F4842" s="10" t="n">
        <v>45793.61805555555</v>
      </c>
      <c r="G4842" s="11" t="n">
        <v>-3.94</v>
      </c>
      <c r="H4842" s="11">
        <f>H4841+G4842</f>
        <v/>
      </c>
    </row>
    <row r="4843">
      <c r="A4843" s="9" t="n">
        <v>4839</v>
      </c>
      <c r="B4843" s="9" t="inlineStr">
        <is>
          <t>Aurelius_M5</t>
        </is>
      </c>
      <c r="C4843" s="9" t="inlineStr">
        <is>
          <t>MA alignment (EMA21&gt;EMA50&gt;SMA250&gt;SMMA500 vs EMA2400 trend filter)</t>
        </is>
      </c>
      <c r="D4843" s="9" t="inlineStr">
        <is>
          <t>Short</t>
        </is>
      </c>
      <c r="E4843" s="10" t="n">
        <v>45793.57638888889</v>
      </c>
      <c r="F4843" s="10" t="n">
        <v>45793.80902777778</v>
      </c>
      <c r="G4843" s="11" t="n">
        <v>6.11</v>
      </c>
      <c r="H4843" s="11">
        <f>H4842+G4843</f>
        <v/>
      </c>
    </row>
    <row r="4844">
      <c r="A4844" s="9" t="n">
        <v>4840</v>
      </c>
      <c r="B4844" s="9" t="inlineStr">
        <is>
          <t>Meridian</t>
        </is>
      </c>
      <c r="C4844" s="9" t="inlineStr">
        <is>
          <t>21/50 MA cross, 250-period confirm filter, VWAP</t>
        </is>
      </c>
      <c r="D4844" s="9" t="inlineStr">
        <is>
          <t>Long</t>
        </is>
      </c>
      <c r="E4844" s="10" t="n">
        <v>45796.38888888889</v>
      </c>
      <c r="F4844" s="10" t="n">
        <v>45796.39930555555</v>
      </c>
      <c r="G4844" s="11" t="n">
        <v>-8.68</v>
      </c>
      <c r="H4844" s="11">
        <f>H4843+G4844</f>
        <v/>
      </c>
    </row>
    <row r="4845">
      <c r="A4845" s="9" t="n">
        <v>4841</v>
      </c>
      <c r="B4845" s="9" t="inlineStr">
        <is>
          <t>Meridian</t>
        </is>
      </c>
      <c r="C4845" s="9" t="inlineStr">
        <is>
          <t>21/50 MA cross, 250-period confirm filter, VWAP</t>
        </is>
      </c>
      <c r="D4845" s="9" t="inlineStr">
        <is>
          <t>Long</t>
        </is>
      </c>
      <c r="E4845" s="10" t="n">
        <v>45796.91666666666</v>
      </c>
      <c r="F4845" s="10" t="n">
        <v>45796.98263888889</v>
      </c>
      <c r="G4845" s="11" t="n">
        <v>-4.61</v>
      </c>
      <c r="H4845" s="11">
        <f>H4844+G4845</f>
        <v/>
      </c>
    </row>
    <row r="4846">
      <c r="A4846" s="9" t="n">
        <v>4842</v>
      </c>
      <c r="B4846" s="9" t="inlineStr">
        <is>
          <t>Vanguard_M5</t>
        </is>
      </c>
      <c r="C4846" s="9" t="inlineStr">
        <is>
          <t>Trendline breakout (fractal swing line) + VWAP/S-R distance gate</t>
        </is>
      </c>
      <c r="D4846" s="9" t="inlineStr">
        <is>
          <t>Long</t>
        </is>
      </c>
      <c r="E4846" s="10" t="n">
        <v>45797.64930555555</v>
      </c>
      <c r="F4846" s="10" t="n">
        <v>45797.66666666666</v>
      </c>
      <c r="G4846" s="11" t="n">
        <v>-11.55</v>
      </c>
      <c r="H4846" s="11">
        <f>H4845+G4846</f>
        <v/>
      </c>
    </row>
    <row r="4847">
      <c r="A4847" s="9" t="n">
        <v>4843</v>
      </c>
      <c r="B4847" s="9" t="inlineStr">
        <is>
          <t>Ratchet</t>
        </is>
      </c>
      <c r="C4847" s="9" t="inlineStr">
        <is>
          <t>Stochastic scalp with give-back trail exit</t>
        </is>
      </c>
      <c r="D4847" s="9" t="inlineStr">
        <is>
          <t>Long</t>
        </is>
      </c>
      <c r="E4847" s="10" t="n">
        <v>45797.70486111111</v>
      </c>
      <c r="F4847" s="10" t="n">
        <v>45797.71527777778</v>
      </c>
      <c r="G4847" s="11" t="n">
        <v>27.87</v>
      </c>
      <c r="H4847" s="11">
        <f>H4846+G4847</f>
        <v/>
      </c>
    </row>
    <row r="4848">
      <c r="A4848" s="9" t="n">
        <v>4844</v>
      </c>
      <c r="B4848" s="9" t="inlineStr">
        <is>
          <t>Ratchet</t>
        </is>
      </c>
      <c r="C4848" s="9" t="inlineStr">
        <is>
          <t>Stochastic scalp with give-back trail exit</t>
        </is>
      </c>
      <c r="D4848" s="9" t="inlineStr">
        <is>
          <t>Long</t>
        </is>
      </c>
      <c r="E4848" s="10" t="n">
        <v>45797.72569444445</v>
      </c>
      <c r="F4848" s="10" t="n">
        <v>45797.86111111111</v>
      </c>
      <c r="G4848" s="11" t="n">
        <v>0</v>
      </c>
      <c r="H4848" s="11">
        <f>H4847+G4848</f>
        <v/>
      </c>
    </row>
    <row r="4849">
      <c r="A4849" s="9" t="n">
        <v>4845</v>
      </c>
      <c r="B4849" s="9" t="inlineStr">
        <is>
          <t>Aurelius_M5</t>
        </is>
      </c>
      <c r="C4849" s="9" t="inlineStr">
        <is>
          <t>MA alignment (EMA21&gt;EMA50&gt;SMA250&gt;SMMA500 vs EMA2400 trend filter)</t>
        </is>
      </c>
      <c r="D4849" s="9" t="inlineStr">
        <is>
          <t>Long</t>
        </is>
      </c>
      <c r="E4849" s="10" t="n">
        <v>45798.15277777778</v>
      </c>
      <c r="F4849" s="10" t="n">
        <v>45798.17708333334</v>
      </c>
      <c r="G4849" s="11" t="n">
        <v>-7.3</v>
      </c>
      <c r="H4849" s="11">
        <f>H4848+G4849</f>
        <v/>
      </c>
    </row>
    <row r="4850">
      <c r="A4850" s="9" t="n">
        <v>4846</v>
      </c>
      <c r="B4850" s="9" t="inlineStr">
        <is>
          <t>Ratchet</t>
        </is>
      </c>
      <c r="C4850" s="9" t="inlineStr">
        <is>
          <t>Stochastic scalp with give-back trail exit</t>
        </is>
      </c>
      <c r="D4850" s="9" t="inlineStr">
        <is>
          <t>Long</t>
        </is>
      </c>
      <c r="E4850" s="10" t="n">
        <v>45798.23611111111</v>
      </c>
      <c r="F4850" s="10" t="n">
        <v>45798.24305555555</v>
      </c>
      <c r="G4850" s="11" t="n">
        <v>1.28</v>
      </c>
      <c r="H4850" s="11">
        <f>H4849+G4850</f>
        <v/>
      </c>
    </row>
    <row r="4851">
      <c r="A4851" s="9" t="n">
        <v>4847</v>
      </c>
      <c r="B4851" s="9" t="inlineStr">
        <is>
          <t>Ratchet</t>
        </is>
      </c>
      <c r="C4851" s="9" t="inlineStr">
        <is>
          <t>Stochastic scalp with give-back trail exit</t>
        </is>
      </c>
      <c r="D4851" s="9" t="inlineStr">
        <is>
          <t>Long</t>
        </is>
      </c>
      <c r="E4851" s="10" t="n">
        <v>45798.24652777778</v>
      </c>
      <c r="F4851" s="10" t="n">
        <v>45798.29166666666</v>
      </c>
      <c r="G4851" s="11" t="n">
        <v>1.91</v>
      </c>
      <c r="H4851" s="11">
        <f>H4850+G4851</f>
        <v/>
      </c>
    </row>
    <row r="4852">
      <c r="A4852" s="9" t="n">
        <v>4848</v>
      </c>
      <c r="B4852" s="9" t="inlineStr">
        <is>
          <t>Ratchet</t>
        </is>
      </c>
      <c r="C4852" s="9" t="inlineStr">
        <is>
          <t>Stochastic scalp with give-back trail exit</t>
        </is>
      </c>
      <c r="D4852" s="9" t="inlineStr">
        <is>
          <t>Long</t>
        </is>
      </c>
      <c r="E4852" s="10" t="n">
        <v>45798.52430555555</v>
      </c>
      <c r="F4852" s="10" t="n">
        <v>45798.54513888889</v>
      </c>
      <c r="G4852" s="11" t="n">
        <v>0.72</v>
      </c>
      <c r="H4852" s="11">
        <f>H4851+G4852</f>
        <v/>
      </c>
    </row>
    <row r="4853">
      <c r="A4853" s="9" t="n">
        <v>4849</v>
      </c>
      <c r="B4853" s="9" t="inlineStr">
        <is>
          <t>Aurelius_M5</t>
        </is>
      </c>
      <c r="C4853" s="9" t="inlineStr">
        <is>
          <t>MA alignment (EMA21&gt;EMA50&gt;SMA250&gt;SMMA500 vs EMA2400 trend filter)</t>
        </is>
      </c>
      <c r="D4853" s="9" t="inlineStr">
        <is>
          <t>Long</t>
        </is>
      </c>
      <c r="E4853" s="10" t="n">
        <v>45798.35763888889</v>
      </c>
      <c r="F4853" s="10" t="n">
        <v>45798.63541666666</v>
      </c>
      <c r="G4853" s="11" t="n">
        <v>7.99</v>
      </c>
      <c r="H4853" s="11">
        <f>H4852+G4853</f>
        <v/>
      </c>
    </row>
    <row r="4854">
      <c r="A4854" s="9" t="n">
        <v>4850</v>
      </c>
      <c r="B4854" s="9" t="inlineStr">
        <is>
          <t>Ratchet</t>
        </is>
      </c>
      <c r="C4854" s="9" t="inlineStr">
        <is>
          <t>Stochastic scalp with give-back trail exit</t>
        </is>
      </c>
      <c r="D4854" s="9" t="inlineStr">
        <is>
          <t>Long</t>
        </is>
      </c>
      <c r="E4854" s="10" t="n">
        <v>45798.78472222222</v>
      </c>
      <c r="F4854" s="10" t="n">
        <v>45798.8125</v>
      </c>
      <c r="G4854" s="11" t="n">
        <v>-6.38</v>
      </c>
      <c r="H4854" s="11">
        <f>H4853+G4854</f>
        <v/>
      </c>
    </row>
    <row r="4855">
      <c r="A4855" s="9" t="n">
        <v>4851</v>
      </c>
      <c r="B4855" s="9" t="inlineStr">
        <is>
          <t>Meridian</t>
        </is>
      </c>
      <c r="C4855" s="9" t="inlineStr">
        <is>
          <t>21/50 MA cross, 250-period confirm filter, VWAP</t>
        </is>
      </c>
      <c r="D4855" s="9" t="inlineStr">
        <is>
          <t>Long</t>
        </is>
      </c>
      <c r="E4855" s="10" t="n">
        <v>45798.76388888889</v>
      </c>
      <c r="F4855" s="10" t="n">
        <v>45798.82986111111</v>
      </c>
      <c r="G4855" s="11" t="n">
        <v>-11.33</v>
      </c>
      <c r="H4855" s="11">
        <f>H4854+G4855</f>
        <v/>
      </c>
    </row>
    <row r="4856">
      <c r="A4856" s="9" t="n">
        <v>4852</v>
      </c>
      <c r="B4856" s="9" t="inlineStr">
        <is>
          <t>Ratchet</t>
        </is>
      </c>
      <c r="C4856" s="9" t="inlineStr">
        <is>
          <t>Stochastic scalp with give-back trail exit</t>
        </is>
      </c>
      <c r="D4856" s="9" t="inlineStr">
        <is>
          <t>Long</t>
        </is>
      </c>
      <c r="E4856" s="10" t="n">
        <v>45798.84722222222</v>
      </c>
      <c r="F4856" s="10" t="n">
        <v>45798.85069444445</v>
      </c>
      <c r="G4856" s="11" t="n">
        <v>0.79</v>
      </c>
      <c r="H4856" s="11">
        <f>H4855+G4856</f>
        <v/>
      </c>
    </row>
    <row r="4857">
      <c r="A4857" s="9" t="n">
        <v>4853</v>
      </c>
      <c r="B4857" s="9" t="inlineStr">
        <is>
          <t>Aurelius_M5</t>
        </is>
      </c>
      <c r="C4857" s="9" t="inlineStr">
        <is>
          <t>MA alignment (EMA21&gt;EMA50&gt;SMA250&gt;SMMA500 vs EMA2400 trend filter)</t>
        </is>
      </c>
      <c r="D4857" s="9" t="inlineStr">
        <is>
          <t>Long</t>
        </is>
      </c>
      <c r="E4857" s="10" t="n">
        <v>45798.85069444445</v>
      </c>
      <c r="F4857" s="10" t="n">
        <v>45798.85416666666</v>
      </c>
      <c r="G4857" s="11" t="n">
        <v>-8.140000000000001</v>
      </c>
      <c r="H4857" s="11">
        <f>H4856+G4857</f>
        <v/>
      </c>
    </row>
    <row r="4858">
      <c r="A4858" s="9" t="n">
        <v>4854</v>
      </c>
      <c r="B4858" s="9" t="inlineStr">
        <is>
          <t>Ratchet</t>
        </is>
      </c>
      <c r="C4858" s="9" t="inlineStr">
        <is>
          <t>Stochastic scalp with give-back trail exit</t>
        </is>
      </c>
      <c r="D4858" s="9" t="inlineStr">
        <is>
          <t>Long</t>
        </is>
      </c>
      <c r="E4858" s="10" t="n">
        <v>45798.88888888889</v>
      </c>
      <c r="F4858" s="10" t="n">
        <v>45798.90625</v>
      </c>
      <c r="G4858" s="11" t="n">
        <v>0.54</v>
      </c>
      <c r="H4858" s="11">
        <f>H4857+G4858</f>
        <v/>
      </c>
    </row>
    <row r="4859">
      <c r="A4859" s="9" t="n">
        <v>4855</v>
      </c>
      <c r="B4859" s="9" t="inlineStr">
        <is>
          <t>Ratchet</t>
        </is>
      </c>
      <c r="C4859" s="9" t="inlineStr">
        <is>
          <t>Stochastic scalp with give-back trail exit</t>
        </is>
      </c>
      <c r="D4859" s="9" t="inlineStr">
        <is>
          <t>Long</t>
        </is>
      </c>
      <c r="E4859" s="10" t="n">
        <v>45799.04513888889</v>
      </c>
      <c r="F4859" s="10" t="n">
        <v>45799.05902777778</v>
      </c>
      <c r="G4859" s="11" t="n">
        <v>0</v>
      </c>
      <c r="H4859" s="11">
        <f>H4858+G4859</f>
        <v/>
      </c>
    </row>
    <row r="4860">
      <c r="A4860" s="9" t="n">
        <v>4856</v>
      </c>
      <c r="B4860" s="9" t="inlineStr">
        <is>
          <t>Ratchet</t>
        </is>
      </c>
      <c r="C4860" s="9" t="inlineStr">
        <is>
          <t>Stochastic scalp with give-back trail exit</t>
        </is>
      </c>
      <c r="D4860" s="9" t="inlineStr">
        <is>
          <t>Long</t>
        </is>
      </c>
      <c r="E4860" s="10" t="n">
        <v>45799.11458333334</v>
      </c>
      <c r="F4860" s="10" t="n">
        <v>45799.11805555555</v>
      </c>
      <c r="G4860" s="11" t="n">
        <v>-3.78</v>
      </c>
      <c r="H4860" s="11">
        <f>H4859+G4860</f>
        <v/>
      </c>
    </row>
    <row r="4861">
      <c r="A4861" s="9" t="n">
        <v>4857</v>
      </c>
      <c r="B4861" s="9" t="inlineStr">
        <is>
          <t>Vanguard_M15</t>
        </is>
      </c>
      <c r="C4861" s="9" t="inlineStr">
        <is>
          <t>Trendline breakout (fractal swing line) + VWAP/S-R distance gate - M15 chart</t>
        </is>
      </c>
      <c r="D4861" s="9" t="inlineStr">
        <is>
          <t>Long</t>
        </is>
      </c>
      <c r="E4861" s="10" t="n">
        <v>45792.48958333334</v>
      </c>
      <c r="F4861" s="10" t="n">
        <v>45799.36458333334</v>
      </c>
      <c r="G4861" s="11" t="n">
        <v>173.65</v>
      </c>
      <c r="H4861" s="11">
        <f>H4860+G4861</f>
        <v/>
      </c>
    </row>
    <row r="4862">
      <c r="A4862" s="9" t="n">
        <v>4858</v>
      </c>
      <c r="B4862" s="9" t="inlineStr">
        <is>
          <t>Vanguard_M5</t>
        </is>
      </c>
      <c r="C4862" s="9" t="inlineStr">
        <is>
          <t>Trendline breakout (fractal swing line) + VWAP/S-R distance gate</t>
        </is>
      </c>
      <c r="D4862" s="9" t="inlineStr">
        <is>
          <t>Long</t>
        </is>
      </c>
      <c r="E4862" s="10" t="n">
        <v>45797.70138888889</v>
      </c>
      <c r="F4862" s="10" t="n">
        <v>45799.36458333334</v>
      </c>
      <c r="G4862" s="11" t="n">
        <v>82.64</v>
      </c>
      <c r="H4862" s="11">
        <f>H4861+G4862</f>
        <v/>
      </c>
    </row>
    <row r="4863">
      <c r="A4863" s="9" t="n">
        <v>4859</v>
      </c>
      <c r="B4863" s="9" t="inlineStr">
        <is>
          <t>Ratchet</t>
        </is>
      </c>
      <c r="C4863" s="9" t="inlineStr">
        <is>
          <t>Stochastic scalp with give-back trail exit</t>
        </is>
      </c>
      <c r="D4863" s="9" t="inlineStr">
        <is>
          <t>Long</t>
        </is>
      </c>
      <c r="E4863" s="10" t="n">
        <v>45799.17708333334</v>
      </c>
      <c r="F4863" s="10" t="n">
        <v>45799.36458333334</v>
      </c>
      <c r="G4863" s="11" t="n">
        <v>4.81</v>
      </c>
      <c r="H4863" s="11">
        <f>H4862+G4863</f>
        <v/>
      </c>
    </row>
    <row r="4864">
      <c r="A4864" s="9" t="n">
        <v>4860</v>
      </c>
      <c r="B4864" s="9" t="inlineStr">
        <is>
          <t>Aurelius_M5</t>
        </is>
      </c>
      <c r="C4864" s="9" t="inlineStr">
        <is>
          <t>MA alignment (EMA21&gt;EMA50&gt;SMA250&gt;SMMA500 vs EMA2400 trend filter)</t>
        </is>
      </c>
      <c r="D4864" s="9" t="inlineStr">
        <is>
          <t>Long</t>
        </is>
      </c>
      <c r="E4864" s="10" t="n">
        <v>45799.35763888889</v>
      </c>
      <c r="F4864" s="10" t="n">
        <v>45799.36458333334</v>
      </c>
      <c r="G4864" s="11" t="n">
        <v>-5.19</v>
      </c>
      <c r="H4864" s="11">
        <f>H4863+G4864</f>
        <v/>
      </c>
    </row>
    <row r="4865">
      <c r="A4865" s="9" t="n">
        <v>4861</v>
      </c>
      <c r="B4865" s="9" t="inlineStr">
        <is>
          <t>Aurelius_M15</t>
        </is>
      </c>
      <c r="C4865" s="9" t="inlineStr">
        <is>
          <t>MA alignment (EMA21&gt;EMA50&gt;SMA250&gt;SMMA500 vs EMA2400 trend filter) - M15 chart</t>
        </is>
      </c>
      <c r="D4865" s="9" t="inlineStr">
        <is>
          <t>Long</t>
        </is>
      </c>
      <c r="E4865" s="10" t="n">
        <v>45798.76041666666</v>
      </c>
      <c r="F4865" s="10" t="n">
        <v>45799.46875</v>
      </c>
      <c r="G4865" s="11" t="n">
        <v>14.61</v>
      </c>
      <c r="H4865" s="11">
        <f>H4864+G4865</f>
        <v/>
      </c>
    </row>
    <row r="4866">
      <c r="A4866" s="9" t="n">
        <v>4862</v>
      </c>
      <c r="B4866" s="9" t="inlineStr">
        <is>
          <t>Meridian</t>
        </is>
      </c>
      <c r="C4866" s="9" t="inlineStr">
        <is>
          <t>21/50 MA cross, 250-period confirm filter, VWAP</t>
        </is>
      </c>
      <c r="D4866" s="9" t="inlineStr">
        <is>
          <t>Short</t>
        </is>
      </c>
      <c r="E4866" s="10" t="n">
        <v>45799.70138888889</v>
      </c>
      <c r="F4866" s="10" t="n">
        <v>45800.07291666666</v>
      </c>
      <c r="G4866" s="11" t="n">
        <v>4.46</v>
      </c>
      <c r="H4866" s="11">
        <f>H4865+G4866</f>
        <v/>
      </c>
    </row>
    <row r="4867">
      <c r="A4867" s="9" t="n">
        <v>4863</v>
      </c>
      <c r="B4867" s="9" t="inlineStr">
        <is>
          <t>Meridian</t>
        </is>
      </c>
      <c r="C4867" s="9" t="inlineStr">
        <is>
          <t>21/50 MA cross, 250-period confirm filter, VWAP</t>
        </is>
      </c>
      <c r="D4867" s="9" t="inlineStr">
        <is>
          <t>Short</t>
        </is>
      </c>
      <c r="E4867" s="10" t="n">
        <v>45800.23611111111</v>
      </c>
      <c r="F4867" s="10" t="n">
        <v>45800.28472222222</v>
      </c>
      <c r="G4867" s="11" t="n">
        <v>-6.19</v>
      </c>
      <c r="H4867" s="11">
        <f>H4866+G4867</f>
        <v/>
      </c>
    </row>
    <row r="4868">
      <c r="A4868" s="9" t="n">
        <v>4864</v>
      </c>
      <c r="B4868" s="9" t="inlineStr">
        <is>
          <t>Vanguard_M5</t>
        </is>
      </c>
      <c r="C4868" s="9" t="inlineStr">
        <is>
          <t>Trendline breakout (fractal swing line) + VWAP/S-R distance gate</t>
        </is>
      </c>
      <c r="D4868" s="9" t="inlineStr">
        <is>
          <t>Short</t>
        </is>
      </c>
      <c r="E4868" s="10" t="n">
        <v>45799.36805555555</v>
      </c>
      <c r="F4868" s="10" t="n">
        <v>45800.41319444445</v>
      </c>
      <c r="G4868" s="11" t="n">
        <v>-0.52</v>
      </c>
      <c r="H4868" s="11">
        <f>H4867+G4868</f>
        <v/>
      </c>
    </row>
    <row r="4869">
      <c r="A4869" s="9" t="n">
        <v>4865</v>
      </c>
      <c r="B4869" s="9" t="inlineStr">
        <is>
          <t>Vanguard_M15</t>
        </is>
      </c>
      <c r="C4869" s="9" t="inlineStr">
        <is>
          <t>Trendline breakout (fractal swing line) + VWAP/S-R distance gate - M15 chart</t>
        </is>
      </c>
      <c r="D4869" s="9" t="inlineStr">
        <is>
          <t>Short</t>
        </is>
      </c>
      <c r="E4869" s="10" t="n">
        <v>45799.375</v>
      </c>
      <c r="F4869" s="10" t="n">
        <v>45800.60416666666</v>
      </c>
      <c r="G4869" s="11" t="n">
        <v>-2.32</v>
      </c>
      <c r="H4869" s="11">
        <f>H4868+G4869</f>
        <v/>
      </c>
    </row>
    <row r="4870">
      <c r="A4870" s="9" t="n">
        <v>4866</v>
      </c>
      <c r="B4870" s="9" t="inlineStr">
        <is>
          <t>Ratchet</t>
        </is>
      </c>
      <c r="C4870" s="9" t="inlineStr">
        <is>
          <t>Stochastic scalp with give-back trail exit</t>
        </is>
      </c>
      <c r="D4870" s="9" t="inlineStr">
        <is>
          <t>Long</t>
        </is>
      </c>
      <c r="E4870" s="10" t="n">
        <v>45800.60416666666</v>
      </c>
      <c r="F4870" s="10" t="n">
        <v>45800.60763888889</v>
      </c>
      <c r="G4870" s="11" t="n">
        <v>-4.83</v>
      </c>
      <c r="H4870" s="11">
        <f>H4869+G4870</f>
        <v/>
      </c>
    </row>
    <row r="4871">
      <c r="A4871" s="9" t="n">
        <v>4867</v>
      </c>
      <c r="B4871" s="9" t="inlineStr">
        <is>
          <t>Ratchet</t>
        </is>
      </c>
      <c r="C4871" s="9" t="inlineStr">
        <is>
          <t>Stochastic scalp with give-back trail exit</t>
        </is>
      </c>
      <c r="D4871" s="9" t="inlineStr">
        <is>
          <t>Long</t>
        </is>
      </c>
      <c r="E4871" s="10" t="n">
        <v>45800.77430555555</v>
      </c>
      <c r="F4871" s="10" t="n">
        <v>45800.79166666666</v>
      </c>
      <c r="G4871" s="11" t="n">
        <v>1.11</v>
      </c>
      <c r="H4871" s="11">
        <f>H4870+G4871</f>
        <v/>
      </c>
    </row>
    <row r="4872">
      <c r="A4872" s="9" t="n">
        <v>4868</v>
      </c>
      <c r="B4872" s="9" t="inlineStr">
        <is>
          <t>Aurelius_M5</t>
        </is>
      </c>
      <c r="C4872" s="9" t="inlineStr">
        <is>
          <t>MA alignment (EMA21&gt;EMA50&gt;SMA250&gt;SMMA500 vs EMA2400 trend filter)</t>
        </is>
      </c>
      <c r="D4872" s="9" t="inlineStr">
        <is>
          <t>Long</t>
        </is>
      </c>
      <c r="E4872" s="10" t="n">
        <v>45800.60069444445</v>
      </c>
      <c r="F4872" s="10" t="n">
        <v>45800.92013888889</v>
      </c>
      <c r="G4872" s="11" t="n">
        <v>34.3</v>
      </c>
      <c r="H4872" s="11">
        <f>H4871+G4872</f>
        <v/>
      </c>
    </row>
    <row r="4873">
      <c r="A4873" s="9" t="n">
        <v>4869</v>
      </c>
      <c r="B4873" s="9" t="inlineStr">
        <is>
          <t>Aurelius_M15</t>
        </is>
      </c>
      <c r="C4873" s="9" t="inlineStr">
        <is>
          <t>MA alignment (EMA21&gt;EMA50&gt;SMA250&gt;SMMA500 vs EMA2400 trend filter) - M15 chart</t>
        </is>
      </c>
      <c r="D4873" s="9" t="inlineStr">
        <is>
          <t>Long</t>
        </is>
      </c>
      <c r="E4873" s="10" t="n">
        <v>45800.38541666666</v>
      </c>
      <c r="F4873" s="10" t="n">
        <v>45800.92708333334</v>
      </c>
      <c r="G4873" s="11" t="n">
        <v>35.72</v>
      </c>
      <c r="H4873" s="11">
        <f>H4872+G4873</f>
        <v/>
      </c>
    </row>
    <row r="4874">
      <c r="A4874" s="9" t="n">
        <v>4870</v>
      </c>
      <c r="B4874" s="9" t="inlineStr">
        <is>
          <t>Meridian</t>
        </is>
      </c>
      <c r="C4874" s="9" t="inlineStr">
        <is>
          <t>21/50 MA cross, 250-period confirm filter, VWAP</t>
        </is>
      </c>
      <c r="D4874" s="9" t="inlineStr">
        <is>
          <t>Long</t>
        </is>
      </c>
      <c r="E4874" s="10" t="n">
        <v>45803.23958333334</v>
      </c>
      <c r="F4874" s="10" t="n">
        <v>45803.38194444445</v>
      </c>
      <c r="G4874" s="11" t="n">
        <v>-7.67</v>
      </c>
      <c r="H4874" s="11">
        <f>H4873+G4874</f>
        <v/>
      </c>
    </row>
    <row r="4875">
      <c r="A4875" s="9" t="n">
        <v>4871</v>
      </c>
      <c r="B4875" s="9" t="inlineStr">
        <is>
          <t>Ratchet</t>
        </is>
      </c>
      <c r="C4875" s="9" t="inlineStr">
        <is>
          <t>Stochastic scalp with give-back trail exit</t>
        </is>
      </c>
      <c r="D4875" s="9" t="inlineStr">
        <is>
          <t>Long</t>
        </is>
      </c>
      <c r="E4875" s="10" t="n">
        <v>45804.09722222222</v>
      </c>
      <c r="F4875" s="10" t="n">
        <v>45804.11111111111</v>
      </c>
      <c r="G4875" s="11" t="n">
        <v>0</v>
      </c>
      <c r="H4875" s="11">
        <f>H4874+G4875</f>
        <v/>
      </c>
    </row>
    <row r="4876">
      <c r="A4876" s="9" t="n">
        <v>4872</v>
      </c>
      <c r="B4876" s="9" t="inlineStr">
        <is>
          <t>Aurelius_M5</t>
        </is>
      </c>
      <c r="C4876" s="9" t="inlineStr">
        <is>
          <t>MA alignment (EMA21&gt;EMA50&gt;SMA250&gt;SMMA500 vs EMA2400 trend filter)</t>
        </is>
      </c>
      <c r="D4876" s="9" t="inlineStr">
        <is>
          <t>Long</t>
        </is>
      </c>
      <c r="E4876" s="10" t="n">
        <v>45804.16666666666</v>
      </c>
      <c r="F4876" s="10" t="n">
        <v>45804.18055555555</v>
      </c>
      <c r="G4876" s="11" t="n">
        <v>-4.91</v>
      </c>
      <c r="H4876" s="11">
        <f>H4875+G4876</f>
        <v/>
      </c>
    </row>
    <row r="4877">
      <c r="A4877" s="9" t="n">
        <v>4873</v>
      </c>
      <c r="B4877" s="9" t="inlineStr">
        <is>
          <t>Vanguard_M15</t>
        </is>
      </c>
      <c r="C4877" s="9" t="inlineStr">
        <is>
          <t>Trendline breakout (fractal swing line) + VWAP/S-R distance gate - M15 chart</t>
        </is>
      </c>
      <c r="D4877" s="9" t="inlineStr">
        <is>
          <t>Short</t>
        </is>
      </c>
      <c r="E4877" s="10" t="n">
        <v>45804.19791666666</v>
      </c>
      <c r="F4877" s="10" t="n">
        <v>45804.23958333334</v>
      </c>
      <c r="G4877" s="11" t="n">
        <v>-12.04</v>
      </c>
      <c r="H4877" s="11">
        <f>H4876+G4877</f>
        <v/>
      </c>
    </row>
    <row r="4878">
      <c r="A4878" s="9" t="n">
        <v>4874</v>
      </c>
      <c r="B4878" s="9" t="inlineStr">
        <is>
          <t>Meridian</t>
        </is>
      </c>
      <c r="C4878" s="9" t="inlineStr">
        <is>
          <t>21/50 MA cross, 250-period confirm filter, VWAP</t>
        </is>
      </c>
      <c r="D4878" s="9" t="inlineStr">
        <is>
          <t>Short</t>
        </is>
      </c>
      <c r="E4878" s="10" t="n">
        <v>45804.18402777778</v>
      </c>
      <c r="F4878" s="10" t="n">
        <v>45804.26041666666</v>
      </c>
      <c r="G4878" s="11" t="n">
        <v>-6.02</v>
      </c>
      <c r="H4878" s="11">
        <f>H4877+G4878</f>
        <v/>
      </c>
    </row>
    <row r="4879">
      <c r="A4879" s="9" t="n">
        <v>4875</v>
      </c>
      <c r="B4879" s="9" t="inlineStr">
        <is>
          <t>Vanguard_M5</t>
        </is>
      </c>
      <c r="C4879" s="9" t="inlineStr">
        <is>
          <t>Trendline breakout (fractal swing line) + VWAP/S-R distance gate</t>
        </is>
      </c>
      <c r="D4879" s="9" t="inlineStr">
        <is>
          <t>Short</t>
        </is>
      </c>
      <c r="E4879" s="10" t="n">
        <v>45804.19444444445</v>
      </c>
      <c r="F4879" s="10" t="n">
        <v>45804.26041666666</v>
      </c>
      <c r="G4879" s="11" t="n">
        <v>-10.92</v>
      </c>
      <c r="H4879" s="11">
        <f>H4878+G4879</f>
        <v/>
      </c>
    </row>
    <row r="4880">
      <c r="A4880" s="9" t="n">
        <v>4876</v>
      </c>
      <c r="B4880" s="9" t="inlineStr">
        <is>
          <t>Ratchet</t>
        </is>
      </c>
      <c r="C4880" s="9" t="inlineStr">
        <is>
          <t>Stochastic scalp with give-back trail exit</t>
        </is>
      </c>
      <c r="D4880" s="9" t="inlineStr">
        <is>
          <t>Long</t>
        </is>
      </c>
      <c r="E4880" s="10" t="n">
        <v>45804.26736111111</v>
      </c>
      <c r="F4880" s="10" t="n">
        <v>45804.28125</v>
      </c>
      <c r="G4880" s="11" t="n">
        <v>-3.84</v>
      </c>
      <c r="H4880" s="11">
        <f>H4879+G4880</f>
        <v/>
      </c>
    </row>
    <row r="4881">
      <c r="A4881" s="9" t="n">
        <v>4877</v>
      </c>
      <c r="B4881" s="9" t="inlineStr">
        <is>
          <t>Meridian</t>
        </is>
      </c>
      <c r="C4881" s="9" t="inlineStr">
        <is>
          <t>21/50 MA cross, 250-period confirm filter, VWAP</t>
        </is>
      </c>
      <c r="D4881" s="9" t="inlineStr">
        <is>
          <t>Long</t>
        </is>
      </c>
      <c r="E4881" s="10" t="n">
        <v>45804.26736111111</v>
      </c>
      <c r="F4881" s="10" t="n">
        <v>45804.29166666666</v>
      </c>
      <c r="G4881" s="11" t="n">
        <v>-5.83</v>
      </c>
      <c r="H4881" s="11">
        <f>H4880+G4881</f>
        <v/>
      </c>
    </row>
    <row r="4882">
      <c r="A4882" s="9" t="n">
        <v>4878</v>
      </c>
      <c r="B4882" s="9" t="inlineStr">
        <is>
          <t>Aurelius_M5</t>
        </is>
      </c>
      <c r="C4882" s="9" t="inlineStr">
        <is>
          <t>MA alignment (EMA21&gt;EMA50&gt;SMA250&gt;SMMA500 vs EMA2400 trend filter)</t>
        </is>
      </c>
      <c r="D4882" s="9" t="inlineStr">
        <is>
          <t>Long</t>
        </is>
      </c>
      <c r="E4882" s="10" t="n">
        <v>45804.28472222222</v>
      </c>
      <c r="F4882" s="10" t="n">
        <v>45804.30555555555</v>
      </c>
      <c r="G4882" s="11" t="n">
        <v>-1.99</v>
      </c>
      <c r="H4882" s="11">
        <f>H4881+G4882</f>
        <v/>
      </c>
    </row>
    <row r="4883">
      <c r="A4883" s="9" t="n">
        <v>4879</v>
      </c>
      <c r="B4883" s="9" t="inlineStr">
        <is>
          <t>Ratchet</t>
        </is>
      </c>
      <c r="C4883" s="9" t="inlineStr">
        <is>
          <t>Stochastic scalp with give-back trail exit</t>
        </is>
      </c>
      <c r="D4883" s="9" t="inlineStr">
        <is>
          <t>Short</t>
        </is>
      </c>
      <c r="E4883" s="10" t="n">
        <v>45804.53472222222</v>
      </c>
      <c r="F4883" s="10" t="n">
        <v>45804.56597222222</v>
      </c>
      <c r="G4883" s="11" t="n">
        <v>-0</v>
      </c>
      <c r="H4883" s="11">
        <f>H4882+G4883</f>
        <v/>
      </c>
    </row>
    <row r="4884">
      <c r="A4884" s="9" t="n">
        <v>4880</v>
      </c>
      <c r="B4884" s="9" t="inlineStr">
        <is>
          <t>Ratchet</t>
        </is>
      </c>
      <c r="C4884" s="9" t="inlineStr">
        <is>
          <t>Stochastic scalp with give-back trail exit</t>
        </is>
      </c>
      <c r="D4884" s="9" t="inlineStr">
        <is>
          <t>Short</t>
        </is>
      </c>
      <c r="E4884" s="10" t="n">
        <v>45804.57291666666</v>
      </c>
      <c r="F4884" s="10" t="n">
        <v>45804.58333333334</v>
      </c>
      <c r="G4884" s="11" t="n">
        <v>0.8</v>
      </c>
      <c r="H4884" s="11">
        <f>H4883+G4884</f>
        <v/>
      </c>
    </row>
    <row r="4885">
      <c r="A4885" s="9" t="n">
        <v>4881</v>
      </c>
      <c r="B4885" s="9" t="inlineStr">
        <is>
          <t>Meridian</t>
        </is>
      </c>
      <c r="C4885" s="9" t="inlineStr">
        <is>
          <t>21/50 MA cross, 250-period confirm filter, VWAP</t>
        </is>
      </c>
      <c r="D4885" s="9" t="inlineStr">
        <is>
          <t>Short</t>
        </is>
      </c>
      <c r="E4885" s="10" t="n">
        <v>45804.77083333334</v>
      </c>
      <c r="F4885" s="10" t="n">
        <v>45804.84375</v>
      </c>
      <c r="G4885" s="11" t="n">
        <v>-3.23</v>
      </c>
      <c r="H4885" s="11">
        <f>H4884+G4885</f>
        <v/>
      </c>
    </row>
    <row r="4886">
      <c r="A4886" s="9" t="n">
        <v>4882</v>
      </c>
      <c r="B4886" s="9" t="inlineStr">
        <is>
          <t>Meridian</t>
        </is>
      </c>
      <c r="C4886" s="9" t="inlineStr">
        <is>
          <t>21/50 MA cross, 250-period confirm filter, VWAP</t>
        </is>
      </c>
      <c r="D4886" s="9" t="inlineStr">
        <is>
          <t>Short</t>
        </is>
      </c>
      <c r="E4886" s="10" t="n">
        <v>45805.20486111111</v>
      </c>
      <c r="F4886" s="10" t="n">
        <v>45805.20833333334</v>
      </c>
      <c r="G4886" s="11" t="n">
        <v>-6.75</v>
      </c>
      <c r="H4886" s="11">
        <f>H4885+G4886</f>
        <v/>
      </c>
    </row>
    <row r="4887">
      <c r="A4887" s="9" t="n">
        <v>4883</v>
      </c>
      <c r="B4887" s="9" t="inlineStr">
        <is>
          <t>Meridian</t>
        </is>
      </c>
      <c r="C4887" s="9" t="inlineStr">
        <is>
          <t>21/50 MA cross, 250-period confirm filter, VWAP</t>
        </is>
      </c>
      <c r="D4887" s="9" t="inlineStr">
        <is>
          <t>Long</t>
        </is>
      </c>
      <c r="E4887" s="10" t="n">
        <v>45805.23263888889</v>
      </c>
      <c r="F4887" s="10" t="n">
        <v>45805.24305555555</v>
      </c>
      <c r="G4887" s="11" t="n">
        <v>-6.99</v>
      </c>
      <c r="H4887" s="11">
        <f>H4886+G4887</f>
        <v/>
      </c>
    </row>
    <row r="4888">
      <c r="A4888" s="9" t="n">
        <v>4884</v>
      </c>
      <c r="B4888" s="9" t="inlineStr">
        <is>
          <t>Ratchet</t>
        </is>
      </c>
      <c r="C4888" s="9" t="inlineStr">
        <is>
          <t>Stochastic scalp with give-back trail exit</t>
        </is>
      </c>
      <c r="D4888" s="9" t="inlineStr">
        <is>
          <t>Short</t>
        </is>
      </c>
      <c r="E4888" s="10" t="n">
        <v>45805.28472222222</v>
      </c>
      <c r="F4888" s="10" t="n">
        <v>45805.3125</v>
      </c>
      <c r="G4888" s="11" t="n">
        <v>0.58</v>
      </c>
      <c r="H4888" s="11">
        <f>H4887+G4888</f>
        <v/>
      </c>
    </row>
    <row r="4889">
      <c r="A4889" s="9" t="n">
        <v>4885</v>
      </c>
      <c r="B4889" s="9" t="inlineStr">
        <is>
          <t>Ratchet</t>
        </is>
      </c>
      <c r="C4889" s="9" t="inlineStr">
        <is>
          <t>Stochastic scalp with give-back trail exit</t>
        </is>
      </c>
      <c r="D4889" s="9" t="inlineStr">
        <is>
          <t>Short</t>
        </is>
      </c>
      <c r="E4889" s="10" t="n">
        <v>45805.32638888889</v>
      </c>
      <c r="F4889" s="10" t="n">
        <v>45805.33680555555</v>
      </c>
      <c r="G4889" s="11" t="n">
        <v>-3.86</v>
      </c>
      <c r="H4889" s="11">
        <f>H4888+G4889</f>
        <v/>
      </c>
    </row>
    <row r="4890">
      <c r="A4890" s="9" t="n">
        <v>4886</v>
      </c>
      <c r="B4890" s="9" t="inlineStr">
        <is>
          <t>Meridian</t>
        </is>
      </c>
      <c r="C4890" s="9" t="inlineStr">
        <is>
          <t>21/50 MA cross, 250-period confirm filter, VWAP</t>
        </is>
      </c>
      <c r="D4890" s="9" t="inlineStr">
        <is>
          <t>Long</t>
        </is>
      </c>
      <c r="E4890" s="10" t="n">
        <v>45805.36458333334</v>
      </c>
      <c r="F4890" s="10" t="n">
        <v>45805.37847222222</v>
      </c>
      <c r="G4890" s="11" t="n">
        <v>-7.21</v>
      </c>
      <c r="H4890" s="11">
        <f>H4889+G4890</f>
        <v/>
      </c>
    </row>
    <row r="4891">
      <c r="A4891" s="9" t="n">
        <v>4887</v>
      </c>
      <c r="B4891" s="9" t="inlineStr">
        <is>
          <t>Ratchet</t>
        </is>
      </c>
      <c r="C4891" s="9" t="inlineStr">
        <is>
          <t>Stochastic scalp with give-back trail exit</t>
        </is>
      </c>
      <c r="D4891" s="9" t="inlineStr">
        <is>
          <t>Short</t>
        </is>
      </c>
      <c r="E4891" s="10" t="n">
        <v>45805.79513888889</v>
      </c>
      <c r="F4891" s="10" t="n">
        <v>45805.84027777778</v>
      </c>
      <c r="G4891" s="11" t="n">
        <v>1.43</v>
      </c>
      <c r="H4891" s="11">
        <f>H4890+G4891</f>
        <v/>
      </c>
    </row>
    <row r="4892">
      <c r="A4892" s="9" t="n">
        <v>4888</v>
      </c>
      <c r="B4892" s="9" t="inlineStr">
        <is>
          <t>Ratchet</t>
        </is>
      </c>
      <c r="C4892" s="9" t="inlineStr">
        <is>
          <t>Stochastic scalp with give-back trail exit</t>
        </is>
      </c>
      <c r="D4892" s="9" t="inlineStr">
        <is>
          <t>Short</t>
        </is>
      </c>
      <c r="E4892" s="10" t="n">
        <v>45806.05208333334</v>
      </c>
      <c r="F4892" s="10" t="n">
        <v>45806.26388888889</v>
      </c>
      <c r="G4892" s="11" t="n">
        <v>12.62</v>
      </c>
      <c r="H4892" s="11">
        <f>H4891+G4892</f>
        <v/>
      </c>
    </row>
    <row r="4893">
      <c r="A4893" s="9" t="n">
        <v>4889</v>
      </c>
      <c r="B4893" s="9" t="inlineStr">
        <is>
          <t>Vanguard_M5</t>
        </is>
      </c>
      <c r="C4893" s="9" t="inlineStr">
        <is>
          <t>Trendline breakout (fractal swing line) + VWAP/S-R distance gate</t>
        </is>
      </c>
      <c r="D4893" s="9" t="inlineStr">
        <is>
          <t>Short</t>
        </is>
      </c>
      <c r="E4893" s="10" t="n">
        <v>45804.29513888889</v>
      </c>
      <c r="F4893" s="10" t="n">
        <v>45806.63541666666</v>
      </c>
      <c r="G4893" s="11" t="n">
        <v>31.7</v>
      </c>
      <c r="H4893" s="11">
        <f>H4892+G4893</f>
        <v/>
      </c>
    </row>
    <row r="4894">
      <c r="A4894" s="9" t="n">
        <v>4890</v>
      </c>
      <c r="B4894" s="9" t="inlineStr">
        <is>
          <t>Vanguard_M15</t>
        </is>
      </c>
      <c r="C4894" s="9" t="inlineStr">
        <is>
          <t>Trendline breakout (fractal swing line) + VWAP/S-R distance gate - M15 chart</t>
        </is>
      </c>
      <c r="D4894" s="9" t="inlineStr">
        <is>
          <t>Short</t>
        </is>
      </c>
      <c r="E4894" s="10" t="n">
        <v>45804.30208333334</v>
      </c>
      <c r="F4894" s="10" t="n">
        <v>45806.63541666666</v>
      </c>
      <c r="G4894" s="11" t="n">
        <v>31.71</v>
      </c>
      <c r="H4894" s="11">
        <f>H4893+G4894</f>
        <v/>
      </c>
    </row>
    <row r="4895">
      <c r="A4895" s="9" t="n">
        <v>4891</v>
      </c>
      <c r="B4895" s="9" t="inlineStr">
        <is>
          <t>Ratchet</t>
        </is>
      </c>
      <c r="C4895" s="9" t="inlineStr">
        <is>
          <t>Stochastic scalp with give-back trail exit</t>
        </is>
      </c>
      <c r="D4895" s="9" t="inlineStr">
        <is>
          <t>Long</t>
        </is>
      </c>
      <c r="E4895" s="10" t="n">
        <v>45806.78125</v>
      </c>
      <c r="F4895" s="10" t="n">
        <v>45806.78472222222</v>
      </c>
      <c r="G4895" s="11" t="n">
        <v>0.64</v>
      </c>
      <c r="H4895" s="11">
        <f>H4894+G4895</f>
        <v/>
      </c>
    </row>
    <row r="4896">
      <c r="A4896" s="9" t="n">
        <v>4892</v>
      </c>
      <c r="B4896" s="9" t="inlineStr">
        <is>
          <t>Vanguard_M5</t>
        </is>
      </c>
      <c r="C4896" s="9" t="inlineStr">
        <is>
          <t>Trendline breakout (fractal swing line) + VWAP/S-R distance gate</t>
        </is>
      </c>
      <c r="D4896" s="9" t="inlineStr">
        <is>
          <t>Long</t>
        </is>
      </c>
      <c r="E4896" s="10" t="n">
        <v>45806.63888888889</v>
      </c>
      <c r="F4896" s="10" t="n">
        <v>45807.24305555555</v>
      </c>
      <c r="G4896" s="11" t="n">
        <v>-13.26</v>
      </c>
      <c r="H4896" s="11">
        <f>H4895+G4896</f>
        <v/>
      </c>
    </row>
    <row r="4897">
      <c r="A4897" s="9" t="n">
        <v>4893</v>
      </c>
      <c r="B4897" s="9" t="inlineStr">
        <is>
          <t>Vanguard_M15</t>
        </is>
      </c>
      <c r="C4897" s="9" t="inlineStr">
        <is>
          <t>Trendline breakout (fractal swing line) + VWAP/S-R distance gate - M15 chart</t>
        </is>
      </c>
      <c r="D4897" s="9" t="inlineStr">
        <is>
          <t>Long</t>
        </is>
      </c>
      <c r="E4897" s="10" t="n">
        <v>45806.64583333334</v>
      </c>
      <c r="F4897" s="10" t="n">
        <v>45807.28125</v>
      </c>
      <c r="G4897" s="11" t="n">
        <v>-17.08</v>
      </c>
      <c r="H4897" s="11">
        <f>H4896+G4897</f>
        <v/>
      </c>
    </row>
    <row r="4898">
      <c r="A4898" s="9" t="n">
        <v>4894</v>
      </c>
      <c r="B4898" s="9" t="inlineStr">
        <is>
          <t>Meridian</t>
        </is>
      </c>
      <c r="C4898" s="9" t="inlineStr">
        <is>
          <t>21/50 MA cross, 250-period confirm filter, VWAP</t>
        </is>
      </c>
      <c r="D4898" s="9" t="inlineStr">
        <is>
          <t>Short</t>
        </is>
      </c>
      <c r="E4898" s="10" t="n">
        <v>45807.56944444445</v>
      </c>
      <c r="F4898" s="10" t="n">
        <v>45807.63194444445</v>
      </c>
      <c r="G4898" s="11" t="n">
        <v>-5.58</v>
      </c>
      <c r="H4898" s="11">
        <f>H4897+G4898</f>
        <v/>
      </c>
    </row>
    <row r="4899">
      <c r="A4899" s="9" t="n">
        <v>4895</v>
      </c>
      <c r="B4899" s="9" t="inlineStr">
        <is>
          <t>Ratchet</t>
        </is>
      </c>
      <c r="C4899" s="9" t="inlineStr">
        <is>
          <t>Stochastic scalp with give-back trail exit</t>
        </is>
      </c>
      <c r="D4899" s="9" t="inlineStr">
        <is>
          <t>Short</t>
        </is>
      </c>
      <c r="E4899" s="10" t="n">
        <v>45807.81944444445</v>
      </c>
      <c r="F4899" s="10" t="n">
        <v>45807.82638888889</v>
      </c>
      <c r="G4899" s="11" t="n">
        <v>-5.21</v>
      </c>
      <c r="H4899" s="11">
        <f>H4898+G4899</f>
        <v/>
      </c>
    </row>
    <row r="4900">
      <c r="A4900" s="9" t="n">
        <v>4896</v>
      </c>
      <c r="B4900" s="9" t="inlineStr">
        <is>
          <t>Aurelius_M15</t>
        </is>
      </c>
      <c r="C4900" s="9" t="inlineStr">
        <is>
          <t>MA alignment (EMA21&gt;EMA50&gt;SMA250&gt;SMMA500 vs EMA2400 trend filter) - M15 chart</t>
        </is>
      </c>
      <c r="D4900" s="9" t="inlineStr">
        <is>
          <t>Short</t>
        </is>
      </c>
      <c r="E4900" s="10" t="n">
        <v>45807.69791666666</v>
      </c>
      <c r="F4900" s="10" t="n">
        <v>45807.83333333334</v>
      </c>
      <c r="G4900" s="11" t="n">
        <v>-3.93</v>
      </c>
      <c r="H4900" s="11">
        <f>H4899+G4900</f>
        <v/>
      </c>
    </row>
    <row r="4901">
      <c r="A4901" s="9" t="n">
        <v>4897</v>
      </c>
      <c r="B4901" s="9" t="inlineStr">
        <is>
          <t>Meridian</t>
        </is>
      </c>
      <c r="C4901" s="9" t="inlineStr">
        <is>
          <t>21/50 MA cross, 250-period confirm filter, VWAP</t>
        </is>
      </c>
      <c r="D4901" s="9" t="inlineStr">
        <is>
          <t>Short</t>
        </is>
      </c>
      <c r="E4901" s="10" t="n">
        <v>45807.70138888889</v>
      </c>
      <c r="F4901" s="10" t="n">
        <v>45807.84375</v>
      </c>
      <c r="G4901" s="11" t="n">
        <v>-8.26</v>
      </c>
      <c r="H4901" s="11">
        <f>H4900+G4901</f>
        <v/>
      </c>
    </row>
    <row r="4902">
      <c r="A4902" s="9" t="n">
        <v>4898</v>
      </c>
      <c r="B4902" s="9" t="inlineStr">
        <is>
          <t>Meridian</t>
        </is>
      </c>
      <c r="C4902" s="9" t="inlineStr">
        <is>
          <t>21/50 MA cross, 250-period confirm filter, VWAP</t>
        </is>
      </c>
      <c r="D4902" s="9" t="inlineStr">
        <is>
          <t>Long</t>
        </is>
      </c>
      <c r="E4902" s="10" t="n">
        <v>45810.04513888889</v>
      </c>
      <c r="F4902" s="10" t="n">
        <v>45810.27777777778</v>
      </c>
      <c r="G4902" s="11" t="n">
        <v>1.17</v>
      </c>
      <c r="H4902" s="11">
        <f>H4901+G4902</f>
        <v/>
      </c>
    </row>
    <row r="4903">
      <c r="A4903" s="9" t="n">
        <v>4899</v>
      </c>
      <c r="B4903" s="9" t="inlineStr">
        <is>
          <t>Ratchet</t>
        </is>
      </c>
      <c r="C4903" s="9" t="inlineStr">
        <is>
          <t>Stochastic scalp with give-back trail exit</t>
        </is>
      </c>
      <c r="D4903" s="9" t="inlineStr">
        <is>
          <t>Long</t>
        </is>
      </c>
      <c r="E4903" s="10" t="n">
        <v>45810.78472222222</v>
      </c>
      <c r="F4903" s="10" t="n">
        <v>45810.79513888889</v>
      </c>
      <c r="G4903" s="11" t="n">
        <v>0.97</v>
      </c>
      <c r="H4903" s="11">
        <f>H4902+G4903</f>
        <v/>
      </c>
    </row>
    <row r="4904">
      <c r="A4904" s="9" t="n">
        <v>4900</v>
      </c>
      <c r="B4904" s="9" t="inlineStr">
        <is>
          <t>Aurelius_M5</t>
        </is>
      </c>
      <c r="C4904" s="9" t="inlineStr">
        <is>
          <t>MA alignment (EMA21&gt;EMA50&gt;SMA250&gt;SMMA500 vs EMA2400 trend filter)</t>
        </is>
      </c>
      <c r="D4904" s="9" t="inlineStr">
        <is>
          <t>Long</t>
        </is>
      </c>
      <c r="E4904" s="10" t="n">
        <v>45810.58333333334</v>
      </c>
      <c r="F4904" s="10" t="n">
        <v>45811.04166666666</v>
      </c>
      <c r="G4904" s="11" t="n">
        <v>32.78</v>
      </c>
      <c r="H4904" s="11">
        <f>H4903+G4904</f>
        <v/>
      </c>
    </row>
    <row r="4905">
      <c r="A4905" s="9" t="n">
        <v>4901</v>
      </c>
      <c r="B4905" s="9" t="inlineStr">
        <is>
          <t>Meridian</t>
        </is>
      </c>
      <c r="C4905" s="9" t="inlineStr">
        <is>
          <t>21/50 MA cross, 250-period confirm filter, VWAP</t>
        </is>
      </c>
      <c r="D4905" s="9" t="inlineStr">
        <is>
          <t>Long</t>
        </is>
      </c>
      <c r="E4905" s="10" t="n">
        <v>45810.29166666666</v>
      </c>
      <c r="F4905" s="10" t="n">
        <v>45811.15625</v>
      </c>
      <c r="G4905" s="11" t="n">
        <v>68.18000000000001</v>
      </c>
      <c r="H4905" s="11">
        <f>H4904+G4905</f>
        <v/>
      </c>
    </row>
    <row r="4906">
      <c r="A4906" s="9" t="n">
        <v>4902</v>
      </c>
      <c r="B4906" s="9" t="inlineStr">
        <is>
          <t>Meridian</t>
        </is>
      </c>
      <c r="C4906" s="9" t="inlineStr">
        <is>
          <t>21/50 MA cross, 250-period confirm filter, VWAP</t>
        </is>
      </c>
      <c r="D4906" s="9" t="inlineStr">
        <is>
          <t>Short</t>
        </is>
      </c>
      <c r="E4906" s="10" t="n">
        <v>45811.69444444445</v>
      </c>
      <c r="F4906" s="10" t="n">
        <v>45811.86111111111</v>
      </c>
      <c r="G4906" s="11" t="n">
        <v>-0.58</v>
      </c>
      <c r="H4906" s="11">
        <f>H4905+G4906</f>
        <v/>
      </c>
    </row>
    <row r="4907">
      <c r="A4907" s="9" t="n">
        <v>4903</v>
      </c>
      <c r="B4907" s="9" t="inlineStr">
        <is>
          <t>Ratchet</t>
        </is>
      </c>
      <c r="C4907" s="9" t="inlineStr">
        <is>
          <t>Stochastic scalp with give-back trail exit</t>
        </is>
      </c>
      <c r="D4907" s="9" t="inlineStr">
        <is>
          <t>Long</t>
        </is>
      </c>
      <c r="E4907" s="10" t="n">
        <v>45812.10416666666</v>
      </c>
      <c r="F4907" s="10" t="n">
        <v>45812.11111111111</v>
      </c>
      <c r="G4907" s="11" t="n">
        <v>-2.01</v>
      </c>
      <c r="H4907" s="11">
        <f>H4906+G4907</f>
        <v/>
      </c>
    </row>
    <row r="4908">
      <c r="A4908" s="9" t="n">
        <v>4904</v>
      </c>
      <c r="B4908" s="9" t="inlineStr">
        <is>
          <t>Ratchet</t>
        </is>
      </c>
      <c r="C4908" s="9" t="inlineStr">
        <is>
          <t>Stochastic scalp with give-back trail exit</t>
        </is>
      </c>
      <c r="D4908" s="9" t="inlineStr">
        <is>
          <t>Long</t>
        </is>
      </c>
      <c r="E4908" s="10" t="n">
        <v>45812.11805555555</v>
      </c>
      <c r="F4908" s="10" t="n">
        <v>45812.125</v>
      </c>
      <c r="G4908" s="11" t="n">
        <v>-2.66</v>
      </c>
      <c r="H4908" s="11">
        <f>H4907+G4908</f>
        <v/>
      </c>
    </row>
    <row r="4909">
      <c r="A4909" s="9" t="n">
        <v>4905</v>
      </c>
      <c r="B4909" s="9" t="inlineStr">
        <is>
          <t>Meridian</t>
        </is>
      </c>
      <c r="C4909" s="9" t="inlineStr">
        <is>
          <t>21/50 MA cross, 250-period confirm filter, VWAP</t>
        </is>
      </c>
      <c r="D4909" s="9" t="inlineStr">
        <is>
          <t>Short</t>
        </is>
      </c>
      <c r="E4909" s="10" t="n">
        <v>45812.16666666666</v>
      </c>
      <c r="F4909" s="10" t="n">
        <v>45812.17361111111</v>
      </c>
      <c r="G4909" s="11" t="n">
        <v>-6.2</v>
      </c>
      <c r="H4909" s="11">
        <f>H4908+G4909</f>
        <v/>
      </c>
    </row>
    <row r="4910">
      <c r="A4910" s="9" t="n">
        <v>4906</v>
      </c>
      <c r="B4910" s="9" t="inlineStr">
        <is>
          <t>Ratchet</t>
        </is>
      </c>
      <c r="C4910" s="9" t="inlineStr">
        <is>
          <t>Stochastic scalp with give-back trail exit</t>
        </is>
      </c>
      <c r="D4910" s="9" t="inlineStr">
        <is>
          <t>Long</t>
        </is>
      </c>
      <c r="E4910" s="10" t="n">
        <v>45812.1875</v>
      </c>
      <c r="F4910" s="10" t="n">
        <v>45812.19097222222</v>
      </c>
      <c r="G4910" s="11" t="n">
        <v>3.23</v>
      </c>
      <c r="H4910" s="11">
        <f>H4909+G4910</f>
        <v/>
      </c>
    </row>
    <row r="4911">
      <c r="A4911" s="9" t="n">
        <v>4907</v>
      </c>
      <c r="B4911" s="9" t="inlineStr">
        <is>
          <t>Aurelius_M5</t>
        </is>
      </c>
      <c r="C4911" s="9" t="inlineStr">
        <is>
          <t>MA alignment (EMA21&gt;EMA50&gt;SMA250&gt;SMMA500 vs EMA2400 trend filter)</t>
        </is>
      </c>
      <c r="D4911" s="9" t="inlineStr">
        <is>
          <t>Long</t>
        </is>
      </c>
      <c r="E4911" s="10" t="n">
        <v>45812.20138888889</v>
      </c>
      <c r="F4911" s="10" t="n">
        <v>45812.27083333334</v>
      </c>
      <c r="G4911" s="11" t="n">
        <v>-7.71</v>
      </c>
      <c r="H4911" s="11">
        <f>H4910+G4911</f>
        <v/>
      </c>
    </row>
    <row r="4912">
      <c r="A4912" s="9" t="n">
        <v>4908</v>
      </c>
      <c r="B4912" s="9" t="inlineStr">
        <is>
          <t>Meridian</t>
        </is>
      </c>
      <c r="C4912" s="9" t="inlineStr">
        <is>
          <t>21/50 MA cross, 250-period confirm filter, VWAP</t>
        </is>
      </c>
      <c r="D4912" s="9" t="inlineStr">
        <is>
          <t>Long</t>
        </is>
      </c>
      <c r="E4912" s="10" t="n">
        <v>45812.18055555555</v>
      </c>
      <c r="F4912" s="10" t="n">
        <v>45812.30902777778</v>
      </c>
      <c r="G4912" s="11" t="n">
        <v>-1.45</v>
      </c>
      <c r="H4912" s="11">
        <f>H4911+G4912</f>
        <v/>
      </c>
    </row>
    <row r="4913">
      <c r="A4913" s="9" t="n">
        <v>4909</v>
      </c>
      <c r="B4913" s="9" t="inlineStr">
        <is>
          <t>Aurelius_M15</t>
        </is>
      </c>
      <c r="C4913" s="9" t="inlineStr">
        <is>
          <t>MA alignment (EMA21&gt;EMA50&gt;SMA250&gt;SMMA500 vs EMA2400 trend filter) - M15 chart</t>
        </is>
      </c>
      <c r="D4913" s="9" t="inlineStr">
        <is>
          <t>Long</t>
        </is>
      </c>
      <c r="E4913" s="10" t="n">
        <v>45812.19791666666</v>
      </c>
      <c r="F4913" s="10" t="n">
        <v>45812.3125</v>
      </c>
      <c r="G4913" s="11" t="n">
        <v>-11.83</v>
      </c>
      <c r="H4913" s="11">
        <f>H4912+G4913</f>
        <v/>
      </c>
    </row>
    <row r="4914">
      <c r="A4914" s="9" t="n">
        <v>4910</v>
      </c>
      <c r="B4914" s="9" t="inlineStr">
        <is>
          <t>Vanguard_M5</t>
        </is>
      </c>
      <c r="C4914" s="9" t="inlineStr">
        <is>
          <t>Trendline breakout (fractal swing line) + VWAP/S-R distance gate</t>
        </is>
      </c>
      <c r="D4914" s="9" t="inlineStr">
        <is>
          <t>Short</t>
        </is>
      </c>
      <c r="E4914" s="10" t="n">
        <v>45812.33680555555</v>
      </c>
      <c r="F4914" s="10" t="n">
        <v>45812.42013888889</v>
      </c>
      <c r="G4914" s="11" t="n">
        <v>-10.33</v>
      </c>
      <c r="H4914" s="11">
        <f>H4913+G4914</f>
        <v/>
      </c>
    </row>
    <row r="4915">
      <c r="A4915" s="9" t="n">
        <v>4911</v>
      </c>
      <c r="B4915" s="9" t="inlineStr">
        <is>
          <t>Vanguard_M15</t>
        </is>
      </c>
      <c r="C4915" s="9" t="inlineStr">
        <is>
          <t>Trendline breakout (fractal swing line) + VWAP/S-R distance gate - M15 chart</t>
        </is>
      </c>
      <c r="D4915" s="9" t="inlineStr">
        <is>
          <t>Short</t>
        </is>
      </c>
      <c r="E4915" s="10" t="n">
        <v>45812.35416666666</v>
      </c>
      <c r="F4915" s="10" t="n">
        <v>45812.4375</v>
      </c>
      <c r="G4915" s="11" t="n">
        <v>-13.68</v>
      </c>
      <c r="H4915" s="11">
        <f>H4914+G4915</f>
        <v/>
      </c>
    </row>
    <row r="4916">
      <c r="A4916" s="9" t="n">
        <v>4912</v>
      </c>
      <c r="B4916" s="9" t="inlineStr">
        <is>
          <t>Meridian</t>
        </is>
      </c>
      <c r="C4916" s="9" t="inlineStr">
        <is>
          <t>21/50 MA cross, 250-period confirm filter, VWAP</t>
        </is>
      </c>
      <c r="D4916" s="9" t="inlineStr">
        <is>
          <t>Long</t>
        </is>
      </c>
      <c r="E4916" s="10" t="n">
        <v>45812.44097222222</v>
      </c>
      <c r="F4916" s="10" t="n">
        <v>45812.45486111111</v>
      </c>
      <c r="G4916" s="11" t="n">
        <v>-7</v>
      </c>
      <c r="H4916" s="11">
        <f>H4915+G4916</f>
        <v/>
      </c>
    </row>
    <row r="4917">
      <c r="A4917" s="9" t="n">
        <v>4913</v>
      </c>
      <c r="B4917" s="9" t="inlineStr">
        <is>
          <t>Meridian</t>
        </is>
      </c>
      <c r="C4917" s="9" t="inlineStr">
        <is>
          <t>21/50 MA cross, 250-period confirm filter, VWAP</t>
        </is>
      </c>
      <c r="D4917" s="9" t="inlineStr">
        <is>
          <t>Long</t>
        </is>
      </c>
      <c r="E4917" s="10" t="n">
        <v>45812.49305555555</v>
      </c>
      <c r="F4917" s="10" t="n">
        <v>45812.56944444445</v>
      </c>
      <c r="G4917" s="11" t="n">
        <v>-6.48</v>
      </c>
      <c r="H4917" s="11">
        <f>H4916+G4917</f>
        <v/>
      </c>
    </row>
    <row r="4918">
      <c r="A4918" s="9" t="n">
        <v>4914</v>
      </c>
      <c r="B4918" s="9" t="inlineStr">
        <is>
          <t>Meridian</t>
        </is>
      </c>
      <c r="C4918" s="9" t="inlineStr">
        <is>
          <t>21/50 MA cross, 250-period confirm filter, VWAP</t>
        </is>
      </c>
      <c r="D4918" s="9" t="inlineStr">
        <is>
          <t>Short</t>
        </is>
      </c>
      <c r="E4918" s="10" t="n">
        <v>45812.57638888889</v>
      </c>
      <c r="F4918" s="10" t="n">
        <v>45812.65625</v>
      </c>
      <c r="G4918" s="11" t="n">
        <v>-6.2</v>
      </c>
      <c r="H4918" s="11">
        <f>H4917+G4918</f>
        <v/>
      </c>
    </row>
    <row r="4919">
      <c r="A4919" s="9" t="n">
        <v>4915</v>
      </c>
      <c r="B4919" s="9" t="inlineStr">
        <is>
          <t>Vanguard_M15</t>
        </is>
      </c>
      <c r="C4919" s="9" t="inlineStr">
        <is>
          <t>Trendline breakout (fractal swing line) + VWAP/S-R distance gate - M15 chart</t>
        </is>
      </c>
      <c r="D4919" s="9" t="inlineStr">
        <is>
          <t>Short</t>
        </is>
      </c>
      <c r="E4919" s="10" t="n">
        <v>45812.45833333334</v>
      </c>
      <c r="F4919" s="10" t="n">
        <v>45812.70833333334</v>
      </c>
      <c r="G4919" s="11" t="n">
        <v>-12.33</v>
      </c>
      <c r="H4919" s="11">
        <f>H4918+G4919</f>
        <v/>
      </c>
    </row>
    <row r="4920">
      <c r="A4920" s="9" t="n">
        <v>4916</v>
      </c>
      <c r="B4920" s="9" t="inlineStr">
        <is>
          <t>Meridian</t>
        </is>
      </c>
      <c r="C4920" s="9" t="inlineStr">
        <is>
          <t>21/50 MA cross, 250-period confirm filter, VWAP</t>
        </is>
      </c>
      <c r="D4920" s="9" t="inlineStr">
        <is>
          <t>Long</t>
        </is>
      </c>
      <c r="E4920" s="10" t="n">
        <v>45812.67708333334</v>
      </c>
      <c r="F4920" s="10" t="n">
        <v>45812.70833333334</v>
      </c>
      <c r="G4920" s="11" t="n">
        <v>-5.88</v>
      </c>
      <c r="H4920" s="11">
        <f>H4919+G4920</f>
        <v/>
      </c>
    </row>
    <row r="4921">
      <c r="A4921" s="9" t="n">
        <v>4917</v>
      </c>
      <c r="B4921" s="9" t="inlineStr">
        <is>
          <t>Vanguard_M5</t>
        </is>
      </c>
      <c r="C4921" s="9" t="inlineStr">
        <is>
          <t>Trendline breakout (fractal swing line) + VWAP/S-R distance gate</t>
        </is>
      </c>
      <c r="D4921" s="9" t="inlineStr">
        <is>
          <t>Short</t>
        </is>
      </c>
      <c r="E4921" s="10" t="n">
        <v>45812.45833333334</v>
      </c>
      <c r="F4921" s="10" t="n">
        <v>45812.71180555555</v>
      </c>
      <c r="G4921" s="11" t="n">
        <v>-10.03</v>
      </c>
      <c r="H4921" s="11">
        <f>H4920+G4921</f>
        <v/>
      </c>
    </row>
    <row r="4922">
      <c r="A4922" s="9" t="n">
        <v>4918</v>
      </c>
      <c r="B4922" s="9" t="inlineStr">
        <is>
          <t>Ratchet</t>
        </is>
      </c>
      <c r="C4922" s="9" t="inlineStr">
        <is>
          <t>Stochastic scalp with give-back trail exit</t>
        </is>
      </c>
      <c r="D4922" s="9" t="inlineStr">
        <is>
          <t>Long</t>
        </is>
      </c>
      <c r="E4922" s="10" t="n">
        <v>45812.84375</v>
      </c>
      <c r="F4922" s="10" t="n">
        <v>45812.90277777778</v>
      </c>
      <c r="G4922" s="11" t="n">
        <v>1.93</v>
      </c>
      <c r="H4922" s="11">
        <f>H4921+G4922</f>
        <v/>
      </c>
    </row>
    <row r="4923">
      <c r="A4923" s="9" t="n">
        <v>4919</v>
      </c>
      <c r="B4923" s="9" t="inlineStr">
        <is>
          <t>Meridian</t>
        </is>
      </c>
      <c r="C4923" s="9" t="inlineStr">
        <is>
          <t>21/50 MA cross, 250-period confirm filter, VWAP</t>
        </is>
      </c>
      <c r="D4923" s="9" t="inlineStr">
        <is>
          <t>Long</t>
        </is>
      </c>
      <c r="E4923" s="10" t="n">
        <v>45812.71180555555</v>
      </c>
      <c r="F4923" s="10" t="n">
        <v>45812.97569444445</v>
      </c>
      <c r="G4923" s="11" t="n">
        <v>12.89</v>
      </c>
      <c r="H4923" s="11">
        <f>H4922+G4923</f>
        <v/>
      </c>
    </row>
    <row r="4924">
      <c r="A4924" s="9" t="n">
        <v>4920</v>
      </c>
      <c r="B4924" s="9" t="inlineStr">
        <is>
          <t>Meridian</t>
        </is>
      </c>
      <c r="C4924" s="9" t="inlineStr">
        <is>
          <t>21/50 MA cross, 250-period confirm filter, VWAP</t>
        </is>
      </c>
      <c r="D4924" s="9" t="inlineStr">
        <is>
          <t>Long</t>
        </is>
      </c>
      <c r="E4924" s="10" t="n">
        <v>45812.98263888889</v>
      </c>
      <c r="F4924" s="10" t="n">
        <v>45812.99652777778</v>
      </c>
      <c r="G4924" s="11" t="n">
        <v>-2.1</v>
      </c>
      <c r="H4924" s="11">
        <f>H4923+G4924</f>
        <v/>
      </c>
    </row>
    <row r="4925">
      <c r="A4925" s="9" t="n">
        <v>4921</v>
      </c>
      <c r="B4925" s="9" t="inlineStr">
        <is>
          <t>Ratchet</t>
        </is>
      </c>
      <c r="C4925" s="9" t="inlineStr">
        <is>
          <t>Stochastic scalp with give-back trail exit</t>
        </is>
      </c>
      <c r="D4925" s="9" t="inlineStr">
        <is>
          <t>Long</t>
        </is>
      </c>
      <c r="E4925" s="10" t="n">
        <v>45813.13888888889</v>
      </c>
      <c r="F4925" s="10" t="n">
        <v>45813.14930555555</v>
      </c>
      <c r="G4925" s="11" t="n">
        <v>0.8100000000000001</v>
      </c>
      <c r="H4925" s="11">
        <f>H4924+G4925</f>
        <v/>
      </c>
    </row>
    <row r="4926">
      <c r="A4926" s="9" t="n">
        <v>4922</v>
      </c>
      <c r="B4926" s="9" t="inlineStr">
        <is>
          <t>Meridian</t>
        </is>
      </c>
      <c r="C4926" s="9" t="inlineStr">
        <is>
          <t>21/50 MA cross, 250-period confirm filter, VWAP</t>
        </is>
      </c>
      <c r="D4926" s="9" t="inlineStr">
        <is>
          <t>Long</t>
        </is>
      </c>
      <c r="E4926" s="10" t="n">
        <v>45813.10069444445</v>
      </c>
      <c r="F4926" s="10" t="n">
        <v>45813.15277777778</v>
      </c>
      <c r="G4926" s="11" t="n">
        <v>-3.88</v>
      </c>
      <c r="H4926" s="11">
        <f>H4925+G4926</f>
        <v/>
      </c>
    </row>
    <row r="4927">
      <c r="A4927" s="9" t="n">
        <v>4923</v>
      </c>
      <c r="B4927" s="9" t="inlineStr">
        <is>
          <t>Aurelius_M5</t>
        </is>
      </c>
      <c r="C4927" s="9" t="inlineStr">
        <is>
          <t>MA alignment (EMA21&gt;EMA50&gt;SMA250&gt;SMMA500 vs EMA2400 trend filter)</t>
        </is>
      </c>
      <c r="D4927" s="9" t="inlineStr">
        <is>
          <t>Long</t>
        </is>
      </c>
      <c r="E4927" s="10" t="n">
        <v>45813.12847222222</v>
      </c>
      <c r="F4927" s="10" t="n">
        <v>45813.21180555555</v>
      </c>
      <c r="G4927" s="11" t="n">
        <v>-1.46</v>
      </c>
      <c r="H4927" s="11">
        <f>H4926+G4927</f>
        <v/>
      </c>
    </row>
    <row r="4928">
      <c r="A4928" s="9" t="n">
        <v>4924</v>
      </c>
      <c r="B4928" s="9" t="inlineStr">
        <is>
          <t>Aurelius_M15</t>
        </is>
      </c>
      <c r="C4928" s="9" t="inlineStr">
        <is>
          <t>MA alignment (EMA21&gt;EMA50&gt;SMA250&gt;SMMA500 vs EMA2400 trend filter) - M15 chart</t>
        </is>
      </c>
      <c r="D4928" s="9" t="inlineStr">
        <is>
          <t>Long</t>
        </is>
      </c>
      <c r="E4928" s="10" t="n">
        <v>45813.1875</v>
      </c>
      <c r="F4928" s="10" t="n">
        <v>45813.27083333334</v>
      </c>
      <c r="G4928" s="11" t="n">
        <v>-3.92</v>
      </c>
      <c r="H4928" s="11">
        <f>H4927+G4928</f>
        <v/>
      </c>
    </row>
    <row r="4929">
      <c r="A4929" s="9" t="n">
        <v>4925</v>
      </c>
      <c r="B4929" s="9" t="inlineStr">
        <is>
          <t>Aurelius_M15</t>
        </is>
      </c>
      <c r="C4929" s="9" t="inlineStr">
        <is>
          <t>MA alignment (EMA21&gt;EMA50&gt;SMA250&gt;SMMA500 vs EMA2400 trend filter) - M15 chart</t>
        </is>
      </c>
      <c r="D4929" s="9" t="inlineStr">
        <is>
          <t>Long</t>
        </is>
      </c>
      <c r="E4929" s="10" t="n">
        <v>45813.58333333334</v>
      </c>
      <c r="F4929" s="10" t="n">
        <v>45813.65625</v>
      </c>
      <c r="G4929" s="11" t="n">
        <v>-12.34</v>
      </c>
      <c r="H4929" s="11">
        <f>H4928+G4929</f>
        <v/>
      </c>
    </row>
    <row r="4930">
      <c r="A4930" s="9" t="n">
        <v>4926</v>
      </c>
      <c r="B4930" s="9" t="inlineStr">
        <is>
          <t>Meridian</t>
        </is>
      </c>
      <c r="C4930" s="9" t="inlineStr">
        <is>
          <t>21/50 MA cross, 250-period confirm filter, VWAP</t>
        </is>
      </c>
      <c r="D4930" s="9" t="inlineStr">
        <is>
          <t>Long</t>
        </is>
      </c>
      <c r="E4930" s="10" t="n">
        <v>45813.44097222222</v>
      </c>
      <c r="F4930" s="10" t="n">
        <v>45813.68055555555</v>
      </c>
      <c r="G4930" s="11" t="n">
        <v>9.619999999999999</v>
      </c>
      <c r="H4930" s="11">
        <f>H4929+G4930</f>
        <v/>
      </c>
    </row>
    <row r="4931">
      <c r="A4931" s="9" t="n">
        <v>4927</v>
      </c>
      <c r="B4931" s="9" t="inlineStr">
        <is>
          <t>Vanguard_M5</t>
        </is>
      </c>
      <c r="C4931" s="9" t="inlineStr">
        <is>
          <t>Trendline breakout (fractal swing line) + VWAP/S-R distance gate</t>
        </is>
      </c>
      <c r="D4931" s="9" t="inlineStr">
        <is>
          <t>Long</t>
        </is>
      </c>
      <c r="E4931" s="10" t="n">
        <v>45812.71527777778</v>
      </c>
      <c r="F4931" s="10" t="n">
        <v>45813.73958333334</v>
      </c>
      <c r="G4931" s="11" t="n">
        <v>2.45</v>
      </c>
      <c r="H4931" s="11">
        <f>H4930+G4931</f>
        <v/>
      </c>
    </row>
    <row r="4932">
      <c r="A4932" s="9" t="n">
        <v>4928</v>
      </c>
      <c r="B4932" s="9" t="inlineStr">
        <is>
          <t>Vanguard_M15</t>
        </is>
      </c>
      <c r="C4932" s="9" t="inlineStr">
        <is>
          <t>Trendline breakout (fractal swing line) + VWAP/S-R distance gate - M15 chart</t>
        </is>
      </c>
      <c r="D4932" s="9" t="inlineStr">
        <is>
          <t>Long</t>
        </is>
      </c>
      <c r="E4932" s="10" t="n">
        <v>45812.71875</v>
      </c>
      <c r="F4932" s="10" t="n">
        <v>45813.73958333334</v>
      </c>
      <c r="G4932" s="11" t="n">
        <v>0.74</v>
      </c>
      <c r="H4932" s="11">
        <f>H4931+G4932</f>
        <v/>
      </c>
    </row>
    <row r="4933">
      <c r="A4933" s="9" t="n">
        <v>4929</v>
      </c>
      <c r="B4933" s="9" t="inlineStr">
        <is>
          <t>Meridian</t>
        </is>
      </c>
      <c r="C4933" s="9" t="inlineStr">
        <is>
          <t>21/50 MA cross, 250-period confirm filter, VWAP</t>
        </is>
      </c>
      <c r="D4933" s="9" t="inlineStr">
        <is>
          <t>Short</t>
        </is>
      </c>
      <c r="E4933" s="10" t="n">
        <v>45814.39236111111</v>
      </c>
      <c r="F4933" s="10" t="n">
        <v>45814.91666666666</v>
      </c>
      <c r="G4933" s="11" t="n">
        <v>46.45</v>
      </c>
      <c r="H4933" s="11">
        <f>H4932+G4933</f>
        <v/>
      </c>
    </row>
    <row r="4934">
      <c r="A4934" s="9" t="n">
        <v>4930</v>
      </c>
      <c r="B4934" s="9" t="inlineStr">
        <is>
          <t>Ratchet</t>
        </is>
      </c>
      <c r="C4934" s="9" t="inlineStr">
        <is>
          <t>Stochastic scalp with give-back trail exit</t>
        </is>
      </c>
      <c r="D4934" s="9" t="inlineStr">
        <is>
          <t>Short</t>
        </is>
      </c>
      <c r="E4934" s="10" t="n">
        <v>45817.19444444445</v>
      </c>
      <c r="F4934" s="10" t="n">
        <v>45817.22222222222</v>
      </c>
      <c r="G4934" s="11" t="n">
        <v>2.29</v>
      </c>
      <c r="H4934" s="11">
        <f>H4933+G4934</f>
        <v/>
      </c>
    </row>
    <row r="4935">
      <c r="A4935" s="9" t="n">
        <v>4931</v>
      </c>
      <c r="B4935" s="9" t="inlineStr">
        <is>
          <t>Vanguard_M15</t>
        </is>
      </c>
      <c r="C4935" s="9" t="inlineStr">
        <is>
          <t>Trendline breakout (fractal swing line) + VWAP/S-R distance gate - M15 chart</t>
        </is>
      </c>
      <c r="D4935" s="9" t="inlineStr">
        <is>
          <t>Short</t>
        </is>
      </c>
      <c r="E4935" s="10" t="n">
        <v>45813.75</v>
      </c>
      <c r="F4935" s="10" t="n">
        <v>45817.70833333334</v>
      </c>
      <c r="G4935" s="11" t="n">
        <v>41.78</v>
      </c>
      <c r="H4935" s="11">
        <f>H4934+G4935</f>
        <v/>
      </c>
    </row>
    <row r="4936">
      <c r="A4936" s="9" t="n">
        <v>4932</v>
      </c>
      <c r="B4936" s="9" t="inlineStr">
        <is>
          <t>Vanguard_M5</t>
        </is>
      </c>
      <c r="C4936" s="9" t="inlineStr">
        <is>
          <t>Trendline breakout (fractal swing line) + VWAP/S-R distance gate</t>
        </is>
      </c>
      <c r="D4936" s="9" t="inlineStr">
        <is>
          <t>Short</t>
        </is>
      </c>
      <c r="E4936" s="10" t="n">
        <v>45813.74305555555</v>
      </c>
      <c r="F4936" s="10" t="n">
        <v>45817.71180555555</v>
      </c>
      <c r="G4936" s="11" t="n">
        <v>43.96</v>
      </c>
      <c r="H4936" s="11">
        <f>H4935+G4936</f>
        <v/>
      </c>
    </row>
    <row r="4937">
      <c r="A4937" s="9" t="n">
        <v>4933</v>
      </c>
      <c r="B4937" s="9" t="inlineStr">
        <is>
          <t>Meridian</t>
        </is>
      </c>
      <c r="C4937" s="9" t="inlineStr">
        <is>
          <t>21/50 MA cross, 250-period confirm filter, VWAP</t>
        </is>
      </c>
      <c r="D4937" s="9" t="inlineStr">
        <is>
          <t>Long</t>
        </is>
      </c>
      <c r="E4937" s="10" t="n">
        <v>45817.71527777778</v>
      </c>
      <c r="F4937" s="10" t="n">
        <v>45817.96527777778</v>
      </c>
      <c r="G4937" s="11" t="n">
        <v>5.44</v>
      </c>
      <c r="H4937" s="11">
        <f>H4936+G4937</f>
        <v/>
      </c>
    </row>
    <row r="4938">
      <c r="A4938" s="9" t="n">
        <v>4934</v>
      </c>
      <c r="B4938" s="9" t="inlineStr">
        <is>
          <t>Vanguard_M15</t>
        </is>
      </c>
      <c r="C4938" s="9" t="inlineStr">
        <is>
          <t>Trendline breakout (fractal swing line) + VWAP/S-R distance gate - M15 chart</t>
        </is>
      </c>
      <c r="D4938" s="9" t="inlineStr">
        <is>
          <t>Long</t>
        </is>
      </c>
      <c r="E4938" s="10" t="n">
        <v>45817.71875</v>
      </c>
      <c r="F4938" s="10" t="n">
        <v>45818.17708333334</v>
      </c>
      <c r="G4938" s="11" t="n">
        <v>-15.95</v>
      </c>
      <c r="H4938" s="11">
        <f>H4937+G4938</f>
        <v/>
      </c>
    </row>
    <row r="4939">
      <c r="A4939" s="9" t="n">
        <v>4935</v>
      </c>
      <c r="B4939" s="9" t="inlineStr">
        <is>
          <t>Vanguard_M5</t>
        </is>
      </c>
      <c r="C4939" s="9" t="inlineStr">
        <is>
          <t>Trendline breakout (fractal swing line) + VWAP/S-R distance gate</t>
        </is>
      </c>
      <c r="D4939" s="9" t="inlineStr">
        <is>
          <t>Long</t>
        </is>
      </c>
      <c r="E4939" s="10" t="n">
        <v>45817.71527777778</v>
      </c>
      <c r="F4939" s="10" t="n">
        <v>45818.18402777778</v>
      </c>
      <c r="G4939" s="11" t="n">
        <v>-14.1</v>
      </c>
      <c r="H4939" s="11">
        <f>H4938+G4939</f>
        <v/>
      </c>
    </row>
    <row r="4940">
      <c r="A4940" s="9" t="n">
        <v>4936</v>
      </c>
      <c r="B4940" s="9" t="inlineStr">
        <is>
          <t>Aurelius_M15</t>
        </is>
      </c>
      <c r="C4940" s="9" t="inlineStr">
        <is>
          <t>MA alignment (EMA21&gt;EMA50&gt;SMA250&gt;SMMA500 vs EMA2400 trend filter) - M15 chart</t>
        </is>
      </c>
      <c r="D4940" s="9" t="inlineStr">
        <is>
          <t>Short</t>
        </is>
      </c>
      <c r="E4940" s="10" t="n">
        <v>45818.17708333334</v>
      </c>
      <c r="F4940" s="10" t="n">
        <v>45818.38541666666</v>
      </c>
      <c r="G4940" s="11" t="n">
        <v>-10.35</v>
      </c>
      <c r="H4940" s="11">
        <f>H4939+G4940</f>
        <v/>
      </c>
    </row>
    <row r="4941">
      <c r="A4941" s="9" t="n">
        <v>4937</v>
      </c>
      <c r="B4941" s="9" t="inlineStr">
        <is>
          <t>Ratchet</t>
        </is>
      </c>
      <c r="C4941" s="9" t="inlineStr">
        <is>
          <t>Stochastic scalp with give-back trail exit</t>
        </is>
      </c>
      <c r="D4941" s="9" t="inlineStr">
        <is>
          <t>Long</t>
        </is>
      </c>
      <c r="E4941" s="10" t="n">
        <v>45818.65625</v>
      </c>
      <c r="F4941" s="10" t="n">
        <v>45818.65972222222</v>
      </c>
      <c r="G4941" s="11" t="n">
        <v>0</v>
      </c>
      <c r="H4941" s="11">
        <f>H4940+G4941</f>
        <v/>
      </c>
    </row>
    <row r="4942">
      <c r="A4942" s="9" t="n">
        <v>4938</v>
      </c>
      <c r="B4942" s="9" t="inlineStr">
        <is>
          <t>Meridian</t>
        </is>
      </c>
      <c r="C4942" s="9" t="inlineStr">
        <is>
          <t>21/50 MA cross, 250-period confirm filter, VWAP</t>
        </is>
      </c>
      <c r="D4942" s="9" t="inlineStr">
        <is>
          <t>Long</t>
        </is>
      </c>
      <c r="E4942" s="10" t="n">
        <v>45818.94444444445</v>
      </c>
      <c r="F4942" s="10" t="n">
        <v>45818.95486111111</v>
      </c>
      <c r="G4942" s="11" t="n">
        <v>-5.25</v>
      </c>
      <c r="H4942" s="11">
        <f>H4941+G4942</f>
        <v/>
      </c>
    </row>
    <row r="4943">
      <c r="A4943" s="9" t="n">
        <v>4939</v>
      </c>
      <c r="B4943" s="9" t="inlineStr">
        <is>
          <t>Meridian</t>
        </is>
      </c>
      <c r="C4943" s="9" t="inlineStr">
        <is>
          <t>21/50 MA cross, 250-period confirm filter, VWAP</t>
        </is>
      </c>
      <c r="D4943" s="9" t="inlineStr">
        <is>
          <t>Short</t>
        </is>
      </c>
      <c r="E4943" s="10" t="n">
        <v>45818.98958333334</v>
      </c>
      <c r="F4943" s="10" t="n">
        <v>45819.12847222222</v>
      </c>
      <c r="G4943" s="11" t="n">
        <v>-4.95</v>
      </c>
      <c r="H4943" s="11">
        <f>H4942+G4943</f>
        <v/>
      </c>
    </row>
    <row r="4944">
      <c r="A4944" s="9" t="n">
        <v>4940</v>
      </c>
      <c r="B4944" s="9" t="inlineStr">
        <is>
          <t>Ratchet</t>
        </is>
      </c>
      <c r="C4944" s="9" t="inlineStr">
        <is>
          <t>Stochastic scalp with give-back trail exit</t>
        </is>
      </c>
      <c r="D4944" s="9" t="inlineStr">
        <is>
          <t>Long</t>
        </is>
      </c>
      <c r="E4944" s="10" t="n">
        <v>45819.15972222222</v>
      </c>
      <c r="F4944" s="10" t="n">
        <v>45819.18055555555</v>
      </c>
      <c r="G4944" s="11" t="n">
        <v>0.53</v>
      </c>
      <c r="H4944" s="11">
        <f>H4943+G4944</f>
        <v/>
      </c>
    </row>
    <row r="4945">
      <c r="A4945" s="9" t="n">
        <v>4941</v>
      </c>
      <c r="B4945" s="9" t="inlineStr">
        <is>
          <t>Ratchet</t>
        </is>
      </c>
      <c r="C4945" s="9" t="inlineStr">
        <is>
          <t>Stochastic scalp with give-back trail exit</t>
        </is>
      </c>
      <c r="D4945" s="9" t="inlineStr">
        <is>
          <t>Long</t>
        </is>
      </c>
      <c r="E4945" s="10" t="n">
        <v>45819.19444444445</v>
      </c>
      <c r="F4945" s="10" t="n">
        <v>45819.20138888889</v>
      </c>
      <c r="G4945" s="11" t="n">
        <v>-4.31</v>
      </c>
      <c r="H4945" s="11">
        <f>H4944+G4945</f>
        <v/>
      </c>
    </row>
    <row r="4946">
      <c r="A4946" s="9" t="n">
        <v>4942</v>
      </c>
      <c r="B4946" s="9" t="inlineStr">
        <is>
          <t>Ratchet</t>
        </is>
      </c>
      <c r="C4946" s="9" t="inlineStr">
        <is>
          <t>Stochastic scalp with give-back trail exit</t>
        </is>
      </c>
      <c r="D4946" s="9" t="inlineStr">
        <is>
          <t>Long</t>
        </is>
      </c>
      <c r="E4946" s="10" t="n">
        <v>45819.32986111111</v>
      </c>
      <c r="F4946" s="10" t="n">
        <v>45819.34375</v>
      </c>
      <c r="G4946" s="11" t="n">
        <v>-3.09</v>
      </c>
      <c r="H4946" s="11">
        <f>H4945+G4946</f>
        <v/>
      </c>
    </row>
    <row r="4947">
      <c r="A4947" s="9" t="n">
        <v>4943</v>
      </c>
      <c r="B4947" s="9" t="inlineStr">
        <is>
          <t>Meridian</t>
        </is>
      </c>
      <c r="C4947" s="9" t="inlineStr">
        <is>
          <t>21/50 MA cross, 250-period confirm filter, VWAP</t>
        </is>
      </c>
      <c r="D4947" s="9" t="inlineStr">
        <is>
          <t>Long</t>
        </is>
      </c>
      <c r="E4947" s="10" t="n">
        <v>45819.13541666666</v>
      </c>
      <c r="F4947" s="10" t="n">
        <v>45819.53819444445</v>
      </c>
      <c r="G4947" s="11" t="n">
        <v>5.29</v>
      </c>
      <c r="H4947" s="11">
        <f>H4946+G4947</f>
        <v/>
      </c>
    </row>
    <row r="4948">
      <c r="A4948" s="9" t="n">
        <v>4944</v>
      </c>
      <c r="B4948" s="9" t="inlineStr">
        <is>
          <t>Meridian</t>
        </is>
      </c>
      <c r="C4948" s="9" t="inlineStr">
        <is>
          <t>21/50 MA cross, 250-period confirm filter, VWAP</t>
        </is>
      </c>
      <c r="D4948" s="9" t="inlineStr">
        <is>
          <t>Long</t>
        </is>
      </c>
      <c r="E4948" s="10" t="n">
        <v>45819.64930555555</v>
      </c>
      <c r="F4948" s="10" t="n">
        <v>45819.65972222222</v>
      </c>
      <c r="G4948" s="11" t="n">
        <v>-11.15</v>
      </c>
      <c r="H4948" s="11">
        <f>H4947+G4948</f>
        <v/>
      </c>
    </row>
    <row r="4949">
      <c r="A4949" s="9" t="n">
        <v>4945</v>
      </c>
      <c r="B4949" s="9" t="inlineStr">
        <is>
          <t>Meridian</t>
        </is>
      </c>
      <c r="C4949" s="9" t="inlineStr">
        <is>
          <t>21/50 MA cross, 250-period confirm filter, VWAP</t>
        </is>
      </c>
      <c r="D4949" s="9" t="inlineStr">
        <is>
          <t>Short</t>
        </is>
      </c>
      <c r="E4949" s="10" t="n">
        <v>45819.70833333334</v>
      </c>
      <c r="F4949" s="10" t="n">
        <v>45819.76041666666</v>
      </c>
      <c r="G4949" s="11" t="n">
        <v>-11.3</v>
      </c>
      <c r="H4949" s="11">
        <f>H4948+G4949</f>
        <v/>
      </c>
    </row>
    <row r="4950">
      <c r="A4950" s="9" t="n">
        <v>4946</v>
      </c>
      <c r="B4950" s="9" t="inlineStr">
        <is>
          <t>Ratchet</t>
        </is>
      </c>
      <c r="C4950" s="9" t="inlineStr">
        <is>
          <t>Stochastic scalp with give-back trail exit</t>
        </is>
      </c>
      <c r="D4950" s="9" t="inlineStr">
        <is>
          <t>Long</t>
        </is>
      </c>
      <c r="E4950" s="10" t="n">
        <v>45819.76388888889</v>
      </c>
      <c r="F4950" s="10" t="n">
        <v>45819.77777777778</v>
      </c>
      <c r="G4950" s="11" t="n">
        <v>-5.77</v>
      </c>
      <c r="H4950" s="11">
        <f>H4949+G4950</f>
        <v/>
      </c>
    </row>
    <row r="4951">
      <c r="A4951" s="9" t="n">
        <v>4947</v>
      </c>
      <c r="B4951" s="9" t="inlineStr">
        <is>
          <t>Vanguard_M15</t>
        </is>
      </c>
      <c r="C4951" s="9" t="inlineStr">
        <is>
          <t>Trendline breakout (fractal swing line) + VWAP/S-R distance gate - M15 chart</t>
        </is>
      </c>
      <c r="D4951" s="9" t="inlineStr">
        <is>
          <t>Long</t>
        </is>
      </c>
      <c r="E4951" s="10" t="n">
        <v>45818.39583333334</v>
      </c>
      <c r="F4951" s="10" t="n">
        <v>45819.83333333334</v>
      </c>
      <c r="G4951" s="11" t="n">
        <v>0.98</v>
      </c>
      <c r="H4951" s="11">
        <f>H4950+G4951</f>
        <v/>
      </c>
    </row>
    <row r="4952">
      <c r="A4952" s="9" t="n">
        <v>4948</v>
      </c>
      <c r="B4952" s="9" t="inlineStr">
        <is>
          <t>Vanguard_M5</t>
        </is>
      </c>
      <c r="C4952" s="9" t="inlineStr">
        <is>
          <t>Trendline breakout (fractal swing line) + VWAP/S-R distance gate</t>
        </is>
      </c>
      <c r="D4952" s="9" t="inlineStr">
        <is>
          <t>Long</t>
        </is>
      </c>
      <c r="E4952" s="10" t="n">
        <v>45818.39583333334</v>
      </c>
      <c r="F4952" s="10" t="n">
        <v>45819.83680555555</v>
      </c>
      <c r="G4952" s="11" t="n">
        <v>1.49</v>
      </c>
      <c r="H4952" s="11">
        <f>H4951+G4952</f>
        <v/>
      </c>
    </row>
    <row r="4953">
      <c r="A4953" s="9" t="n">
        <v>4949</v>
      </c>
      <c r="B4953" s="9" t="inlineStr">
        <is>
          <t>Vanguard_M5</t>
        </is>
      </c>
      <c r="C4953" s="9" t="inlineStr">
        <is>
          <t>Trendline breakout (fractal swing line) + VWAP/S-R distance gate</t>
        </is>
      </c>
      <c r="D4953" s="9" t="inlineStr">
        <is>
          <t>Short</t>
        </is>
      </c>
      <c r="E4953" s="10" t="n">
        <v>45819.84027777778</v>
      </c>
      <c r="F4953" s="10" t="n">
        <v>45819.87847222222</v>
      </c>
      <c r="G4953" s="11" t="n">
        <v>-11.97</v>
      </c>
      <c r="H4953" s="11">
        <f>H4952+G4953</f>
        <v/>
      </c>
    </row>
    <row r="4954">
      <c r="A4954" s="9" t="n">
        <v>4950</v>
      </c>
      <c r="B4954" s="9" t="inlineStr">
        <is>
          <t>Meridian</t>
        </is>
      </c>
      <c r="C4954" s="9" t="inlineStr">
        <is>
          <t>21/50 MA cross, 250-period confirm filter, VWAP</t>
        </is>
      </c>
      <c r="D4954" s="9" t="inlineStr">
        <is>
          <t>Short</t>
        </is>
      </c>
      <c r="E4954" s="10" t="n">
        <v>45819.78819444445</v>
      </c>
      <c r="F4954" s="10" t="n">
        <v>45819.88194444445</v>
      </c>
      <c r="G4954" s="11" t="n">
        <v>-9.48</v>
      </c>
      <c r="H4954" s="11">
        <f>H4953+G4954</f>
        <v/>
      </c>
    </row>
    <row r="4955">
      <c r="A4955" s="9" t="n">
        <v>4951</v>
      </c>
      <c r="B4955" s="9" t="inlineStr">
        <is>
          <t>Vanguard_M15</t>
        </is>
      </c>
      <c r="C4955" s="9" t="inlineStr">
        <is>
          <t>Trendline breakout (fractal swing line) + VWAP/S-R distance gate - M15 chart</t>
        </is>
      </c>
      <c r="D4955" s="9" t="inlineStr">
        <is>
          <t>Short</t>
        </is>
      </c>
      <c r="E4955" s="10" t="n">
        <v>45819.84375</v>
      </c>
      <c r="F4955" s="10" t="n">
        <v>45819.88541666666</v>
      </c>
      <c r="G4955" s="11" t="n">
        <v>-17.67</v>
      </c>
      <c r="H4955" s="11">
        <f>H4954+G4955</f>
        <v/>
      </c>
    </row>
    <row r="4956">
      <c r="A4956" s="9" t="n">
        <v>4952</v>
      </c>
      <c r="B4956" s="9" t="inlineStr">
        <is>
          <t>Ratchet</t>
        </is>
      </c>
      <c r="C4956" s="9" t="inlineStr">
        <is>
          <t>Stochastic scalp with give-back trail exit</t>
        </is>
      </c>
      <c r="D4956" s="9" t="inlineStr">
        <is>
          <t>Long</t>
        </is>
      </c>
      <c r="E4956" s="10" t="n">
        <v>45820.36805555555</v>
      </c>
      <c r="F4956" s="10" t="n">
        <v>45820.38194444445</v>
      </c>
      <c r="G4956" s="11" t="n">
        <v>-3.33</v>
      </c>
      <c r="H4956" s="11">
        <f>H4955+G4956</f>
        <v/>
      </c>
    </row>
    <row r="4957">
      <c r="A4957" s="9" t="n">
        <v>4953</v>
      </c>
      <c r="B4957" s="9" t="inlineStr">
        <is>
          <t>Aurelius_M5</t>
        </is>
      </c>
      <c r="C4957" s="9" t="inlineStr">
        <is>
          <t>MA alignment (EMA21&gt;EMA50&gt;SMA250&gt;SMMA500 vs EMA2400 trend filter)</t>
        </is>
      </c>
      <c r="D4957" s="9" t="inlineStr">
        <is>
          <t>Long</t>
        </is>
      </c>
      <c r="E4957" s="10" t="n">
        <v>45820.37847222222</v>
      </c>
      <c r="F4957" s="10" t="n">
        <v>45820.38541666666</v>
      </c>
      <c r="G4957" s="11" t="n">
        <v>-4.71</v>
      </c>
      <c r="H4957" s="11">
        <f>H4956+G4957</f>
        <v/>
      </c>
    </row>
    <row r="4958">
      <c r="A4958" s="9" t="n">
        <v>4954</v>
      </c>
      <c r="B4958" s="9" t="inlineStr">
        <is>
          <t>Aurelius_M5</t>
        </is>
      </c>
      <c r="C4958" s="9" t="inlineStr">
        <is>
          <t>MA alignment (EMA21&gt;EMA50&gt;SMA250&gt;SMMA500 vs EMA2400 trend filter)</t>
        </is>
      </c>
      <c r="D4958" s="9" t="inlineStr">
        <is>
          <t>Long</t>
        </is>
      </c>
      <c r="E4958" s="10" t="n">
        <v>45820.41666666666</v>
      </c>
      <c r="F4958" s="10" t="n">
        <v>45820.43402777778</v>
      </c>
      <c r="G4958" s="11" t="n">
        <v>-5.86</v>
      </c>
      <c r="H4958" s="11">
        <f>H4957+G4958</f>
        <v/>
      </c>
    </row>
    <row r="4959">
      <c r="A4959" s="9" t="n">
        <v>4955</v>
      </c>
      <c r="B4959" s="9" t="inlineStr">
        <is>
          <t>Meridian</t>
        </is>
      </c>
      <c r="C4959" s="9" t="inlineStr">
        <is>
          <t>21/50 MA cross, 250-period confirm filter, VWAP</t>
        </is>
      </c>
      <c r="D4959" s="9" t="inlineStr">
        <is>
          <t>Long</t>
        </is>
      </c>
      <c r="E4959" s="10" t="n">
        <v>45819.89583333334</v>
      </c>
      <c r="F4959" s="10" t="n">
        <v>45820.44097222222</v>
      </c>
      <c r="G4959" s="11" t="n">
        <v>16.11</v>
      </c>
      <c r="H4959" s="11">
        <f>H4958+G4959</f>
        <v/>
      </c>
    </row>
    <row r="4960">
      <c r="A4960" s="9" t="n">
        <v>4956</v>
      </c>
      <c r="B4960" s="9" t="inlineStr">
        <is>
          <t>Ratchet</t>
        </is>
      </c>
      <c r="C4960" s="9" t="inlineStr">
        <is>
          <t>Stochastic scalp with give-back trail exit</t>
        </is>
      </c>
      <c r="D4960" s="9" t="inlineStr">
        <is>
          <t>Long</t>
        </is>
      </c>
      <c r="E4960" s="10" t="n">
        <v>45820.58333333334</v>
      </c>
      <c r="F4960" s="10" t="n">
        <v>45820.58680555555</v>
      </c>
      <c r="G4960" s="11" t="n">
        <v>1.54</v>
      </c>
      <c r="H4960" s="11">
        <f>H4959+G4960</f>
        <v/>
      </c>
    </row>
    <row r="4961">
      <c r="A4961" s="9" t="n">
        <v>4957</v>
      </c>
      <c r="B4961" s="9" t="inlineStr">
        <is>
          <t>Ratchet</t>
        </is>
      </c>
      <c r="C4961" s="9" t="inlineStr">
        <is>
          <t>Stochastic scalp with give-back trail exit</t>
        </is>
      </c>
      <c r="D4961" s="9" t="inlineStr">
        <is>
          <t>Long</t>
        </is>
      </c>
      <c r="E4961" s="10" t="n">
        <v>45820.64930555555</v>
      </c>
      <c r="F4961" s="10" t="n">
        <v>45820.67361111111</v>
      </c>
      <c r="G4961" s="11" t="n">
        <v>2.56</v>
      </c>
      <c r="H4961" s="11">
        <f>H4960+G4961</f>
        <v/>
      </c>
    </row>
    <row r="4962">
      <c r="A4962" s="9" t="n">
        <v>4958</v>
      </c>
      <c r="B4962" s="9" t="inlineStr">
        <is>
          <t>Ratchet</t>
        </is>
      </c>
      <c r="C4962" s="9" t="inlineStr">
        <is>
          <t>Stochastic scalp with give-back trail exit</t>
        </is>
      </c>
      <c r="D4962" s="9" t="inlineStr">
        <is>
          <t>Long</t>
        </is>
      </c>
      <c r="E4962" s="10" t="n">
        <v>45820.70833333334</v>
      </c>
      <c r="F4962" s="10" t="n">
        <v>45820.75347222222</v>
      </c>
      <c r="G4962" s="11" t="n">
        <v>-9.98</v>
      </c>
      <c r="H4962" s="11">
        <f>H4961+G4962</f>
        <v/>
      </c>
    </row>
    <row r="4963">
      <c r="A4963" s="9" t="n">
        <v>4959</v>
      </c>
      <c r="B4963" s="9" t="inlineStr">
        <is>
          <t>Ratchet</t>
        </is>
      </c>
      <c r="C4963" s="9" t="inlineStr">
        <is>
          <t>Stochastic scalp with give-back trail exit</t>
        </is>
      </c>
      <c r="D4963" s="9" t="inlineStr">
        <is>
          <t>Long</t>
        </is>
      </c>
      <c r="E4963" s="10" t="n">
        <v>45820.77430555555</v>
      </c>
      <c r="F4963" s="10" t="n">
        <v>45820.82638888889</v>
      </c>
      <c r="G4963" s="11" t="n">
        <v>-7.3</v>
      </c>
      <c r="H4963" s="11">
        <f>H4962+G4963</f>
        <v/>
      </c>
    </row>
    <row r="4964">
      <c r="A4964" s="9" t="n">
        <v>4960</v>
      </c>
      <c r="B4964" s="9" t="inlineStr">
        <is>
          <t>Meridian</t>
        </is>
      </c>
      <c r="C4964" s="9" t="inlineStr">
        <is>
          <t>21/50 MA cross, 250-period confirm filter, VWAP</t>
        </is>
      </c>
      <c r="D4964" s="9" t="inlineStr">
        <is>
          <t>Long</t>
        </is>
      </c>
      <c r="E4964" s="10" t="n">
        <v>45820.55902777778</v>
      </c>
      <c r="F4964" s="10" t="n">
        <v>45820.85069444445</v>
      </c>
      <c r="G4964" s="11" t="n">
        <v>3.28</v>
      </c>
      <c r="H4964" s="11">
        <f>H4963+G4964</f>
        <v/>
      </c>
    </row>
    <row r="4965">
      <c r="A4965" s="9" t="n">
        <v>4961</v>
      </c>
      <c r="B4965" s="9" t="inlineStr">
        <is>
          <t>Aurelius_M5</t>
        </is>
      </c>
      <c r="C4965" s="9" t="inlineStr">
        <is>
          <t>MA alignment (EMA21&gt;EMA50&gt;SMA250&gt;SMMA500 vs EMA2400 trend filter)</t>
        </is>
      </c>
      <c r="D4965" s="9" t="inlineStr">
        <is>
          <t>Long</t>
        </is>
      </c>
      <c r="E4965" s="10" t="n">
        <v>45820.56597222222</v>
      </c>
      <c r="F4965" s="10" t="n">
        <v>45820.85069444445</v>
      </c>
      <c r="G4965" s="11" t="n">
        <v>-3.19</v>
      </c>
      <c r="H4965" s="11">
        <f>H4964+G4965</f>
        <v/>
      </c>
    </row>
    <row r="4966">
      <c r="A4966" s="9" t="n">
        <v>4962</v>
      </c>
      <c r="B4966" s="9" t="inlineStr">
        <is>
          <t>Ratchet</t>
        </is>
      </c>
      <c r="C4966" s="9" t="inlineStr">
        <is>
          <t>Stochastic scalp with give-back trail exit</t>
        </is>
      </c>
      <c r="D4966" s="9" t="inlineStr">
        <is>
          <t>Long</t>
        </is>
      </c>
      <c r="E4966" s="10" t="n">
        <v>45820.93055555555</v>
      </c>
      <c r="F4966" s="10" t="n">
        <v>45820.97222222222</v>
      </c>
      <c r="G4966" s="11" t="n">
        <v>0.68</v>
      </c>
      <c r="H4966" s="11">
        <f>H4965+G4966</f>
        <v/>
      </c>
    </row>
    <row r="4967">
      <c r="A4967" s="9" t="n">
        <v>4963</v>
      </c>
      <c r="B4967" s="9" t="inlineStr">
        <is>
          <t>Meridian</t>
        </is>
      </c>
      <c r="C4967" s="9" t="inlineStr">
        <is>
          <t>21/50 MA cross, 250-period confirm filter, VWAP</t>
        </is>
      </c>
      <c r="D4967" s="9" t="inlineStr">
        <is>
          <t>Long</t>
        </is>
      </c>
      <c r="E4967" s="10" t="n">
        <v>45820.92708333334</v>
      </c>
      <c r="F4967" s="10" t="n">
        <v>45821.05208333334</v>
      </c>
      <c r="G4967" s="11" t="n">
        <v>-4.77</v>
      </c>
      <c r="H4967" s="11">
        <f>H4966+G4967</f>
        <v/>
      </c>
    </row>
    <row r="4968">
      <c r="A4968" s="9" t="n">
        <v>4964</v>
      </c>
      <c r="B4968" s="9" t="inlineStr">
        <is>
          <t>Aurelius_M5</t>
        </is>
      </c>
      <c r="C4968" s="9" t="inlineStr">
        <is>
          <t>MA alignment (EMA21&gt;EMA50&gt;SMA250&gt;SMMA500 vs EMA2400 trend filter)</t>
        </is>
      </c>
      <c r="D4968" s="9" t="inlineStr">
        <is>
          <t>Long</t>
        </is>
      </c>
      <c r="E4968" s="10" t="n">
        <v>45821.13194444445</v>
      </c>
      <c r="F4968" s="10" t="n">
        <v>45821.13194444445</v>
      </c>
      <c r="G4968" s="11" t="n">
        <v>-8.6</v>
      </c>
      <c r="H4968" s="11">
        <f>H4967+G4968</f>
        <v/>
      </c>
    </row>
    <row r="4969">
      <c r="A4969" s="9" t="n">
        <v>4965</v>
      </c>
      <c r="B4969" s="9" t="inlineStr">
        <is>
          <t>Ratchet</t>
        </is>
      </c>
      <c r="C4969" s="9" t="inlineStr">
        <is>
          <t>Stochastic scalp with give-back trail exit</t>
        </is>
      </c>
      <c r="D4969" s="9" t="inlineStr">
        <is>
          <t>Long</t>
        </is>
      </c>
      <c r="E4969" s="10" t="n">
        <v>45821.14583333334</v>
      </c>
      <c r="F4969" s="10" t="n">
        <v>45821.15277777778</v>
      </c>
      <c r="G4969" s="11" t="n">
        <v>-10.19</v>
      </c>
      <c r="H4969" s="11">
        <f>H4968+G4969</f>
        <v/>
      </c>
    </row>
    <row r="4970">
      <c r="A4970" s="9" t="n">
        <v>4966</v>
      </c>
      <c r="B4970" s="9" t="inlineStr">
        <is>
          <t>Meridian</t>
        </is>
      </c>
      <c r="C4970" s="9" t="inlineStr">
        <is>
          <t>21/50 MA cross, 250-period confirm filter, VWAP</t>
        </is>
      </c>
      <c r="D4970" s="9" t="inlineStr">
        <is>
          <t>Long</t>
        </is>
      </c>
      <c r="E4970" s="10" t="n">
        <v>45821.12152777778</v>
      </c>
      <c r="F4970" s="10" t="n">
        <v>45821.40972222222</v>
      </c>
      <c r="G4970" s="11" t="n">
        <v>17.24</v>
      </c>
      <c r="H4970" s="11">
        <f>H4969+G4970</f>
        <v/>
      </c>
    </row>
    <row r="4971">
      <c r="A4971" s="9" t="n">
        <v>4967</v>
      </c>
      <c r="B4971" s="9" t="inlineStr">
        <is>
          <t>Meridian</t>
        </is>
      </c>
      <c r="C4971" s="9" t="inlineStr">
        <is>
          <t>21/50 MA cross, 250-period confirm filter, VWAP</t>
        </is>
      </c>
      <c r="D4971" s="9" t="inlineStr">
        <is>
          <t>Long</t>
        </is>
      </c>
      <c r="E4971" s="10" t="n">
        <v>45821.49305555555</v>
      </c>
      <c r="F4971" s="10" t="n">
        <v>45821.55555555555</v>
      </c>
      <c r="G4971" s="11" t="n">
        <v>-8.800000000000001</v>
      </c>
      <c r="H4971" s="11">
        <f>H4970+G4971</f>
        <v/>
      </c>
    </row>
    <row r="4972">
      <c r="A4972" s="9" t="n">
        <v>4968</v>
      </c>
      <c r="B4972" s="9" t="inlineStr">
        <is>
          <t>Meridian</t>
        </is>
      </c>
      <c r="C4972" s="9" t="inlineStr">
        <is>
          <t>21/50 MA cross, 250-period confirm filter, VWAP</t>
        </is>
      </c>
      <c r="D4972" s="9" t="inlineStr">
        <is>
          <t>Long</t>
        </is>
      </c>
      <c r="E4972" s="10" t="n">
        <v>45821.63541666666</v>
      </c>
      <c r="F4972" s="10" t="n">
        <v>45821.78125</v>
      </c>
      <c r="G4972" s="11" t="n">
        <v>0.05</v>
      </c>
      <c r="H4972" s="11">
        <f>H4971+G4972</f>
        <v/>
      </c>
    </row>
    <row r="4973">
      <c r="A4973" s="9" t="n">
        <v>4969</v>
      </c>
      <c r="B4973" s="9" t="inlineStr">
        <is>
          <t>Meridian</t>
        </is>
      </c>
      <c r="C4973" s="9" t="inlineStr">
        <is>
          <t>21/50 MA cross, 250-period confirm filter, VWAP</t>
        </is>
      </c>
      <c r="D4973" s="9" t="inlineStr">
        <is>
          <t>Long</t>
        </is>
      </c>
      <c r="E4973" s="10" t="n">
        <v>45821.84722222222</v>
      </c>
      <c r="F4973" s="10" t="n">
        <v>45821.91666666666</v>
      </c>
      <c r="G4973" s="11" t="n">
        <v>3.8</v>
      </c>
      <c r="H4973" s="11">
        <f>H4972+G4973</f>
        <v/>
      </c>
    </row>
    <row r="4974">
      <c r="A4974" s="9" t="n">
        <v>4970</v>
      </c>
      <c r="B4974" s="9" t="inlineStr">
        <is>
          <t>Aurelius_M15</t>
        </is>
      </c>
      <c r="C4974" s="9" t="inlineStr">
        <is>
          <t>MA alignment (EMA21&gt;EMA50&gt;SMA250&gt;SMMA500 vs EMA2400 trend filter) - M15 chart</t>
        </is>
      </c>
      <c r="D4974" s="9" t="inlineStr">
        <is>
          <t>Long</t>
        </is>
      </c>
      <c r="E4974" s="10" t="n">
        <v>45820.5625</v>
      </c>
      <c r="F4974" s="10" t="n">
        <v>45821.92708333334</v>
      </c>
      <c r="G4974" s="11" t="n">
        <v>56.64</v>
      </c>
      <c r="H4974" s="11">
        <f>H4973+G4974</f>
        <v/>
      </c>
    </row>
    <row r="4975">
      <c r="A4975" s="9" t="n">
        <v>4971</v>
      </c>
      <c r="B4975" s="9" t="inlineStr">
        <is>
          <t>Meridian</t>
        </is>
      </c>
      <c r="C4975" s="9" t="inlineStr">
        <is>
          <t>21/50 MA cross, 250-period confirm filter, VWAP</t>
        </is>
      </c>
      <c r="D4975" s="9" t="inlineStr">
        <is>
          <t>Short</t>
        </is>
      </c>
      <c r="E4975" s="10" t="n">
        <v>45824.61805555555</v>
      </c>
      <c r="F4975" s="10" t="n">
        <v>45825.08680555555</v>
      </c>
      <c r="G4975" s="11" t="n">
        <v>17.33</v>
      </c>
      <c r="H4975" s="11">
        <f>H4974+G4975</f>
        <v/>
      </c>
    </row>
    <row r="4976">
      <c r="A4976" s="9" t="n">
        <v>4972</v>
      </c>
      <c r="B4976" s="9" t="inlineStr">
        <is>
          <t>Meridian</t>
        </is>
      </c>
      <c r="C4976" s="9" t="inlineStr">
        <is>
          <t>21/50 MA cross, 250-period confirm filter, VWAP</t>
        </is>
      </c>
      <c r="D4976" s="9" t="inlineStr">
        <is>
          <t>Short</t>
        </is>
      </c>
      <c r="E4976" s="10" t="n">
        <v>45825.25347222222</v>
      </c>
      <c r="F4976" s="10" t="n">
        <v>45825.32638888889</v>
      </c>
      <c r="G4976" s="11" t="n">
        <v>-7.93</v>
      </c>
      <c r="H4976" s="11">
        <f>H4975+G4976</f>
        <v/>
      </c>
    </row>
    <row r="4977">
      <c r="A4977" s="9" t="n">
        <v>4973</v>
      </c>
      <c r="B4977" s="9" t="inlineStr">
        <is>
          <t>Meridian</t>
        </is>
      </c>
      <c r="C4977" s="9" t="inlineStr">
        <is>
          <t>21/50 MA cross, 250-period confirm filter, VWAP</t>
        </is>
      </c>
      <c r="D4977" s="9" t="inlineStr">
        <is>
          <t>Short</t>
        </is>
      </c>
      <c r="E4977" s="10" t="n">
        <v>45825.37847222222</v>
      </c>
      <c r="F4977" s="10" t="n">
        <v>45825.55208333334</v>
      </c>
      <c r="G4977" s="11" t="n">
        <v>-6.59</v>
      </c>
      <c r="H4977" s="11">
        <f>H4976+G4977</f>
        <v/>
      </c>
    </row>
    <row r="4978">
      <c r="A4978" s="9" t="n">
        <v>4974</v>
      </c>
      <c r="B4978" s="9" t="inlineStr">
        <is>
          <t>Meridian</t>
        </is>
      </c>
      <c r="C4978" s="9" t="inlineStr">
        <is>
          <t>21/50 MA cross, 250-period confirm filter, VWAP</t>
        </is>
      </c>
      <c r="D4978" s="9" t="inlineStr">
        <is>
          <t>Long</t>
        </is>
      </c>
      <c r="E4978" s="10" t="n">
        <v>45825.5625</v>
      </c>
      <c r="F4978" s="10" t="n">
        <v>45825.625</v>
      </c>
      <c r="G4978" s="11" t="n">
        <v>-7.75</v>
      </c>
      <c r="H4978" s="11">
        <f>H4977+G4978</f>
        <v/>
      </c>
    </row>
    <row r="4979">
      <c r="A4979" s="9" t="n">
        <v>4975</v>
      </c>
      <c r="B4979" s="9" t="inlineStr">
        <is>
          <t>Meridian</t>
        </is>
      </c>
      <c r="C4979" s="9" t="inlineStr">
        <is>
          <t>21/50 MA cross, 250-period confirm filter, VWAP</t>
        </is>
      </c>
      <c r="D4979" s="9" t="inlineStr">
        <is>
          <t>Short</t>
        </is>
      </c>
      <c r="E4979" s="10" t="n">
        <v>45825.65625</v>
      </c>
      <c r="F4979" s="10" t="n">
        <v>45825.67708333334</v>
      </c>
      <c r="G4979" s="11" t="n">
        <v>-9.16</v>
      </c>
      <c r="H4979" s="11">
        <f>H4978+G4979</f>
        <v/>
      </c>
    </row>
    <row r="4980">
      <c r="A4980" s="9" t="n">
        <v>4976</v>
      </c>
      <c r="B4980" s="9" t="inlineStr">
        <is>
          <t>Meridian</t>
        </is>
      </c>
      <c r="C4980" s="9" t="inlineStr">
        <is>
          <t>21/50 MA cross, 250-period confirm filter, VWAP</t>
        </is>
      </c>
      <c r="D4980" s="9" t="inlineStr">
        <is>
          <t>Short</t>
        </is>
      </c>
      <c r="E4980" s="10" t="n">
        <v>45825.72569444445</v>
      </c>
      <c r="F4980" s="10" t="n">
        <v>45825.85763888889</v>
      </c>
      <c r="G4980" s="11" t="n">
        <v>-4.13</v>
      </c>
      <c r="H4980" s="11">
        <f>H4979+G4980</f>
        <v/>
      </c>
    </row>
    <row r="4981">
      <c r="A4981" s="9" t="n">
        <v>4977</v>
      </c>
      <c r="B4981" s="9" t="inlineStr">
        <is>
          <t>Vanguard_M5</t>
        </is>
      </c>
      <c r="C4981" s="9" t="inlineStr">
        <is>
          <t>Trendline breakout (fractal swing line) + VWAP/S-R distance gate</t>
        </is>
      </c>
      <c r="D4981" s="9" t="inlineStr">
        <is>
          <t>Short</t>
        </is>
      </c>
      <c r="E4981" s="10" t="n">
        <v>45824.64236111111</v>
      </c>
      <c r="F4981" s="10" t="n">
        <v>45825.98958333334</v>
      </c>
      <c r="G4981" s="11" t="n">
        <v>23.48</v>
      </c>
      <c r="H4981" s="11">
        <f>H4980+G4981</f>
        <v/>
      </c>
    </row>
    <row r="4982">
      <c r="A4982" s="9" t="n">
        <v>4978</v>
      </c>
      <c r="B4982" s="9" t="inlineStr">
        <is>
          <t>Meridian</t>
        </is>
      </c>
      <c r="C4982" s="9" t="inlineStr">
        <is>
          <t>21/50 MA cross, 250-period confirm filter, VWAP</t>
        </is>
      </c>
      <c r="D4982" s="9" t="inlineStr">
        <is>
          <t>Short</t>
        </is>
      </c>
      <c r="E4982" s="10" t="n">
        <v>45825.94097222222</v>
      </c>
      <c r="F4982" s="10" t="n">
        <v>45825.99305555555</v>
      </c>
      <c r="G4982" s="11" t="n">
        <v>-5.5</v>
      </c>
      <c r="H4982" s="11">
        <f>H4981+G4982</f>
        <v/>
      </c>
    </row>
    <row r="4983">
      <c r="A4983" s="9" t="n">
        <v>4979</v>
      </c>
      <c r="B4983" s="9" t="inlineStr">
        <is>
          <t>Vanguard_M5</t>
        </is>
      </c>
      <c r="C4983" s="9" t="inlineStr">
        <is>
          <t>Trendline breakout (fractal swing line) + VWAP/S-R distance gate</t>
        </is>
      </c>
      <c r="D4983" s="9" t="inlineStr">
        <is>
          <t>Long</t>
        </is>
      </c>
      <c r="E4983" s="10" t="n">
        <v>45825.99305555555</v>
      </c>
      <c r="F4983" s="10" t="n">
        <v>45826.19444444445</v>
      </c>
      <c r="G4983" s="11" t="n">
        <v>-7.65</v>
      </c>
      <c r="H4983" s="11">
        <f>H4982+G4983</f>
        <v/>
      </c>
    </row>
    <row r="4984">
      <c r="A4984" s="9" t="n">
        <v>4980</v>
      </c>
      <c r="B4984" s="9" t="inlineStr">
        <is>
          <t>Ratchet</t>
        </is>
      </c>
      <c r="C4984" s="9" t="inlineStr">
        <is>
          <t>Stochastic scalp with give-back trail exit</t>
        </is>
      </c>
      <c r="D4984" s="9" t="inlineStr">
        <is>
          <t>Short</t>
        </is>
      </c>
      <c r="E4984" s="10" t="n">
        <v>45826.22222222222</v>
      </c>
      <c r="F4984" s="10" t="n">
        <v>45826.23263888889</v>
      </c>
      <c r="G4984" s="11" t="n">
        <v>-0</v>
      </c>
      <c r="H4984" s="11">
        <f>H4983+G4984</f>
        <v/>
      </c>
    </row>
    <row r="4985">
      <c r="A4985" s="9" t="n">
        <v>4981</v>
      </c>
      <c r="B4985" s="9" t="inlineStr">
        <is>
          <t>Meridian</t>
        </is>
      </c>
      <c r="C4985" s="9" t="inlineStr">
        <is>
          <t>21/50 MA cross, 250-period confirm filter, VWAP</t>
        </is>
      </c>
      <c r="D4985" s="9" t="inlineStr">
        <is>
          <t>Short</t>
        </is>
      </c>
      <c r="E4985" s="10" t="n">
        <v>45826.13541666666</v>
      </c>
      <c r="F4985" s="10" t="n">
        <v>45826.27430555555</v>
      </c>
      <c r="G4985" s="11" t="n">
        <v>-5.25</v>
      </c>
      <c r="H4985" s="11">
        <f>H4984+G4985</f>
        <v/>
      </c>
    </row>
    <row r="4986">
      <c r="A4986" s="9" t="n">
        <v>4982</v>
      </c>
      <c r="B4986" s="9" t="inlineStr">
        <is>
          <t>Meridian</t>
        </is>
      </c>
      <c r="C4986" s="9" t="inlineStr">
        <is>
          <t>21/50 MA cross, 250-period confirm filter, VWAP</t>
        </is>
      </c>
      <c r="D4986" s="9" t="inlineStr">
        <is>
          <t>Long</t>
        </is>
      </c>
      <c r="E4986" s="10" t="n">
        <v>45826.28472222222</v>
      </c>
      <c r="F4986" s="10" t="n">
        <v>45826.375</v>
      </c>
      <c r="G4986" s="11" t="n">
        <v>-5.6</v>
      </c>
      <c r="H4986" s="11">
        <f>H4985+G4986</f>
        <v/>
      </c>
    </row>
    <row r="4987">
      <c r="A4987" s="9" t="n">
        <v>4983</v>
      </c>
      <c r="B4987" s="9" t="inlineStr">
        <is>
          <t>Meridian</t>
        </is>
      </c>
      <c r="C4987" s="9" t="inlineStr">
        <is>
          <t>21/50 MA cross, 250-period confirm filter, VWAP</t>
        </is>
      </c>
      <c r="D4987" s="9" t="inlineStr">
        <is>
          <t>Short</t>
        </is>
      </c>
      <c r="E4987" s="10" t="n">
        <v>45826.39236111111</v>
      </c>
      <c r="F4987" s="10" t="n">
        <v>45826.62847222222</v>
      </c>
      <c r="G4987" s="11" t="n">
        <v>-1.13</v>
      </c>
      <c r="H4987" s="11">
        <f>H4986+G4987</f>
        <v/>
      </c>
    </row>
    <row r="4988">
      <c r="A4988" s="9" t="n">
        <v>4984</v>
      </c>
      <c r="B4988" s="9" t="inlineStr">
        <is>
          <t>Vanguard_M15</t>
        </is>
      </c>
      <c r="C4988" s="9" t="inlineStr">
        <is>
          <t>Trendline breakout (fractal swing line) + VWAP/S-R distance gate - M15 chart</t>
        </is>
      </c>
      <c r="D4988" s="9" t="inlineStr">
        <is>
          <t>Short</t>
        </is>
      </c>
      <c r="E4988" s="10" t="n">
        <v>45824.65625</v>
      </c>
      <c r="F4988" s="10" t="n">
        <v>45826.67708333334</v>
      </c>
      <c r="G4988" s="11" t="n">
        <v>18.24</v>
      </c>
      <c r="H4988" s="11">
        <f>H4987+G4988</f>
        <v/>
      </c>
    </row>
    <row r="4989">
      <c r="A4989" s="9" t="n">
        <v>4985</v>
      </c>
      <c r="B4989" s="9" t="inlineStr">
        <is>
          <t>Vanguard_M15</t>
        </is>
      </c>
      <c r="C4989" s="9" t="inlineStr">
        <is>
          <t>Trendline breakout (fractal swing line) + VWAP/S-R distance gate - M15 chart</t>
        </is>
      </c>
      <c r="D4989" s="9" t="inlineStr">
        <is>
          <t>Long</t>
        </is>
      </c>
      <c r="E4989" s="10" t="n">
        <v>45826.6875</v>
      </c>
      <c r="F4989" s="10" t="n">
        <v>45826.71875</v>
      </c>
      <c r="G4989" s="11" t="n">
        <v>-13.6</v>
      </c>
      <c r="H4989" s="11">
        <f>H4988+G4989</f>
        <v/>
      </c>
    </row>
    <row r="4990">
      <c r="A4990" s="9" t="n">
        <v>4986</v>
      </c>
      <c r="B4990" s="9" t="inlineStr">
        <is>
          <t>Meridian</t>
        </is>
      </c>
      <c r="C4990" s="9" t="inlineStr">
        <is>
          <t>21/50 MA cross, 250-period confirm filter, VWAP</t>
        </is>
      </c>
      <c r="D4990" s="9" t="inlineStr">
        <is>
          <t>Short</t>
        </is>
      </c>
      <c r="E4990" s="10" t="n">
        <v>45826.875</v>
      </c>
      <c r="F4990" s="10" t="n">
        <v>45826.875</v>
      </c>
      <c r="G4990" s="11" t="n">
        <v>-4.6</v>
      </c>
      <c r="H4990" s="11">
        <f>H4989+G4990</f>
        <v/>
      </c>
    </row>
    <row r="4991">
      <c r="A4991" s="9" t="n">
        <v>4987</v>
      </c>
      <c r="B4991" s="9" t="inlineStr">
        <is>
          <t>Meridian</t>
        </is>
      </c>
      <c r="C4991" s="9" t="inlineStr">
        <is>
          <t>21/50 MA cross, 250-period confirm filter, VWAP</t>
        </is>
      </c>
      <c r="D4991" s="9" t="inlineStr">
        <is>
          <t>Long</t>
        </is>
      </c>
      <c r="E4991" s="10" t="n">
        <v>45826.88194444445</v>
      </c>
      <c r="F4991" s="10" t="n">
        <v>45826.89236111111</v>
      </c>
      <c r="G4991" s="11" t="n">
        <v>-7.23</v>
      </c>
      <c r="H4991" s="11">
        <f>H4990+G4991</f>
        <v/>
      </c>
    </row>
    <row r="4992">
      <c r="A4992" s="9" t="n">
        <v>4988</v>
      </c>
      <c r="B4992" s="9" t="inlineStr">
        <is>
          <t>Vanguard_M15</t>
        </is>
      </c>
      <c r="C4992" s="9" t="inlineStr">
        <is>
          <t>Trendline breakout (fractal swing line) + VWAP/S-R distance gate - M15 chart</t>
        </is>
      </c>
      <c r="D4992" s="9" t="inlineStr">
        <is>
          <t>Long</t>
        </is>
      </c>
      <c r="E4992" s="10" t="n">
        <v>45826.79166666666</v>
      </c>
      <c r="F4992" s="10" t="n">
        <v>45826.91666666666</v>
      </c>
      <c r="G4992" s="11" t="n">
        <v>-15.77</v>
      </c>
      <c r="H4992" s="11">
        <f>H4991+G4992</f>
        <v/>
      </c>
    </row>
    <row r="4993">
      <c r="A4993" s="9" t="n">
        <v>4989</v>
      </c>
      <c r="B4993" s="9" t="inlineStr">
        <is>
          <t>Ratchet</t>
        </is>
      </c>
      <c r="C4993" s="9" t="inlineStr">
        <is>
          <t>Stochastic scalp with give-back trail exit</t>
        </is>
      </c>
      <c r="D4993" s="9" t="inlineStr">
        <is>
          <t>Short</t>
        </is>
      </c>
      <c r="E4993" s="10" t="n">
        <v>45826.94444444445</v>
      </c>
      <c r="F4993" s="10" t="n">
        <v>45826.99652777778</v>
      </c>
      <c r="G4993" s="11" t="n">
        <v>4.63</v>
      </c>
      <c r="H4993" s="11">
        <f>H4992+G4993</f>
        <v/>
      </c>
    </row>
    <row r="4994">
      <c r="A4994" s="9" t="n">
        <v>4990</v>
      </c>
      <c r="B4994" s="9" t="inlineStr">
        <is>
          <t>Meridian</t>
        </is>
      </c>
      <c r="C4994" s="9" t="inlineStr">
        <is>
          <t>21/50 MA cross, 250-period confirm filter, VWAP</t>
        </is>
      </c>
      <c r="D4994" s="9" t="inlineStr">
        <is>
          <t>Short</t>
        </is>
      </c>
      <c r="E4994" s="10" t="n">
        <v>45826.90972222222</v>
      </c>
      <c r="F4994" s="10" t="n">
        <v>45827.14583333334</v>
      </c>
      <c r="G4994" s="11" t="n">
        <v>2.84</v>
      </c>
      <c r="H4994" s="11">
        <f>H4993+G4994</f>
        <v/>
      </c>
    </row>
    <row r="4995">
      <c r="A4995" s="9" t="n">
        <v>4991</v>
      </c>
      <c r="B4995" s="9" t="inlineStr">
        <is>
          <t>Meridian</t>
        </is>
      </c>
      <c r="C4995" s="9" t="inlineStr">
        <is>
          <t>21/50 MA cross, 250-period confirm filter, VWAP</t>
        </is>
      </c>
      <c r="D4995" s="9" t="inlineStr">
        <is>
          <t>Short</t>
        </is>
      </c>
      <c r="E4995" s="10" t="n">
        <v>45827.25694444445</v>
      </c>
      <c r="F4995" s="10" t="n">
        <v>45827.49652777778</v>
      </c>
      <c r="G4995" s="11" t="n">
        <v>6.39</v>
      </c>
      <c r="H4995" s="11">
        <f>H4994+G4995</f>
        <v/>
      </c>
    </row>
    <row r="4996">
      <c r="A4996" s="9" t="n">
        <v>4992</v>
      </c>
      <c r="B4996" s="9" t="inlineStr">
        <is>
          <t>Meridian</t>
        </is>
      </c>
      <c r="C4996" s="9" t="inlineStr">
        <is>
          <t>21/50 MA cross, 250-period confirm filter, VWAP</t>
        </is>
      </c>
      <c r="D4996" s="9" t="inlineStr">
        <is>
          <t>Short</t>
        </is>
      </c>
      <c r="E4996" s="10" t="n">
        <v>45827.64583333334</v>
      </c>
      <c r="F4996" s="10" t="n">
        <v>45827.64930555555</v>
      </c>
      <c r="G4996" s="11" t="n">
        <v>-5.45</v>
      </c>
      <c r="H4996" s="11">
        <f>H4995+G4996</f>
        <v/>
      </c>
    </row>
    <row r="4997">
      <c r="A4997" s="9" t="n">
        <v>4993</v>
      </c>
      <c r="B4997" s="9" t="inlineStr">
        <is>
          <t>Vanguard_M15</t>
        </is>
      </c>
      <c r="C4997" s="9" t="inlineStr">
        <is>
          <t>Trendline breakout (fractal swing line) + VWAP/S-R distance gate - M15 chart</t>
        </is>
      </c>
      <c r="D4997" s="9" t="inlineStr">
        <is>
          <t>Short</t>
        </is>
      </c>
      <c r="E4997" s="10" t="n">
        <v>45826.92708333334</v>
      </c>
      <c r="F4997" s="10" t="n">
        <v>45827.83333333334</v>
      </c>
      <c r="G4997" s="11" t="n">
        <v>-1.27</v>
      </c>
      <c r="H4997" s="11">
        <f>H4996+G4997</f>
        <v/>
      </c>
    </row>
    <row r="4998">
      <c r="A4998" s="9" t="n">
        <v>4994</v>
      </c>
      <c r="B4998" s="9" t="inlineStr">
        <is>
          <t>Ratchet</t>
        </is>
      </c>
      <c r="C4998" s="9" t="inlineStr">
        <is>
          <t>Stochastic scalp with give-back trail exit</t>
        </is>
      </c>
      <c r="D4998" s="9" t="inlineStr">
        <is>
          <t>Short</t>
        </is>
      </c>
      <c r="E4998" s="10" t="n">
        <v>45828.07638888889</v>
      </c>
      <c r="F4998" s="10" t="n">
        <v>45828.09722222222</v>
      </c>
      <c r="G4998" s="11" t="n">
        <v>-4.28</v>
      </c>
      <c r="H4998" s="11">
        <f>H4997+G4998</f>
        <v/>
      </c>
    </row>
    <row r="4999">
      <c r="A4999" s="9" t="n">
        <v>4995</v>
      </c>
      <c r="B4999" s="9" t="inlineStr">
        <is>
          <t>Ratchet</t>
        </is>
      </c>
      <c r="C4999" s="9" t="inlineStr">
        <is>
          <t>Stochastic scalp with give-back trail exit</t>
        </is>
      </c>
      <c r="D4999" s="9" t="inlineStr">
        <is>
          <t>Short</t>
        </is>
      </c>
      <c r="E4999" s="10" t="n">
        <v>45828.14930555555</v>
      </c>
      <c r="F4999" s="10" t="n">
        <v>45828.16319444445</v>
      </c>
      <c r="G4999" s="11" t="n">
        <v>-3.53</v>
      </c>
      <c r="H4999" s="11">
        <f>H4998+G4999</f>
        <v/>
      </c>
    </row>
    <row r="5000">
      <c r="A5000" s="9" t="n">
        <v>4996</v>
      </c>
      <c r="B5000" s="9" t="inlineStr">
        <is>
          <t>Meridian</t>
        </is>
      </c>
      <c r="C5000" s="9" t="inlineStr">
        <is>
          <t>21/50 MA cross, 250-period confirm filter, VWAP</t>
        </is>
      </c>
      <c r="D5000" s="9" t="inlineStr">
        <is>
          <t>Short</t>
        </is>
      </c>
      <c r="E5000" s="10" t="n">
        <v>45828.05555555555</v>
      </c>
      <c r="F5000" s="10" t="n">
        <v>45828.51041666666</v>
      </c>
      <c r="G5000" s="11" t="n">
        <v>11.22</v>
      </c>
      <c r="H5000" s="11">
        <f>H4999+G5000</f>
        <v/>
      </c>
    </row>
    <row r="5001">
      <c r="A5001" s="9" t="n">
        <v>4997</v>
      </c>
      <c r="B5001" s="9" t="inlineStr">
        <is>
          <t>Aurelius_M5</t>
        </is>
      </c>
      <c r="C5001" s="9" t="inlineStr">
        <is>
          <t>MA alignment (EMA21&gt;EMA50&gt;SMA250&gt;SMMA500 vs EMA2400 trend filter)</t>
        </is>
      </c>
      <c r="D5001" s="9" t="inlineStr">
        <is>
          <t>Short</t>
        </is>
      </c>
      <c r="E5001" s="10" t="n">
        <v>45828.18402777778</v>
      </c>
      <c r="F5001" s="10" t="n">
        <v>45828.51041666666</v>
      </c>
      <c r="G5001" s="11" t="n">
        <v>8.34</v>
      </c>
      <c r="H5001" s="11">
        <f>H5000+G5001</f>
        <v/>
      </c>
    </row>
    <row r="5002">
      <c r="A5002" s="9" t="n">
        <v>4998</v>
      </c>
      <c r="B5002" s="9" t="inlineStr">
        <is>
          <t>Ratchet</t>
        </is>
      </c>
      <c r="C5002" s="9" t="inlineStr">
        <is>
          <t>Stochastic scalp with give-back trail exit</t>
        </is>
      </c>
      <c r="D5002" s="9" t="inlineStr">
        <is>
          <t>Short</t>
        </is>
      </c>
      <c r="E5002" s="10" t="n">
        <v>45828.63888888889</v>
      </c>
      <c r="F5002" s="10" t="n">
        <v>45828.64930555555</v>
      </c>
      <c r="G5002" s="11" t="n">
        <v>-0</v>
      </c>
      <c r="H5002" s="11">
        <f>H5001+G5002</f>
        <v/>
      </c>
    </row>
    <row r="5003">
      <c r="A5003" s="9" t="n">
        <v>4999</v>
      </c>
      <c r="B5003" s="9" t="inlineStr">
        <is>
          <t>Ratchet</t>
        </is>
      </c>
      <c r="C5003" s="9" t="inlineStr">
        <is>
          <t>Stochastic scalp with give-back trail exit</t>
        </is>
      </c>
      <c r="D5003" s="9" t="inlineStr">
        <is>
          <t>Short</t>
        </is>
      </c>
      <c r="E5003" s="10" t="n">
        <v>45828.65625</v>
      </c>
      <c r="F5003" s="10" t="n">
        <v>45828.65972222222</v>
      </c>
      <c r="G5003" s="11" t="n">
        <v>0.85</v>
      </c>
      <c r="H5003" s="11">
        <f>H5002+G5003</f>
        <v/>
      </c>
    </row>
    <row r="5004">
      <c r="A5004" s="9" t="n">
        <v>5000</v>
      </c>
      <c r="B5004" s="9" t="inlineStr">
        <is>
          <t>Ratchet</t>
        </is>
      </c>
      <c r="C5004" s="9" t="inlineStr">
        <is>
          <t>Stochastic scalp with give-back trail exit</t>
        </is>
      </c>
      <c r="D5004" s="9" t="inlineStr">
        <is>
          <t>Short</t>
        </is>
      </c>
      <c r="E5004" s="10" t="n">
        <v>45828.66666666666</v>
      </c>
      <c r="F5004" s="10" t="n">
        <v>45828.67361111111</v>
      </c>
      <c r="G5004" s="11" t="n">
        <v>-5.93</v>
      </c>
      <c r="H5004" s="11">
        <f>H5003+G5004</f>
        <v/>
      </c>
    </row>
    <row r="5005">
      <c r="A5005" s="9" t="n">
        <v>5001</v>
      </c>
      <c r="B5005" s="9" t="inlineStr">
        <is>
          <t>Aurelius_M15</t>
        </is>
      </c>
      <c r="C5005" s="9" t="inlineStr">
        <is>
          <t>MA alignment (EMA21&gt;EMA50&gt;SMA250&gt;SMMA500 vs EMA2400 trend filter) - M15 chart</t>
        </is>
      </c>
      <c r="D5005" s="9" t="inlineStr">
        <is>
          <t>Short</t>
        </is>
      </c>
      <c r="E5005" s="10" t="n">
        <v>45828.17708333334</v>
      </c>
      <c r="F5005" s="10" t="n">
        <v>45828.69791666666</v>
      </c>
      <c r="G5005" s="11" t="n">
        <v>-10.71</v>
      </c>
      <c r="H5005" s="11">
        <f>H5004+G5005</f>
        <v/>
      </c>
    </row>
    <row r="5006">
      <c r="A5006" s="9" t="n">
        <v>5002</v>
      </c>
      <c r="B5006" s="9" t="inlineStr">
        <is>
          <t>Meridian</t>
        </is>
      </c>
      <c r="C5006" s="9" t="inlineStr">
        <is>
          <t>21/50 MA cross, 250-period confirm filter, VWAP</t>
        </is>
      </c>
      <c r="D5006" s="9" t="inlineStr">
        <is>
          <t>Long</t>
        </is>
      </c>
      <c r="E5006" s="10" t="n">
        <v>45828.69444444445</v>
      </c>
      <c r="F5006" s="10" t="n">
        <v>45828.91666666666</v>
      </c>
      <c r="G5006" s="11" t="n">
        <v>2.23</v>
      </c>
      <c r="H5006" s="11">
        <f>H5005+G5006</f>
        <v/>
      </c>
    </row>
    <row r="5007">
      <c r="A5007" s="9" t="n">
        <v>5003</v>
      </c>
      <c r="B5007" s="9" t="inlineStr">
        <is>
          <t>Vanguard_M5</t>
        </is>
      </c>
      <c r="C5007" s="9" t="inlineStr">
        <is>
          <t>Trendline breakout (fractal swing line) + VWAP/S-R distance gate</t>
        </is>
      </c>
      <c r="D5007" s="9" t="inlineStr">
        <is>
          <t>Short</t>
        </is>
      </c>
      <c r="E5007" s="10" t="n">
        <v>45826.92013888889</v>
      </c>
      <c r="F5007" s="10" t="n">
        <v>45831.04166666666</v>
      </c>
      <c r="G5007" s="11" t="n">
        <v>-14.81</v>
      </c>
      <c r="H5007" s="11">
        <f>H5006+G5007</f>
        <v/>
      </c>
    </row>
    <row r="5008">
      <c r="A5008" s="9" t="n">
        <v>5004</v>
      </c>
      <c r="B5008" s="9" t="inlineStr">
        <is>
          <t>Ratchet</t>
        </is>
      </c>
      <c r="C5008" s="9" t="inlineStr">
        <is>
          <t>Stochastic scalp with give-back trail exit</t>
        </is>
      </c>
      <c r="D5008" s="9" t="inlineStr">
        <is>
          <t>Short</t>
        </is>
      </c>
      <c r="E5008" s="10" t="n">
        <v>45831.34722222222</v>
      </c>
      <c r="F5008" s="10" t="n">
        <v>45831.36458333334</v>
      </c>
      <c r="G5008" s="11" t="n">
        <v>2.47</v>
      </c>
      <c r="H5008" s="11">
        <f>H5007+G5008</f>
        <v/>
      </c>
    </row>
    <row r="5009">
      <c r="A5009" s="9" t="n">
        <v>5005</v>
      </c>
      <c r="B5009" s="9" t="inlineStr">
        <is>
          <t>Ratchet</t>
        </is>
      </c>
      <c r="C5009" s="9" t="inlineStr">
        <is>
          <t>Stochastic scalp with give-back trail exit</t>
        </is>
      </c>
      <c r="D5009" s="9" t="inlineStr">
        <is>
          <t>Short</t>
        </is>
      </c>
      <c r="E5009" s="10" t="n">
        <v>45831.39236111111</v>
      </c>
      <c r="F5009" s="10" t="n">
        <v>45831.40625</v>
      </c>
      <c r="G5009" s="11" t="n">
        <v>-0</v>
      </c>
      <c r="H5009" s="11">
        <f>H5008+G5009</f>
        <v/>
      </c>
    </row>
    <row r="5010">
      <c r="A5010" s="9" t="n">
        <v>5006</v>
      </c>
      <c r="B5010" s="9" t="inlineStr">
        <is>
          <t>Aurelius_M15</t>
        </is>
      </c>
      <c r="C5010" s="9" t="inlineStr">
        <is>
          <t>MA alignment (EMA21&gt;EMA50&gt;SMA250&gt;SMMA500 vs EMA2400 trend filter) - M15 chart</t>
        </is>
      </c>
      <c r="D5010" s="9" t="inlineStr">
        <is>
          <t>Short</t>
        </is>
      </c>
      <c r="E5010" s="10" t="n">
        <v>45831.36458333334</v>
      </c>
      <c r="F5010" s="10" t="n">
        <v>45831.5</v>
      </c>
      <c r="G5010" s="11" t="n">
        <v>-12.23</v>
      </c>
      <c r="H5010" s="11">
        <f>H5009+G5010</f>
        <v/>
      </c>
    </row>
    <row r="5011">
      <c r="A5011" s="9" t="n">
        <v>5007</v>
      </c>
      <c r="B5011" s="9" t="inlineStr">
        <is>
          <t>Ratchet</t>
        </is>
      </c>
      <c r="C5011" s="9" t="inlineStr">
        <is>
          <t>Stochastic scalp with give-back trail exit</t>
        </is>
      </c>
      <c r="D5011" s="9" t="inlineStr">
        <is>
          <t>Long</t>
        </is>
      </c>
      <c r="E5011" s="10" t="n">
        <v>45831.62152777778</v>
      </c>
      <c r="F5011" s="10" t="n">
        <v>45831.625</v>
      </c>
      <c r="G5011" s="11" t="n">
        <v>0.98</v>
      </c>
      <c r="H5011" s="11">
        <f>H5010+G5011</f>
        <v/>
      </c>
    </row>
    <row r="5012">
      <c r="A5012" s="9" t="n">
        <v>5008</v>
      </c>
      <c r="B5012" s="9" t="inlineStr">
        <is>
          <t>Meridian</t>
        </is>
      </c>
      <c r="C5012" s="9" t="inlineStr">
        <is>
          <t>21/50 MA cross, 250-period confirm filter, VWAP</t>
        </is>
      </c>
      <c r="D5012" s="9" t="inlineStr">
        <is>
          <t>Short</t>
        </is>
      </c>
      <c r="E5012" s="10" t="n">
        <v>45831.66319444445</v>
      </c>
      <c r="F5012" s="10" t="n">
        <v>45831.6875</v>
      </c>
      <c r="G5012" s="11" t="n">
        <v>-7.91</v>
      </c>
      <c r="H5012" s="11">
        <f>H5011+G5012</f>
        <v/>
      </c>
    </row>
    <row r="5013">
      <c r="A5013" s="9" t="n">
        <v>5009</v>
      </c>
      <c r="B5013" s="9" t="inlineStr">
        <is>
          <t>Ratchet</t>
        </is>
      </c>
      <c r="C5013" s="9" t="inlineStr">
        <is>
          <t>Stochastic scalp with give-back trail exit</t>
        </is>
      </c>
      <c r="D5013" s="9" t="inlineStr">
        <is>
          <t>Short</t>
        </is>
      </c>
      <c r="E5013" s="10" t="n">
        <v>45832.67013888889</v>
      </c>
      <c r="F5013" s="10" t="n">
        <v>45832.6875</v>
      </c>
      <c r="G5013" s="11" t="n">
        <v>0.92</v>
      </c>
      <c r="H5013" s="11">
        <f>H5012+G5013</f>
        <v/>
      </c>
    </row>
    <row r="5014">
      <c r="A5014" s="9" t="n">
        <v>5010</v>
      </c>
      <c r="B5014" s="9" t="inlineStr">
        <is>
          <t>Ratchet</t>
        </is>
      </c>
      <c r="C5014" s="9" t="inlineStr">
        <is>
          <t>Stochastic scalp with give-back trail exit</t>
        </is>
      </c>
      <c r="D5014" s="9" t="inlineStr">
        <is>
          <t>Short</t>
        </is>
      </c>
      <c r="E5014" s="10" t="n">
        <v>45832.69097222222</v>
      </c>
      <c r="F5014" s="10" t="n">
        <v>45832.70833333334</v>
      </c>
      <c r="G5014" s="11" t="n">
        <v>3.25</v>
      </c>
      <c r="H5014" s="11">
        <f>H5013+G5014</f>
        <v/>
      </c>
    </row>
    <row r="5015">
      <c r="A5015" s="9" t="n">
        <v>5011</v>
      </c>
      <c r="B5015" s="9" t="inlineStr">
        <is>
          <t>Aurelius_M5</t>
        </is>
      </c>
      <c r="C5015" s="9" t="inlineStr">
        <is>
          <t>MA alignment (EMA21&gt;EMA50&gt;SMA250&gt;SMMA500 vs EMA2400 trend filter)</t>
        </is>
      </c>
      <c r="D5015" s="9" t="inlineStr">
        <is>
          <t>Short</t>
        </is>
      </c>
      <c r="E5015" s="10" t="n">
        <v>45832.63541666666</v>
      </c>
      <c r="F5015" s="10" t="n">
        <v>45832.79513888889</v>
      </c>
      <c r="G5015" s="11" t="n">
        <v>0.38</v>
      </c>
      <c r="H5015" s="11">
        <f>H5014+G5015</f>
        <v/>
      </c>
    </row>
    <row r="5016">
      <c r="A5016" s="9" t="n">
        <v>5012</v>
      </c>
      <c r="B5016" s="9" t="inlineStr">
        <is>
          <t>Meridian</t>
        </is>
      </c>
      <c r="C5016" s="9" t="inlineStr">
        <is>
          <t>21/50 MA cross, 250-period confirm filter, VWAP</t>
        </is>
      </c>
      <c r="D5016" s="9" t="inlineStr">
        <is>
          <t>Long</t>
        </is>
      </c>
      <c r="E5016" s="10" t="n">
        <v>45833.34375</v>
      </c>
      <c r="F5016" s="10" t="n">
        <v>45833.48611111111</v>
      </c>
      <c r="G5016" s="11" t="n">
        <v>0.02</v>
      </c>
      <c r="H5016" s="11">
        <f>H5015+G5016</f>
        <v/>
      </c>
    </row>
    <row r="5017">
      <c r="A5017" s="9" t="n">
        <v>5013</v>
      </c>
      <c r="B5017" s="9" t="inlineStr">
        <is>
          <t>Aurelius_M5</t>
        </is>
      </c>
      <c r="C5017" s="9" t="inlineStr">
        <is>
          <t>MA alignment (EMA21&gt;EMA50&gt;SMA250&gt;SMMA500 vs EMA2400 trend filter)</t>
        </is>
      </c>
      <c r="D5017" s="9" t="inlineStr">
        <is>
          <t>Short</t>
        </is>
      </c>
      <c r="E5017" s="10" t="n">
        <v>45833.67361111111</v>
      </c>
      <c r="F5017" s="10" t="n">
        <v>45833.71875</v>
      </c>
      <c r="G5017" s="11" t="n">
        <v>-6.58</v>
      </c>
      <c r="H5017" s="11">
        <f>H5016+G5017</f>
        <v/>
      </c>
    </row>
    <row r="5018">
      <c r="A5018" s="9" t="n">
        <v>5014</v>
      </c>
      <c r="B5018" s="9" t="inlineStr">
        <is>
          <t>Vanguard_M15</t>
        </is>
      </c>
      <c r="C5018" s="9" t="inlineStr">
        <is>
          <t>Trendline breakout (fractal swing line) + VWAP/S-R distance gate - M15 chart</t>
        </is>
      </c>
      <c r="D5018" s="9" t="inlineStr">
        <is>
          <t>Short</t>
        </is>
      </c>
      <c r="E5018" s="10" t="n">
        <v>45832.11458333334</v>
      </c>
      <c r="F5018" s="10" t="n">
        <v>45833.79166666666</v>
      </c>
      <c r="G5018" s="11" t="n">
        <v>23.13</v>
      </c>
      <c r="H5018" s="11">
        <f>H5017+G5018</f>
        <v/>
      </c>
    </row>
    <row r="5019">
      <c r="A5019" s="9" t="n">
        <v>5015</v>
      </c>
      <c r="B5019" s="9" t="inlineStr">
        <is>
          <t>Vanguard_M5</t>
        </is>
      </c>
      <c r="C5019" s="9" t="inlineStr">
        <is>
          <t>Trendline breakout (fractal swing line) + VWAP/S-R distance gate</t>
        </is>
      </c>
      <c r="D5019" s="9" t="inlineStr">
        <is>
          <t>Short</t>
        </is>
      </c>
      <c r="E5019" s="10" t="n">
        <v>45832.05902777778</v>
      </c>
      <c r="F5019" s="10" t="n">
        <v>45833.79513888889</v>
      </c>
      <c r="G5019" s="11" t="n">
        <v>25.06</v>
      </c>
      <c r="H5019" s="11">
        <f>H5018+G5019</f>
        <v/>
      </c>
    </row>
    <row r="5020">
      <c r="A5020" s="9" t="n">
        <v>5016</v>
      </c>
      <c r="B5020" s="9" t="inlineStr">
        <is>
          <t>Meridian</t>
        </is>
      </c>
      <c r="C5020" s="9" t="inlineStr">
        <is>
          <t>21/50 MA cross, 250-period confirm filter, VWAP</t>
        </is>
      </c>
      <c r="D5020" s="9" t="inlineStr">
        <is>
          <t>Long</t>
        </is>
      </c>
      <c r="E5020" s="10" t="n">
        <v>45834.23611111111</v>
      </c>
      <c r="F5020" s="10" t="n">
        <v>45834.33680555555</v>
      </c>
      <c r="G5020" s="11" t="n">
        <v>-5.29</v>
      </c>
      <c r="H5020" s="11">
        <f>H5019+G5020</f>
        <v/>
      </c>
    </row>
    <row r="5021">
      <c r="A5021" s="9" t="n">
        <v>5017</v>
      </c>
      <c r="B5021" s="9" t="inlineStr">
        <is>
          <t>Meridian</t>
        </is>
      </c>
      <c r="C5021" s="9" t="inlineStr">
        <is>
          <t>21/50 MA cross, 250-period confirm filter, VWAP</t>
        </is>
      </c>
      <c r="D5021" s="9" t="inlineStr">
        <is>
          <t>Long</t>
        </is>
      </c>
      <c r="E5021" s="10" t="n">
        <v>45834.41319444445</v>
      </c>
      <c r="F5021" s="10" t="n">
        <v>45834.55902777778</v>
      </c>
      <c r="G5021" s="11" t="n">
        <v>-0.42</v>
      </c>
      <c r="H5021" s="11">
        <f>H5020+G5021</f>
        <v/>
      </c>
    </row>
    <row r="5022">
      <c r="A5022" s="9" t="n">
        <v>5018</v>
      </c>
      <c r="B5022" s="9" t="inlineStr">
        <is>
          <t>Meridian</t>
        </is>
      </c>
      <c r="C5022" s="9" t="inlineStr">
        <is>
          <t>21/50 MA cross, 250-period confirm filter, VWAP</t>
        </is>
      </c>
      <c r="D5022" s="9" t="inlineStr">
        <is>
          <t>Long</t>
        </is>
      </c>
      <c r="E5022" s="10" t="n">
        <v>45834.59375</v>
      </c>
      <c r="F5022" s="10" t="n">
        <v>45834.59722222222</v>
      </c>
      <c r="G5022" s="11" t="n">
        <v>-0.6899999999999999</v>
      </c>
      <c r="H5022" s="11">
        <f>H5021+G5022</f>
        <v/>
      </c>
    </row>
    <row r="5023">
      <c r="A5023" s="9" t="n">
        <v>5019</v>
      </c>
      <c r="B5023" s="9" t="inlineStr">
        <is>
          <t>Vanguard_M15</t>
        </is>
      </c>
      <c r="C5023" s="9" t="inlineStr">
        <is>
          <t>Trendline breakout (fractal swing line) + VWAP/S-R distance gate - M15 chart</t>
        </is>
      </c>
      <c r="D5023" s="9" t="inlineStr">
        <is>
          <t>Long</t>
        </is>
      </c>
      <c r="E5023" s="10" t="n">
        <v>45833.80208333334</v>
      </c>
      <c r="F5023" s="10" t="n">
        <v>45834.65625</v>
      </c>
      <c r="G5023" s="11" t="n">
        <v>-5.85</v>
      </c>
      <c r="H5023" s="11">
        <f>H5022+G5023</f>
        <v/>
      </c>
    </row>
    <row r="5024">
      <c r="A5024" s="9" t="n">
        <v>5020</v>
      </c>
      <c r="B5024" s="9" t="inlineStr">
        <is>
          <t>Vanguard_M5</t>
        </is>
      </c>
      <c r="C5024" s="9" t="inlineStr">
        <is>
          <t>Trendline breakout (fractal swing line) + VWAP/S-R distance gate</t>
        </is>
      </c>
      <c r="D5024" s="9" t="inlineStr">
        <is>
          <t>Long</t>
        </is>
      </c>
      <c r="E5024" s="10" t="n">
        <v>45833.79861111111</v>
      </c>
      <c r="F5024" s="10" t="n">
        <v>45834.65972222222</v>
      </c>
      <c r="G5024" s="11" t="n">
        <v>0.66</v>
      </c>
      <c r="H5024" s="11">
        <f>H5023+G5024</f>
        <v/>
      </c>
    </row>
    <row r="5025">
      <c r="A5025" s="9" t="n">
        <v>5021</v>
      </c>
      <c r="B5025" s="9" t="inlineStr">
        <is>
          <t>Aurelius_M15</t>
        </is>
      </c>
      <c r="C5025" s="9" t="inlineStr">
        <is>
          <t>MA alignment (EMA21&gt;EMA50&gt;SMA250&gt;SMMA500 vs EMA2400 trend filter) - M15 chart</t>
        </is>
      </c>
      <c r="D5025" s="9" t="inlineStr">
        <is>
          <t>Short</t>
        </is>
      </c>
      <c r="E5025" s="10" t="n">
        <v>45834.72916666666</v>
      </c>
      <c r="F5025" s="10" t="n">
        <v>45834.80208333334</v>
      </c>
      <c r="G5025" s="11" t="n">
        <v>-16.71</v>
      </c>
      <c r="H5025" s="11">
        <f>H5024+G5025</f>
        <v/>
      </c>
    </row>
    <row r="5026">
      <c r="A5026" s="9" t="n">
        <v>5022</v>
      </c>
      <c r="B5026" s="9" t="inlineStr">
        <is>
          <t>Ratchet</t>
        </is>
      </c>
      <c r="C5026" s="9" t="inlineStr">
        <is>
          <t>Stochastic scalp with give-back trail exit</t>
        </is>
      </c>
      <c r="D5026" s="9" t="inlineStr">
        <is>
          <t>Short</t>
        </is>
      </c>
      <c r="E5026" s="10" t="n">
        <v>45835.17708333334</v>
      </c>
      <c r="F5026" s="10" t="n">
        <v>45835.18402777778</v>
      </c>
      <c r="G5026" s="11" t="n">
        <v>-3.88</v>
      </c>
      <c r="H5026" s="11">
        <f>H5025+G5026</f>
        <v/>
      </c>
    </row>
    <row r="5027">
      <c r="A5027" s="9" t="n">
        <v>5023</v>
      </c>
      <c r="B5027" s="9" t="inlineStr">
        <is>
          <t>Ratchet</t>
        </is>
      </c>
      <c r="C5027" s="9" t="inlineStr">
        <is>
          <t>Stochastic scalp with give-back trail exit</t>
        </is>
      </c>
      <c r="D5027" s="9" t="inlineStr">
        <is>
          <t>Short</t>
        </is>
      </c>
      <c r="E5027" s="10" t="n">
        <v>45835.52083333334</v>
      </c>
      <c r="F5027" s="10" t="n">
        <v>45835.54166666666</v>
      </c>
      <c r="G5027" s="11" t="n">
        <v>0.8100000000000001</v>
      </c>
      <c r="H5027" s="11">
        <f>H5026+G5027</f>
        <v/>
      </c>
    </row>
    <row r="5028">
      <c r="A5028" s="9" t="n">
        <v>5024</v>
      </c>
      <c r="B5028" s="9" t="inlineStr">
        <is>
          <t>Ratchet</t>
        </is>
      </c>
      <c r="C5028" s="9" t="inlineStr">
        <is>
          <t>Stochastic scalp with give-back trail exit</t>
        </is>
      </c>
      <c r="D5028" s="9" t="inlineStr">
        <is>
          <t>Short</t>
        </is>
      </c>
      <c r="E5028" s="10" t="n">
        <v>45835.61111111111</v>
      </c>
      <c r="F5028" s="10" t="n">
        <v>45835.61458333334</v>
      </c>
      <c r="G5028" s="11" t="n">
        <v>-0</v>
      </c>
      <c r="H5028" s="11">
        <f>H5027+G5028</f>
        <v/>
      </c>
    </row>
    <row r="5029">
      <c r="A5029" s="9" t="n">
        <v>5025</v>
      </c>
      <c r="B5029" s="9" t="inlineStr">
        <is>
          <t>Ratchet</t>
        </is>
      </c>
      <c r="C5029" s="9" t="inlineStr">
        <is>
          <t>Stochastic scalp with give-back trail exit</t>
        </is>
      </c>
      <c r="D5029" s="9" t="inlineStr">
        <is>
          <t>Short</t>
        </is>
      </c>
      <c r="E5029" s="10" t="n">
        <v>45835.74652777778</v>
      </c>
      <c r="F5029" s="10" t="n">
        <v>45835.75</v>
      </c>
      <c r="G5029" s="11" t="n">
        <v>-8.720000000000001</v>
      </c>
      <c r="H5029" s="11">
        <f>H5028+G5029</f>
        <v/>
      </c>
    </row>
    <row r="5030">
      <c r="A5030" s="9" t="n">
        <v>5026</v>
      </c>
      <c r="B5030" s="9" t="inlineStr">
        <is>
          <t>Meridian</t>
        </is>
      </c>
      <c r="C5030" s="9" t="inlineStr">
        <is>
          <t>21/50 MA cross, 250-period confirm filter, VWAP</t>
        </is>
      </c>
      <c r="D5030" s="9" t="inlineStr">
        <is>
          <t>Short</t>
        </is>
      </c>
      <c r="E5030" s="10" t="n">
        <v>45834.99652777778</v>
      </c>
      <c r="F5030" s="10" t="n">
        <v>45835.80902777778</v>
      </c>
      <c r="G5030" s="11" t="n">
        <v>51.75</v>
      </c>
      <c r="H5030" s="11">
        <f>H5029+G5030</f>
        <v/>
      </c>
    </row>
    <row r="5031">
      <c r="A5031" s="9" t="n">
        <v>5027</v>
      </c>
      <c r="B5031" s="9" t="inlineStr">
        <is>
          <t>Aurelius_M5</t>
        </is>
      </c>
      <c r="C5031" s="9" t="inlineStr">
        <is>
          <t>MA alignment (EMA21&gt;EMA50&gt;SMA250&gt;SMMA500 vs EMA2400 trend filter)</t>
        </is>
      </c>
      <c r="D5031" s="9" t="inlineStr">
        <is>
          <t>Short</t>
        </is>
      </c>
      <c r="E5031" s="10" t="n">
        <v>45835.22569444445</v>
      </c>
      <c r="F5031" s="10" t="n">
        <v>45835.80902777778</v>
      </c>
      <c r="G5031" s="11" t="n">
        <v>39.42</v>
      </c>
      <c r="H5031" s="11">
        <f>H5030+G5031</f>
        <v/>
      </c>
    </row>
    <row r="5032">
      <c r="A5032" s="9" t="n">
        <v>5028</v>
      </c>
      <c r="B5032" s="9" t="inlineStr">
        <is>
          <t>Meridian</t>
        </is>
      </c>
      <c r="C5032" s="9" t="inlineStr">
        <is>
          <t>21/50 MA cross, 250-period confirm filter, VWAP</t>
        </is>
      </c>
      <c r="D5032" s="9" t="inlineStr">
        <is>
          <t>Short</t>
        </is>
      </c>
      <c r="E5032" s="10" t="n">
        <v>45835.89930555555</v>
      </c>
      <c r="F5032" s="10" t="n">
        <v>45835.91666666666</v>
      </c>
      <c r="G5032" s="11" t="n">
        <v>-4.64</v>
      </c>
      <c r="H5032" s="11">
        <f>H5031+G5032</f>
        <v/>
      </c>
    </row>
    <row r="5033">
      <c r="A5033" s="9" t="n">
        <v>5029</v>
      </c>
      <c r="B5033" s="9" t="inlineStr">
        <is>
          <t>Aurelius_M5</t>
        </is>
      </c>
      <c r="C5033" s="9" t="inlineStr">
        <is>
          <t>MA alignment (EMA21&gt;EMA50&gt;SMA250&gt;SMMA500 vs EMA2400 trend filter)</t>
        </is>
      </c>
      <c r="D5033" s="9" t="inlineStr">
        <is>
          <t>Short</t>
        </is>
      </c>
      <c r="E5033" s="10" t="n">
        <v>45838.17013888889</v>
      </c>
      <c r="F5033" s="10" t="n">
        <v>45838.17708333334</v>
      </c>
      <c r="G5033" s="11" t="n">
        <v>-8.06</v>
      </c>
      <c r="H5033" s="11">
        <f>H5032+G5033</f>
        <v/>
      </c>
    </row>
    <row r="5034">
      <c r="A5034" s="9" t="n">
        <v>5030</v>
      </c>
      <c r="B5034" s="9" t="inlineStr">
        <is>
          <t>Vanguard_M15</t>
        </is>
      </c>
      <c r="C5034" s="9" t="inlineStr">
        <is>
          <t>Trendline breakout (fractal swing line) + VWAP/S-R distance gate - M15 chart</t>
        </is>
      </c>
      <c r="D5034" s="9" t="inlineStr">
        <is>
          <t>Short</t>
        </is>
      </c>
      <c r="E5034" s="10" t="n">
        <v>45834.66666666666</v>
      </c>
      <c r="F5034" s="10" t="n">
        <v>45839.30208333334</v>
      </c>
      <c r="G5034" s="11" t="n">
        <v>-0.93</v>
      </c>
      <c r="H5034" s="11">
        <f>H5033+G5034</f>
        <v/>
      </c>
    </row>
    <row r="5035">
      <c r="A5035" s="9" t="n">
        <v>5031</v>
      </c>
      <c r="B5035" s="9" t="inlineStr">
        <is>
          <t>Vanguard_M5</t>
        </is>
      </c>
      <c r="C5035" s="9" t="inlineStr">
        <is>
          <t>Trendline breakout (fractal swing line) + VWAP/S-R distance gate</t>
        </is>
      </c>
      <c r="D5035" s="9" t="inlineStr">
        <is>
          <t>Short</t>
        </is>
      </c>
      <c r="E5035" s="10" t="n">
        <v>45834.66319444445</v>
      </c>
      <c r="F5035" s="10" t="n">
        <v>45839.34027777778</v>
      </c>
      <c r="G5035" s="11" t="n">
        <v>-1.68</v>
      </c>
      <c r="H5035" s="11">
        <f>H5034+G5035</f>
        <v/>
      </c>
    </row>
    <row r="5036">
      <c r="A5036" s="9" t="n">
        <v>5032</v>
      </c>
      <c r="B5036" s="9" t="inlineStr">
        <is>
          <t>Ratchet</t>
        </is>
      </c>
      <c r="C5036" s="9" t="inlineStr">
        <is>
          <t>Stochastic scalp with give-back trail exit</t>
        </is>
      </c>
      <c r="D5036" s="9" t="inlineStr">
        <is>
          <t>Long</t>
        </is>
      </c>
      <c r="E5036" s="10" t="n">
        <v>45839.39930555555</v>
      </c>
      <c r="F5036" s="10" t="n">
        <v>45839.67708333334</v>
      </c>
      <c r="G5036" s="11" t="n">
        <v>19.06</v>
      </c>
      <c r="H5036" s="11">
        <f>H5035+G5036</f>
        <v/>
      </c>
    </row>
    <row r="5037">
      <c r="A5037" s="9" t="n">
        <v>5033</v>
      </c>
      <c r="B5037" s="9" t="inlineStr">
        <is>
          <t>Ratchet</t>
        </is>
      </c>
      <c r="C5037" s="9" t="inlineStr">
        <is>
          <t>Stochastic scalp with give-back trail exit</t>
        </is>
      </c>
      <c r="D5037" s="9" t="inlineStr">
        <is>
          <t>Long</t>
        </is>
      </c>
      <c r="E5037" s="10" t="n">
        <v>45839.71180555555</v>
      </c>
      <c r="F5037" s="10" t="n">
        <v>45839.73958333334</v>
      </c>
      <c r="G5037" s="11" t="n">
        <v>-6.25</v>
      </c>
      <c r="H5037" s="11">
        <f>H5036+G5037</f>
        <v/>
      </c>
    </row>
    <row r="5038">
      <c r="A5038" s="9" t="n">
        <v>5034</v>
      </c>
      <c r="B5038" s="9" t="inlineStr">
        <is>
          <t>Meridian</t>
        </is>
      </c>
      <c r="C5038" s="9" t="inlineStr">
        <is>
          <t>21/50 MA cross, 250-period confirm filter, VWAP</t>
        </is>
      </c>
      <c r="D5038" s="9" t="inlineStr">
        <is>
          <t>Long</t>
        </is>
      </c>
      <c r="E5038" s="10" t="n">
        <v>45838.73263888889</v>
      </c>
      <c r="F5038" s="10" t="n">
        <v>45839.75694444445</v>
      </c>
      <c r="G5038" s="11" t="n">
        <v>57.64</v>
      </c>
      <c r="H5038" s="11">
        <f>H5037+G5038</f>
        <v/>
      </c>
    </row>
    <row r="5039">
      <c r="A5039" s="9" t="n">
        <v>5035</v>
      </c>
      <c r="B5039" s="9" t="inlineStr">
        <is>
          <t>Meridian</t>
        </is>
      </c>
      <c r="C5039" s="9" t="inlineStr">
        <is>
          <t>21/50 MA cross, 250-period confirm filter, VWAP</t>
        </is>
      </c>
      <c r="D5039" s="9" t="inlineStr">
        <is>
          <t>Long</t>
        </is>
      </c>
      <c r="E5039" s="10" t="n">
        <v>45840.06944444445</v>
      </c>
      <c r="F5039" s="10" t="n">
        <v>45840.08333333334</v>
      </c>
      <c r="G5039" s="11" t="n">
        <v>-4.05</v>
      </c>
      <c r="H5039" s="11">
        <f>H5038+G5039</f>
        <v/>
      </c>
    </row>
    <row r="5040">
      <c r="A5040" s="9" t="n">
        <v>5036</v>
      </c>
      <c r="B5040" s="9" t="inlineStr">
        <is>
          <t>Ratchet</t>
        </is>
      </c>
      <c r="C5040" s="9" t="inlineStr">
        <is>
          <t>Stochastic scalp with give-back trail exit</t>
        </is>
      </c>
      <c r="D5040" s="9" t="inlineStr">
        <is>
          <t>Long</t>
        </is>
      </c>
      <c r="E5040" s="10" t="n">
        <v>45840.07291666666</v>
      </c>
      <c r="F5040" s="10" t="n">
        <v>45840.08333333334</v>
      </c>
      <c r="G5040" s="11" t="n">
        <v>-3.07</v>
      </c>
      <c r="H5040" s="11">
        <f>H5039+G5040</f>
        <v/>
      </c>
    </row>
    <row r="5041">
      <c r="A5041" s="9" t="n">
        <v>5037</v>
      </c>
      <c r="B5041" s="9" t="inlineStr">
        <is>
          <t>Ratchet</t>
        </is>
      </c>
      <c r="C5041" s="9" t="inlineStr">
        <is>
          <t>Stochastic scalp with give-back trail exit</t>
        </is>
      </c>
      <c r="D5041" s="9" t="inlineStr">
        <is>
          <t>Long</t>
        </is>
      </c>
      <c r="E5041" s="10" t="n">
        <v>45840.13541666666</v>
      </c>
      <c r="F5041" s="10" t="n">
        <v>45840.14236111111</v>
      </c>
      <c r="G5041" s="11" t="n">
        <v>-4.11</v>
      </c>
      <c r="H5041" s="11">
        <f>H5040+G5041</f>
        <v/>
      </c>
    </row>
    <row r="5042">
      <c r="A5042" s="9" t="n">
        <v>5038</v>
      </c>
      <c r="B5042" s="9" t="inlineStr">
        <is>
          <t>Meridian</t>
        </is>
      </c>
      <c r="C5042" s="9" t="inlineStr">
        <is>
          <t>21/50 MA cross, 250-period confirm filter, VWAP</t>
        </is>
      </c>
      <c r="D5042" s="9" t="inlineStr">
        <is>
          <t>Long</t>
        </is>
      </c>
      <c r="E5042" s="10" t="n">
        <v>45840.13541666666</v>
      </c>
      <c r="F5042" s="10" t="n">
        <v>45840.14930555555</v>
      </c>
      <c r="G5042" s="11" t="n">
        <v>-6.01</v>
      </c>
      <c r="H5042" s="11">
        <f>H5041+G5042</f>
        <v/>
      </c>
    </row>
    <row r="5043">
      <c r="A5043" s="9" t="n">
        <v>5039</v>
      </c>
      <c r="B5043" s="9" t="inlineStr">
        <is>
          <t>Ratchet</t>
        </is>
      </c>
      <c r="C5043" s="9" t="inlineStr">
        <is>
          <t>Stochastic scalp with give-back trail exit</t>
        </is>
      </c>
      <c r="D5043" s="9" t="inlineStr">
        <is>
          <t>Long</t>
        </is>
      </c>
      <c r="E5043" s="10" t="n">
        <v>45840.32986111111</v>
      </c>
      <c r="F5043" s="10" t="n">
        <v>45840.34027777778</v>
      </c>
      <c r="G5043" s="11" t="n">
        <v>-2.51</v>
      </c>
      <c r="H5043" s="11">
        <f>H5042+G5043</f>
        <v/>
      </c>
    </row>
    <row r="5044">
      <c r="A5044" s="9" t="n">
        <v>5040</v>
      </c>
      <c r="B5044" s="9" t="inlineStr">
        <is>
          <t>Meridian</t>
        </is>
      </c>
      <c r="C5044" s="9" t="inlineStr">
        <is>
          <t>21/50 MA cross, 250-period confirm filter, VWAP</t>
        </is>
      </c>
      <c r="D5044" s="9" t="inlineStr">
        <is>
          <t>Short</t>
        </is>
      </c>
      <c r="E5044" s="10" t="n">
        <v>45840.39236111111</v>
      </c>
      <c r="F5044" s="10" t="n">
        <v>45840.51736111111</v>
      </c>
      <c r="G5044" s="11" t="n">
        <v>-4.36</v>
      </c>
      <c r="H5044" s="11">
        <f>H5043+G5044</f>
        <v/>
      </c>
    </row>
    <row r="5045">
      <c r="A5045" s="9" t="n">
        <v>5041</v>
      </c>
      <c r="B5045" s="9" t="inlineStr">
        <is>
          <t>Ratchet</t>
        </is>
      </c>
      <c r="C5045" s="9" t="inlineStr">
        <is>
          <t>Stochastic scalp with give-back trail exit</t>
        </is>
      </c>
      <c r="D5045" s="9" t="inlineStr">
        <is>
          <t>Long</t>
        </is>
      </c>
      <c r="E5045" s="10" t="n">
        <v>45840.66319444445</v>
      </c>
      <c r="F5045" s="10" t="n">
        <v>45840.66666666666</v>
      </c>
      <c r="G5045" s="11" t="n">
        <v>-6.12</v>
      </c>
      <c r="H5045" s="11">
        <f>H5044+G5045</f>
        <v/>
      </c>
    </row>
    <row r="5046">
      <c r="A5046" s="9" t="n">
        <v>5042</v>
      </c>
      <c r="B5046" s="9" t="inlineStr">
        <is>
          <t>Aurelius_M5</t>
        </is>
      </c>
      <c r="C5046" s="9" t="inlineStr">
        <is>
          <t>MA alignment (EMA21&gt;EMA50&gt;SMA250&gt;SMMA500 vs EMA2400 trend filter)</t>
        </is>
      </c>
      <c r="D5046" s="9" t="inlineStr">
        <is>
          <t>Long</t>
        </is>
      </c>
      <c r="E5046" s="10" t="n">
        <v>45840.63888888889</v>
      </c>
      <c r="F5046" s="10" t="n">
        <v>45840.69097222222</v>
      </c>
      <c r="G5046" s="11" t="n">
        <v>-6.85</v>
      </c>
      <c r="H5046" s="11">
        <f>H5045+G5046</f>
        <v/>
      </c>
    </row>
    <row r="5047">
      <c r="A5047" s="9" t="n">
        <v>5043</v>
      </c>
      <c r="B5047" s="9" t="inlineStr">
        <is>
          <t>Aurelius_M15</t>
        </is>
      </c>
      <c r="C5047" s="9" t="inlineStr">
        <is>
          <t>MA alignment (EMA21&gt;EMA50&gt;SMA250&gt;SMMA500 vs EMA2400 trend filter) - M15 chart</t>
        </is>
      </c>
      <c r="D5047" s="9" t="inlineStr">
        <is>
          <t>Long</t>
        </is>
      </c>
      <c r="E5047" s="10" t="n">
        <v>45840.64583333334</v>
      </c>
      <c r="F5047" s="10" t="n">
        <v>45840.69791666666</v>
      </c>
      <c r="G5047" s="11" t="n">
        <v>-10.44</v>
      </c>
      <c r="H5047" s="11">
        <f>H5046+G5047</f>
        <v/>
      </c>
    </row>
    <row r="5048">
      <c r="A5048" s="9" t="n">
        <v>5044</v>
      </c>
      <c r="B5048" s="9" t="inlineStr">
        <is>
          <t>Meridian</t>
        </is>
      </c>
      <c r="C5048" s="9" t="inlineStr">
        <is>
          <t>21/50 MA cross, 250-period confirm filter, VWAP</t>
        </is>
      </c>
      <c r="D5048" s="9" t="inlineStr">
        <is>
          <t>Short</t>
        </is>
      </c>
      <c r="E5048" s="10" t="n">
        <v>45840.71180555555</v>
      </c>
      <c r="F5048" s="10" t="n">
        <v>45840.79513888889</v>
      </c>
      <c r="G5048" s="11" t="n">
        <v>-7.77</v>
      </c>
      <c r="H5048" s="11">
        <f>H5047+G5048</f>
        <v/>
      </c>
    </row>
    <row r="5049">
      <c r="A5049" s="9" t="n">
        <v>5045</v>
      </c>
      <c r="B5049" s="9" t="inlineStr">
        <is>
          <t>Ratchet</t>
        </is>
      </c>
      <c r="C5049" s="9" t="inlineStr">
        <is>
          <t>Stochastic scalp with give-back trail exit</t>
        </is>
      </c>
      <c r="D5049" s="9" t="inlineStr">
        <is>
          <t>Long</t>
        </is>
      </c>
      <c r="E5049" s="10" t="n">
        <v>45841.04861111111</v>
      </c>
      <c r="F5049" s="10" t="n">
        <v>45841.08333333334</v>
      </c>
      <c r="G5049" s="11" t="n">
        <v>1.43</v>
      </c>
      <c r="H5049" s="11">
        <f>H5048+G5049</f>
        <v/>
      </c>
    </row>
    <row r="5050">
      <c r="A5050" s="9" t="n">
        <v>5046</v>
      </c>
      <c r="B5050" s="9" t="inlineStr">
        <is>
          <t>Aurelius_M15</t>
        </is>
      </c>
      <c r="C5050" s="9" t="inlineStr">
        <is>
          <t>MA alignment (EMA21&gt;EMA50&gt;SMA250&gt;SMMA500 vs EMA2400 trend filter) - M15 chart</t>
        </is>
      </c>
      <c r="D5050" s="9" t="inlineStr">
        <is>
          <t>Long</t>
        </is>
      </c>
      <c r="E5050" s="10" t="n">
        <v>45840.75</v>
      </c>
      <c r="F5050" s="10" t="n">
        <v>45841.15625</v>
      </c>
      <c r="G5050" s="11" t="n">
        <v>1.63</v>
      </c>
      <c r="H5050" s="11">
        <f>H5049+G5050</f>
        <v/>
      </c>
    </row>
    <row r="5051">
      <c r="A5051" s="9" t="n">
        <v>5047</v>
      </c>
      <c r="B5051" s="9" t="inlineStr">
        <is>
          <t>Ratchet</t>
        </is>
      </c>
      <c r="C5051" s="9" t="inlineStr">
        <is>
          <t>Stochastic scalp with give-back trail exit</t>
        </is>
      </c>
      <c r="D5051" s="9" t="inlineStr">
        <is>
          <t>Long</t>
        </is>
      </c>
      <c r="E5051" s="10" t="n">
        <v>45841.33333333334</v>
      </c>
      <c r="F5051" s="10" t="n">
        <v>45841.35416666666</v>
      </c>
      <c r="G5051" s="11" t="n">
        <v>0.88</v>
      </c>
      <c r="H5051" s="11">
        <f>H5050+G5051</f>
        <v/>
      </c>
    </row>
    <row r="5052">
      <c r="A5052" s="9" t="n">
        <v>5048</v>
      </c>
      <c r="B5052" s="9" t="inlineStr">
        <is>
          <t>Vanguard_M15</t>
        </is>
      </c>
      <c r="C5052" s="9" t="inlineStr">
        <is>
          <t>Trendline breakout (fractal swing line) + VWAP/S-R distance gate - M15 chart</t>
        </is>
      </c>
      <c r="D5052" s="9" t="inlineStr">
        <is>
          <t>Short</t>
        </is>
      </c>
      <c r="E5052" s="10" t="n">
        <v>45841.13541666666</v>
      </c>
      <c r="F5052" s="10" t="n">
        <v>45841.36458333334</v>
      </c>
      <c r="G5052" s="11" t="n">
        <v>-10.67</v>
      </c>
      <c r="H5052" s="11">
        <f>H5051+G5052</f>
        <v/>
      </c>
    </row>
    <row r="5053">
      <c r="A5053" s="9" t="n">
        <v>5049</v>
      </c>
      <c r="B5053" s="9" t="inlineStr">
        <is>
          <t>Vanguard_M5</t>
        </is>
      </c>
      <c r="C5053" s="9" t="inlineStr">
        <is>
          <t>Trendline breakout (fractal swing line) + VWAP/S-R distance gate</t>
        </is>
      </c>
      <c r="D5053" s="9" t="inlineStr">
        <is>
          <t>Short</t>
        </is>
      </c>
      <c r="E5053" s="10" t="n">
        <v>45841.12847222222</v>
      </c>
      <c r="F5053" s="10" t="n">
        <v>45841.36805555555</v>
      </c>
      <c r="G5053" s="11" t="n">
        <v>-9.199999999999999</v>
      </c>
      <c r="H5053" s="11">
        <f>H5052+G5053</f>
        <v/>
      </c>
    </row>
    <row r="5054">
      <c r="A5054" s="9" t="n">
        <v>5050</v>
      </c>
      <c r="B5054" s="9" t="inlineStr">
        <is>
          <t>Aurelius_M5</t>
        </is>
      </c>
      <c r="C5054" s="9" t="inlineStr">
        <is>
          <t>MA alignment (EMA21&gt;EMA50&gt;SMA250&gt;SMMA500 vs EMA2400 trend filter)</t>
        </is>
      </c>
      <c r="D5054" s="9" t="inlineStr">
        <is>
          <t>Long</t>
        </is>
      </c>
      <c r="E5054" s="10" t="n">
        <v>45841.35763888889</v>
      </c>
      <c r="F5054" s="10" t="n">
        <v>45841.47222222222</v>
      </c>
      <c r="G5054" s="11" t="n">
        <v>0.67</v>
      </c>
      <c r="H5054" s="11">
        <f>H5053+G5054</f>
        <v/>
      </c>
    </row>
    <row r="5055">
      <c r="A5055" s="9" t="n">
        <v>5051</v>
      </c>
      <c r="B5055" s="9" t="inlineStr">
        <is>
          <t>Ratchet</t>
        </is>
      </c>
      <c r="C5055" s="9" t="inlineStr">
        <is>
          <t>Stochastic scalp with give-back trail exit</t>
        </is>
      </c>
      <c r="D5055" s="9" t="inlineStr">
        <is>
          <t>Long</t>
        </is>
      </c>
      <c r="E5055" s="10" t="n">
        <v>45841.49305555555</v>
      </c>
      <c r="F5055" s="10" t="n">
        <v>45841.5</v>
      </c>
      <c r="G5055" s="11" t="n">
        <v>-3.44</v>
      </c>
      <c r="H5055" s="11">
        <f>H5054+G5055</f>
        <v/>
      </c>
    </row>
    <row r="5056">
      <c r="A5056" s="9" t="n">
        <v>5052</v>
      </c>
      <c r="B5056" s="9" t="inlineStr">
        <is>
          <t>Meridian</t>
        </is>
      </c>
      <c r="C5056" s="9" t="inlineStr">
        <is>
          <t>21/50 MA cross, 250-period confirm filter, VWAP</t>
        </is>
      </c>
      <c r="D5056" s="9" t="inlineStr">
        <is>
          <t>Long</t>
        </is>
      </c>
      <c r="E5056" s="10" t="n">
        <v>45841.32638888889</v>
      </c>
      <c r="F5056" s="10" t="n">
        <v>45841.52083333334</v>
      </c>
      <c r="G5056" s="11" t="n">
        <v>-0.45</v>
      </c>
      <c r="H5056" s="11">
        <f>H5055+G5056</f>
        <v/>
      </c>
    </row>
    <row r="5057">
      <c r="A5057" s="9" t="n">
        <v>5053</v>
      </c>
      <c r="B5057" s="9" t="inlineStr">
        <is>
          <t>Ratchet</t>
        </is>
      </c>
      <c r="C5057" s="9" t="inlineStr">
        <is>
          <t>Stochastic scalp with give-back trail exit</t>
        </is>
      </c>
      <c r="D5057" s="9" t="inlineStr">
        <is>
          <t>Short</t>
        </is>
      </c>
      <c r="E5057" s="10" t="n">
        <v>45841.75</v>
      </c>
      <c r="F5057" s="10" t="n">
        <v>45841.81597222222</v>
      </c>
      <c r="G5057" s="11" t="n">
        <v>-7.4</v>
      </c>
      <c r="H5057" s="11">
        <f>H5056+G5057</f>
        <v/>
      </c>
    </row>
    <row r="5058">
      <c r="A5058" s="9" t="n">
        <v>5054</v>
      </c>
      <c r="B5058" s="9" t="inlineStr">
        <is>
          <t>Meridian</t>
        </is>
      </c>
      <c r="C5058" s="9" t="inlineStr">
        <is>
          <t>21/50 MA cross, 250-period confirm filter, VWAP</t>
        </is>
      </c>
      <c r="D5058" s="9" t="inlineStr">
        <is>
          <t>Short</t>
        </is>
      </c>
      <c r="E5058" s="10" t="n">
        <v>45842.25347222222</v>
      </c>
      <c r="F5058" s="10" t="n">
        <v>45842.26041666666</v>
      </c>
      <c r="G5058" s="11" t="n">
        <v>-4.16</v>
      </c>
      <c r="H5058" s="11">
        <f>H5057+G5058</f>
        <v/>
      </c>
    </row>
    <row r="5059">
      <c r="A5059" s="9" t="n">
        <v>5055</v>
      </c>
      <c r="B5059" s="9" t="inlineStr">
        <is>
          <t>Vanguard_M5</t>
        </is>
      </c>
      <c r="C5059" s="9" t="inlineStr">
        <is>
          <t>Trendline breakout (fractal swing line) + VWAP/S-R distance gate</t>
        </is>
      </c>
      <c r="D5059" s="9" t="inlineStr">
        <is>
          <t>Long</t>
        </is>
      </c>
      <c r="E5059" s="10" t="n">
        <v>45845.04513888889</v>
      </c>
      <c r="F5059" s="10" t="n">
        <v>45845.04513888889</v>
      </c>
      <c r="G5059" s="11" t="n">
        <v>-6.47</v>
      </c>
      <c r="H5059" s="11">
        <f>H5058+G5059</f>
        <v/>
      </c>
    </row>
    <row r="5060">
      <c r="A5060" s="9" t="n">
        <v>5056</v>
      </c>
      <c r="B5060" s="9" t="inlineStr">
        <is>
          <t>Meridian</t>
        </is>
      </c>
      <c r="C5060" s="9" t="inlineStr">
        <is>
          <t>21/50 MA cross, 250-period confirm filter, VWAP</t>
        </is>
      </c>
      <c r="D5060" s="9" t="inlineStr">
        <is>
          <t>Long</t>
        </is>
      </c>
      <c r="E5060" s="10" t="n">
        <v>45842.82986111111</v>
      </c>
      <c r="F5060" s="10" t="n">
        <v>45845.05555555555</v>
      </c>
      <c r="G5060" s="11" t="n">
        <v>-3</v>
      </c>
      <c r="H5060" s="11">
        <f>H5059+G5060</f>
        <v/>
      </c>
    </row>
    <row r="5061">
      <c r="A5061" s="9" t="n">
        <v>5057</v>
      </c>
      <c r="B5061" s="9" t="inlineStr">
        <is>
          <t>Ratchet</t>
        </is>
      </c>
      <c r="C5061" s="9" t="inlineStr">
        <is>
          <t>Stochastic scalp with give-back trail exit</t>
        </is>
      </c>
      <c r="D5061" s="9" t="inlineStr">
        <is>
          <t>Short</t>
        </is>
      </c>
      <c r="E5061" s="10" t="n">
        <v>45845.11111111111</v>
      </c>
      <c r="F5061" s="10" t="n">
        <v>45845.11805555555</v>
      </c>
      <c r="G5061" s="11" t="n">
        <v>0.31</v>
      </c>
      <c r="H5061" s="11">
        <f>H5060+G5061</f>
        <v/>
      </c>
    </row>
    <row r="5062">
      <c r="A5062" s="9" t="n">
        <v>5058</v>
      </c>
      <c r="B5062" s="9" t="inlineStr">
        <is>
          <t>Ratchet</t>
        </is>
      </c>
      <c r="C5062" s="9" t="inlineStr">
        <is>
          <t>Stochastic scalp with give-back trail exit</t>
        </is>
      </c>
      <c r="D5062" s="9" t="inlineStr">
        <is>
          <t>Short</t>
        </is>
      </c>
      <c r="E5062" s="10" t="n">
        <v>45845.20486111111</v>
      </c>
      <c r="F5062" s="10" t="n">
        <v>45845.21875</v>
      </c>
      <c r="G5062" s="11" t="n">
        <v>0.76</v>
      </c>
      <c r="H5062" s="11">
        <f>H5061+G5062</f>
        <v/>
      </c>
    </row>
    <row r="5063">
      <c r="A5063" s="9" t="n">
        <v>5059</v>
      </c>
      <c r="B5063" s="9" t="inlineStr">
        <is>
          <t>Ratchet</t>
        </is>
      </c>
      <c r="C5063" s="9" t="inlineStr">
        <is>
          <t>Stochastic scalp with give-back trail exit</t>
        </is>
      </c>
      <c r="D5063" s="9" t="inlineStr">
        <is>
          <t>Short</t>
        </is>
      </c>
      <c r="E5063" s="10" t="n">
        <v>45845.41666666666</v>
      </c>
      <c r="F5063" s="10" t="n">
        <v>45845.42361111111</v>
      </c>
      <c r="G5063" s="11" t="n">
        <v>0.75</v>
      </c>
      <c r="H5063" s="11">
        <f>H5062+G5063</f>
        <v/>
      </c>
    </row>
    <row r="5064">
      <c r="A5064" s="9" t="n">
        <v>5060</v>
      </c>
      <c r="B5064" s="9" t="inlineStr">
        <is>
          <t>Aurelius_M5</t>
        </is>
      </c>
      <c r="C5064" s="9" t="inlineStr">
        <is>
          <t>MA alignment (EMA21&gt;EMA50&gt;SMA250&gt;SMMA500 vs EMA2400 trend filter)</t>
        </is>
      </c>
      <c r="D5064" s="9" t="inlineStr">
        <is>
          <t>Short</t>
        </is>
      </c>
      <c r="E5064" s="10" t="n">
        <v>45845.45138888889</v>
      </c>
      <c r="F5064" s="10" t="n">
        <v>45845.47916666666</v>
      </c>
      <c r="G5064" s="11" t="n">
        <v>-6.6</v>
      </c>
      <c r="H5064" s="11">
        <f>H5063+G5064</f>
        <v/>
      </c>
    </row>
    <row r="5065">
      <c r="A5065" s="9" t="n">
        <v>5061</v>
      </c>
      <c r="B5065" s="9" t="inlineStr">
        <is>
          <t>Aurelius_M5</t>
        </is>
      </c>
      <c r="C5065" s="9" t="inlineStr">
        <is>
          <t>MA alignment (EMA21&gt;EMA50&gt;SMA250&gt;SMMA500 vs EMA2400 trend filter)</t>
        </is>
      </c>
      <c r="D5065" s="9" t="inlineStr">
        <is>
          <t>Short</t>
        </is>
      </c>
      <c r="E5065" s="10" t="n">
        <v>45845.57291666666</v>
      </c>
      <c r="F5065" s="10" t="n">
        <v>45845.58680555555</v>
      </c>
      <c r="G5065" s="11" t="n">
        <v>-6.55</v>
      </c>
      <c r="H5065" s="11">
        <f>H5064+G5065</f>
        <v/>
      </c>
    </row>
    <row r="5066">
      <c r="A5066" s="9" t="n">
        <v>5062</v>
      </c>
      <c r="B5066" s="9" t="inlineStr">
        <is>
          <t>Meridian</t>
        </is>
      </c>
      <c r="C5066" s="9" t="inlineStr">
        <is>
          <t>21/50 MA cross, 250-period confirm filter, VWAP</t>
        </is>
      </c>
      <c r="D5066" s="9" t="inlineStr">
        <is>
          <t>Short</t>
        </is>
      </c>
      <c r="E5066" s="10" t="n">
        <v>45845.09027777778</v>
      </c>
      <c r="F5066" s="10" t="n">
        <v>45845.67013888889</v>
      </c>
      <c r="G5066" s="11" t="n">
        <v>21.59</v>
      </c>
      <c r="H5066" s="11">
        <f>H5065+G5066</f>
        <v/>
      </c>
    </row>
    <row r="5067">
      <c r="A5067" s="9" t="n">
        <v>5063</v>
      </c>
      <c r="B5067" s="9" t="inlineStr">
        <is>
          <t>Aurelius_M5</t>
        </is>
      </c>
      <c r="C5067" s="9" t="inlineStr">
        <is>
          <t>MA alignment (EMA21&gt;EMA50&gt;SMA250&gt;SMMA500 vs EMA2400 trend filter)</t>
        </is>
      </c>
      <c r="D5067" s="9" t="inlineStr">
        <is>
          <t>Short</t>
        </is>
      </c>
      <c r="E5067" s="10" t="n">
        <v>45845.64236111111</v>
      </c>
      <c r="F5067" s="10" t="n">
        <v>45845.67013888889</v>
      </c>
      <c r="G5067" s="11" t="n">
        <v>-4.8</v>
      </c>
      <c r="H5067" s="11">
        <f>H5066+G5067</f>
        <v/>
      </c>
    </row>
    <row r="5068">
      <c r="A5068" s="9" t="n">
        <v>5064</v>
      </c>
      <c r="B5068" s="9" t="inlineStr">
        <is>
          <t>Meridian</t>
        </is>
      </c>
      <c r="C5068" s="9" t="inlineStr">
        <is>
          <t>21/50 MA cross, 250-period confirm filter, VWAP</t>
        </is>
      </c>
      <c r="D5068" s="9" t="inlineStr">
        <is>
          <t>Long</t>
        </is>
      </c>
      <c r="E5068" s="10" t="n">
        <v>45846.24652777778</v>
      </c>
      <c r="F5068" s="10" t="n">
        <v>45846.25347222222</v>
      </c>
      <c r="G5068" s="11" t="n">
        <v>-4.02</v>
      </c>
      <c r="H5068" s="11">
        <f>H5067+G5068</f>
        <v/>
      </c>
    </row>
    <row r="5069">
      <c r="A5069" s="9" t="n">
        <v>5065</v>
      </c>
      <c r="B5069" s="9" t="inlineStr">
        <is>
          <t>Meridian</t>
        </is>
      </c>
      <c r="C5069" s="9" t="inlineStr">
        <is>
          <t>21/50 MA cross, 250-period confirm filter, VWAP</t>
        </is>
      </c>
      <c r="D5069" s="9" t="inlineStr">
        <is>
          <t>Long</t>
        </is>
      </c>
      <c r="E5069" s="10" t="n">
        <v>45846.36805555555</v>
      </c>
      <c r="F5069" s="10" t="n">
        <v>45846.38541666666</v>
      </c>
      <c r="G5069" s="11" t="n">
        <v>-4.05</v>
      </c>
      <c r="H5069" s="11">
        <f>H5068+G5069</f>
        <v/>
      </c>
    </row>
    <row r="5070">
      <c r="A5070" s="9" t="n">
        <v>5066</v>
      </c>
      <c r="B5070" s="9" t="inlineStr">
        <is>
          <t>Ratchet</t>
        </is>
      </c>
      <c r="C5070" s="9" t="inlineStr">
        <is>
          <t>Stochastic scalp with give-back trail exit</t>
        </is>
      </c>
      <c r="D5070" s="9" t="inlineStr">
        <is>
          <t>Long</t>
        </is>
      </c>
      <c r="E5070" s="10" t="n">
        <v>45846.39583333334</v>
      </c>
      <c r="F5070" s="10" t="n">
        <v>45846.43055555555</v>
      </c>
      <c r="G5070" s="11" t="n">
        <v>1.19</v>
      </c>
      <c r="H5070" s="11">
        <f>H5069+G5070</f>
        <v/>
      </c>
    </row>
    <row r="5071">
      <c r="A5071" s="9" t="n">
        <v>5067</v>
      </c>
      <c r="B5071" s="9" t="inlineStr">
        <is>
          <t>Vanguard_M15</t>
        </is>
      </c>
      <c r="C5071" s="9" t="inlineStr">
        <is>
          <t>Trendline breakout (fractal swing line) + VWAP/S-R distance gate - M15 chart</t>
        </is>
      </c>
      <c r="D5071" s="9" t="inlineStr">
        <is>
          <t>Long</t>
        </is>
      </c>
      <c r="E5071" s="10" t="n">
        <v>45845.82291666666</v>
      </c>
      <c r="F5071" s="10" t="n">
        <v>45846.64583333334</v>
      </c>
      <c r="G5071" s="11" t="n">
        <v>-0.24</v>
      </c>
      <c r="H5071" s="11">
        <f>H5070+G5071</f>
        <v/>
      </c>
    </row>
    <row r="5072">
      <c r="A5072" s="9" t="n">
        <v>5068</v>
      </c>
      <c r="B5072" s="9" t="inlineStr">
        <is>
          <t>Vanguard_M5</t>
        </is>
      </c>
      <c r="C5072" s="9" t="inlineStr">
        <is>
          <t>Trendline breakout (fractal swing line) + VWAP/S-R distance gate</t>
        </is>
      </c>
      <c r="D5072" s="9" t="inlineStr">
        <is>
          <t>Long</t>
        </is>
      </c>
      <c r="E5072" s="10" t="n">
        <v>45845.81944444445</v>
      </c>
      <c r="F5072" s="10" t="n">
        <v>45846.65277777778</v>
      </c>
      <c r="G5072" s="11" t="n">
        <v>-0.5</v>
      </c>
      <c r="H5072" s="11">
        <f>H5071+G5072</f>
        <v/>
      </c>
    </row>
    <row r="5073">
      <c r="A5073" s="9" t="n">
        <v>5069</v>
      </c>
      <c r="B5073" s="9" t="inlineStr">
        <is>
          <t>Ratchet</t>
        </is>
      </c>
      <c r="C5073" s="9" t="inlineStr">
        <is>
          <t>Stochastic scalp with give-back trail exit</t>
        </is>
      </c>
      <c r="D5073" s="9" t="inlineStr">
        <is>
          <t>Short</t>
        </is>
      </c>
      <c r="E5073" s="10" t="n">
        <v>45846.73611111111</v>
      </c>
      <c r="F5073" s="10" t="n">
        <v>45846.78125</v>
      </c>
      <c r="G5073" s="11" t="n">
        <v>2.93</v>
      </c>
      <c r="H5073" s="11">
        <f>H5072+G5073</f>
        <v/>
      </c>
    </row>
    <row r="5074">
      <c r="A5074" s="9" t="n">
        <v>5070</v>
      </c>
      <c r="B5074" s="9" t="inlineStr">
        <is>
          <t>Ratchet</t>
        </is>
      </c>
      <c r="C5074" s="9" t="inlineStr">
        <is>
          <t>Stochastic scalp with give-back trail exit</t>
        </is>
      </c>
      <c r="D5074" s="9" t="inlineStr">
        <is>
          <t>Short</t>
        </is>
      </c>
      <c r="E5074" s="10" t="n">
        <v>45846.79166666666</v>
      </c>
      <c r="F5074" s="10" t="n">
        <v>45846.83333333334</v>
      </c>
      <c r="G5074" s="11" t="n">
        <v>-5.77</v>
      </c>
      <c r="H5074" s="11">
        <f>H5073+G5074</f>
        <v/>
      </c>
    </row>
    <row r="5075">
      <c r="A5075" s="9" t="n">
        <v>5071</v>
      </c>
      <c r="B5075" s="9" t="inlineStr">
        <is>
          <t>Ratchet</t>
        </is>
      </c>
      <c r="C5075" s="9" t="inlineStr">
        <is>
          <t>Stochastic scalp with give-back trail exit</t>
        </is>
      </c>
      <c r="D5075" s="9" t="inlineStr">
        <is>
          <t>Short</t>
        </is>
      </c>
      <c r="E5075" s="10" t="n">
        <v>45847.06597222222</v>
      </c>
      <c r="F5075" s="10" t="n">
        <v>45847.09027777778</v>
      </c>
      <c r="G5075" s="11" t="n">
        <v>-2.6</v>
      </c>
      <c r="H5075" s="11">
        <f>H5074+G5075</f>
        <v/>
      </c>
    </row>
    <row r="5076">
      <c r="A5076" s="9" t="n">
        <v>5072</v>
      </c>
      <c r="B5076" s="9" t="inlineStr">
        <is>
          <t>Meridian</t>
        </is>
      </c>
      <c r="C5076" s="9" t="inlineStr">
        <is>
          <t>21/50 MA cross, 250-period confirm filter, VWAP</t>
        </is>
      </c>
      <c r="D5076" s="9" t="inlineStr">
        <is>
          <t>Short</t>
        </is>
      </c>
      <c r="E5076" s="10" t="n">
        <v>45846.67361111111</v>
      </c>
      <c r="F5076" s="10" t="n">
        <v>45847.14236111111</v>
      </c>
      <c r="G5076" s="11" t="n">
        <v>19.11</v>
      </c>
      <c r="H5076" s="11">
        <f>H5075+G5076</f>
        <v/>
      </c>
    </row>
    <row r="5077">
      <c r="A5077" s="9" t="n">
        <v>5073</v>
      </c>
      <c r="B5077" s="9" t="inlineStr">
        <is>
          <t>Ratchet</t>
        </is>
      </c>
      <c r="C5077" s="9" t="inlineStr">
        <is>
          <t>Stochastic scalp with give-back trail exit</t>
        </is>
      </c>
      <c r="D5077" s="9" t="inlineStr">
        <is>
          <t>Short</t>
        </is>
      </c>
      <c r="E5077" s="10" t="n">
        <v>45847.21527777778</v>
      </c>
      <c r="F5077" s="10" t="n">
        <v>45847.33680555555</v>
      </c>
      <c r="G5077" s="11" t="n">
        <v>3.73</v>
      </c>
      <c r="H5077" s="11">
        <f>H5076+G5077</f>
        <v/>
      </c>
    </row>
    <row r="5078">
      <c r="A5078" s="9" t="n">
        <v>5074</v>
      </c>
      <c r="B5078" s="9" t="inlineStr">
        <is>
          <t>Ratchet</t>
        </is>
      </c>
      <c r="C5078" s="9" t="inlineStr">
        <is>
          <t>Stochastic scalp with give-back trail exit</t>
        </is>
      </c>
      <c r="D5078" s="9" t="inlineStr">
        <is>
          <t>Short</t>
        </is>
      </c>
      <c r="E5078" s="10" t="n">
        <v>45847.5</v>
      </c>
      <c r="F5078" s="10" t="n">
        <v>45847.51041666666</v>
      </c>
      <c r="G5078" s="11" t="n">
        <v>-5.03</v>
      </c>
      <c r="H5078" s="11">
        <f>H5077+G5078</f>
        <v/>
      </c>
    </row>
    <row r="5079">
      <c r="A5079" s="9" t="n">
        <v>5075</v>
      </c>
      <c r="B5079" s="9" t="inlineStr">
        <is>
          <t>Meridian</t>
        </is>
      </c>
      <c r="C5079" s="9" t="inlineStr">
        <is>
          <t>21/50 MA cross, 250-period confirm filter, VWAP</t>
        </is>
      </c>
      <c r="D5079" s="9" t="inlineStr">
        <is>
          <t>Short</t>
        </is>
      </c>
      <c r="E5079" s="10" t="n">
        <v>45847.21527777778</v>
      </c>
      <c r="F5079" s="10" t="n">
        <v>45847.57291666666</v>
      </c>
      <c r="G5079" s="11" t="n">
        <v>5.93</v>
      </c>
      <c r="H5079" s="11">
        <f>H5078+G5079</f>
        <v/>
      </c>
    </row>
    <row r="5080">
      <c r="A5080" s="9" t="n">
        <v>5076</v>
      </c>
      <c r="B5080" s="9" t="inlineStr">
        <is>
          <t>Aurelius_M5</t>
        </is>
      </c>
      <c r="C5080" s="9" t="inlineStr">
        <is>
          <t>MA alignment (EMA21&gt;EMA50&gt;SMA250&gt;SMMA500 vs EMA2400 trend filter)</t>
        </is>
      </c>
      <c r="D5080" s="9" t="inlineStr">
        <is>
          <t>Short</t>
        </is>
      </c>
      <c r="E5080" s="10" t="n">
        <v>45847.23958333334</v>
      </c>
      <c r="F5080" s="10" t="n">
        <v>45847.57291666666</v>
      </c>
      <c r="G5080" s="11" t="n">
        <v>-0.57</v>
      </c>
      <c r="H5080" s="11">
        <f>H5079+G5080</f>
        <v/>
      </c>
    </row>
    <row r="5081">
      <c r="A5081" s="9" t="n">
        <v>5077</v>
      </c>
      <c r="B5081" s="9" t="inlineStr">
        <is>
          <t>Ratchet</t>
        </is>
      </c>
      <c r="C5081" s="9" t="inlineStr">
        <is>
          <t>Stochastic scalp with give-back trail exit</t>
        </is>
      </c>
      <c r="D5081" s="9" t="inlineStr">
        <is>
          <t>Short</t>
        </is>
      </c>
      <c r="E5081" s="10" t="n">
        <v>45847.62152777778</v>
      </c>
      <c r="F5081" s="10" t="n">
        <v>45847.62847222222</v>
      </c>
      <c r="G5081" s="11" t="n">
        <v>-3.38</v>
      </c>
      <c r="H5081" s="11">
        <f>H5080+G5081</f>
        <v/>
      </c>
    </row>
    <row r="5082">
      <c r="A5082" s="9" t="n">
        <v>5078</v>
      </c>
      <c r="B5082" s="9" t="inlineStr">
        <is>
          <t>Aurelius_M15</t>
        </is>
      </c>
      <c r="C5082" s="9" t="inlineStr">
        <is>
          <t>MA alignment (EMA21&gt;EMA50&gt;SMA250&gt;SMMA500 vs EMA2400 trend filter) - M15 chart</t>
        </is>
      </c>
      <c r="D5082" s="9" t="inlineStr">
        <is>
          <t>Short</t>
        </is>
      </c>
      <c r="E5082" s="10" t="n">
        <v>45846.70833333334</v>
      </c>
      <c r="F5082" s="10" t="n">
        <v>45847.73958333334</v>
      </c>
      <c r="G5082" s="11" t="n">
        <v>4.47</v>
      </c>
      <c r="H5082" s="11">
        <f>H5081+G5082</f>
        <v/>
      </c>
    </row>
    <row r="5083">
      <c r="A5083" s="9" t="n">
        <v>5079</v>
      </c>
      <c r="B5083" s="9" t="inlineStr">
        <is>
          <t>Ratchet</t>
        </is>
      </c>
      <c r="C5083" s="9" t="inlineStr">
        <is>
          <t>Stochastic scalp with give-back trail exit</t>
        </is>
      </c>
      <c r="D5083" s="9" t="inlineStr">
        <is>
          <t>Long</t>
        </is>
      </c>
      <c r="E5083" s="10" t="n">
        <v>45848.34375</v>
      </c>
      <c r="F5083" s="10" t="n">
        <v>45848.34722222222</v>
      </c>
      <c r="G5083" s="11" t="n">
        <v>-0.16</v>
      </c>
      <c r="H5083" s="11">
        <f>H5082+G5083</f>
        <v/>
      </c>
    </row>
    <row r="5084">
      <c r="A5084" s="9" t="n">
        <v>5080</v>
      </c>
      <c r="B5084" s="9" t="inlineStr">
        <is>
          <t>Aurelius_M5</t>
        </is>
      </c>
      <c r="C5084" s="9" t="inlineStr">
        <is>
          <t>MA alignment (EMA21&gt;EMA50&gt;SMA250&gt;SMMA500 vs EMA2400 trend filter)</t>
        </is>
      </c>
      <c r="D5084" s="9" t="inlineStr">
        <is>
          <t>Long</t>
        </is>
      </c>
      <c r="E5084" s="10" t="n">
        <v>45848.5625</v>
      </c>
      <c r="F5084" s="10" t="n">
        <v>45848.61805555555</v>
      </c>
      <c r="G5084" s="11" t="n">
        <v>-4.51</v>
      </c>
      <c r="H5084" s="11">
        <f>H5083+G5084</f>
        <v/>
      </c>
    </row>
    <row r="5085">
      <c r="A5085" s="9" t="n">
        <v>5081</v>
      </c>
      <c r="B5085" s="9" t="inlineStr">
        <is>
          <t>Meridian</t>
        </is>
      </c>
      <c r="C5085" s="9" t="inlineStr">
        <is>
          <t>21/50 MA cross, 250-period confirm filter, VWAP</t>
        </is>
      </c>
      <c r="D5085" s="9" t="inlineStr">
        <is>
          <t>Long</t>
        </is>
      </c>
      <c r="E5085" s="10" t="n">
        <v>45848.33680555555</v>
      </c>
      <c r="F5085" s="10" t="n">
        <v>45848.62152777778</v>
      </c>
      <c r="G5085" s="11" t="n">
        <v>-3.81</v>
      </c>
      <c r="H5085" s="11">
        <f>H5084+G5085</f>
        <v/>
      </c>
    </row>
    <row r="5086">
      <c r="A5086" s="9" t="n">
        <v>5082</v>
      </c>
      <c r="B5086" s="9" t="inlineStr">
        <is>
          <t>Meridian</t>
        </is>
      </c>
      <c r="C5086" s="9" t="inlineStr">
        <is>
          <t>21/50 MA cross, 250-period confirm filter, VWAP</t>
        </is>
      </c>
      <c r="D5086" s="9" t="inlineStr">
        <is>
          <t>Short</t>
        </is>
      </c>
      <c r="E5086" s="10" t="n">
        <v>45848.62847222222</v>
      </c>
      <c r="F5086" s="10" t="n">
        <v>45848.65277777778</v>
      </c>
      <c r="G5086" s="11" t="n">
        <v>-5.59</v>
      </c>
      <c r="H5086" s="11">
        <f>H5085+G5086</f>
        <v/>
      </c>
    </row>
    <row r="5087">
      <c r="A5087" s="9" t="n">
        <v>5083</v>
      </c>
      <c r="B5087" s="9" t="inlineStr">
        <is>
          <t>Meridian</t>
        </is>
      </c>
      <c r="C5087" s="9" t="inlineStr">
        <is>
          <t>21/50 MA cross, 250-period confirm filter, VWAP</t>
        </is>
      </c>
      <c r="D5087" s="9" t="inlineStr">
        <is>
          <t>Long</t>
        </is>
      </c>
      <c r="E5087" s="10" t="n">
        <v>45848.69444444445</v>
      </c>
      <c r="F5087" s="10" t="n">
        <v>45848.69791666666</v>
      </c>
      <c r="G5087" s="11" t="n">
        <v>-6.53</v>
      </c>
      <c r="H5087" s="11">
        <f>H5086+G5087</f>
        <v/>
      </c>
    </row>
    <row r="5088">
      <c r="A5088" s="9" t="n">
        <v>5084</v>
      </c>
      <c r="B5088" s="9" t="inlineStr">
        <is>
          <t>Ratchet</t>
        </is>
      </c>
      <c r="C5088" s="9" t="inlineStr">
        <is>
          <t>Stochastic scalp with give-back trail exit</t>
        </is>
      </c>
      <c r="D5088" s="9" t="inlineStr">
        <is>
          <t>Long</t>
        </is>
      </c>
      <c r="E5088" s="10" t="n">
        <v>45848.97569444445</v>
      </c>
      <c r="F5088" s="10" t="n">
        <v>45848.98263888889</v>
      </c>
      <c r="G5088" s="11" t="n">
        <v>0</v>
      </c>
      <c r="H5088" s="11">
        <f>H5087+G5088</f>
        <v/>
      </c>
    </row>
    <row r="5089">
      <c r="A5089" s="9" t="n">
        <v>5085</v>
      </c>
      <c r="B5089" s="9" t="inlineStr">
        <is>
          <t>Aurelius_M15</t>
        </is>
      </c>
      <c r="C5089" s="9" t="inlineStr">
        <is>
          <t>MA alignment (EMA21&gt;EMA50&gt;SMA250&gt;SMMA500 vs EMA2400 trend filter) - M15 chart</t>
        </is>
      </c>
      <c r="D5089" s="9" t="inlineStr">
        <is>
          <t>Long</t>
        </is>
      </c>
      <c r="E5089" s="10" t="n">
        <v>45849.16666666666</v>
      </c>
      <c r="F5089" s="10" t="n">
        <v>45849.17708333334</v>
      </c>
      <c r="G5089" s="11" t="n">
        <v>-4.28</v>
      </c>
      <c r="H5089" s="11">
        <f>H5088+G5089</f>
        <v/>
      </c>
    </row>
    <row r="5090">
      <c r="A5090" s="9" t="n">
        <v>5086</v>
      </c>
      <c r="B5090" s="9" t="inlineStr">
        <is>
          <t>Ratchet</t>
        </is>
      </c>
      <c r="C5090" s="9" t="inlineStr">
        <is>
          <t>Stochastic scalp with give-back trail exit</t>
        </is>
      </c>
      <c r="D5090" s="9" t="inlineStr">
        <is>
          <t>Long</t>
        </is>
      </c>
      <c r="E5090" s="10" t="n">
        <v>45849.22222222222</v>
      </c>
      <c r="F5090" s="10" t="n">
        <v>45849.25</v>
      </c>
      <c r="G5090" s="11" t="n">
        <v>0.93</v>
      </c>
      <c r="H5090" s="11">
        <f>H5089+G5090</f>
        <v/>
      </c>
    </row>
    <row r="5091">
      <c r="A5091" s="9" t="n">
        <v>5087</v>
      </c>
      <c r="B5091" s="9" t="inlineStr">
        <is>
          <t>Ratchet</t>
        </is>
      </c>
      <c r="C5091" s="9" t="inlineStr">
        <is>
          <t>Stochastic scalp with give-back trail exit</t>
        </is>
      </c>
      <c r="D5091" s="9" t="inlineStr">
        <is>
          <t>Long</t>
        </is>
      </c>
      <c r="E5091" s="10" t="n">
        <v>45849.30208333334</v>
      </c>
      <c r="F5091" s="10" t="n">
        <v>45849.30555555555</v>
      </c>
      <c r="G5091" s="11" t="n">
        <v>-2.35</v>
      </c>
      <c r="H5091" s="11">
        <f>H5090+G5091</f>
        <v/>
      </c>
    </row>
    <row r="5092">
      <c r="A5092" s="9" t="n">
        <v>5088</v>
      </c>
      <c r="B5092" s="9" t="inlineStr">
        <is>
          <t>Ratchet</t>
        </is>
      </c>
      <c r="C5092" s="9" t="inlineStr">
        <is>
          <t>Stochastic scalp with give-back trail exit</t>
        </is>
      </c>
      <c r="D5092" s="9" t="inlineStr">
        <is>
          <t>Long</t>
        </is>
      </c>
      <c r="E5092" s="10" t="n">
        <v>45849.60416666666</v>
      </c>
      <c r="F5092" s="10" t="n">
        <v>45849.63194444445</v>
      </c>
      <c r="G5092" s="11" t="n">
        <v>1.16</v>
      </c>
      <c r="H5092" s="11">
        <f>H5091+G5092</f>
        <v/>
      </c>
    </row>
    <row r="5093">
      <c r="A5093" s="9" t="n">
        <v>5089</v>
      </c>
      <c r="B5093" s="9" t="inlineStr">
        <is>
          <t>Ratchet</t>
        </is>
      </c>
      <c r="C5093" s="9" t="inlineStr">
        <is>
          <t>Stochastic scalp with give-back trail exit</t>
        </is>
      </c>
      <c r="D5093" s="9" t="inlineStr">
        <is>
          <t>Long</t>
        </is>
      </c>
      <c r="E5093" s="10" t="n">
        <v>45849.69444444445</v>
      </c>
      <c r="F5093" s="10" t="n">
        <v>45849.69791666666</v>
      </c>
      <c r="G5093" s="11" t="n">
        <v>-7.35</v>
      </c>
      <c r="H5093" s="11">
        <f>H5092+G5093</f>
        <v/>
      </c>
    </row>
    <row r="5094">
      <c r="A5094" s="9" t="n">
        <v>5090</v>
      </c>
      <c r="B5094" s="9" t="inlineStr">
        <is>
          <t>Ratchet</t>
        </is>
      </c>
      <c r="C5094" s="9" t="inlineStr">
        <is>
          <t>Stochastic scalp with give-back trail exit</t>
        </is>
      </c>
      <c r="D5094" s="9" t="inlineStr">
        <is>
          <t>Long</t>
        </is>
      </c>
      <c r="E5094" s="10" t="n">
        <v>45849.73611111111</v>
      </c>
      <c r="F5094" s="10" t="n">
        <v>45849.77430555555</v>
      </c>
      <c r="G5094" s="11" t="n">
        <v>3.16</v>
      </c>
      <c r="H5094" s="11">
        <f>H5093+G5094</f>
        <v/>
      </c>
    </row>
    <row r="5095">
      <c r="A5095" s="9" t="n">
        <v>5091</v>
      </c>
      <c r="B5095" s="9" t="inlineStr">
        <is>
          <t>Aurelius_M5</t>
        </is>
      </c>
      <c r="C5095" s="9" t="inlineStr">
        <is>
          <t>MA alignment (EMA21&gt;EMA50&gt;SMA250&gt;SMMA500 vs EMA2400 trend filter)</t>
        </is>
      </c>
      <c r="D5095" s="9" t="inlineStr">
        <is>
          <t>Long</t>
        </is>
      </c>
      <c r="E5095" s="10" t="n">
        <v>45849.125</v>
      </c>
      <c r="F5095" s="10" t="n">
        <v>45849.82638888889</v>
      </c>
      <c r="G5095" s="11" t="n">
        <v>30.01</v>
      </c>
      <c r="H5095" s="11">
        <f>H5094+G5095</f>
        <v/>
      </c>
    </row>
    <row r="5096">
      <c r="A5096" s="9" t="n">
        <v>5092</v>
      </c>
      <c r="B5096" s="9" t="inlineStr">
        <is>
          <t>Meridian</t>
        </is>
      </c>
      <c r="C5096" s="9" t="inlineStr">
        <is>
          <t>21/50 MA cross, 250-period confirm filter, VWAP</t>
        </is>
      </c>
      <c r="D5096" s="9" t="inlineStr">
        <is>
          <t>Long</t>
        </is>
      </c>
      <c r="E5096" s="10" t="n">
        <v>45848.91666666666</v>
      </c>
      <c r="F5096" s="10" t="n">
        <v>45849.84722222222</v>
      </c>
      <c r="G5096" s="11" t="n">
        <v>29.59</v>
      </c>
      <c r="H5096" s="11">
        <f>H5095+G5096</f>
        <v/>
      </c>
    </row>
    <row r="5097">
      <c r="A5097" s="9" t="n">
        <v>5093</v>
      </c>
      <c r="B5097" s="9" t="inlineStr">
        <is>
          <t>Meridian</t>
        </is>
      </c>
      <c r="C5097" s="9" t="inlineStr">
        <is>
          <t>21/50 MA cross, 250-period confirm filter, VWAP</t>
        </is>
      </c>
      <c r="D5097" s="9" t="inlineStr">
        <is>
          <t>Long</t>
        </is>
      </c>
      <c r="E5097" s="10" t="n">
        <v>45849.89583333334</v>
      </c>
      <c r="F5097" s="10" t="n">
        <v>45849.91666666666</v>
      </c>
      <c r="G5097" s="11" t="n">
        <v>0.2</v>
      </c>
      <c r="H5097" s="11">
        <f>H5096+G5097</f>
        <v/>
      </c>
    </row>
    <row r="5098">
      <c r="A5098" s="9" t="n">
        <v>5094</v>
      </c>
      <c r="B5098" s="9" t="inlineStr">
        <is>
          <t>Ratchet</t>
        </is>
      </c>
      <c r="C5098" s="9" t="inlineStr">
        <is>
          <t>Stochastic scalp with give-back trail exit</t>
        </is>
      </c>
      <c r="D5098" s="9" t="inlineStr">
        <is>
          <t>Long</t>
        </is>
      </c>
      <c r="E5098" s="10" t="n">
        <v>45852.56597222222</v>
      </c>
      <c r="F5098" s="10" t="n">
        <v>45852.56944444445</v>
      </c>
      <c r="G5098" s="11" t="n">
        <v>0.32</v>
      </c>
      <c r="H5098" s="11">
        <f>H5097+G5098</f>
        <v/>
      </c>
    </row>
    <row r="5099">
      <c r="A5099" s="9" t="n">
        <v>5095</v>
      </c>
      <c r="B5099" s="9" t="inlineStr">
        <is>
          <t>Ratchet</t>
        </is>
      </c>
      <c r="C5099" s="9" t="inlineStr">
        <is>
          <t>Stochastic scalp with give-back trail exit</t>
        </is>
      </c>
      <c r="D5099" s="9" t="inlineStr">
        <is>
          <t>Long</t>
        </is>
      </c>
      <c r="E5099" s="10" t="n">
        <v>45852.59722222222</v>
      </c>
      <c r="F5099" s="10" t="n">
        <v>45852.60069444445</v>
      </c>
      <c r="G5099" s="11" t="n">
        <v>-2.6</v>
      </c>
      <c r="H5099" s="11">
        <f>H5098+G5099</f>
        <v/>
      </c>
    </row>
    <row r="5100">
      <c r="A5100" s="9" t="n">
        <v>5096</v>
      </c>
      <c r="B5100" s="9" t="inlineStr">
        <is>
          <t>Aurelius_M5</t>
        </is>
      </c>
      <c r="C5100" s="9" t="inlineStr">
        <is>
          <t>MA alignment (EMA21&gt;EMA50&gt;SMA250&gt;SMMA500 vs EMA2400 trend filter)</t>
        </is>
      </c>
      <c r="D5100" s="9" t="inlineStr">
        <is>
          <t>Long</t>
        </is>
      </c>
      <c r="E5100" s="10" t="n">
        <v>45852.54513888889</v>
      </c>
      <c r="F5100" s="10" t="n">
        <v>45852.61458333334</v>
      </c>
      <c r="G5100" s="11" t="n">
        <v>-5.27</v>
      </c>
      <c r="H5100" s="11">
        <f>H5099+G5100</f>
        <v/>
      </c>
    </row>
    <row r="5101">
      <c r="A5101" s="9" t="n">
        <v>5097</v>
      </c>
      <c r="B5101" s="9" t="inlineStr">
        <is>
          <t>Vanguard_M15</t>
        </is>
      </c>
      <c r="C5101" s="9" t="inlineStr">
        <is>
          <t>Trendline breakout (fractal swing line) + VWAP/S-R distance gate - M15 chart</t>
        </is>
      </c>
      <c r="D5101" s="9" t="inlineStr">
        <is>
          <t>Long</t>
        </is>
      </c>
      <c r="E5101" s="10" t="n">
        <v>45849.13541666666</v>
      </c>
      <c r="F5101" s="10" t="n">
        <v>45852.64583333334</v>
      </c>
      <c r="G5101" s="11" t="n">
        <v>24.77</v>
      </c>
      <c r="H5101" s="11">
        <f>H5100+G5101</f>
        <v/>
      </c>
    </row>
    <row r="5102">
      <c r="A5102" s="9" t="n">
        <v>5098</v>
      </c>
      <c r="B5102" s="9" t="inlineStr">
        <is>
          <t>Vanguard_M5</t>
        </is>
      </c>
      <c r="C5102" s="9" t="inlineStr">
        <is>
          <t>Trendline breakout (fractal swing line) + VWAP/S-R distance gate</t>
        </is>
      </c>
      <c r="D5102" s="9" t="inlineStr">
        <is>
          <t>Long</t>
        </is>
      </c>
      <c r="E5102" s="10" t="n">
        <v>45849.13541666666</v>
      </c>
      <c r="F5102" s="10" t="n">
        <v>45852.64930555555</v>
      </c>
      <c r="G5102" s="11" t="n">
        <v>24.78</v>
      </c>
      <c r="H5102" s="11">
        <f>H5101+G5102</f>
        <v/>
      </c>
    </row>
    <row r="5103">
      <c r="A5103" s="9" t="n">
        <v>5099</v>
      </c>
      <c r="B5103" s="9" t="inlineStr">
        <is>
          <t>Meridian</t>
        </is>
      </c>
      <c r="C5103" s="9" t="inlineStr">
        <is>
          <t>21/50 MA cross, 250-period confirm filter, VWAP</t>
        </is>
      </c>
      <c r="D5103" s="9" t="inlineStr">
        <is>
          <t>Short</t>
        </is>
      </c>
      <c r="E5103" s="10" t="n">
        <v>45852.63541666666</v>
      </c>
      <c r="F5103" s="10" t="n">
        <v>45853.14930555555</v>
      </c>
      <c r="G5103" s="11" t="n">
        <v>14.31</v>
      </c>
      <c r="H5103" s="11">
        <f>H5102+G5103</f>
        <v/>
      </c>
    </row>
    <row r="5104">
      <c r="A5104" s="9" t="n">
        <v>5100</v>
      </c>
      <c r="B5104" s="9" t="inlineStr">
        <is>
          <t>Vanguard_M5</t>
        </is>
      </c>
      <c r="C5104" s="9" t="inlineStr">
        <is>
          <t>Trendline breakout (fractal swing line) + VWAP/S-R distance gate</t>
        </is>
      </c>
      <c r="D5104" s="9" t="inlineStr">
        <is>
          <t>Short</t>
        </is>
      </c>
      <c r="E5104" s="10" t="n">
        <v>45852.65277777778</v>
      </c>
      <c r="F5104" s="10" t="n">
        <v>45853.34027777778</v>
      </c>
      <c r="G5104" s="11" t="n">
        <v>-11.49</v>
      </c>
      <c r="H5104" s="11">
        <f>H5103+G5104</f>
        <v/>
      </c>
    </row>
    <row r="5105">
      <c r="A5105" s="9" t="n">
        <v>5101</v>
      </c>
      <c r="B5105" s="9" t="inlineStr">
        <is>
          <t>Vanguard_M15</t>
        </is>
      </c>
      <c r="C5105" s="9" t="inlineStr">
        <is>
          <t>Trendline breakout (fractal swing line) + VWAP/S-R distance gate - M15 chart</t>
        </is>
      </c>
      <c r="D5105" s="9" t="inlineStr">
        <is>
          <t>Short</t>
        </is>
      </c>
      <c r="E5105" s="10" t="n">
        <v>45852.65625</v>
      </c>
      <c r="F5105" s="10" t="n">
        <v>45853.35416666666</v>
      </c>
      <c r="G5105" s="11" t="n">
        <v>-13.27</v>
      </c>
      <c r="H5105" s="11">
        <f>H5104+G5105</f>
        <v/>
      </c>
    </row>
    <row r="5106">
      <c r="A5106" s="9" t="n">
        <v>5102</v>
      </c>
      <c r="B5106" s="9" t="inlineStr">
        <is>
          <t>Ratchet</t>
        </is>
      </c>
      <c r="C5106" s="9" t="inlineStr">
        <is>
          <t>Stochastic scalp with give-back trail exit</t>
        </is>
      </c>
      <c r="D5106" s="9" t="inlineStr">
        <is>
          <t>Long</t>
        </is>
      </c>
      <c r="E5106" s="10" t="n">
        <v>45853.44444444445</v>
      </c>
      <c r="F5106" s="10" t="n">
        <v>45853.45833333334</v>
      </c>
      <c r="G5106" s="11" t="n">
        <v>0.4</v>
      </c>
      <c r="H5106" s="11">
        <f>H5105+G5106</f>
        <v/>
      </c>
    </row>
    <row r="5107">
      <c r="A5107" s="9" t="n">
        <v>5103</v>
      </c>
      <c r="B5107" s="9" t="inlineStr">
        <is>
          <t>Aurelius_M5</t>
        </is>
      </c>
      <c r="C5107" s="9" t="inlineStr">
        <is>
          <t>MA alignment (EMA21&gt;EMA50&gt;SMA250&gt;SMMA500 vs EMA2400 trend filter)</t>
        </is>
      </c>
      <c r="D5107" s="9" t="inlineStr">
        <is>
          <t>Long</t>
        </is>
      </c>
      <c r="E5107" s="10" t="n">
        <v>45853.45138888889</v>
      </c>
      <c r="F5107" s="10" t="n">
        <v>45853.46875</v>
      </c>
      <c r="G5107" s="11" t="n">
        <v>-4.44</v>
      </c>
      <c r="H5107" s="11">
        <f>H5106+G5107</f>
        <v/>
      </c>
    </row>
    <row r="5108">
      <c r="A5108" s="9" t="n">
        <v>5104</v>
      </c>
      <c r="B5108" s="9" t="inlineStr">
        <is>
          <t>Aurelius_M5</t>
        </is>
      </c>
      <c r="C5108" s="9" t="inlineStr">
        <is>
          <t>MA alignment (EMA21&gt;EMA50&gt;SMA250&gt;SMMA500 vs EMA2400 trend filter)</t>
        </is>
      </c>
      <c r="D5108" s="9" t="inlineStr">
        <is>
          <t>Long</t>
        </is>
      </c>
      <c r="E5108" s="10" t="n">
        <v>45853.48958333334</v>
      </c>
      <c r="F5108" s="10" t="n">
        <v>45853.60069444445</v>
      </c>
      <c r="G5108" s="11" t="n">
        <v>-3.75</v>
      </c>
      <c r="H5108" s="11">
        <f>H5107+G5108</f>
        <v/>
      </c>
    </row>
    <row r="5109">
      <c r="A5109" s="9" t="n">
        <v>5105</v>
      </c>
      <c r="B5109" s="9" t="inlineStr">
        <is>
          <t>Ratchet</t>
        </is>
      </c>
      <c r="C5109" s="9" t="inlineStr">
        <is>
          <t>Stochastic scalp with give-back trail exit</t>
        </is>
      </c>
      <c r="D5109" s="9" t="inlineStr">
        <is>
          <t>Short</t>
        </is>
      </c>
      <c r="E5109" s="10" t="n">
        <v>45853.86111111111</v>
      </c>
      <c r="F5109" s="10" t="n">
        <v>45853.89583333334</v>
      </c>
      <c r="G5109" s="11" t="n">
        <v>0.53</v>
      </c>
      <c r="H5109" s="11">
        <f>H5108+G5109</f>
        <v/>
      </c>
    </row>
    <row r="5110">
      <c r="A5110" s="9" t="n">
        <v>5106</v>
      </c>
      <c r="B5110" s="9" t="inlineStr">
        <is>
          <t>Ratchet</t>
        </is>
      </c>
      <c r="C5110" s="9" t="inlineStr">
        <is>
          <t>Stochastic scalp with give-back trail exit</t>
        </is>
      </c>
      <c r="D5110" s="9" t="inlineStr">
        <is>
          <t>Short</t>
        </is>
      </c>
      <c r="E5110" s="10" t="n">
        <v>45854.05902777778</v>
      </c>
      <c r="F5110" s="10" t="n">
        <v>45854.07986111111</v>
      </c>
      <c r="G5110" s="11" t="n">
        <v>-0</v>
      </c>
      <c r="H5110" s="11">
        <f>H5109+G5110</f>
        <v/>
      </c>
    </row>
    <row r="5111">
      <c r="A5111" s="9" t="n">
        <v>5107</v>
      </c>
      <c r="B5111" s="9" t="inlineStr">
        <is>
          <t>Meridian</t>
        </is>
      </c>
      <c r="C5111" s="9" t="inlineStr">
        <is>
          <t>21/50 MA cross, 250-period confirm filter, VWAP</t>
        </is>
      </c>
      <c r="D5111" s="9" t="inlineStr">
        <is>
          <t>Short</t>
        </is>
      </c>
      <c r="E5111" s="10" t="n">
        <v>45854.23958333334</v>
      </c>
      <c r="F5111" s="10" t="n">
        <v>45854.26736111111</v>
      </c>
      <c r="G5111" s="11" t="n">
        <v>-4.07</v>
      </c>
      <c r="H5111" s="11">
        <f>H5110+G5111</f>
        <v/>
      </c>
    </row>
    <row r="5112">
      <c r="A5112" s="9" t="n">
        <v>5108</v>
      </c>
      <c r="B5112" s="9" t="inlineStr">
        <is>
          <t>Ratchet</t>
        </is>
      </c>
      <c r="C5112" s="9" t="inlineStr">
        <is>
          <t>Stochastic scalp with give-back trail exit</t>
        </is>
      </c>
      <c r="D5112" s="9" t="inlineStr">
        <is>
          <t>Short</t>
        </is>
      </c>
      <c r="E5112" s="10" t="n">
        <v>45854.71527777778</v>
      </c>
      <c r="F5112" s="10" t="n">
        <v>45854.73263888889</v>
      </c>
      <c r="G5112" s="11" t="n">
        <v>0.79</v>
      </c>
      <c r="H5112" s="11">
        <f>H5111+G5112</f>
        <v/>
      </c>
    </row>
    <row r="5113">
      <c r="A5113" s="9" t="n">
        <v>5109</v>
      </c>
      <c r="B5113" s="9" t="inlineStr">
        <is>
          <t>Vanguard_M5</t>
        </is>
      </c>
      <c r="C5113" s="9" t="inlineStr">
        <is>
          <t>Trendline breakout (fractal swing line) + VWAP/S-R distance gate</t>
        </is>
      </c>
      <c r="D5113" s="9" t="inlineStr">
        <is>
          <t>Short</t>
        </is>
      </c>
      <c r="E5113" s="10" t="n">
        <v>45853.62847222222</v>
      </c>
      <c r="F5113" s="10" t="n">
        <v>45854.76041666666</v>
      </c>
      <c r="G5113" s="11" t="n">
        <v>-7.46</v>
      </c>
      <c r="H5113" s="11">
        <f>H5112+G5113</f>
        <v/>
      </c>
    </row>
    <row r="5114">
      <c r="A5114" s="9" t="n">
        <v>5110</v>
      </c>
      <c r="B5114" s="9" t="inlineStr">
        <is>
          <t>Vanguard_M15</t>
        </is>
      </c>
      <c r="C5114" s="9" t="inlineStr">
        <is>
          <t>Trendline breakout (fractal swing line) + VWAP/S-R distance gate - M15 chart</t>
        </is>
      </c>
      <c r="D5114" s="9" t="inlineStr">
        <is>
          <t>Short</t>
        </is>
      </c>
      <c r="E5114" s="10" t="n">
        <v>45853.63541666666</v>
      </c>
      <c r="F5114" s="10" t="n">
        <v>45854.76041666666</v>
      </c>
      <c r="G5114" s="11" t="n">
        <v>-9.93</v>
      </c>
      <c r="H5114" s="11">
        <f>H5113+G5114</f>
        <v/>
      </c>
    </row>
    <row r="5115">
      <c r="A5115" s="9" t="n">
        <v>5111</v>
      </c>
      <c r="B5115" s="9" t="inlineStr">
        <is>
          <t>Vanguard_M15</t>
        </is>
      </c>
      <c r="C5115" s="9" t="inlineStr">
        <is>
          <t>Trendline breakout (fractal swing line) + VWAP/S-R distance gate - M15 chart</t>
        </is>
      </c>
      <c r="D5115" s="9" t="inlineStr">
        <is>
          <t>Long</t>
        </is>
      </c>
      <c r="E5115" s="10" t="n">
        <v>45854.77083333334</v>
      </c>
      <c r="F5115" s="10" t="n">
        <v>45854.78125</v>
      </c>
      <c r="G5115" s="11" t="n">
        <v>-22.62</v>
      </c>
      <c r="H5115" s="11">
        <f>H5114+G5115</f>
        <v/>
      </c>
    </row>
    <row r="5116">
      <c r="A5116" s="9" t="n">
        <v>5112</v>
      </c>
      <c r="B5116" s="9" t="inlineStr">
        <is>
          <t>Vanguard_M5</t>
        </is>
      </c>
      <c r="C5116" s="9" t="inlineStr">
        <is>
          <t>Trendline breakout (fractal swing line) + VWAP/S-R distance gate</t>
        </is>
      </c>
      <c r="D5116" s="9" t="inlineStr">
        <is>
          <t>Long</t>
        </is>
      </c>
      <c r="E5116" s="10" t="n">
        <v>45854.76388888889</v>
      </c>
      <c r="F5116" s="10" t="n">
        <v>45854.78819444445</v>
      </c>
      <c r="G5116" s="11" t="n">
        <v>-27.31</v>
      </c>
      <c r="H5116" s="11">
        <f>H5115+G5116</f>
        <v/>
      </c>
    </row>
    <row r="5117">
      <c r="A5117" s="9" t="n">
        <v>5113</v>
      </c>
      <c r="B5117" s="9" t="inlineStr">
        <is>
          <t>Meridian</t>
        </is>
      </c>
      <c r="C5117" s="9" t="inlineStr">
        <is>
          <t>21/50 MA cross, 250-period confirm filter, VWAP</t>
        </is>
      </c>
      <c r="D5117" s="9" t="inlineStr">
        <is>
          <t>Long</t>
        </is>
      </c>
      <c r="E5117" s="10" t="n">
        <v>45854.76041666666</v>
      </c>
      <c r="F5117" s="10" t="n">
        <v>45854.95833333334</v>
      </c>
      <c r="G5117" s="11" t="n">
        <v>-1.74</v>
      </c>
      <c r="H5117" s="11">
        <f>H5116+G5117</f>
        <v/>
      </c>
    </row>
    <row r="5118">
      <c r="A5118" s="9" t="n">
        <v>5114</v>
      </c>
      <c r="B5118" s="9" t="inlineStr">
        <is>
          <t>Meridian</t>
        </is>
      </c>
      <c r="C5118" s="9" t="inlineStr">
        <is>
          <t>21/50 MA cross, 250-period confirm filter, VWAP</t>
        </is>
      </c>
      <c r="D5118" s="9" t="inlineStr">
        <is>
          <t>Long</t>
        </is>
      </c>
      <c r="E5118" s="10" t="n">
        <v>45855.05902777778</v>
      </c>
      <c r="F5118" s="10" t="n">
        <v>45855.10416666666</v>
      </c>
      <c r="G5118" s="11" t="n">
        <v>-2.87</v>
      </c>
      <c r="H5118" s="11">
        <f>H5117+G5118</f>
        <v/>
      </c>
    </row>
    <row r="5119">
      <c r="A5119" s="9" t="n">
        <v>5115</v>
      </c>
      <c r="B5119" s="9" t="inlineStr">
        <is>
          <t>Vanguard_M5</t>
        </is>
      </c>
      <c r="C5119" s="9" t="inlineStr">
        <is>
          <t>Trendline breakout (fractal swing line) + VWAP/S-R distance gate</t>
        </is>
      </c>
      <c r="D5119" s="9" t="inlineStr">
        <is>
          <t>Long</t>
        </is>
      </c>
      <c r="E5119" s="10" t="n">
        <v>45854.86805555555</v>
      </c>
      <c r="F5119" s="10" t="n">
        <v>45855.16666666666</v>
      </c>
      <c r="G5119" s="11" t="n">
        <v>-17.45</v>
      </c>
      <c r="H5119" s="11">
        <f>H5118+G5119</f>
        <v/>
      </c>
    </row>
    <row r="5120">
      <c r="A5120" s="9" t="n">
        <v>5116</v>
      </c>
      <c r="B5120" s="9" t="inlineStr">
        <is>
          <t>Ratchet</t>
        </is>
      </c>
      <c r="C5120" s="9" t="inlineStr">
        <is>
          <t>Stochastic scalp with give-back trail exit</t>
        </is>
      </c>
      <c r="D5120" s="9" t="inlineStr">
        <is>
          <t>Short</t>
        </is>
      </c>
      <c r="E5120" s="10" t="n">
        <v>45855.36458333334</v>
      </c>
      <c r="F5120" s="10" t="n">
        <v>45855.375</v>
      </c>
      <c r="G5120" s="11" t="n">
        <v>-2.79</v>
      </c>
      <c r="H5120" s="11">
        <f>H5119+G5120</f>
        <v/>
      </c>
    </row>
    <row r="5121">
      <c r="A5121" s="9" t="n">
        <v>5117</v>
      </c>
      <c r="B5121" s="9" t="inlineStr">
        <is>
          <t>Ratchet</t>
        </is>
      </c>
      <c r="C5121" s="9" t="inlineStr">
        <is>
          <t>Stochastic scalp with give-back trail exit</t>
        </is>
      </c>
      <c r="D5121" s="9" t="inlineStr">
        <is>
          <t>Short</t>
        </is>
      </c>
      <c r="E5121" s="10" t="n">
        <v>45855.39930555555</v>
      </c>
      <c r="F5121" s="10" t="n">
        <v>45855.40972222222</v>
      </c>
      <c r="G5121" s="11" t="n">
        <v>-3.99</v>
      </c>
      <c r="H5121" s="11">
        <f>H5120+G5121</f>
        <v/>
      </c>
    </row>
    <row r="5122">
      <c r="A5122" s="9" t="n">
        <v>5118</v>
      </c>
      <c r="B5122" s="9" t="inlineStr">
        <is>
          <t>Meridian</t>
        </is>
      </c>
      <c r="C5122" s="9" t="inlineStr">
        <is>
          <t>21/50 MA cross, 250-period confirm filter, VWAP</t>
        </is>
      </c>
      <c r="D5122" s="9" t="inlineStr">
        <is>
          <t>Long</t>
        </is>
      </c>
      <c r="E5122" s="10" t="n">
        <v>45856.22222222222</v>
      </c>
      <c r="F5122" s="10" t="n">
        <v>45856.23958333334</v>
      </c>
      <c r="G5122" s="11" t="n">
        <v>-4.59</v>
      </c>
      <c r="H5122" s="11">
        <f>H5121+G5122</f>
        <v/>
      </c>
    </row>
    <row r="5123">
      <c r="A5123" s="9" t="n">
        <v>5119</v>
      </c>
      <c r="B5123" s="9" t="inlineStr">
        <is>
          <t>Ratchet</t>
        </is>
      </c>
      <c r="C5123" s="9" t="inlineStr">
        <is>
          <t>Stochastic scalp with give-back trail exit</t>
        </is>
      </c>
      <c r="D5123" s="9" t="inlineStr">
        <is>
          <t>Long</t>
        </is>
      </c>
      <c r="E5123" s="10" t="n">
        <v>45856.46180555555</v>
      </c>
      <c r="F5123" s="10" t="n">
        <v>45856.46875</v>
      </c>
      <c r="G5123" s="11" t="n">
        <v>-3.04</v>
      </c>
      <c r="H5123" s="11">
        <f>H5122+G5123</f>
        <v/>
      </c>
    </row>
    <row r="5124">
      <c r="A5124" s="9" t="n">
        <v>5120</v>
      </c>
      <c r="B5124" s="9" t="inlineStr">
        <is>
          <t>Ratchet</t>
        </is>
      </c>
      <c r="C5124" s="9" t="inlineStr">
        <is>
          <t>Stochastic scalp with give-back trail exit</t>
        </is>
      </c>
      <c r="D5124" s="9" t="inlineStr">
        <is>
          <t>Long</t>
        </is>
      </c>
      <c r="E5124" s="10" t="n">
        <v>45856.59375</v>
      </c>
      <c r="F5124" s="10" t="n">
        <v>45856.61805555555</v>
      </c>
      <c r="G5124" s="11" t="n">
        <v>0.86</v>
      </c>
      <c r="H5124" s="11">
        <f>H5123+G5124</f>
        <v/>
      </c>
    </row>
    <row r="5125">
      <c r="A5125" s="9" t="n">
        <v>5121</v>
      </c>
      <c r="B5125" s="9" t="inlineStr">
        <is>
          <t>Meridian</t>
        </is>
      </c>
      <c r="C5125" s="9" t="inlineStr">
        <is>
          <t>21/50 MA cross, 250-period confirm filter, VWAP</t>
        </is>
      </c>
      <c r="D5125" s="9" t="inlineStr">
        <is>
          <t>Long</t>
        </is>
      </c>
      <c r="E5125" s="10" t="n">
        <v>45856.40972222222</v>
      </c>
      <c r="F5125" s="10" t="n">
        <v>45856.77430555555</v>
      </c>
      <c r="G5125" s="11" t="n">
        <v>11.53</v>
      </c>
      <c r="H5125" s="11">
        <f>H5124+G5125</f>
        <v/>
      </c>
    </row>
    <row r="5126">
      <c r="A5126" s="9" t="n">
        <v>5122</v>
      </c>
      <c r="B5126" s="9" t="inlineStr">
        <is>
          <t>Aurelius_M5</t>
        </is>
      </c>
      <c r="C5126" s="9" t="inlineStr">
        <is>
          <t>MA alignment (EMA21&gt;EMA50&gt;SMA250&gt;SMMA500 vs EMA2400 trend filter)</t>
        </is>
      </c>
      <c r="D5126" s="9" t="inlineStr">
        <is>
          <t>Long</t>
        </is>
      </c>
      <c r="E5126" s="10" t="n">
        <v>45856.71875</v>
      </c>
      <c r="F5126" s="10" t="n">
        <v>45856.77430555555</v>
      </c>
      <c r="G5126" s="11" t="n">
        <v>-2.61</v>
      </c>
      <c r="H5126" s="11">
        <f>H5125+G5126</f>
        <v/>
      </c>
    </row>
    <row r="5127">
      <c r="A5127" s="9" t="n">
        <v>5123</v>
      </c>
      <c r="B5127" s="9" t="inlineStr">
        <is>
          <t>Vanguard_M15</t>
        </is>
      </c>
      <c r="C5127" s="9" t="inlineStr">
        <is>
          <t>Trendline breakout (fractal swing line) + VWAP/S-R distance gate - M15 chart</t>
        </is>
      </c>
      <c r="D5127" s="9" t="inlineStr">
        <is>
          <t>Long</t>
        </is>
      </c>
      <c r="E5127" s="10" t="n">
        <v>45859.1875</v>
      </c>
      <c r="F5127" s="10" t="n">
        <v>45859.1875</v>
      </c>
      <c r="G5127" s="11" t="n">
        <v>-1.37</v>
      </c>
      <c r="H5127" s="11">
        <f>H5126+G5127</f>
        <v/>
      </c>
    </row>
    <row r="5128">
      <c r="A5128" s="9" t="n">
        <v>5124</v>
      </c>
      <c r="B5128" s="9" t="inlineStr">
        <is>
          <t>Vanguard_M5</t>
        </is>
      </c>
      <c r="C5128" s="9" t="inlineStr">
        <is>
          <t>Trendline breakout (fractal swing line) + VWAP/S-R distance gate</t>
        </is>
      </c>
      <c r="D5128" s="9" t="inlineStr">
        <is>
          <t>Long</t>
        </is>
      </c>
      <c r="E5128" s="10" t="n">
        <v>45859.17361111111</v>
      </c>
      <c r="F5128" s="10" t="n">
        <v>45859.19444444445</v>
      </c>
      <c r="G5128" s="11" t="n">
        <v>-0.59</v>
      </c>
      <c r="H5128" s="11">
        <f>H5127+G5128</f>
        <v/>
      </c>
    </row>
    <row r="5129">
      <c r="A5129" s="9" t="n">
        <v>5125</v>
      </c>
      <c r="B5129" s="9" t="inlineStr">
        <is>
          <t>Ratchet</t>
        </is>
      </c>
      <c r="C5129" s="9" t="inlineStr">
        <is>
          <t>Stochastic scalp with give-back trail exit</t>
        </is>
      </c>
      <c r="D5129" s="9" t="inlineStr">
        <is>
          <t>Long</t>
        </is>
      </c>
      <c r="E5129" s="10" t="n">
        <v>45859.19097222222</v>
      </c>
      <c r="F5129" s="10" t="n">
        <v>45859.19791666666</v>
      </c>
      <c r="G5129" s="11" t="n">
        <v>-2.9</v>
      </c>
      <c r="H5129" s="11">
        <f>H5128+G5129</f>
        <v/>
      </c>
    </row>
    <row r="5130">
      <c r="A5130" s="9" t="n">
        <v>5126</v>
      </c>
      <c r="B5130" s="9" t="inlineStr">
        <is>
          <t>Aurelius_M5</t>
        </is>
      </c>
      <c r="C5130" s="9" t="inlineStr">
        <is>
          <t>MA alignment (EMA21&gt;EMA50&gt;SMA250&gt;SMMA500 vs EMA2400 trend filter)</t>
        </is>
      </c>
      <c r="D5130" s="9" t="inlineStr">
        <is>
          <t>Long</t>
        </is>
      </c>
      <c r="E5130" s="10" t="n">
        <v>45859.26736111111</v>
      </c>
      <c r="F5130" s="10" t="n">
        <v>45859.28819444445</v>
      </c>
      <c r="G5130" s="11" t="n">
        <v>-3.9</v>
      </c>
      <c r="H5130" s="11">
        <f>H5129+G5130</f>
        <v/>
      </c>
    </row>
    <row r="5131">
      <c r="A5131" s="9" t="n">
        <v>5127</v>
      </c>
      <c r="B5131" s="9" t="inlineStr">
        <is>
          <t>Vanguard_M5</t>
        </is>
      </c>
      <c r="C5131" s="9" t="inlineStr">
        <is>
          <t>Trendline breakout (fractal swing line) + VWAP/S-R distance gate</t>
        </is>
      </c>
      <c r="D5131" s="9" t="inlineStr">
        <is>
          <t>Long</t>
        </is>
      </c>
      <c r="E5131" s="10" t="n">
        <v>45859.20486111111</v>
      </c>
      <c r="F5131" s="10" t="n">
        <v>45859.29513888889</v>
      </c>
      <c r="G5131" s="11" t="n">
        <v>-6.27</v>
      </c>
      <c r="H5131" s="11">
        <f>H5130+G5131</f>
        <v/>
      </c>
    </row>
    <row r="5132">
      <c r="A5132" s="9" t="n">
        <v>5128</v>
      </c>
      <c r="B5132" s="9" t="inlineStr">
        <is>
          <t>Meridian</t>
        </is>
      </c>
      <c r="C5132" s="9" t="inlineStr">
        <is>
          <t>21/50 MA cross, 250-period confirm filter, VWAP</t>
        </is>
      </c>
      <c r="D5132" s="9" t="inlineStr">
        <is>
          <t>Long</t>
        </is>
      </c>
      <c r="E5132" s="10" t="n">
        <v>45859.14930555555</v>
      </c>
      <c r="F5132" s="10" t="n">
        <v>45859.29861111111</v>
      </c>
      <c r="G5132" s="11" t="n">
        <v>-1.1</v>
      </c>
      <c r="H5132" s="11">
        <f>H5131+G5132</f>
        <v/>
      </c>
    </row>
    <row r="5133">
      <c r="A5133" s="9" t="n">
        <v>5129</v>
      </c>
      <c r="B5133" s="9" t="inlineStr">
        <is>
          <t>Ratchet</t>
        </is>
      </c>
      <c r="C5133" s="9" t="inlineStr">
        <is>
          <t>Stochastic scalp with give-back trail exit</t>
        </is>
      </c>
      <c r="D5133" s="9" t="inlineStr">
        <is>
          <t>Long</t>
        </is>
      </c>
      <c r="E5133" s="10" t="n">
        <v>45859.32638888889</v>
      </c>
      <c r="F5133" s="10" t="n">
        <v>45859.60416666666</v>
      </c>
      <c r="G5133" s="11" t="n">
        <v>16.36</v>
      </c>
      <c r="H5133" s="11">
        <f>H5132+G5133</f>
        <v/>
      </c>
    </row>
    <row r="5134">
      <c r="A5134" s="9" t="n">
        <v>5130</v>
      </c>
      <c r="B5134" s="9" t="inlineStr">
        <is>
          <t>Ratchet</t>
        </is>
      </c>
      <c r="C5134" s="9" t="inlineStr">
        <is>
          <t>Stochastic scalp with give-back trail exit</t>
        </is>
      </c>
      <c r="D5134" s="9" t="inlineStr">
        <is>
          <t>Long</t>
        </is>
      </c>
      <c r="E5134" s="10" t="n">
        <v>45859.71180555555</v>
      </c>
      <c r="F5134" s="10" t="n">
        <v>45859.84375</v>
      </c>
      <c r="G5134" s="11" t="n">
        <v>3.51</v>
      </c>
      <c r="H5134" s="11">
        <f>H5133+G5134</f>
        <v/>
      </c>
    </row>
    <row r="5135">
      <c r="A5135" s="9" t="n">
        <v>5131</v>
      </c>
      <c r="B5135" s="9" t="inlineStr">
        <is>
          <t>Aurelius_M5</t>
        </is>
      </c>
      <c r="C5135" s="9" t="inlineStr">
        <is>
          <t>MA alignment (EMA21&gt;EMA50&gt;SMA250&gt;SMMA500 vs EMA2400 trend filter)</t>
        </is>
      </c>
      <c r="D5135" s="9" t="inlineStr">
        <is>
          <t>Long</t>
        </is>
      </c>
      <c r="E5135" s="10" t="n">
        <v>45859.34027777778</v>
      </c>
      <c r="F5135" s="10" t="n">
        <v>45859.86111111111</v>
      </c>
      <c r="G5135" s="11" t="n">
        <v>32.65</v>
      </c>
      <c r="H5135" s="11">
        <f>H5134+G5135</f>
        <v/>
      </c>
    </row>
    <row r="5136">
      <c r="A5136" s="9" t="n">
        <v>5132</v>
      </c>
      <c r="B5136" s="9" t="inlineStr">
        <is>
          <t>Ratchet</t>
        </is>
      </c>
      <c r="C5136" s="9" t="inlineStr">
        <is>
          <t>Stochastic scalp with give-back trail exit</t>
        </is>
      </c>
      <c r="D5136" s="9" t="inlineStr">
        <is>
          <t>Long</t>
        </is>
      </c>
      <c r="E5136" s="10" t="n">
        <v>45859.92361111111</v>
      </c>
      <c r="F5136" s="10" t="n">
        <v>45859.95138888889</v>
      </c>
      <c r="G5136" s="11" t="n">
        <v>0.95</v>
      </c>
      <c r="H5136" s="11">
        <f>H5135+G5136</f>
        <v/>
      </c>
    </row>
    <row r="5137">
      <c r="A5137" s="9" t="n">
        <v>5133</v>
      </c>
      <c r="B5137" s="9" t="inlineStr">
        <is>
          <t>Ratchet</t>
        </is>
      </c>
      <c r="C5137" s="9" t="inlineStr">
        <is>
          <t>Stochastic scalp with give-back trail exit</t>
        </is>
      </c>
      <c r="D5137" s="9" t="inlineStr">
        <is>
          <t>Long</t>
        </is>
      </c>
      <c r="E5137" s="10" t="n">
        <v>45859.97569444445</v>
      </c>
      <c r="F5137" s="10" t="n">
        <v>45859.99652777778</v>
      </c>
      <c r="G5137" s="11" t="n">
        <v>-0.84</v>
      </c>
      <c r="H5137" s="11">
        <f>H5136+G5137</f>
        <v/>
      </c>
    </row>
    <row r="5138">
      <c r="A5138" s="9" t="n">
        <v>5134</v>
      </c>
      <c r="B5138" s="9" t="inlineStr">
        <is>
          <t>Meridian</t>
        </is>
      </c>
      <c r="C5138" s="9" t="inlineStr">
        <is>
          <t>21/50 MA cross, 250-period confirm filter, VWAP</t>
        </is>
      </c>
      <c r="D5138" s="9" t="inlineStr">
        <is>
          <t>Long</t>
        </is>
      </c>
      <c r="E5138" s="10" t="n">
        <v>45859.3125</v>
      </c>
      <c r="F5138" s="10" t="n">
        <v>45860.13194444445</v>
      </c>
      <c r="G5138" s="11" t="n">
        <v>36.9</v>
      </c>
      <c r="H5138" s="11">
        <f>H5137+G5138</f>
        <v/>
      </c>
    </row>
    <row r="5139">
      <c r="A5139" s="9" t="n">
        <v>5135</v>
      </c>
      <c r="B5139" s="9" t="inlineStr">
        <is>
          <t>Aurelius_M15</t>
        </is>
      </c>
      <c r="C5139" s="9" t="inlineStr">
        <is>
          <t>MA alignment (EMA21&gt;EMA50&gt;SMA250&gt;SMMA500 vs EMA2400 trend filter) - M15 chart</t>
        </is>
      </c>
      <c r="D5139" s="9" t="inlineStr">
        <is>
          <t>Long</t>
        </is>
      </c>
      <c r="E5139" s="10" t="n">
        <v>45859.35416666666</v>
      </c>
      <c r="F5139" s="10" t="n">
        <v>45860.23958333334</v>
      </c>
      <c r="G5139" s="11" t="n">
        <v>23.06</v>
      </c>
      <c r="H5139" s="11">
        <f>H5138+G5139</f>
        <v/>
      </c>
    </row>
    <row r="5140">
      <c r="A5140" s="9" t="n">
        <v>5136</v>
      </c>
      <c r="B5140" s="9" t="inlineStr">
        <is>
          <t>Meridian</t>
        </is>
      </c>
      <c r="C5140" s="9" t="inlineStr">
        <is>
          <t>21/50 MA cross, 250-period confirm filter, VWAP</t>
        </is>
      </c>
      <c r="D5140" s="9" t="inlineStr">
        <is>
          <t>Short</t>
        </is>
      </c>
      <c r="E5140" s="10" t="n">
        <v>45860.52430555555</v>
      </c>
      <c r="F5140" s="10" t="n">
        <v>45860.59722222222</v>
      </c>
      <c r="G5140" s="11" t="n">
        <v>-2.97</v>
      </c>
      <c r="H5140" s="11">
        <f>H5139+G5140</f>
        <v/>
      </c>
    </row>
    <row r="5141">
      <c r="A5141" s="9" t="n">
        <v>5137</v>
      </c>
      <c r="B5141" s="9" t="inlineStr">
        <is>
          <t>Ratchet</t>
        </is>
      </c>
      <c r="C5141" s="9" t="inlineStr">
        <is>
          <t>Stochastic scalp with give-back trail exit</t>
        </is>
      </c>
      <c r="D5141" s="9" t="inlineStr">
        <is>
          <t>Long</t>
        </is>
      </c>
      <c r="E5141" s="10" t="n">
        <v>45860.92708333334</v>
      </c>
      <c r="F5141" s="10" t="n">
        <v>45860.95138888889</v>
      </c>
      <c r="G5141" s="11" t="n">
        <v>0.58</v>
      </c>
      <c r="H5141" s="11">
        <f>H5140+G5141</f>
        <v/>
      </c>
    </row>
    <row r="5142">
      <c r="A5142" s="9" t="n">
        <v>5138</v>
      </c>
      <c r="B5142" s="9" t="inlineStr">
        <is>
          <t>Meridian</t>
        </is>
      </c>
      <c r="C5142" s="9" t="inlineStr">
        <is>
          <t>21/50 MA cross, 250-period confirm filter, VWAP</t>
        </is>
      </c>
      <c r="D5142" s="9" t="inlineStr">
        <is>
          <t>Long</t>
        </is>
      </c>
      <c r="E5142" s="10" t="n">
        <v>45861.12847222222</v>
      </c>
      <c r="F5142" s="10" t="n">
        <v>45861.16666666666</v>
      </c>
      <c r="G5142" s="11" t="n">
        <v>-4.67</v>
      </c>
      <c r="H5142" s="11">
        <f>H5141+G5142</f>
        <v/>
      </c>
    </row>
    <row r="5143">
      <c r="A5143" s="9" t="n">
        <v>5139</v>
      </c>
      <c r="B5143" s="9" t="inlineStr">
        <is>
          <t>Aurelius_M15</t>
        </is>
      </c>
      <c r="C5143" s="9" t="inlineStr">
        <is>
          <t>MA alignment (EMA21&gt;EMA50&gt;SMA250&gt;SMMA500 vs EMA2400 trend filter) - M15 chart</t>
        </is>
      </c>
      <c r="D5143" s="9" t="inlineStr">
        <is>
          <t>Long</t>
        </is>
      </c>
      <c r="E5143" s="10" t="n">
        <v>45860.66666666666</v>
      </c>
      <c r="F5143" s="10" t="n">
        <v>45861.23958333334</v>
      </c>
      <c r="G5143" s="11" t="n">
        <v>13.9</v>
      </c>
      <c r="H5143" s="11">
        <f>H5142+G5143</f>
        <v/>
      </c>
    </row>
    <row r="5144">
      <c r="A5144" s="9" t="n">
        <v>5140</v>
      </c>
      <c r="B5144" s="9" t="inlineStr">
        <is>
          <t>Ratchet</t>
        </is>
      </c>
      <c r="C5144" s="9" t="inlineStr">
        <is>
          <t>Stochastic scalp with give-back trail exit</t>
        </is>
      </c>
      <c r="D5144" s="9" t="inlineStr">
        <is>
          <t>Long</t>
        </is>
      </c>
      <c r="E5144" s="10" t="n">
        <v>45861.4375</v>
      </c>
      <c r="F5144" s="10" t="n">
        <v>45861.44444444445</v>
      </c>
      <c r="G5144" s="11" t="n">
        <v>-3.92</v>
      </c>
      <c r="H5144" s="11">
        <f>H5143+G5144</f>
        <v/>
      </c>
    </row>
    <row r="5145">
      <c r="A5145" s="9" t="n">
        <v>5141</v>
      </c>
      <c r="B5145" s="9" t="inlineStr">
        <is>
          <t>Meridian</t>
        </is>
      </c>
      <c r="C5145" s="9" t="inlineStr">
        <is>
          <t>21/50 MA cross, 250-period confirm filter, VWAP</t>
        </is>
      </c>
      <c r="D5145" s="9" t="inlineStr">
        <is>
          <t>Long</t>
        </is>
      </c>
      <c r="E5145" s="10" t="n">
        <v>45861.42361111111</v>
      </c>
      <c r="F5145" s="10" t="n">
        <v>45861.44791666666</v>
      </c>
      <c r="G5145" s="11" t="n">
        <v>-5.32</v>
      </c>
      <c r="H5145" s="11">
        <f>H5144+G5145</f>
        <v/>
      </c>
    </row>
    <row r="5146">
      <c r="A5146" s="9" t="n">
        <v>5142</v>
      </c>
      <c r="B5146" s="9" t="inlineStr">
        <is>
          <t>Meridian</t>
        </is>
      </c>
      <c r="C5146" s="9" t="inlineStr">
        <is>
          <t>21/50 MA cross, 250-period confirm filter, VWAP</t>
        </is>
      </c>
      <c r="D5146" s="9" t="inlineStr">
        <is>
          <t>Short</t>
        </is>
      </c>
      <c r="E5146" s="10" t="n">
        <v>45861.45833333334</v>
      </c>
      <c r="F5146" s="10" t="n">
        <v>45861.46875</v>
      </c>
      <c r="G5146" s="11" t="n">
        <v>-5.19</v>
      </c>
      <c r="H5146" s="11">
        <f>H5145+G5146</f>
        <v/>
      </c>
    </row>
    <row r="5147">
      <c r="A5147" s="9" t="n">
        <v>5143</v>
      </c>
      <c r="B5147" s="9" t="inlineStr">
        <is>
          <t>Meridian</t>
        </is>
      </c>
      <c r="C5147" s="9" t="inlineStr">
        <is>
          <t>21/50 MA cross, 250-period confirm filter, VWAP</t>
        </is>
      </c>
      <c r="D5147" s="9" t="inlineStr">
        <is>
          <t>Short</t>
        </is>
      </c>
      <c r="E5147" s="10" t="n">
        <v>45861.57638888889</v>
      </c>
      <c r="F5147" s="10" t="n">
        <v>45861.60416666666</v>
      </c>
      <c r="G5147" s="11" t="n">
        <v>-5.06</v>
      </c>
      <c r="H5147" s="11">
        <f>H5146+G5147</f>
        <v/>
      </c>
    </row>
    <row r="5148">
      <c r="A5148" s="9" t="n">
        <v>5144</v>
      </c>
      <c r="B5148" s="9" t="inlineStr">
        <is>
          <t>Meridian</t>
        </is>
      </c>
      <c r="C5148" s="9" t="inlineStr">
        <is>
          <t>21/50 MA cross, 250-period confirm filter, VWAP</t>
        </is>
      </c>
      <c r="D5148" s="9" t="inlineStr">
        <is>
          <t>Long</t>
        </is>
      </c>
      <c r="E5148" s="10" t="n">
        <v>45861.62152777778</v>
      </c>
      <c r="F5148" s="10" t="n">
        <v>45861.64583333334</v>
      </c>
      <c r="G5148" s="11" t="n">
        <v>-4.85</v>
      </c>
      <c r="H5148" s="11">
        <f>H5147+G5148</f>
        <v/>
      </c>
    </row>
    <row r="5149">
      <c r="A5149" s="9" t="n">
        <v>5145</v>
      </c>
      <c r="B5149" s="9" t="inlineStr">
        <is>
          <t>Vanguard_M15</t>
        </is>
      </c>
      <c r="C5149" s="9" t="inlineStr">
        <is>
          <t>Trendline breakout (fractal swing line) + VWAP/S-R distance gate - M15 chart</t>
        </is>
      </c>
      <c r="D5149" s="9" t="inlineStr">
        <is>
          <t>Long</t>
        </is>
      </c>
      <c r="E5149" s="10" t="n">
        <v>45859.22916666666</v>
      </c>
      <c r="F5149" s="10" t="n">
        <v>45861.66666666666</v>
      </c>
      <c r="G5149" s="11" t="n">
        <v>58.74</v>
      </c>
      <c r="H5149" s="11">
        <f>H5148+G5149</f>
        <v/>
      </c>
    </row>
    <row r="5150">
      <c r="A5150" s="9" t="n">
        <v>5146</v>
      </c>
      <c r="B5150" s="9" t="inlineStr">
        <is>
          <t>Vanguard_M5</t>
        </is>
      </c>
      <c r="C5150" s="9" t="inlineStr">
        <is>
          <t>Trendline breakout (fractal swing line) + VWAP/S-R distance gate</t>
        </is>
      </c>
      <c r="D5150" s="9" t="inlineStr">
        <is>
          <t>Long</t>
        </is>
      </c>
      <c r="E5150" s="10" t="n">
        <v>45859.31597222222</v>
      </c>
      <c r="F5150" s="10" t="n">
        <v>45861.66666666666</v>
      </c>
      <c r="G5150" s="11" t="n">
        <v>58.35</v>
      </c>
      <c r="H5150" s="11">
        <f>H5149+G5150</f>
        <v/>
      </c>
    </row>
    <row r="5151">
      <c r="A5151" s="9" t="n">
        <v>5147</v>
      </c>
      <c r="B5151" s="9" t="inlineStr">
        <is>
          <t>Ratchet</t>
        </is>
      </c>
      <c r="C5151" s="9" t="inlineStr">
        <is>
          <t>Stochastic scalp with give-back trail exit</t>
        </is>
      </c>
      <c r="D5151" s="9" t="inlineStr">
        <is>
          <t>Short</t>
        </is>
      </c>
      <c r="E5151" s="10" t="n">
        <v>45862.47222222222</v>
      </c>
      <c r="F5151" s="10" t="n">
        <v>45862.48263888889</v>
      </c>
      <c r="G5151" s="11" t="n">
        <v>-5.49</v>
      </c>
      <c r="H5151" s="11">
        <f>H5150+G5151</f>
        <v/>
      </c>
    </row>
    <row r="5152">
      <c r="A5152" s="9" t="n">
        <v>5148</v>
      </c>
      <c r="B5152" s="9" t="inlineStr">
        <is>
          <t>Ratchet</t>
        </is>
      </c>
      <c r="C5152" s="9" t="inlineStr">
        <is>
          <t>Stochastic scalp with give-back trail exit</t>
        </is>
      </c>
      <c r="D5152" s="9" t="inlineStr">
        <is>
          <t>Short</t>
        </is>
      </c>
      <c r="E5152" s="10" t="n">
        <v>45862.625</v>
      </c>
      <c r="F5152" s="10" t="n">
        <v>45862.64930555555</v>
      </c>
      <c r="G5152" s="11" t="n">
        <v>-3.53</v>
      </c>
      <c r="H5152" s="11">
        <f>H5151+G5152</f>
        <v/>
      </c>
    </row>
    <row r="5153">
      <c r="A5153" s="9" t="n">
        <v>5149</v>
      </c>
      <c r="B5153" s="9" t="inlineStr">
        <is>
          <t>Meridian</t>
        </is>
      </c>
      <c r="C5153" s="9" t="inlineStr">
        <is>
          <t>21/50 MA cross, 250-period confirm filter, VWAP</t>
        </is>
      </c>
      <c r="D5153" s="9" t="inlineStr">
        <is>
          <t>Short</t>
        </is>
      </c>
      <c r="E5153" s="10" t="n">
        <v>45861.66319444445</v>
      </c>
      <c r="F5153" s="10" t="n">
        <v>45862.71875</v>
      </c>
      <c r="G5153" s="11" t="n">
        <v>49.42</v>
      </c>
      <c r="H5153" s="11">
        <f>H5152+G5153</f>
        <v/>
      </c>
    </row>
    <row r="5154">
      <c r="A5154" s="9" t="n">
        <v>5150</v>
      </c>
      <c r="B5154" s="9" t="inlineStr">
        <is>
          <t>Meridian</t>
        </is>
      </c>
      <c r="C5154" s="9" t="inlineStr">
        <is>
          <t>21/50 MA cross, 250-period confirm filter, VWAP</t>
        </is>
      </c>
      <c r="D5154" s="9" t="inlineStr">
        <is>
          <t>Short</t>
        </is>
      </c>
      <c r="E5154" s="10" t="n">
        <v>45862.88888888889</v>
      </c>
      <c r="F5154" s="10" t="n">
        <v>45862.89583333334</v>
      </c>
      <c r="G5154" s="11" t="n">
        <v>-3.84</v>
      </c>
      <c r="H5154" s="11">
        <f>H5153+G5154</f>
        <v/>
      </c>
    </row>
    <row r="5155">
      <c r="A5155" s="9" t="n">
        <v>5151</v>
      </c>
      <c r="B5155" s="9" t="inlineStr">
        <is>
          <t>Meridian</t>
        </is>
      </c>
      <c r="C5155" s="9" t="inlineStr">
        <is>
          <t>21/50 MA cross, 250-period confirm filter, VWAP</t>
        </is>
      </c>
      <c r="D5155" s="9" t="inlineStr">
        <is>
          <t>Short</t>
        </is>
      </c>
      <c r="E5155" s="10" t="n">
        <v>45862.98958333334</v>
      </c>
      <c r="F5155" s="10" t="n">
        <v>45863.08680555555</v>
      </c>
      <c r="G5155" s="11" t="n">
        <v>-2.69</v>
      </c>
      <c r="H5155" s="11">
        <f>H5154+G5155</f>
        <v/>
      </c>
    </row>
    <row r="5156">
      <c r="A5156" s="9" t="n">
        <v>5152</v>
      </c>
      <c r="B5156" s="9" t="inlineStr">
        <is>
          <t>Meridian</t>
        </is>
      </c>
      <c r="C5156" s="9" t="inlineStr">
        <is>
          <t>21/50 MA cross, 250-period confirm filter, VWAP</t>
        </is>
      </c>
      <c r="D5156" s="9" t="inlineStr">
        <is>
          <t>Long</t>
        </is>
      </c>
      <c r="E5156" s="10" t="n">
        <v>45863.13888888889</v>
      </c>
      <c r="F5156" s="10" t="n">
        <v>45863.17708333334</v>
      </c>
      <c r="G5156" s="11" t="n">
        <v>-3.38</v>
      </c>
      <c r="H5156" s="11">
        <f>H5155+G5156</f>
        <v/>
      </c>
    </row>
    <row r="5157">
      <c r="A5157" s="9" t="n">
        <v>5153</v>
      </c>
      <c r="B5157" s="9" t="inlineStr">
        <is>
          <t>Ratchet</t>
        </is>
      </c>
      <c r="C5157" s="9" t="inlineStr">
        <is>
          <t>Stochastic scalp with give-back trail exit</t>
        </is>
      </c>
      <c r="D5157" s="9" t="inlineStr">
        <is>
          <t>Short</t>
        </is>
      </c>
      <c r="E5157" s="10" t="n">
        <v>45863.19097222222</v>
      </c>
      <c r="F5157" s="10" t="n">
        <v>45863.20138888889</v>
      </c>
      <c r="G5157" s="11" t="n">
        <v>-2.67</v>
      </c>
      <c r="H5157" s="11">
        <f>H5156+G5157</f>
        <v/>
      </c>
    </row>
    <row r="5158">
      <c r="A5158" s="9" t="n">
        <v>5154</v>
      </c>
      <c r="B5158" s="9" t="inlineStr">
        <is>
          <t>Meridian</t>
        </is>
      </c>
      <c r="C5158" s="9" t="inlineStr">
        <is>
          <t>21/50 MA cross, 250-period confirm filter, VWAP</t>
        </is>
      </c>
      <c r="D5158" s="9" t="inlineStr">
        <is>
          <t>Short</t>
        </is>
      </c>
      <c r="E5158" s="10" t="n">
        <v>45863.19097222222</v>
      </c>
      <c r="F5158" s="10" t="n">
        <v>45863.20486111111</v>
      </c>
      <c r="G5158" s="11" t="n">
        <v>-3.72</v>
      </c>
      <c r="H5158" s="11">
        <f>H5157+G5158</f>
        <v/>
      </c>
    </row>
    <row r="5159">
      <c r="A5159" s="9" t="n">
        <v>5155</v>
      </c>
      <c r="B5159" s="9" t="inlineStr">
        <is>
          <t>Ratchet</t>
        </is>
      </c>
      <c r="C5159" s="9" t="inlineStr">
        <is>
          <t>Stochastic scalp with give-back trail exit</t>
        </is>
      </c>
      <c r="D5159" s="9" t="inlineStr">
        <is>
          <t>Short</t>
        </is>
      </c>
      <c r="E5159" s="10" t="n">
        <v>45863.30902777778</v>
      </c>
      <c r="F5159" s="10" t="n">
        <v>45863.32291666666</v>
      </c>
      <c r="G5159" s="11" t="n">
        <v>0.83</v>
      </c>
      <c r="H5159" s="11">
        <f>H5158+G5159</f>
        <v/>
      </c>
    </row>
    <row r="5160">
      <c r="A5160" s="9" t="n">
        <v>5156</v>
      </c>
      <c r="B5160" s="9" t="inlineStr">
        <is>
          <t>Ratchet</t>
        </is>
      </c>
      <c r="C5160" s="9" t="inlineStr">
        <is>
          <t>Stochastic scalp with give-back trail exit</t>
        </is>
      </c>
      <c r="D5160" s="9" t="inlineStr">
        <is>
          <t>Short</t>
        </is>
      </c>
      <c r="E5160" s="10" t="n">
        <v>45863.53472222222</v>
      </c>
      <c r="F5160" s="10" t="n">
        <v>45863.54166666666</v>
      </c>
      <c r="G5160" s="11" t="n">
        <v>0.26</v>
      </c>
      <c r="H5160" s="11">
        <f>H5159+G5160</f>
        <v/>
      </c>
    </row>
    <row r="5161">
      <c r="A5161" s="9" t="n">
        <v>5157</v>
      </c>
      <c r="B5161" s="9" t="inlineStr">
        <is>
          <t>Ratchet</t>
        </is>
      </c>
      <c r="C5161" s="9" t="inlineStr">
        <is>
          <t>Stochastic scalp with give-back trail exit</t>
        </is>
      </c>
      <c r="D5161" s="9" t="inlineStr">
        <is>
          <t>Short</t>
        </is>
      </c>
      <c r="E5161" s="10" t="n">
        <v>45863.625</v>
      </c>
      <c r="F5161" s="10" t="n">
        <v>45863.65277777778</v>
      </c>
      <c r="G5161" s="11" t="n">
        <v>0.79</v>
      </c>
      <c r="H5161" s="11">
        <f>H5160+G5161</f>
        <v/>
      </c>
    </row>
    <row r="5162">
      <c r="A5162" s="9" t="n">
        <v>5158</v>
      </c>
      <c r="B5162" s="9" t="inlineStr">
        <is>
          <t>Ratchet</t>
        </is>
      </c>
      <c r="C5162" s="9" t="inlineStr">
        <is>
          <t>Stochastic scalp with give-back trail exit</t>
        </is>
      </c>
      <c r="D5162" s="9" t="inlineStr">
        <is>
          <t>Short</t>
        </is>
      </c>
      <c r="E5162" s="10" t="n">
        <v>45863.68055555555</v>
      </c>
      <c r="F5162" s="10" t="n">
        <v>45863.6875</v>
      </c>
      <c r="G5162" s="11" t="n">
        <v>-5.33</v>
      </c>
      <c r="H5162" s="11">
        <f>H5161+G5162</f>
        <v/>
      </c>
    </row>
    <row r="5163">
      <c r="A5163" s="9" t="n">
        <v>5159</v>
      </c>
      <c r="B5163" s="9" t="inlineStr">
        <is>
          <t>Ratchet</t>
        </is>
      </c>
      <c r="C5163" s="9" t="inlineStr">
        <is>
          <t>Stochastic scalp with give-back trail exit</t>
        </is>
      </c>
      <c r="D5163" s="9" t="inlineStr">
        <is>
          <t>Short</t>
        </is>
      </c>
      <c r="E5163" s="10" t="n">
        <v>45863.72916666666</v>
      </c>
      <c r="F5163" s="10" t="n">
        <v>45863.73611111111</v>
      </c>
      <c r="G5163" s="11" t="n">
        <v>1.47</v>
      </c>
      <c r="H5163" s="11">
        <f>H5162+G5163</f>
        <v/>
      </c>
    </row>
    <row r="5164">
      <c r="A5164" s="9" t="n">
        <v>5160</v>
      </c>
      <c r="B5164" s="9" t="inlineStr">
        <is>
          <t>Ratchet</t>
        </is>
      </c>
      <c r="C5164" s="9" t="inlineStr">
        <is>
          <t>Stochastic scalp with give-back trail exit</t>
        </is>
      </c>
      <c r="D5164" s="9" t="inlineStr">
        <is>
          <t>Short</t>
        </is>
      </c>
      <c r="E5164" s="10" t="n">
        <v>45863.77430555555</v>
      </c>
      <c r="F5164" s="10" t="n">
        <v>45863.78125</v>
      </c>
      <c r="G5164" s="11" t="n">
        <v>0.88</v>
      </c>
      <c r="H5164" s="11">
        <f>H5163+G5164</f>
        <v/>
      </c>
    </row>
    <row r="5165">
      <c r="A5165" s="9" t="n">
        <v>5161</v>
      </c>
      <c r="B5165" s="9" t="inlineStr">
        <is>
          <t>Aurelius_M5</t>
        </is>
      </c>
      <c r="C5165" s="9" t="inlineStr">
        <is>
          <t>MA alignment (EMA21&gt;EMA50&gt;SMA250&gt;SMMA500 vs EMA2400 trend filter)</t>
        </is>
      </c>
      <c r="D5165" s="9" t="inlineStr">
        <is>
          <t>Short</t>
        </is>
      </c>
      <c r="E5165" s="10" t="n">
        <v>45863.22569444445</v>
      </c>
      <c r="F5165" s="10" t="n">
        <v>45863.86458333334</v>
      </c>
      <c r="G5165" s="11" t="n">
        <v>29.34</v>
      </c>
      <c r="H5165" s="11">
        <f>H5164+G5165</f>
        <v/>
      </c>
    </row>
    <row r="5166">
      <c r="A5166" s="9" t="n">
        <v>5162</v>
      </c>
      <c r="B5166" s="9" t="inlineStr">
        <is>
          <t>Ratchet</t>
        </is>
      </c>
      <c r="C5166" s="9" t="inlineStr">
        <is>
          <t>Stochastic scalp with give-back trail exit</t>
        </is>
      </c>
      <c r="D5166" s="9" t="inlineStr">
        <is>
          <t>Short</t>
        </is>
      </c>
      <c r="E5166" s="10" t="n">
        <v>45866.05555555555</v>
      </c>
      <c r="F5166" s="10" t="n">
        <v>45866.0625</v>
      </c>
      <c r="G5166" s="11" t="n">
        <v>0.45</v>
      </c>
      <c r="H5166" s="11">
        <f>H5165+G5166</f>
        <v/>
      </c>
    </row>
    <row r="5167">
      <c r="A5167" s="9" t="n">
        <v>5163</v>
      </c>
      <c r="B5167" s="9" t="inlineStr">
        <is>
          <t>Ratchet</t>
        </is>
      </c>
      <c r="C5167" s="9" t="inlineStr">
        <is>
          <t>Stochastic scalp with give-back trail exit</t>
        </is>
      </c>
      <c r="D5167" s="9" t="inlineStr">
        <is>
          <t>Short</t>
        </is>
      </c>
      <c r="E5167" s="10" t="n">
        <v>45866.06944444445</v>
      </c>
      <c r="F5167" s="10" t="n">
        <v>45866.07986111111</v>
      </c>
      <c r="G5167" s="11" t="n">
        <v>1.75</v>
      </c>
      <c r="H5167" s="11">
        <f>H5166+G5167</f>
        <v/>
      </c>
    </row>
    <row r="5168">
      <c r="A5168" s="9" t="n">
        <v>5164</v>
      </c>
      <c r="B5168" s="9" t="inlineStr">
        <is>
          <t>Ratchet</t>
        </is>
      </c>
      <c r="C5168" s="9" t="inlineStr">
        <is>
          <t>Stochastic scalp with give-back trail exit</t>
        </is>
      </c>
      <c r="D5168" s="9" t="inlineStr">
        <is>
          <t>Short</t>
        </is>
      </c>
      <c r="E5168" s="10" t="n">
        <v>45866.14930555555</v>
      </c>
      <c r="F5168" s="10" t="n">
        <v>45866.15625</v>
      </c>
      <c r="G5168" s="11" t="n">
        <v>0.58</v>
      </c>
      <c r="H5168" s="11">
        <f>H5167+G5168</f>
        <v/>
      </c>
    </row>
    <row r="5169">
      <c r="A5169" s="9" t="n">
        <v>5165</v>
      </c>
      <c r="B5169" s="9" t="inlineStr">
        <is>
          <t>Meridian</t>
        </is>
      </c>
      <c r="C5169" s="9" t="inlineStr">
        <is>
          <t>21/50 MA cross, 250-period confirm filter, VWAP</t>
        </is>
      </c>
      <c r="D5169" s="9" t="inlineStr">
        <is>
          <t>Short</t>
        </is>
      </c>
      <c r="E5169" s="10" t="n">
        <v>45866.21527777778</v>
      </c>
      <c r="F5169" s="10" t="n">
        <v>45866.25347222222</v>
      </c>
      <c r="G5169" s="11" t="n">
        <v>-3.69</v>
      </c>
      <c r="H5169" s="11">
        <f>H5168+G5169</f>
        <v/>
      </c>
    </row>
    <row r="5170">
      <c r="A5170" s="9" t="n">
        <v>5166</v>
      </c>
      <c r="B5170" s="9" t="inlineStr">
        <is>
          <t>Ratchet</t>
        </is>
      </c>
      <c r="C5170" s="9" t="inlineStr">
        <is>
          <t>Stochastic scalp with give-back trail exit</t>
        </is>
      </c>
      <c r="D5170" s="9" t="inlineStr">
        <is>
          <t>Short</t>
        </is>
      </c>
      <c r="E5170" s="10" t="n">
        <v>45866.6875</v>
      </c>
      <c r="F5170" s="10" t="n">
        <v>45866.69444444445</v>
      </c>
      <c r="G5170" s="11" t="n">
        <v>1.19</v>
      </c>
      <c r="H5170" s="11">
        <f>H5169+G5170</f>
        <v/>
      </c>
    </row>
    <row r="5171">
      <c r="A5171" s="9" t="n">
        <v>5167</v>
      </c>
      <c r="B5171" s="9" t="inlineStr">
        <is>
          <t>Ratchet</t>
        </is>
      </c>
      <c r="C5171" s="9" t="inlineStr">
        <is>
          <t>Stochastic scalp with give-back trail exit</t>
        </is>
      </c>
      <c r="D5171" s="9" t="inlineStr">
        <is>
          <t>Short</t>
        </is>
      </c>
      <c r="E5171" s="10" t="n">
        <v>45866.74305555555</v>
      </c>
      <c r="F5171" s="10" t="n">
        <v>45866.75694444445</v>
      </c>
      <c r="G5171" s="11" t="n">
        <v>1.14</v>
      </c>
      <c r="H5171" s="11">
        <f>H5170+G5171</f>
        <v/>
      </c>
    </row>
    <row r="5172">
      <c r="A5172" s="9" t="n">
        <v>5168</v>
      </c>
      <c r="B5172" s="9" t="inlineStr">
        <is>
          <t>Ratchet</t>
        </is>
      </c>
      <c r="C5172" s="9" t="inlineStr">
        <is>
          <t>Stochastic scalp with give-back trail exit</t>
        </is>
      </c>
      <c r="D5172" s="9" t="inlineStr">
        <is>
          <t>Short</t>
        </is>
      </c>
      <c r="E5172" s="10" t="n">
        <v>45866.80902777778</v>
      </c>
      <c r="F5172" s="10" t="n">
        <v>45866.84375</v>
      </c>
      <c r="G5172" s="11" t="n">
        <v>0.7</v>
      </c>
      <c r="H5172" s="11">
        <f>H5171+G5172</f>
        <v/>
      </c>
    </row>
    <row r="5173">
      <c r="A5173" s="9" t="n">
        <v>5169</v>
      </c>
      <c r="B5173" s="9" t="inlineStr">
        <is>
          <t>Meridian</t>
        </is>
      </c>
      <c r="C5173" s="9" t="inlineStr">
        <is>
          <t>21/50 MA cross, 250-period confirm filter, VWAP</t>
        </is>
      </c>
      <c r="D5173" s="9" t="inlineStr">
        <is>
          <t>Short</t>
        </is>
      </c>
      <c r="E5173" s="10" t="n">
        <v>45866.45486111111</v>
      </c>
      <c r="F5173" s="10" t="n">
        <v>45866.95486111111</v>
      </c>
      <c r="G5173" s="11" t="n">
        <v>17.08</v>
      </c>
      <c r="H5173" s="11">
        <f>H5172+G5173</f>
        <v/>
      </c>
    </row>
    <row r="5174">
      <c r="A5174" s="9" t="n">
        <v>5170</v>
      </c>
      <c r="B5174" s="9" t="inlineStr">
        <is>
          <t>Aurelius_M5</t>
        </is>
      </c>
      <c r="C5174" s="9" t="inlineStr">
        <is>
          <t>MA alignment (EMA21&gt;EMA50&gt;SMA250&gt;SMMA500 vs EMA2400 trend filter)</t>
        </is>
      </c>
      <c r="D5174" s="9" t="inlineStr">
        <is>
          <t>Short</t>
        </is>
      </c>
      <c r="E5174" s="10" t="n">
        <v>45867.16319444445</v>
      </c>
      <c r="F5174" s="10" t="n">
        <v>45867.19097222222</v>
      </c>
      <c r="G5174" s="11" t="n">
        <v>-5.04</v>
      </c>
      <c r="H5174" s="11">
        <f>H5173+G5174</f>
        <v/>
      </c>
    </row>
    <row r="5175">
      <c r="A5175" s="9" t="n">
        <v>5171</v>
      </c>
      <c r="B5175" s="9" t="inlineStr">
        <is>
          <t>Vanguard_M15</t>
        </is>
      </c>
      <c r="C5175" s="9" t="inlineStr">
        <is>
          <t>Trendline breakout (fractal swing line) + VWAP/S-R distance gate - M15 chart</t>
        </is>
      </c>
      <c r="D5175" s="9" t="inlineStr">
        <is>
          <t>Short</t>
        </is>
      </c>
      <c r="E5175" s="10" t="n">
        <v>45861.67708333334</v>
      </c>
      <c r="F5175" s="10" t="n">
        <v>45867.21875</v>
      </c>
      <c r="G5175" s="11" t="n">
        <v>96.02</v>
      </c>
      <c r="H5175" s="11">
        <f>H5174+G5175</f>
        <v/>
      </c>
    </row>
    <row r="5176">
      <c r="A5176" s="9" t="n">
        <v>5172</v>
      </c>
      <c r="B5176" s="9" t="inlineStr">
        <is>
          <t>Vanguard_M5</t>
        </is>
      </c>
      <c r="C5176" s="9" t="inlineStr">
        <is>
          <t>Trendline breakout (fractal swing line) + VWAP/S-R distance gate</t>
        </is>
      </c>
      <c r="D5176" s="9" t="inlineStr">
        <is>
          <t>Short</t>
        </is>
      </c>
      <c r="E5176" s="10" t="n">
        <v>45861.67013888889</v>
      </c>
      <c r="F5176" s="10" t="n">
        <v>45867.22222222222</v>
      </c>
      <c r="G5176" s="11" t="n">
        <v>94.8</v>
      </c>
      <c r="H5176" s="11">
        <f>H5175+G5176</f>
        <v/>
      </c>
    </row>
    <row r="5177">
      <c r="A5177" s="9" t="n">
        <v>5173</v>
      </c>
      <c r="B5177" s="9" t="inlineStr">
        <is>
          <t>Aurelius_M15</t>
        </is>
      </c>
      <c r="C5177" s="9" t="inlineStr">
        <is>
          <t>MA alignment (EMA21&gt;EMA50&gt;SMA250&gt;SMMA500 vs EMA2400 trend filter) - M15 chart</t>
        </is>
      </c>
      <c r="D5177" s="9" t="inlineStr">
        <is>
          <t>Short</t>
        </is>
      </c>
      <c r="E5177" s="10" t="n">
        <v>45866.64583333334</v>
      </c>
      <c r="F5177" s="10" t="n">
        <v>45867.26041666666</v>
      </c>
      <c r="G5177" s="11" t="n">
        <v>13.83</v>
      </c>
      <c r="H5177" s="11">
        <f>H5176+G5177</f>
        <v/>
      </c>
    </row>
    <row r="5178">
      <c r="A5178" s="9" t="n">
        <v>5174</v>
      </c>
      <c r="B5178" s="9" t="inlineStr">
        <is>
          <t>Vanguard_M15</t>
        </is>
      </c>
      <c r="C5178" s="9" t="inlineStr">
        <is>
          <t>Trendline breakout (fractal swing line) + VWAP/S-R distance gate - M15 chart</t>
        </is>
      </c>
      <c r="D5178" s="9" t="inlineStr">
        <is>
          <t>Long</t>
        </is>
      </c>
      <c r="E5178" s="10" t="n">
        <v>45867.22916666666</v>
      </c>
      <c r="F5178" s="10" t="n">
        <v>45867.30208333334</v>
      </c>
      <c r="G5178" s="11" t="n">
        <v>-10.29</v>
      </c>
      <c r="H5178" s="11">
        <f>H5177+G5178</f>
        <v/>
      </c>
    </row>
    <row r="5179">
      <c r="A5179" s="9" t="n">
        <v>5175</v>
      </c>
      <c r="B5179" s="9" t="inlineStr">
        <is>
          <t>Vanguard_M5</t>
        </is>
      </c>
      <c r="C5179" s="9" t="inlineStr">
        <is>
          <t>Trendline breakout (fractal swing line) + VWAP/S-R distance gate</t>
        </is>
      </c>
      <c r="D5179" s="9" t="inlineStr">
        <is>
          <t>Long</t>
        </is>
      </c>
      <c r="E5179" s="10" t="n">
        <v>45867.22569444445</v>
      </c>
      <c r="F5179" s="10" t="n">
        <v>45867.30555555555</v>
      </c>
      <c r="G5179" s="11" t="n">
        <v>-8.6</v>
      </c>
      <c r="H5179" s="11">
        <f>H5178+G5179</f>
        <v/>
      </c>
    </row>
    <row r="5180">
      <c r="A5180" s="9" t="n">
        <v>5176</v>
      </c>
      <c r="B5180" s="9" t="inlineStr">
        <is>
          <t>Ratchet</t>
        </is>
      </c>
      <c r="C5180" s="9" t="inlineStr">
        <is>
          <t>Stochastic scalp with give-back trail exit</t>
        </is>
      </c>
      <c r="D5180" s="9" t="inlineStr">
        <is>
          <t>Short</t>
        </is>
      </c>
      <c r="E5180" s="10" t="n">
        <v>45867.29861111111</v>
      </c>
      <c r="F5180" s="10" t="n">
        <v>45867.3125</v>
      </c>
      <c r="G5180" s="11" t="n">
        <v>0.64</v>
      </c>
      <c r="H5180" s="11">
        <f>H5179+G5180</f>
        <v/>
      </c>
    </row>
    <row r="5181">
      <c r="A5181" s="9" t="n">
        <v>5177</v>
      </c>
      <c r="B5181" s="9" t="inlineStr">
        <is>
          <t>Aurelius_M5</t>
        </is>
      </c>
      <c r="C5181" s="9" t="inlineStr">
        <is>
          <t>MA alignment (EMA21&gt;EMA50&gt;SMA250&gt;SMMA500 vs EMA2400 trend filter)</t>
        </is>
      </c>
      <c r="D5181" s="9" t="inlineStr">
        <is>
          <t>Short</t>
        </is>
      </c>
      <c r="E5181" s="10" t="n">
        <v>45867.3125</v>
      </c>
      <c r="F5181" s="10" t="n">
        <v>45867.32291666666</v>
      </c>
      <c r="G5181" s="11" t="n">
        <v>-4.42</v>
      </c>
      <c r="H5181" s="11">
        <f>H5180+G5181</f>
        <v/>
      </c>
    </row>
    <row r="5182">
      <c r="A5182" s="9" t="n">
        <v>5178</v>
      </c>
      <c r="B5182" s="9" t="inlineStr">
        <is>
          <t>Meridian</t>
        </is>
      </c>
      <c r="C5182" s="9" t="inlineStr">
        <is>
          <t>21/50 MA cross, 250-period confirm filter, VWAP</t>
        </is>
      </c>
      <c r="D5182" s="9" t="inlineStr">
        <is>
          <t>Short</t>
        </is>
      </c>
      <c r="E5182" s="10" t="n">
        <v>45867.29513888889</v>
      </c>
      <c r="F5182" s="10" t="n">
        <v>45867.35069444445</v>
      </c>
      <c r="G5182" s="11" t="n">
        <v>-4.69</v>
      </c>
      <c r="H5182" s="11">
        <f>H5181+G5182</f>
        <v/>
      </c>
    </row>
    <row r="5183">
      <c r="A5183" s="9" t="n">
        <v>5179</v>
      </c>
      <c r="B5183" s="9" t="inlineStr">
        <is>
          <t>Vanguard_M15</t>
        </is>
      </c>
      <c r="C5183" s="9" t="inlineStr">
        <is>
          <t>Trendline breakout (fractal swing line) + VWAP/S-R distance gate - M15 chart</t>
        </is>
      </c>
      <c r="D5183" s="9" t="inlineStr">
        <is>
          <t>Long</t>
        </is>
      </c>
      <c r="E5183" s="10" t="n">
        <v>45867.33333333334</v>
      </c>
      <c r="F5183" s="10" t="n">
        <v>45867.61458333334</v>
      </c>
      <c r="G5183" s="11" t="n">
        <v>-1.42</v>
      </c>
      <c r="H5183" s="11">
        <f>H5182+G5183</f>
        <v/>
      </c>
    </row>
    <row r="5184">
      <c r="A5184" s="9" t="n">
        <v>5180</v>
      </c>
      <c r="B5184" s="9" t="inlineStr">
        <is>
          <t>Vanguard_M5</t>
        </is>
      </c>
      <c r="C5184" s="9" t="inlineStr">
        <is>
          <t>Trendline breakout (fractal swing line) + VWAP/S-R distance gate</t>
        </is>
      </c>
      <c r="D5184" s="9" t="inlineStr">
        <is>
          <t>Long</t>
        </is>
      </c>
      <c r="E5184" s="10" t="n">
        <v>45867.33333333334</v>
      </c>
      <c r="F5184" s="10" t="n">
        <v>45867.62152777778</v>
      </c>
      <c r="G5184" s="11" t="n">
        <v>-1.42</v>
      </c>
      <c r="H5184" s="11">
        <f>H5183+G5184</f>
        <v/>
      </c>
    </row>
    <row r="5185">
      <c r="A5185" s="9" t="n">
        <v>5181</v>
      </c>
      <c r="B5185" s="9" t="inlineStr">
        <is>
          <t>Vanguard_M5</t>
        </is>
      </c>
      <c r="C5185" s="9" t="inlineStr">
        <is>
          <t>Trendline breakout (fractal swing line) + VWAP/S-R distance gate</t>
        </is>
      </c>
      <c r="D5185" s="9" t="inlineStr">
        <is>
          <t>Short</t>
        </is>
      </c>
      <c r="E5185" s="10" t="n">
        <v>45867.625</v>
      </c>
      <c r="F5185" s="10" t="n">
        <v>45867.63888888889</v>
      </c>
      <c r="G5185" s="11" t="n">
        <v>-8.18</v>
      </c>
      <c r="H5185" s="11">
        <f>H5184+G5185</f>
        <v/>
      </c>
    </row>
    <row r="5186">
      <c r="A5186" s="9" t="n">
        <v>5182</v>
      </c>
      <c r="B5186" s="9" t="inlineStr">
        <is>
          <t>Meridian</t>
        </is>
      </c>
      <c r="C5186" s="9" t="inlineStr">
        <is>
          <t>21/50 MA cross, 250-period confirm filter, VWAP</t>
        </is>
      </c>
      <c r="D5186" s="9" t="inlineStr">
        <is>
          <t>Long</t>
        </is>
      </c>
      <c r="E5186" s="10" t="n">
        <v>45867.68055555555</v>
      </c>
      <c r="F5186" s="10" t="n">
        <v>45867.6875</v>
      </c>
      <c r="G5186" s="11" t="n">
        <v>-6.36</v>
      </c>
      <c r="H5186" s="11">
        <f>H5185+G5186</f>
        <v/>
      </c>
    </row>
    <row r="5187">
      <c r="A5187" s="9" t="n">
        <v>5183</v>
      </c>
      <c r="B5187" s="9" t="inlineStr">
        <is>
          <t>Vanguard_M15</t>
        </is>
      </c>
      <c r="C5187" s="9" t="inlineStr">
        <is>
          <t>Trendline breakout (fractal swing line) + VWAP/S-R distance gate - M15 chart</t>
        </is>
      </c>
      <c r="D5187" s="9" t="inlineStr">
        <is>
          <t>Short</t>
        </is>
      </c>
      <c r="E5187" s="10" t="n">
        <v>45867.625</v>
      </c>
      <c r="F5187" s="10" t="n">
        <v>45867.72916666666</v>
      </c>
      <c r="G5187" s="11" t="n">
        <v>-11.44</v>
      </c>
      <c r="H5187" s="11">
        <f>H5186+G5187</f>
        <v/>
      </c>
    </row>
    <row r="5188">
      <c r="A5188" s="9" t="n">
        <v>5184</v>
      </c>
      <c r="B5188" s="9" t="inlineStr">
        <is>
          <t>Vanguard_M5</t>
        </is>
      </c>
      <c r="C5188" s="9" t="inlineStr">
        <is>
          <t>Trendline breakout (fractal swing line) + VWAP/S-R distance gate</t>
        </is>
      </c>
      <c r="D5188" s="9" t="inlineStr">
        <is>
          <t>Short</t>
        </is>
      </c>
      <c r="E5188" s="10" t="n">
        <v>45867.69097222222</v>
      </c>
      <c r="F5188" s="10" t="n">
        <v>45867.73263888889</v>
      </c>
      <c r="G5188" s="11" t="n">
        <v>-11.62</v>
      </c>
      <c r="H5188" s="11">
        <f>H5187+G5188</f>
        <v/>
      </c>
    </row>
    <row r="5189">
      <c r="A5189" s="9" t="n">
        <v>5185</v>
      </c>
      <c r="B5189" s="9" t="inlineStr">
        <is>
          <t>Vanguard_M5</t>
        </is>
      </c>
      <c r="C5189" s="9" t="inlineStr">
        <is>
          <t>Trendline breakout (fractal swing line) + VWAP/S-R distance gate</t>
        </is>
      </c>
      <c r="D5189" s="9" t="inlineStr">
        <is>
          <t>Long</t>
        </is>
      </c>
      <c r="E5189" s="10" t="n">
        <v>45868.15972222222</v>
      </c>
      <c r="F5189" s="10" t="n">
        <v>45868.19097222222</v>
      </c>
      <c r="G5189" s="11" t="n">
        <v>-5.46</v>
      </c>
      <c r="H5189" s="11">
        <f>H5188+G5189</f>
        <v/>
      </c>
    </row>
    <row r="5190">
      <c r="A5190" s="9" t="n">
        <v>5186</v>
      </c>
      <c r="B5190" s="9" t="inlineStr">
        <is>
          <t>Meridian</t>
        </is>
      </c>
      <c r="C5190" s="9" t="inlineStr">
        <is>
          <t>21/50 MA cross, 250-period confirm filter, VWAP</t>
        </is>
      </c>
      <c r="D5190" s="9" t="inlineStr">
        <is>
          <t>Long</t>
        </is>
      </c>
      <c r="E5190" s="10" t="n">
        <v>45867.73958333334</v>
      </c>
      <c r="F5190" s="10" t="n">
        <v>45868.20486111111</v>
      </c>
      <c r="G5190" s="11" t="n">
        <v>-4.29</v>
      </c>
      <c r="H5190" s="11">
        <f>H5189+G5190</f>
        <v/>
      </c>
    </row>
    <row r="5191">
      <c r="A5191" s="9" t="n">
        <v>5187</v>
      </c>
      <c r="B5191" s="9" t="inlineStr">
        <is>
          <t>Vanguard_M15</t>
        </is>
      </c>
      <c r="C5191" s="9" t="inlineStr">
        <is>
          <t>Trendline breakout (fractal swing line) + VWAP/S-R distance gate - M15 chart</t>
        </is>
      </c>
      <c r="D5191" s="9" t="inlineStr">
        <is>
          <t>Short</t>
        </is>
      </c>
      <c r="E5191" s="10" t="n">
        <v>45868.19791666666</v>
      </c>
      <c r="F5191" s="10" t="n">
        <v>45868.21875</v>
      </c>
      <c r="G5191" s="11" t="n">
        <v>-9.08</v>
      </c>
      <c r="H5191" s="11">
        <f>H5190+G5191</f>
        <v/>
      </c>
    </row>
    <row r="5192">
      <c r="A5192" s="9" t="n">
        <v>5188</v>
      </c>
      <c r="B5192" s="9" t="inlineStr">
        <is>
          <t>Vanguard_M5</t>
        </is>
      </c>
      <c r="C5192" s="9" t="inlineStr">
        <is>
          <t>Trendline breakout (fractal swing line) + VWAP/S-R distance gate</t>
        </is>
      </c>
      <c r="D5192" s="9" t="inlineStr">
        <is>
          <t>Short</t>
        </is>
      </c>
      <c r="E5192" s="10" t="n">
        <v>45868.19791666666</v>
      </c>
      <c r="F5192" s="10" t="n">
        <v>45868.21875</v>
      </c>
      <c r="G5192" s="11" t="n">
        <v>-8.369999999999999</v>
      </c>
      <c r="H5192" s="11">
        <f>H5191+G5192</f>
        <v/>
      </c>
    </row>
    <row r="5193">
      <c r="A5193" s="9" t="n">
        <v>5189</v>
      </c>
      <c r="B5193" s="9" t="inlineStr">
        <is>
          <t>Meridian</t>
        </is>
      </c>
      <c r="C5193" s="9" t="inlineStr">
        <is>
          <t>21/50 MA cross, 250-period confirm filter, VWAP</t>
        </is>
      </c>
      <c r="D5193" s="9" t="inlineStr">
        <is>
          <t>Long</t>
        </is>
      </c>
      <c r="E5193" s="10" t="n">
        <v>45868.22569444445</v>
      </c>
      <c r="F5193" s="10" t="n">
        <v>45868.23611111111</v>
      </c>
      <c r="G5193" s="11" t="n">
        <v>-5.51</v>
      </c>
      <c r="H5193" s="11">
        <f>H5192+G5193</f>
        <v/>
      </c>
    </row>
    <row r="5194">
      <c r="A5194" s="9" t="n">
        <v>5190</v>
      </c>
      <c r="B5194" s="9" t="inlineStr">
        <is>
          <t>Vanguard_M5</t>
        </is>
      </c>
      <c r="C5194" s="9" t="inlineStr">
        <is>
          <t>Trendline breakout (fractal swing line) + VWAP/S-R distance gate</t>
        </is>
      </c>
      <c r="D5194" s="9" t="inlineStr">
        <is>
          <t>Long</t>
        </is>
      </c>
      <c r="E5194" s="10" t="n">
        <v>45868.22222222222</v>
      </c>
      <c r="F5194" s="10" t="n">
        <v>45868.33333333334</v>
      </c>
      <c r="G5194" s="11" t="n">
        <v>-6.31</v>
      </c>
      <c r="H5194" s="11">
        <f>H5193+G5194</f>
        <v/>
      </c>
    </row>
    <row r="5195">
      <c r="A5195" s="9" t="n">
        <v>5191</v>
      </c>
      <c r="B5195" s="9" t="inlineStr">
        <is>
          <t>Vanguard_M5</t>
        </is>
      </c>
      <c r="C5195" s="9" t="inlineStr">
        <is>
          <t>Trendline breakout (fractal swing line) + VWAP/S-R distance gate</t>
        </is>
      </c>
      <c r="D5195" s="9" t="inlineStr">
        <is>
          <t>Short</t>
        </is>
      </c>
      <c r="E5195" s="10" t="n">
        <v>45868.33680555555</v>
      </c>
      <c r="F5195" s="10" t="n">
        <v>45868.34722222222</v>
      </c>
      <c r="G5195" s="11" t="n">
        <v>-4.21</v>
      </c>
      <c r="H5195" s="11">
        <f>H5194+G5195</f>
        <v/>
      </c>
    </row>
    <row r="5196">
      <c r="A5196" s="9" t="n">
        <v>5192</v>
      </c>
      <c r="B5196" s="9" t="inlineStr">
        <is>
          <t>Vanguard_M15</t>
        </is>
      </c>
      <c r="C5196" s="9" t="inlineStr">
        <is>
          <t>Trendline breakout (fractal swing line) + VWAP/S-R distance gate - M15 chart</t>
        </is>
      </c>
      <c r="D5196" s="9" t="inlineStr">
        <is>
          <t>Long</t>
        </is>
      </c>
      <c r="E5196" s="10" t="n">
        <v>45868.22916666666</v>
      </c>
      <c r="F5196" s="10" t="n">
        <v>45868.35416666666</v>
      </c>
      <c r="G5196" s="11" t="n">
        <v>-5.08</v>
      </c>
      <c r="H5196" s="11">
        <f>H5195+G5196</f>
        <v/>
      </c>
    </row>
    <row r="5197">
      <c r="A5197" s="9" t="n">
        <v>5193</v>
      </c>
      <c r="B5197" s="9" t="inlineStr">
        <is>
          <t>Vanguard_M5</t>
        </is>
      </c>
      <c r="C5197" s="9" t="inlineStr">
        <is>
          <t>Trendline breakout (fractal swing line) + VWAP/S-R distance gate</t>
        </is>
      </c>
      <c r="D5197" s="9" t="inlineStr">
        <is>
          <t>Long</t>
        </is>
      </c>
      <c r="E5197" s="10" t="n">
        <v>45868.35069444445</v>
      </c>
      <c r="F5197" s="10" t="n">
        <v>45868.36111111111</v>
      </c>
      <c r="G5197" s="11" t="n">
        <v>-3.93</v>
      </c>
      <c r="H5197" s="11">
        <f>H5196+G5197</f>
        <v/>
      </c>
    </row>
    <row r="5198">
      <c r="A5198" s="9" t="n">
        <v>5194</v>
      </c>
      <c r="B5198" s="9" t="inlineStr">
        <is>
          <t>Vanguard_M15</t>
        </is>
      </c>
      <c r="C5198" s="9" t="inlineStr">
        <is>
          <t>Trendline breakout (fractal swing line) + VWAP/S-R distance gate - M15 chart</t>
        </is>
      </c>
      <c r="D5198" s="9" t="inlineStr">
        <is>
          <t>Short</t>
        </is>
      </c>
      <c r="E5198" s="10" t="n">
        <v>45868.36458333334</v>
      </c>
      <c r="F5198" s="10" t="n">
        <v>45868.41666666666</v>
      </c>
      <c r="G5198" s="11" t="n">
        <v>-4.21</v>
      </c>
      <c r="H5198" s="11">
        <f>H5197+G5198</f>
        <v/>
      </c>
    </row>
    <row r="5199">
      <c r="A5199" s="9" t="n">
        <v>5195</v>
      </c>
      <c r="B5199" s="9" t="inlineStr">
        <is>
          <t>Vanguard_M5</t>
        </is>
      </c>
      <c r="C5199" s="9" t="inlineStr">
        <is>
          <t>Trendline breakout (fractal swing line) + VWAP/S-R distance gate</t>
        </is>
      </c>
      <c r="D5199" s="9" t="inlineStr">
        <is>
          <t>Short</t>
        </is>
      </c>
      <c r="E5199" s="10" t="n">
        <v>45868.36458333334</v>
      </c>
      <c r="F5199" s="10" t="n">
        <v>45868.41666666666</v>
      </c>
      <c r="G5199" s="11" t="n">
        <v>-3.89</v>
      </c>
      <c r="H5199" s="11">
        <f>H5198+G5199</f>
        <v/>
      </c>
    </row>
    <row r="5200">
      <c r="A5200" s="9" t="n">
        <v>5196</v>
      </c>
      <c r="B5200" s="9" t="inlineStr">
        <is>
          <t>Vanguard_M15</t>
        </is>
      </c>
      <c r="C5200" s="9" t="inlineStr">
        <is>
          <t>Trendline breakout (fractal swing line) + VWAP/S-R distance gate - M15 chart</t>
        </is>
      </c>
      <c r="D5200" s="9" t="inlineStr">
        <is>
          <t>Long</t>
        </is>
      </c>
      <c r="E5200" s="10" t="n">
        <v>45868.42708333334</v>
      </c>
      <c r="F5200" s="10" t="n">
        <v>45868.42708333334</v>
      </c>
      <c r="G5200" s="11" t="n">
        <v>-3.26</v>
      </c>
      <c r="H5200" s="11">
        <f>H5199+G5200</f>
        <v/>
      </c>
    </row>
    <row r="5201">
      <c r="A5201" s="9" t="n">
        <v>5197</v>
      </c>
      <c r="B5201" s="9" t="inlineStr">
        <is>
          <t>Vanguard_M5</t>
        </is>
      </c>
      <c r="C5201" s="9" t="inlineStr">
        <is>
          <t>Trendline breakout (fractal swing line) + VWAP/S-R distance gate</t>
        </is>
      </c>
      <c r="D5201" s="9" t="inlineStr">
        <is>
          <t>Long</t>
        </is>
      </c>
      <c r="E5201" s="10" t="n">
        <v>45868.42013888889</v>
      </c>
      <c r="F5201" s="10" t="n">
        <v>45868.43402777778</v>
      </c>
      <c r="G5201" s="11" t="n">
        <v>-2.94</v>
      </c>
      <c r="H5201" s="11">
        <f>H5200+G5201</f>
        <v/>
      </c>
    </row>
    <row r="5202">
      <c r="A5202" s="9" t="n">
        <v>5198</v>
      </c>
      <c r="B5202" s="9" t="inlineStr">
        <is>
          <t>Meridian</t>
        </is>
      </c>
      <c r="C5202" s="9" t="inlineStr">
        <is>
          <t>21/50 MA cross, 250-period confirm filter, VWAP</t>
        </is>
      </c>
      <c r="D5202" s="9" t="inlineStr">
        <is>
          <t>Long</t>
        </is>
      </c>
      <c r="E5202" s="10" t="n">
        <v>45868.43055555555</v>
      </c>
      <c r="F5202" s="10" t="n">
        <v>45868.43402777778</v>
      </c>
      <c r="G5202" s="11" t="n">
        <v>-4.66</v>
      </c>
      <c r="H5202" s="11">
        <f>H5201+G5202</f>
        <v/>
      </c>
    </row>
    <row r="5203">
      <c r="A5203" s="9" t="n">
        <v>5199</v>
      </c>
      <c r="B5203" s="9" t="inlineStr">
        <is>
          <t>Vanguard_M15</t>
        </is>
      </c>
      <c r="C5203" s="9" t="inlineStr">
        <is>
          <t>Trendline breakout (fractal swing line) + VWAP/S-R distance gate - M15 chart</t>
        </is>
      </c>
      <c r="D5203" s="9" t="inlineStr">
        <is>
          <t>Short</t>
        </is>
      </c>
      <c r="E5203" s="10" t="n">
        <v>45868.4375</v>
      </c>
      <c r="F5203" s="10" t="n">
        <v>45868.4375</v>
      </c>
      <c r="G5203" s="11" t="n">
        <v>-3.07</v>
      </c>
      <c r="H5203" s="11">
        <f>H5202+G5203</f>
        <v/>
      </c>
    </row>
    <row r="5204">
      <c r="A5204" s="9" t="n">
        <v>5200</v>
      </c>
      <c r="B5204" s="9" t="inlineStr">
        <is>
          <t>Vanguard_M5</t>
        </is>
      </c>
      <c r="C5204" s="9" t="inlineStr">
        <is>
          <t>Trendline breakout (fractal swing line) + VWAP/S-R distance gate</t>
        </is>
      </c>
      <c r="D5204" s="9" t="inlineStr">
        <is>
          <t>Short</t>
        </is>
      </c>
      <c r="E5204" s="10" t="n">
        <v>45868.4375</v>
      </c>
      <c r="F5204" s="10" t="n">
        <v>45868.44444444445</v>
      </c>
      <c r="G5204" s="11" t="n">
        <v>-3.07</v>
      </c>
      <c r="H5204" s="11">
        <f>H5203+G5204</f>
        <v/>
      </c>
    </row>
    <row r="5205">
      <c r="A5205" s="9" t="n">
        <v>5201</v>
      </c>
      <c r="B5205" s="9" t="inlineStr">
        <is>
          <t>Vanguard_M15</t>
        </is>
      </c>
      <c r="C5205" s="9" t="inlineStr">
        <is>
          <t>Trendline breakout (fractal swing line) + VWAP/S-R distance gate - M15 chart</t>
        </is>
      </c>
      <c r="D5205" s="9" t="inlineStr">
        <is>
          <t>Long</t>
        </is>
      </c>
      <c r="E5205" s="10" t="n">
        <v>45868.44791666666</v>
      </c>
      <c r="F5205" s="10" t="n">
        <v>45868.55208333334</v>
      </c>
      <c r="G5205" s="11" t="n">
        <v>-0.85</v>
      </c>
      <c r="H5205" s="11">
        <f>H5204+G5205</f>
        <v/>
      </c>
    </row>
    <row r="5206">
      <c r="A5206" s="9" t="n">
        <v>5202</v>
      </c>
      <c r="B5206" s="9" t="inlineStr">
        <is>
          <t>Vanguard_M5</t>
        </is>
      </c>
      <c r="C5206" s="9" t="inlineStr">
        <is>
          <t>Trendline breakout (fractal swing line) + VWAP/S-R distance gate</t>
        </is>
      </c>
      <c r="D5206" s="9" t="inlineStr">
        <is>
          <t>Long</t>
        </is>
      </c>
      <c r="E5206" s="10" t="n">
        <v>45868.44791666666</v>
      </c>
      <c r="F5206" s="10" t="n">
        <v>45868.55555555555</v>
      </c>
      <c r="G5206" s="11" t="n">
        <v>-0.92</v>
      </c>
      <c r="H5206" s="11">
        <f>H5205+G5206</f>
        <v/>
      </c>
    </row>
    <row r="5207">
      <c r="A5207" s="9" t="n">
        <v>5203</v>
      </c>
      <c r="B5207" s="9" t="inlineStr">
        <is>
          <t>Meridian</t>
        </is>
      </c>
      <c r="C5207" s="9" t="inlineStr">
        <is>
          <t>21/50 MA cross, 250-period confirm filter, VWAP</t>
        </is>
      </c>
      <c r="D5207" s="9" t="inlineStr">
        <is>
          <t>Long</t>
        </is>
      </c>
      <c r="E5207" s="10" t="n">
        <v>45868.44444444445</v>
      </c>
      <c r="F5207" s="10" t="n">
        <v>45868.58680555555</v>
      </c>
      <c r="G5207" s="11" t="n">
        <v>-0.55</v>
      </c>
      <c r="H5207" s="11">
        <f>H5206+G5207</f>
        <v/>
      </c>
    </row>
    <row r="5208">
      <c r="A5208" s="9" t="n">
        <v>5204</v>
      </c>
      <c r="B5208" s="9" t="inlineStr">
        <is>
          <t>Ratchet</t>
        </is>
      </c>
      <c r="C5208" s="9" t="inlineStr">
        <is>
          <t>Stochastic scalp with give-back trail exit</t>
        </is>
      </c>
      <c r="D5208" s="9" t="inlineStr">
        <is>
          <t>Short</t>
        </is>
      </c>
      <c r="E5208" s="10" t="n">
        <v>45868.75347222222</v>
      </c>
      <c r="F5208" s="10" t="n">
        <v>45868.82638888889</v>
      </c>
      <c r="G5208" s="11" t="n">
        <v>3.43</v>
      </c>
      <c r="H5208" s="11">
        <f>H5207+G5208</f>
        <v/>
      </c>
    </row>
    <row r="5209">
      <c r="A5209" s="9" t="n">
        <v>5205</v>
      </c>
      <c r="B5209" s="9" t="inlineStr">
        <is>
          <t>Ratchet</t>
        </is>
      </c>
      <c r="C5209" s="9" t="inlineStr">
        <is>
          <t>Stochastic scalp with give-back trail exit</t>
        </is>
      </c>
      <c r="D5209" s="9" t="inlineStr">
        <is>
          <t>Short</t>
        </is>
      </c>
      <c r="E5209" s="10" t="n">
        <v>45868.89930555555</v>
      </c>
      <c r="F5209" s="10" t="n">
        <v>45868.99652777778</v>
      </c>
      <c r="G5209" s="11" t="n">
        <v>21.27</v>
      </c>
      <c r="H5209" s="11">
        <f>H5208+G5209</f>
        <v/>
      </c>
    </row>
    <row r="5210">
      <c r="A5210" s="9" t="n">
        <v>5206</v>
      </c>
      <c r="B5210" s="9" t="inlineStr">
        <is>
          <t>Aurelius_M5</t>
        </is>
      </c>
      <c r="C5210" s="9" t="inlineStr">
        <is>
          <t>MA alignment (EMA21&gt;EMA50&gt;SMA250&gt;SMMA500 vs EMA2400 trend filter)</t>
        </is>
      </c>
      <c r="D5210" s="9" t="inlineStr">
        <is>
          <t>Short</t>
        </is>
      </c>
      <c r="E5210" s="10" t="n">
        <v>45868.66319444445</v>
      </c>
      <c r="F5210" s="10" t="n">
        <v>45869.04166666666</v>
      </c>
      <c r="G5210" s="11" t="n">
        <v>38.59</v>
      </c>
      <c r="H5210" s="11">
        <f>H5209+G5210</f>
        <v/>
      </c>
    </row>
    <row r="5211">
      <c r="A5211" s="9" t="n">
        <v>5207</v>
      </c>
      <c r="B5211" s="9" t="inlineStr">
        <is>
          <t>Meridian</t>
        </is>
      </c>
      <c r="C5211" s="9" t="inlineStr">
        <is>
          <t>21/50 MA cross, 250-period confirm filter, VWAP</t>
        </is>
      </c>
      <c r="D5211" s="9" t="inlineStr">
        <is>
          <t>Long</t>
        </is>
      </c>
      <c r="E5211" s="10" t="n">
        <v>45869.62847222222</v>
      </c>
      <c r="F5211" s="10" t="n">
        <v>45869.70833333334</v>
      </c>
      <c r="G5211" s="11" t="n">
        <v>-6.13</v>
      </c>
      <c r="H5211" s="11">
        <f>H5210+G5211</f>
        <v/>
      </c>
    </row>
    <row r="5212">
      <c r="A5212" s="9" t="n">
        <v>5208</v>
      </c>
      <c r="B5212" s="9" t="inlineStr">
        <is>
          <t>Ratchet</t>
        </is>
      </c>
      <c r="C5212" s="9" t="inlineStr">
        <is>
          <t>Stochastic scalp with give-back trail exit</t>
        </is>
      </c>
      <c r="D5212" s="9" t="inlineStr">
        <is>
          <t>Short</t>
        </is>
      </c>
      <c r="E5212" s="10" t="n">
        <v>45869.77083333334</v>
      </c>
      <c r="F5212" s="10" t="n">
        <v>45869.78472222222</v>
      </c>
      <c r="G5212" s="11" t="n">
        <v>0.7</v>
      </c>
      <c r="H5212" s="11">
        <f>H5211+G5212</f>
        <v/>
      </c>
    </row>
    <row r="5213">
      <c r="A5213" s="9" t="n">
        <v>5209</v>
      </c>
      <c r="B5213" s="9" t="inlineStr">
        <is>
          <t>Ratchet</t>
        </is>
      </c>
      <c r="C5213" s="9" t="inlineStr">
        <is>
          <t>Stochastic scalp with give-back trail exit</t>
        </is>
      </c>
      <c r="D5213" s="9" t="inlineStr">
        <is>
          <t>Short</t>
        </is>
      </c>
      <c r="E5213" s="10" t="n">
        <v>45869.80555555555</v>
      </c>
      <c r="F5213" s="10" t="n">
        <v>45869.81944444445</v>
      </c>
      <c r="G5213" s="11" t="n">
        <v>-4.71</v>
      </c>
      <c r="H5213" s="11">
        <f>H5212+G5213</f>
        <v/>
      </c>
    </row>
    <row r="5214">
      <c r="A5214" s="9" t="n">
        <v>5210</v>
      </c>
      <c r="B5214" s="9" t="inlineStr">
        <is>
          <t>Aurelius_M5</t>
        </is>
      </c>
      <c r="C5214" s="9" t="inlineStr">
        <is>
          <t>MA alignment (EMA21&gt;EMA50&gt;SMA250&gt;SMMA500 vs EMA2400 trend filter)</t>
        </is>
      </c>
      <c r="D5214" s="9" t="inlineStr">
        <is>
          <t>Short</t>
        </is>
      </c>
      <c r="E5214" s="10" t="n">
        <v>45870.19097222222</v>
      </c>
      <c r="F5214" s="10" t="n">
        <v>45870.25347222222</v>
      </c>
      <c r="G5214" s="11" t="n">
        <v>-5.09</v>
      </c>
      <c r="H5214" s="11">
        <f>H5213+G5214</f>
        <v/>
      </c>
    </row>
    <row r="5215">
      <c r="A5215" s="9" t="n">
        <v>5211</v>
      </c>
      <c r="B5215" s="9" t="inlineStr">
        <is>
          <t>Aurelius_M15</t>
        </is>
      </c>
      <c r="C5215" s="9" t="inlineStr">
        <is>
          <t>MA alignment (EMA21&gt;EMA50&gt;SMA250&gt;SMMA500 vs EMA2400 trend filter) - M15 chart</t>
        </is>
      </c>
      <c r="D5215" s="9" t="inlineStr">
        <is>
          <t>Short</t>
        </is>
      </c>
      <c r="E5215" s="10" t="n">
        <v>45870.21875</v>
      </c>
      <c r="F5215" s="10" t="n">
        <v>45870.32291666666</v>
      </c>
      <c r="G5215" s="11" t="n">
        <v>-1.16</v>
      </c>
      <c r="H5215" s="11">
        <f>H5214+G5215</f>
        <v/>
      </c>
    </row>
    <row r="5216">
      <c r="A5216" s="9" t="n">
        <v>5212</v>
      </c>
      <c r="B5216" s="9" t="inlineStr">
        <is>
          <t>Vanguard_M15</t>
        </is>
      </c>
      <c r="C5216" s="9" t="inlineStr">
        <is>
          <t>Trendline breakout (fractal swing line) + VWAP/S-R distance gate - M15 chart</t>
        </is>
      </c>
      <c r="D5216" s="9" t="inlineStr">
        <is>
          <t>Short</t>
        </is>
      </c>
      <c r="E5216" s="10" t="n">
        <v>45868.63541666666</v>
      </c>
      <c r="F5216" s="10" t="n">
        <v>45870.36458333334</v>
      </c>
      <c r="G5216" s="11" t="n">
        <v>31.2</v>
      </c>
      <c r="H5216" s="11">
        <f>H5215+G5216</f>
        <v/>
      </c>
    </row>
    <row r="5217">
      <c r="A5217" s="9" t="n">
        <v>5213</v>
      </c>
      <c r="B5217" s="9" t="inlineStr">
        <is>
          <t>Vanguard_M5</t>
        </is>
      </c>
      <c r="C5217" s="9" t="inlineStr">
        <is>
          <t>Trendline breakout (fractal swing line) + VWAP/S-R distance gate</t>
        </is>
      </c>
      <c r="D5217" s="9" t="inlineStr">
        <is>
          <t>Long</t>
        </is>
      </c>
      <c r="E5217" s="10" t="n">
        <v>45870.36805555555</v>
      </c>
      <c r="F5217" s="10" t="n">
        <v>45870.42013888889</v>
      </c>
      <c r="G5217" s="11" t="n">
        <v>-7.17</v>
      </c>
      <c r="H5217" s="11">
        <f>H5216+G5217</f>
        <v/>
      </c>
    </row>
    <row r="5218">
      <c r="A5218" s="9" t="n">
        <v>5214</v>
      </c>
      <c r="B5218" s="9" t="inlineStr">
        <is>
          <t>Vanguard_M15</t>
        </is>
      </c>
      <c r="C5218" s="9" t="inlineStr">
        <is>
          <t>Trendline breakout (fractal swing line) + VWAP/S-R distance gate - M15 chart</t>
        </is>
      </c>
      <c r="D5218" s="9" t="inlineStr">
        <is>
          <t>Long</t>
        </is>
      </c>
      <c r="E5218" s="10" t="n">
        <v>45870.375</v>
      </c>
      <c r="F5218" s="10" t="n">
        <v>45870.4375</v>
      </c>
      <c r="G5218" s="11" t="n">
        <v>-10.82</v>
      </c>
      <c r="H5218" s="11">
        <f>H5217+G5218</f>
        <v/>
      </c>
    </row>
    <row r="5219">
      <c r="A5219" s="9" t="n">
        <v>5215</v>
      </c>
      <c r="B5219" s="9" t="inlineStr">
        <is>
          <t>Aurelius_M5</t>
        </is>
      </c>
      <c r="C5219" s="9" t="inlineStr">
        <is>
          <t>MA alignment (EMA21&gt;EMA50&gt;SMA250&gt;SMMA500 vs EMA2400 trend filter)</t>
        </is>
      </c>
      <c r="D5219" s="9" t="inlineStr">
        <is>
          <t>Short</t>
        </is>
      </c>
      <c r="E5219" s="10" t="n">
        <v>45870.44791666666</v>
      </c>
      <c r="F5219" s="10" t="n">
        <v>45870.49305555555</v>
      </c>
      <c r="G5219" s="11" t="n">
        <v>-5.26</v>
      </c>
      <c r="H5219" s="11">
        <f>H5218+G5219</f>
        <v/>
      </c>
    </row>
    <row r="5220">
      <c r="A5220" s="9" t="n">
        <v>5216</v>
      </c>
      <c r="B5220" s="9" t="inlineStr">
        <is>
          <t>Meridian</t>
        </is>
      </c>
      <c r="C5220" s="9" t="inlineStr">
        <is>
          <t>21/50 MA cross, 250-period confirm filter, VWAP</t>
        </is>
      </c>
      <c r="D5220" s="9" t="inlineStr">
        <is>
          <t>Short</t>
        </is>
      </c>
      <c r="E5220" s="10" t="n">
        <v>45870.43055555555</v>
      </c>
      <c r="F5220" s="10" t="n">
        <v>45870.5</v>
      </c>
      <c r="G5220" s="11" t="n">
        <v>-5.17</v>
      </c>
      <c r="H5220" s="11">
        <f>H5219+G5220</f>
        <v/>
      </c>
    </row>
    <row r="5221">
      <c r="A5221" s="9" t="n">
        <v>5217</v>
      </c>
      <c r="B5221" s="9" t="inlineStr">
        <is>
          <t>Ratchet</t>
        </is>
      </c>
      <c r="C5221" s="9" t="inlineStr">
        <is>
          <t>Stochastic scalp with give-back trail exit</t>
        </is>
      </c>
      <c r="D5221" s="9" t="inlineStr">
        <is>
          <t>Long</t>
        </is>
      </c>
      <c r="E5221" s="10" t="n">
        <v>45870.66666666666</v>
      </c>
      <c r="F5221" s="10" t="n">
        <v>45870.67013888889</v>
      </c>
      <c r="G5221" s="11" t="n">
        <v>0</v>
      </c>
      <c r="H5221" s="11">
        <f>H5220+G5221</f>
        <v/>
      </c>
    </row>
    <row r="5222">
      <c r="A5222" s="9" t="n">
        <v>5218</v>
      </c>
      <c r="B5222" s="9" t="inlineStr">
        <is>
          <t>Ratchet</t>
        </is>
      </c>
      <c r="C5222" s="9" t="inlineStr">
        <is>
          <t>Stochastic scalp with give-back trail exit</t>
        </is>
      </c>
      <c r="D5222" s="9" t="inlineStr">
        <is>
          <t>Long</t>
        </is>
      </c>
      <c r="E5222" s="10" t="n">
        <v>45870.67361111111</v>
      </c>
      <c r="F5222" s="10" t="n">
        <v>45870.68402777778</v>
      </c>
      <c r="G5222" s="11" t="n">
        <v>5.43</v>
      </c>
      <c r="H5222" s="11">
        <f>H5221+G5222</f>
        <v/>
      </c>
    </row>
    <row r="5223">
      <c r="A5223" s="9" t="n">
        <v>5219</v>
      </c>
      <c r="B5223" s="9" t="inlineStr">
        <is>
          <t>Ratchet</t>
        </is>
      </c>
      <c r="C5223" s="9" t="inlineStr">
        <is>
          <t>Stochastic scalp with give-back trail exit</t>
        </is>
      </c>
      <c r="D5223" s="9" t="inlineStr">
        <is>
          <t>Long</t>
        </is>
      </c>
      <c r="E5223" s="10" t="n">
        <v>45870.78125</v>
      </c>
      <c r="F5223" s="10" t="n">
        <v>45870.78819444445</v>
      </c>
      <c r="G5223" s="11" t="n">
        <v>0</v>
      </c>
      <c r="H5223" s="11">
        <f>H5222+G5223</f>
        <v/>
      </c>
    </row>
    <row r="5224">
      <c r="A5224" s="9" t="n">
        <v>5220</v>
      </c>
      <c r="B5224" s="9" t="inlineStr">
        <is>
          <t>Meridian</t>
        </is>
      </c>
      <c r="C5224" s="9" t="inlineStr">
        <is>
          <t>21/50 MA cross, 250-period confirm filter, VWAP</t>
        </is>
      </c>
      <c r="D5224" s="9" t="inlineStr">
        <is>
          <t>Long</t>
        </is>
      </c>
      <c r="E5224" s="10" t="n">
        <v>45870.51041666666</v>
      </c>
      <c r="F5224" s="10" t="n">
        <v>45870.91666666666</v>
      </c>
      <c r="G5224" s="11" t="n">
        <v>52.23</v>
      </c>
      <c r="H5224" s="11">
        <f>H5223+G5224</f>
        <v/>
      </c>
    </row>
    <row r="5225">
      <c r="A5225" s="9" t="n">
        <v>5221</v>
      </c>
      <c r="B5225" s="9" t="inlineStr">
        <is>
          <t>Aurelius_M5</t>
        </is>
      </c>
      <c r="C5225" s="9" t="inlineStr">
        <is>
          <t>MA alignment (EMA21&gt;EMA50&gt;SMA250&gt;SMMA500 vs EMA2400 trend filter)</t>
        </is>
      </c>
      <c r="D5225" s="9" t="inlineStr">
        <is>
          <t>Long</t>
        </is>
      </c>
      <c r="E5225" s="10" t="n">
        <v>45873.12847222222</v>
      </c>
      <c r="F5225" s="10" t="n">
        <v>45873.15277777778</v>
      </c>
      <c r="G5225" s="11" t="n">
        <v>-5.5</v>
      </c>
      <c r="H5225" s="11">
        <f>H5224+G5225</f>
        <v/>
      </c>
    </row>
    <row r="5226">
      <c r="A5226" s="9" t="n">
        <v>5222</v>
      </c>
      <c r="B5226" s="9" t="inlineStr">
        <is>
          <t>Aurelius_M5</t>
        </is>
      </c>
      <c r="C5226" s="9" t="inlineStr">
        <is>
          <t>MA alignment (EMA21&gt;EMA50&gt;SMA250&gt;SMMA500 vs EMA2400 trend filter)</t>
        </is>
      </c>
      <c r="D5226" s="9" t="inlineStr">
        <is>
          <t>Long</t>
        </is>
      </c>
      <c r="E5226" s="10" t="n">
        <v>45873.38194444445</v>
      </c>
      <c r="F5226" s="10" t="n">
        <v>45873.39236111111</v>
      </c>
      <c r="G5226" s="11" t="n">
        <v>-3.73</v>
      </c>
      <c r="H5226" s="11">
        <f>H5225+G5226</f>
        <v/>
      </c>
    </row>
    <row r="5227">
      <c r="A5227" s="9" t="n">
        <v>5223</v>
      </c>
      <c r="B5227" s="9" t="inlineStr">
        <is>
          <t>Meridian</t>
        </is>
      </c>
      <c r="C5227" s="9" t="inlineStr">
        <is>
          <t>21/50 MA cross, 250-period confirm filter, VWAP</t>
        </is>
      </c>
      <c r="D5227" s="9" t="inlineStr">
        <is>
          <t>Long</t>
        </is>
      </c>
      <c r="E5227" s="10" t="n">
        <v>45873.26736111111</v>
      </c>
      <c r="F5227" s="10" t="n">
        <v>45873.4375</v>
      </c>
      <c r="G5227" s="11" t="n">
        <v>-4.75</v>
      </c>
      <c r="H5227" s="11">
        <f>H5226+G5227</f>
        <v/>
      </c>
    </row>
    <row r="5228">
      <c r="A5228" s="9" t="n">
        <v>5224</v>
      </c>
      <c r="B5228" s="9" t="inlineStr">
        <is>
          <t>Ratchet</t>
        </is>
      </c>
      <c r="C5228" s="9" t="inlineStr">
        <is>
          <t>Stochastic scalp with give-back trail exit</t>
        </is>
      </c>
      <c r="D5228" s="9" t="inlineStr">
        <is>
          <t>Long</t>
        </is>
      </c>
      <c r="E5228" s="10" t="n">
        <v>45873.49652777778</v>
      </c>
      <c r="F5228" s="10" t="n">
        <v>45873.50694444445</v>
      </c>
      <c r="G5228" s="11" t="n">
        <v>0.39</v>
      </c>
      <c r="H5228" s="11">
        <f>H5227+G5228</f>
        <v/>
      </c>
    </row>
    <row r="5229">
      <c r="A5229" s="9" t="n">
        <v>5225</v>
      </c>
      <c r="B5229" s="9" t="inlineStr">
        <is>
          <t>Ratchet</t>
        </is>
      </c>
      <c r="C5229" s="9" t="inlineStr">
        <is>
          <t>Stochastic scalp with give-back trail exit</t>
        </is>
      </c>
      <c r="D5229" s="9" t="inlineStr">
        <is>
          <t>Long</t>
        </is>
      </c>
      <c r="E5229" s="10" t="n">
        <v>45873.51388888889</v>
      </c>
      <c r="F5229" s="10" t="n">
        <v>45873.52083333334</v>
      </c>
      <c r="G5229" s="11" t="n">
        <v>0.28</v>
      </c>
      <c r="H5229" s="11">
        <f>H5228+G5229</f>
        <v/>
      </c>
    </row>
    <row r="5230">
      <c r="A5230" s="9" t="n">
        <v>5226</v>
      </c>
      <c r="B5230" s="9" t="inlineStr">
        <is>
          <t>Meridian</t>
        </is>
      </c>
      <c r="C5230" s="9" t="inlineStr">
        <is>
          <t>21/50 MA cross, 250-period confirm filter, VWAP</t>
        </is>
      </c>
      <c r="D5230" s="9" t="inlineStr">
        <is>
          <t>Long</t>
        </is>
      </c>
      <c r="E5230" s="10" t="n">
        <v>45873.49305555555</v>
      </c>
      <c r="F5230" s="10" t="n">
        <v>45873.55555555555</v>
      </c>
      <c r="G5230" s="11" t="n">
        <v>-4.76</v>
      </c>
      <c r="H5230" s="11">
        <f>H5229+G5230</f>
        <v/>
      </c>
    </row>
    <row r="5231">
      <c r="A5231" s="9" t="n">
        <v>5227</v>
      </c>
      <c r="B5231" s="9" t="inlineStr">
        <is>
          <t>Aurelius_M5</t>
        </is>
      </c>
      <c r="C5231" s="9" t="inlineStr">
        <is>
          <t>MA alignment (EMA21&gt;EMA50&gt;SMA250&gt;SMMA500 vs EMA2400 trend filter)</t>
        </is>
      </c>
      <c r="D5231" s="9" t="inlineStr">
        <is>
          <t>Long</t>
        </is>
      </c>
      <c r="E5231" s="10" t="n">
        <v>45873.53472222222</v>
      </c>
      <c r="F5231" s="10" t="n">
        <v>45873.55555555555</v>
      </c>
      <c r="G5231" s="11" t="n">
        <v>-4.45</v>
      </c>
      <c r="H5231" s="11">
        <f>H5230+G5231</f>
        <v/>
      </c>
    </row>
    <row r="5232">
      <c r="A5232" s="9" t="n">
        <v>5228</v>
      </c>
      <c r="B5232" s="9" t="inlineStr">
        <is>
          <t>Ratchet</t>
        </is>
      </c>
      <c r="C5232" s="9" t="inlineStr">
        <is>
          <t>Stochastic scalp with give-back trail exit</t>
        </is>
      </c>
      <c r="D5232" s="9" t="inlineStr">
        <is>
          <t>Long</t>
        </is>
      </c>
      <c r="E5232" s="10" t="n">
        <v>45874.11458333334</v>
      </c>
      <c r="F5232" s="10" t="n">
        <v>45874.11805555555</v>
      </c>
      <c r="G5232" s="11" t="n">
        <v>0</v>
      </c>
      <c r="H5232" s="11">
        <f>H5231+G5232</f>
        <v/>
      </c>
    </row>
    <row r="5233">
      <c r="A5233" s="9" t="n">
        <v>5229</v>
      </c>
      <c r="B5233" s="9" t="inlineStr">
        <is>
          <t>Ratchet</t>
        </is>
      </c>
      <c r="C5233" s="9" t="inlineStr">
        <is>
          <t>Stochastic scalp with give-back trail exit</t>
        </is>
      </c>
      <c r="D5233" s="9" t="inlineStr">
        <is>
          <t>Long</t>
        </is>
      </c>
      <c r="E5233" s="10" t="n">
        <v>45874.18055555555</v>
      </c>
      <c r="F5233" s="10" t="n">
        <v>45874.19444444445</v>
      </c>
      <c r="G5233" s="11" t="n">
        <v>0</v>
      </c>
      <c r="H5233" s="11">
        <f>H5232+G5233</f>
        <v/>
      </c>
    </row>
    <row r="5234">
      <c r="A5234" s="9" t="n">
        <v>5230</v>
      </c>
      <c r="B5234" s="9" t="inlineStr">
        <is>
          <t>Meridian</t>
        </is>
      </c>
      <c r="C5234" s="9" t="inlineStr">
        <is>
          <t>21/50 MA cross, 250-period confirm filter, VWAP</t>
        </is>
      </c>
      <c r="D5234" s="9" t="inlineStr">
        <is>
          <t>Long</t>
        </is>
      </c>
      <c r="E5234" s="10" t="n">
        <v>45873.59027777778</v>
      </c>
      <c r="F5234" s="10" t="n">
        <v>45874.24652777778</v>
      </c>
      <c r="G5234" s="11" t="n">
        <v>13.91</v>
      </c>
      <c r="H5234" s="11">
        <f>H5233+G5234</f>
        <v/>
      </c>
    </row>
    <row r="5235">
      <c r="A5235" s="9" t="n">
        <v>5231</v>
      </c>
      <c r="B5235" s="9" t="inlineStr">
        <is>
          <t>Meridian</t>
        </is>
      </c>
      <c r="C5235" s="9" t="inlineStr">
        <is>
          <t>21/50 MA cross, 250-period confirm filter, VWAP</t>
        </is>
      </c>
      <c r="D5235" s="9" t="inlineStr">
        <is>
          <t>Short</t>
        </is>
      </c>
      <c r="E5235" s="10" t="n">
        <v>45874.48958333334</v>
      </c>
      <c r="F5235" s="10" t="n">
        <v>45874.67361111111</v>
      </c>
      <c r="G5235" s="11" t="n">
        <v>1.67</v>
      </c>
      <c r="H5235" s="11">
        <f>H5234+G5235</f>
        <v/>
      </c>
    </row>
    <row r="5236">
      <c r="A5236" s="9" t="n">
        <v>5232</v>
      </c>
      <c r="B5236" s="9" t="inlineStr">
        <is>
          <t>Ratchet</t>
        </is>
      </c>
      <c r="C5236" s="9" t="inlineStr">
        <is>
          <t>Stochastic scalp with give-back trail exit</t>
        </is>
      </c>
      <c r="D5236" s="9" t="inlineStr">
        <is>
          <t>Long</t>
        </is>
      </c>
      <c r="E5236" s="10" t="n">
        <v>45874.73611111111</v>
      </c>
      <c r="F5236" s="10" t="n">
        <v>45874.74652777778</v>
      </c>
      <c r="G5236" s="11" t="n">
        <v>3.24</v>
      </c>
      <c r="H5236" s="11">
        <f>H5235+G5236</f>
        <v/>
      </c>
    </row>
    <row r="5237">
      <c r="A5237" s="9" t="n">
        <v>5233</v>
      </c>
      <c r="B5237" s="9" t="inlineStr">
        <is>
          <t>Ratchet</t>
        </is>
      </c>
      <c r="C5237" s="9" t="inlineStr">
        <is>
          <t>Stochastic scalp with give-back trail exit</t>
        </is>
      </c>
      <c r="D5237" s="9" t="inlineStr">
        <is>
          <t>Long</t>
        </is>
      </c>
      <c r="E5237" s="10" t="n">
        <v>45874.75347222222</v>
      </c>
      <c r="F5237" s="10" t="n">
        <v>45874.75694444445</v>
      </c>
      <c r="G5237" s="11" t="n">
        <v>0</v>
      </c>
      <c r="H5237" s="11">
        <f>H5236+G5237</f>
        <v/>
      </c>
    </row>
    <row r="5238">
      <c r="A5238" s="9" t="n">
        <v>5234</v>
      </c>
      <c r="B5238" s="9" t="inlineStr">
        <is>
          <t>Meridian</t>
        </is>
      </c>
      <c r="C5238" s="9" t="inlineStr">
        <is>
          <t>21/50 MA cross, 250-period confirm filter, VWAP</t>
        </is>
      </c>
      <c r="D5238" s="9" t="inlineStr">
        <is>
          <t>Long</t>
        </is>
      </c>
      <c r="E5238" s="10" t="n">
        <v>45874.99652777778</v>
      </c>
      <c r="F5238" s="10" t="n">
        <v>45875.06597222222</v>
      </c>
      <c r="G5238" s="11" t="n">
        <v>-2.35</v>
      </c>
      <c r="H5238" s="11">
        <f>H5237+G5238</f>
        <v/>
      </c>
    </row>
    <row r="5239">
      <c r="A5239" s="9" t="n">
        <v>5235</v>
      </c>
      <c r="B5239" s="9" t="inlineStr">
        <is>
          <t>Ratchet</t>
        </is>
      </c>
      <c r="C5239" s="9" t="inlineStr">
        <is>
          <t>Stochastic scalp with give-back trail exit</t>
        </is>
      </c>
      <c r="D5239" s="9" t="inlineStr">
        <is>
          <t>Long</t>
        </is>
      </c>
      <c r="E5239" s="10" t="n">
        <v>45875.13541666666</v>
      </c>
      <c r="F5239" s="10" t="n">
        <v>45875.14930555555</v>
      </c>
      <c r="G5239" s="11" t="n">
        <v>0.53</v>
      </c>
      <c r="H5239" s="11">
        <f>H5238+G5239</f>
        <v/>
      </c>
    </row>
    <row r="5240">
      <c r="A5240" s="9" t="n">
        <v>5236</v>
      </c>
      <c r="B5240" s="9" t="inlineStr">
        <is>
          <t>Meridian</t>
        </is>
      </c>
      <c r="C5240" s="9" t="inlineStr">
        <is>
          <t>21/50 MA cross, 250-period confirm filter, VWAP</t>
        </is>
      </c>
      <c r="D5240" s="9" t="inlineStr">
        <is>
          <t>Long</t>
        </is>
      </c>
      <c r="E5240" s="10" t="n">
        <v>45875.09027777778</v>
      </c>
      <c r="F5240" s="10" t="n">
        <v>45875.17361111111</v>
      </c>
      <c r="G5240" s="11" t="n">
        <v>-2.53</v>
      </c>
      <c r="H5240" s="11">
        <f>H5239+G5240</f>
        <v/>
      </c>
    </row>
    <row r="5241">
      <c r="A5241" s="9" t="n">
        <v>5237</v>
      </c>
      <c r="B5241" s="9" t="inlineStr">
        <is>
          <t>Vanguard_M15</t>
        </is>
      </c>
      <c r="C5241" s="9" t="inlineStr">
        <is>
          <t>Trendline breakout (fractal swing line) + VWAP/S-R distance gate - M15 chart</t>
        </is>
      </c>
      <c r="D5241" s="9" t="inlineStr">
        <is>
          <t>Long</t>
        </is>
      </c>
      <c r="E5241" s="10" t="n">
        <v>45870.5</v>
      </c>
      <c r="F5241" s="10" t="n">
        <v>45875.41666666666</v>
      </c>
      <c r="G5241" s="11" t="n">
        <v>77.59</v>
      </c>
      <c r="H5241" s="11">
        <f>H5240+G5241</f>
        <v/>
      </c>
    </row>
    <row r="5242">
      <c r="A5242" s="9" t="n">
        <v>5238</v>
      </c>
      <c r="B5242" s="9" t="inlineStr">
        <is>
          <t>Vanguard_M5</t>
        </is>
      </c>
      <c r="C5242" s="9" t="inlineStr">
        <is>
          <t>Trendline breakout (fractal swing line) + VWAP/S-R distance gate</t>
        </is>
      </c>
      <c r="D5242" s="9" t="inlineStr">
        <is>
          <t>Long</t>
        </is>
      </c>
      <c r="E5242" s="10" t="n">
        <v>45870.5</v>
      </c>
      <c r="F5242" s="10" t="n">
        <v>45875.42361111111</v>
      </c>
      <c r="G5242" s="11" t="n">
        <v>77.59</v>
      </c>
      <c r="H5242" s="11">
        <f>H5241+G5242</f>
        <v/>
      </c>
    </row>
    <row r="5243">
      <c r="A5243" s="9" t="n">
        <v>5239</v>
      </c>
      <c r="B5243" s="9" t="inlineStr">
        <is>
          <t>Vanguard_M5</t>
        </is>
      </c>
      <c r="C5243" s="9" t="inlineStr">
        <is>
          <t>Trendline breakout (fractal swing line) + VWAP/S-R distance gate</t>
        </is>
      </c>
      <c r="D5243" s="9" t="inlineStr">
        <is>
          <t>Short</t>
        </is>
      </c>
      <c r="E5243" s="10" t="n">
        <v>45875.42708333334</v>
      </c>
      <c r="F5243" s="10" t="n">
        <v>45875.74652777778</v>
      </c>
      <c r="G5243" s="11" t="n">
        <v>-6.81</v>
      </c>
      <c r="H5243" s="11">
        <f>H5242+G5243</f>
        <v/>
      </c>
    </row>
    <row r="5244">
      <c r="A5244" s="9" t="n">
        <v>5240</v>
      </c>
      <c r="B5244" s="9" t="inlineStr">
        <is>
          <t>Aurelius_M15</t>
        </is>
      </c>
      <c r="C5244" s="9" t="inlineStr">
        <is>
          <t>MA alignment (EMA21&gt;EMA50&gt;SMA250&gt;SMMA500 vs EMA2400 trend filter) - M15 chart</t>
        </is>
      </c>
      <c r="D5244" s="9" t="inlineStr">
        <is>
          <t>Long</t>
        </is>
      </c>
      <c r="E5244" s="10" t="n">
        <v>45875.85416666666</v>
      </c>
      <c r="F5244" s="10" t="n">
        <v>45875.97916666666</v>
      </c>
      <c r="G5244" s="11" t="n">
        <v>-4.03</v>
      </c>
      <c r="H5244" s="11">
        <f>H5243+G5244</f>
        <v/>
      </c>
    </row>
    <row r="5245">
      <c r="A5245" s="9" t="n">
        <v>5241</v>
      </c>
      <c r="B5245" s="9" t="inlineStr">
        <is>
          <t>Meridian</t>
        </is>
      </c>
      <c r="C5245" s="9" t="inlineStr">
        <is>
          <t>21/50 MA cross, 250-period confirm filter, VWAP</t>
        </is>
      </c>
      <c r="D5245" s="9" t="inlineStr">
        <is>
          <t>Short</t>
        </is>
      </c>
      <c r="E5245" s="10" t="n">
        <v>45875.89236111111</v>
      </c>
      <c r="F5245" s="10" t="n">
        <v>45876.04513888889</v>
      </c>
      <c r="G5245" s="11" t="n">
        <v>-4.59</v>
      </c>
      <c r="H5245" s="11">
        <f>H5244+G5245</f>
        <v/>
      </c>
    </row>
    <row r="5246">
      <c r="A5246" s="9" t="n">
        <v>5242</v>
      </c>
      <c r="B5246" s="9" t="inlineStr">
        <is>
          <t>Vanguard_M15</t>
        </is>
      </c>
      <c r="C5246" s="9" t="inlineStr">
        <is>
          <t>Trendline breakout (fractal swing line) + VWAP/S-R distance gate - M15 chart</t>
        </is>
      </c>
      <c r="D5246" s="9" t="inlineStr">
        <is>
          <t>Short</t>
        </is>
      </c>
      <c r="E5246" s="10" t="n">
        <v>45875.42708333334</v>
      </c>
      <c r="F5246" s="10" t="n">
        <v>45876.16666666666</v>
      </c>
      <c r="G5246" s="11" t="n">
        <v>-4.46</v>
      </c>
      <c r="H5246" s="11">
        <f>H5245+G5246</f>
        <v/>
      </c>
    </row>
    <row r="5247">
      <c r="A5247" s="9" t="n">
        <v>5243</v>
      </c>
      <c r="B5247" s="9" t="inlineStr">
        <is>
          <t>Aurelius_M5</t>
        </is>
      </c>
      <c r="C5247" s="9" t="inlineStr">
        <is>
          <t>MA alignment (EMA21&gt;EMA50&gt;SMA250&gt;SMMA500 vs EMA2400 trend filter)</t>
        </is>
      </c>
      <c r="D5247" s="9" t="inlineStr">
        <is>
          <t>Long</t>
        </is>
      </c>
      <c r="E5247" s="10" t="n">
        <v>45876.1875</v>
      </c>
      <c r="F5247" s="10" t="n">
        <v>45876.36111111111</v>
      </c>
      <c r="G5247" s="11" t="n">
        <v>-5.45</v>
      </c>
      <c r="H5247" s="11">
        <f>H5246+G5247</f>
        <v/>
      </c>
    </row>
    <row r="5248">
      <c r="A5248" s="9" t="n">
        <v>5244</v>
      </c>
      <c r="B5248" s="9" t="inlineStr">
        <is>
          <t>Meridian</t>
        </is>
      </c>
      <c r="C5248" s="9" t="inlineStr">
        <is>
          <t>21/50 MA cross, 250-period confirm filter, VWAP</t>
        </is>
      </c>
      <c r="D5248" s="9" t="inlineStr">
        <is>
          <t>Long</t>
        </is>
      </c>
      <c r="E5248" s="10" t="n">
        <v>45876.16319444445</v>
      </c>
      <c r="F5248" s="10" t="n">
        <v>45876.36805555555</v>
      </c>
      <c r="G5248" s="11" t="n">
        <v>-0.41</v>
      </c>
      <c r="H5248" s="11">
        <f>H5247+G5248</f>
        <v/>
      </c>
    </row>
    <row r="5249">
      <c r="A5249" s="9" t="n">
        <v>5245</v>
      </c>
      <c r="B5249" s="9" t="inlineStr">
        <is>
          <t>Ratchet</t>
        </is>
      </c>
      <c r="C5249" s="9" t="inlineStr">
        <is>
          <t>Stochastic scalp with give-back trail exit</t>
        </is>
      </c>
      <c r="D5249" s="9" t="inlineStr">
        <is>
          <t>Long</t>
        </is>
      </c>
      <c r="E5249" s="10" t="n">
        <v>45876.41319444445</v>
      </c>
      <c r="F5249" s="10" t="n">
        <v>45876.42013888889</v>
      </c>
      <c r="G5249" s="11" t="n">
        <v>0.6</v>
      </c>
      <c r="H5249" s="11">
        <f>H5248+G5249</f>
        <v/>
      </c>
    </row>
    <row r="5250">
      <c r="A5250" s="9" t="n">
        <v>5246</v>
      </c>
      <c r="B5250" s="9" t="inlineStr">
        <is>
          <t>Meridian</t>
        </is>
      </c>
      <c r="C5250" s="9" t="inlineStr">
        <is>
          <t>21/50 MA cross, 250-period confirm filter, VWAP</t>
        </is>
      </c>
      <c r="D5250" s="9" t="inlineStr">
        <is>
          <t>Long</t>
        </is>
      </c>
      <c r="E5250" s="10" t="n">
        <v>45876.39583333334</v>
      </c>
      <c r="F5250" s="10" t="n">
        <v>45876.47222222222</v>
      </c>
      <c r="G5250" s="11" t="n">
        <v>-5.04</v>
      </c>
      <c r="H5250" s="11">
        <f>H5249+G5250</f>
        <v/>
      </c>
    </row>
    <row r="5251">
      <c r="A5251" s="9" t="n">
        <v>5247</v>
      </c>
      <c r="B5251" s="9" t="inlineStr">
        <is>
          <t>Meridian</t>
        </is>
      </c>
      <c r="C5251" s="9" t="inlineStr">
        <is>
          <t>21/50 MA cross, 250-period confirm filter, VWAP</t>
        </is>
      </c>
      <c r="D5251" s="9" t="inlineStr">
        <is>
          <t>Long</t>
        </is>
      </c>
      <c r="E5251" s="10" t="n">
        <v>45876.64930555555</v>
      </c>
      <c r="F5251" s="10" t="n">
        <v>45876.66319444445</v>
      </c>
      <c r="G5251" s="11" t="n">
        <v>-8.16</v>
      </c>
      <c r="H5251" s="11">
        <f>H5250+G5251</f>
        <v/>
      </c>
    </row>
    <row r="5252">
      <c r="A5252" s="9" t="n">
        <v>5248</v>
      </c>
      <c r="B5252" s="9" t="inlineStr">
        <is>
          <t>Ratchet</t>
        </is>
      </c>
      <c r="C5252" s="9" t="inlineStr">
        <is>
          <t>Stochastic scalp with give-back trail exit</t>
        </is>
      </c>
      <c r="D5252" s="9" t="inlineStr">
        <is>
          <t>Long</t>
        </is>
      </c>
      <c r="E5252" s="10" t="n">
        <v>45876.76041666666</v>
      </c>
      <c r="F5252" s="10" t="n">
        <v>45876.80902777778</v>
      </c>
      <c r="G5252" s="11" t="n">
        <v>0</v>
      </c>
      <c r="H5252" s="11">
        <f>H5251+G5252</f>
        <v/>
      </c>
    </row>
    <row r="5253">
      <c r="A5253" s="9" t="n">
        <v>5249</v>
      </c>
      <c r="B5253" s="9" t="inlineStr">
        <is>
          <t>Ratchet</t>
        </is>
      </c>
      <c r="C5253" s="9" t="inlineStr">
        <is>
          <t>Stochastic scalp with give-back trail exit</t>
        </is>
      </c>
      <c r="D5253" s="9" t="inlineStr">
        <is>
          <t>Long</t>
        </is>
      </c>
      <c r="E5253" s="10" t="n">
        <v>45876.88888888889</v>
      </c>
      <c r="F5253" s="10" t="n">
        <v>45876.89930555555</v>
      </c>
      <c r="G5253" s="11" t="n">
        <v>-2.98</v>
      </c>
      <c r="H5253" s="11">
        <f>H5252+G5253</f>
        <v/>
      </c>
    </row>
    <row r="5254">
      <c r="A5254" s="9" t="n">
        <v>5250</v>
      </c>
      <c r="B5254" s="9" t="inlineStr">
        <is>
          <t>Aurelius_M5</t>
        </is>
      </c>
      <c r="C5254" s="9" t="inlineStr">
        <is>
          <t>MA alignment (EMA21&gt;EMA50&gt;SMA250&gt;SMMA500 vs EMA2400 trend filter)</t>
        </is>
      </c>
      <c r="D5254" s="9" t="inlineStr">
        <is>
          <t>Long</t>
        </is>
      </c>
      <c r="E5254" s="10" t="n">
        <v>45876.71180555555</v>
      </c>
      <c r="F5254" s="10" t="n">
        <v>45877.04166666666</v>
      </c>
      <c r="G5254" s="11" t="n">
        <v>11.33</v>
      </c>
      <c r="H5254" s="11">
        <f>H5253+G5254</f>
        <v/>
      </c>
    </row>
    <row r="5255">
      <c r="A5255" s="9" t="n">
        <v>5251</v>
      </c>
      <c r="B5255" s="9" t="inlineStr">
        <is>
          <t>Ratchet</t>
        </is>
      </c>
      <c r="C5255" s="9" t="inlineStr">
        <is>
          <t>Stochastic scalp with give-back trail exit</t>
        </is>
      </c>
      <c r="D5255" s="9" t="inlineStr">
        <is>
          <t>Long</t>
        </is>
      </c>
      <c r="E5255" s="10" t="n">
        <v>45877.07291666666</v>
      </c>
      <c r="F5255" s="10" t="n">
        <v>45877.08333333334</v>
      </c>
      <c r="G5255" s="11" t="n">
        <v>0</v>
      </c>
      <c r="H5255" s="11">
        <f>H5254+G5255</f>
        <v/>
      </c>
    </row>
    <row r="5256">
      <c r="A5256" s="9" t="n">
        <v>5252</v>
      </c>
      <c r="B5256" s="9" t="inlineStr">
        <is>
          <t>Aurelius_M15</t>
        </is>
      </c>
      <c r="C5256" s="9" t="inlineStr">
        <is>
          <t>MA alignment (EMA21&gt;EMA50&gt;SMA250&gt;SMMA500 vs EMA2400 trend filter) - M15 chart</t>
        </is>
      </c>
      <c r="D5256" s="9" t="inlineStr">
        <is>
          <t>Long</t>
        </is>
      </c>
      <c r="E5256" s="10" t="n">
        <v>45876.38541666666</v>
      </c>
      <c r="F5256" s="10" t="n">
        <v>45877.21875</v>
      </c>
      <c r="G5256" s="11" t="n">
        <v>8.68</v>
      </c>
      <c r="H5256" s="11">
        <f>H5255+G5256</f>
        <v/>
      </c>
    </row>
    <row r="5257">
      <c r="A5257" s="9" t="n">
        <v>5253</v>
      </c>
      <c r="B5257" s="9" t="inlineStr">
        <is>
          <t>Ratchet</t>
        </is>
      </c>
      <c r="C5257" s="9" t="inlineStr">
        <is>
          <t>Stochastic scalp with give-back trail exit</t>
        </is>
      </c>
      <c r="D5257" s="9" t="inlineStr">
        <is>
          <t>Long</t>
        </is>
      </c>
      <c r="E5257" s="10" t="n">
        <v>45877.28819444445</v>
      </c>
      <c r="F5257" s="10" t="n">
        <v>45877.31944444445</v>
      </c>
      <c r="G5257" s="11" t="n">
        <v>0.7</v>
      </c>
      <c r="H5257" s="11">
        <f>H5256+G5257</f>
        <v/>
      </c>
    </row>
    <row r="5258">
      <c r="A5258" s="9" t="n">
        <v>5254</v>
      </c>
      <c r="B5258" s="9" t="inlineStr">
        <is>
          <t>Ratchet</t>
        </is>
      </c>
      <c r="C5258" s="9" t="inlineStr">
        <is>
          <t>Stochastic scalp with give-back trail exit</t>
        </is>
      </c>
      <c r="D5258" s="9" t="inlineStr">
        <is>
          <t>Long</t>
        </is>
      </c>
      <c r="E5258" s="10" t="n">
        <v>45877.38194444445</v>
      </c>
      <c r="F5258" s="10" t="n">
        <v>45877.39583333334</v>
      </c>
      <c r="G5258" s="11" t="n">
        <v>-4.26</v>
      </c>
      <c r="H5258" s="11">
        <f>H5257+G5258</f>
        <v/>
      </c>
    </row>
    <row r="5259">
      <c r="A5259" s="9" t="n">
        <v>5255</v>
      </c>
      <c r="B5259" s="9" t="inlineStr">
        <is>
          <t>Aurelius_M5</t>
        </is>
      </c>
      <c r="C5259" s="9" t="inlineStr">
        <is>
          <t>MA alignment (EMA21&gt;EMA50&gt;SMA250&gt;SMMA500 vs EMA2400 trend filter)</t>
        </is>
      </c>
      <c r="D5259" s="9" t="inlineStr">
        <is>
          <t>Long</t>
        </is>
      </c>
      <c r="E5259" s="10" t="n">
        <v>45877.38194444445</v>
      </c>
      <c r="F5259" s="10" t="n">
        <v>45877.40277777778</v>
      </c>
      <c r="G5259" s="11" t="n">
        <v>-6.03</v>
      </c>
      <c r="H5259" s="11">
        <f>H5258+G5259</f>
        <v/>
      </c>
    </row>
    <row r="5260">
      <c r="A5260" s="9" t="n">
        <v>5256</v>
      </c>
      <c r="B5260" s="9" t="inlineStr">
        <is>
          <t>Meridian</t>
        </is>
      </c>
      <c r="C5260" s="9" t="inlineStr">
        <is>
          <t>21/50 MA cross, 250-period confirm filter, VWAP</t>
        </is>
      </c>
      <c r="D5260" s="9" t="inlineStr">
        <is>
          <t>Long</t>
        </is>
      </c>
      <c r="E5260" s="10" t="n">
        <v>45877.28819444445</v>
      </c>
      <c r="F5260" s="10" t="n">
        <v>45877.40625</v>
      </c>
      <c r="G5260" s="11" t="n">
        <v>-6.52</v>
      </c>
      <c r="H5260" s="11">
        <f>H5259+G5260</f>
        <v/>
      </c>
    </row>
    <row r="5261">
      <c r="A5261" s="9" t="n">
        <v>5257</v>
      </c>
      <c r="B5261" s="9" t="inlineStr">
        <is>
          <t>Meridian</t>
        </is>
      </c>
      <c r="C5261" s="9" t="inlineStr">
        <is>
          <t>21/50 MA cross, 250-period confirm filter, VWAP</t>
        </is>
      </c>
      <c r="D5261" s="9" t="inlineStr">
        <is>
          <t>Long</t>
        </is>
      </c>
      <c r="E5261" s="10" t="n">
        <v>45877.42013888889</v>
      </c>
      <c r="F5261" s="10" t="n">
        <v>45877.55555555555</v>
      </c>
      <c r="G5261" s="11" t="n">
        <v>-6.49</v>
      </c>
      <c r="H5261" s="11">
        <f>H5260+G5261</f>
        <v/>
      </c>
    </row>
    <row r="5262">
      <c r="A5262" s="9" t="n">
        <v>5258</v>
      </c>
      <c r="B5262" s="9" t="inlineStr">
        <is>
          <t>Aurelius_M5</t>
        </is>
      </c>
      <c r="C5262" s="9" t="inlineStr">
        <is>
          <t>MA alignment (EMA21&gt;EMA50&gt;SMA250&gt;SMMA500 vs EMA2400 trend filter)</t>
        </is>
      </c>
      <c r="D5262" s="9" t="inlineStr">
        <is>
          <t>Long</t>
        </is>
      </c>
      <c r="E5262" s="10" t="n">
        <v>45877.50347222222</v>
      </c>
      <c r="F5262" s="10" t="n">
        <v>45877.55555555555</v>
      </c>
      <c r="G5262" s="11" t="n">
        <v>-7.15</v>
      </c>
      <c r="H5262" s="11">
        <f>H5261+G5262</f>
        <v/>
      </c>
    </row>
    <row r="5263">
      <c r="A5263" s="9" t="n">
        <v>5259</v>
      </c>
      <c r="B5263" s="9" t="inlineStr">
        <is>
          <t>Vanguard_M15</t>
        </is>
      </c>
      <c r="C5263" s="9" t="inlineStr">
        <is>
          <t>Trendline breakout (fractal swing line) + VWAP/S-R distance gate - M15 chart</t>
        </is>
      </c>
      <c r="D5263" s="9" t="inlineStr">
        <is>
          <t>Long</t>
        </is>
      </c>
      <c r="E5263" s="10" t="n">
        <v>45876.17708333334</v>
      </c>
      <c r="F5263" s="10" t="n">
        <v>45877.57291666666</v>
      </c>
      <c r="G5263" s="11" t="n">
        <v>8.619999999999999</v>
      </c>
      <c r="H5263" s="11">
        <f>H5262+G5263</f>
        <v/>
      </c>
    </row>
    <row r="5264">
      <c r="A5264" s="9" t="n">
        <v>5260</v>
      </c>
      <c r="B5264" s="9" t="inlineStr">
        <is>
          <t>Vanguard_M5</t>
        </is>
      </c>
      <c r="C5264" s="9" t="inlineStr">
        <is>
          <t>Trendline breakout (fractal swing line) + VWAP/S-R distance gate</t>
        </is>
      </c>
      <c r="D5264" s="9" t="inlineStr">
        <is>
          <t>Long</t>
        </is>
      </c>
      <c r="E5264" s="10" t="n">
        <v>45876.17708333334</v>
      </c>
      <c r="F5264" s="10" t="n">
        <v>45877.57986111111</v>
      </c>
      <c r="G5264" s="11" t="n">
        <v>8.619999999999999</v>
      </c>
      <c r="H5264" s="11">
        <f>H5263+G5264</f>
        <v/>
      </c>
    </row>
    <row r="5265">
      <c r="A5265" s="9" t="n">
        <v>5261</v>
      </c>
      <c r="B5265" s="9" t="inlineStr">
        <is>
          <t>Meridian</t>
        </is>
      </c>
      <c r="C5265" s="9" t="inlineStr">
        <is>
          <t>21/50 MA cross, 250-period confirm filter, VWAP</t>
        </is>
      </c>
      <c r="D5265" s="9" t="inlineStr">
        <is>
          <t>Short</t>
        </is>
      </c>
      <c r="E5265" s="10" t="n">
        <v>45877.56597222222</v>
      </c>
      <c r="F5265" s="10" t="n">
        <v>45877.64236111111</v>
      </c>
      <c r="G5265" s="11" t="n">
        <v>-6.31</v>
      </c>
      <c r="H5265" s="11">
        <f>H5264+G5265</f>
        <v/>
      </c>
    </row>
    <row r="5266">
      <c r="A5266" s="9" t="n">
        <v>5262</v>
      </c>
      <c r="B5266" s="9" t="inlineStr">
        <is>
          <t>Vanguard_M5</t>
        </is>
      </c>
      <c r="C5266" s="9" t="inlineStr">
        <is>
          <t>Trendline breakout (fractal swing line) + VWAP/S-R distance gate</t>
        </is>
      </c>
      <c r="D5266" s="9" t="inlineStr">
        <is>
          <t>Short</t>
        </is>
      </c>
      <c r="E5266" s="10" t="n">
        <v>45877.58333333334</v>
      </c>
      <c r="F5266" s="10" t="n">
        <v>45877.64236111111</v>
      </c>
      <c r="G5266" s="11" t="n">
        <v>-10.49</v>
      </c>
      <c r="H5266" s="11">
        <f>H5265+G5266</f>
        <v/>
      </c>
    </row>
    <row r="5267">
      <c r="A5267" s="9" t="n">
        <v>5263</v>
      </c>
      <c r="B5267" s="9" t="inlineStr">
        <is>
          <t>Vanguard_M15</t>
        </is>
      </c>
      <c r="C5267" s="9" t="inlineStr">
        <is>
          <t>Trendline breakout (fractal swing line) + VWAP/S-R distance gate - M15 chart</t>
        </is>
      </c>
      <c r="D5267" s="9" t="inlineStr">
        <is>
          <t>Short</t>
        </is>
      </c>
      <c r="E5267" s="10" t="n">
        <v>45877.58333333334</v>
      </c>
      <c r="F5267" s="10" t="n">
        <v>45877.64583333334</v>
      </c>
      <c r="G5267" s="11" t="n">
        <v>-14.24</v>
      </c>
      <c r="H5267" s="11">
        <f>H5266+G5267</f>
        <v/>
      </c>
    </row>
    <row r="5268">
      <c r="A5268" s="9" t="n">
        <v>5264</v>
      </c>
      <c r="B5268" s="9" t="inlineStr">
        <is>
          <t>Meridian</t>
        </is>
      </c>
      <c r="C5268" s="9" t="inlineStr">
        <is>
          <t>21/50 MA cross, 250-period confirm filter, VWAP</t>
        </is>
      </c>
      <c r="D5268" s="9" t="inlineStr">
        <is>
          <t>Short</t>
        </is>
      </c>
      <c r="E5268" s="10" t="n">
        <v>45877.68402777778</v>
      </c>
      <c r="F5268" s="10" t="n">
        <v>45877.69791666666</v>
      </c>
      <c r="G5268" s="11" t="n">
        <v>-8.77</v>
      </c>
      <c r="H5268" s="11">
        <f>H5267+G5268</f>
        <v/>
      </c>
    </row>
    <row r="5269">
      <c r="A5269" s="9" t="n">
        <v>5265</v>
      </c>
      <c r="B5269" s="9" t="inlineStr">
        <is>
          <t>Meridian</t>
        </is>
      </c>
      <c r="C5269" s="9" t="inlineStr">
        <is>
          <t>21/50 MA cross, 250-period confirm filter, VWAP</t>
        </is>
      </c>
      <c r="D5269" s="9" t="inlineStr">
        <is>
          <t>Short</t>
        </is>
      </c>
      <c r="E5269" s="10" t="n">
        <v>45877.72916666666</v>
      </c>
      <c r="F5269" s="10" t="n">
        <v>45877.78472222222</v>
      </c>
      <c r="G5269" s="11" t="n">
        <v>-10.69</v>
      </c>
      <c r="H5269" s="11">
        <f>H5268+G5269</f>
        <v/>
      </c>
    </row>
    <row r="5270">
      <c r="A5270" s="9" t="n">
        <v>5266</v>
      </c>
      <c r="B5270" s="9" t="inlineStr">
        <is>
          <t>Vanguard_M5</t>
        </is>
      </c>
      <c r="C5270" s="9" t="inlineStr">
        <is>
          <t>Trendline breakout (fractal swing line) + VWAP/S-R distance gate</t>
        </is>
      </c>
      <c r="D5270" s="9" t="inlineStr">
        <is>
          <t>Short</t>
        </is>
      </c>
      <c r="E5270" s="10" t="n">
        <v>45877.68402777778</v>
      </c>
      <c r="F5270" s="10" t="n">
        <v>45877.87847222222</v>
      </c>
      <c r="G5270" s="11" t="n">
        <v>-12.43</v>
      </c>
      <c r="H5270" s="11">
        <f>H5269+G5270</f>
        <v/>
      </c>
    </row>
    <row r="5271">
      <c r="A5271" s="9" t="n">
        <v>5267</v>
      </c>
      <c r="B5271" s="9" t="inlineStr">
        <is>
          <t>Vanguard_M15</t>
        </is>
      </c>
      <c r="C5271" s="9" t="inlineStr">
        <is>
          <t>Trendline breakout (fractal swing line) + VWAP/S-R distance gate - M15 chart</t>
        </is>
      </c>
      <c r="D5271" s="9" t="inlineStr">
        <is>
          <t>Short</t>
        </is>
      </c>
      <c r="E5271" s="10" t="n">
        <v>45877.71875</v>
      </c>
      <c r="F5271" s="10" t="n">
        <v>45877.98958333334</v>
      </c>
      <c r="G5271" s="11" t="n">
        <v>-10.68</v>
      </c>
      <c r="H5271" s="11">
        <f>H5270+G5271</f>
        <v/>
      </c>
    </row>
    <row r="5272">
      <c r="A5272" s="9" t="n">
        <v>5268</v>
      </c>
      <c r="B5272" s="9" t="inlineStr">
        <is>
          <t>Vanguard_M5</t>
        </is>
      </c>
      <c r="C5272" s="9" t="inlineStr">
        <is>
          <t>Trendline breakout (fractal swing line) + VWAP/S-R distance gate</t>
        </is>
      </c>
      <c r="D5272" s="9" t="inlineStr">
        <is>
          <t>Short</t>
        </is>
      </c>
      <c r="E5272" s="10" t="n">
        <v>45877.88888888889</v>
      </c>
      <c r="F5272" s="10" t="n">
        <v>45877.99652777778</v>
      </c>
      <c r="G5272" s="11" t="n">
        <v>-7.22</v>
      </c>
      <c r="H5272" s="11">
        <f>H5271+G5272</f>
        <v/>
      </c>
    </row>
    <row r="5273">
      <c r="A5273" s="9" t="n">
        <v>5269</v>
      </c>
      <c r="B5273" s="9" t="inlineStr">
        <is>
          <t>Vanguard_M15</t>
        </is>
      </c>
      <c r="C5273" s="9" t="inlineStr">
        <is>
          <t>Trendline breakout (fractal swing line) + VWAP/S-R distance gate - M15 chart</t>
        </is>
      </c>
      <c r="D5273" s="9" t="inlineStr">
        <is>
          <t>Long</t>
        </is>
      </c>
      <c r="E5273" s="10" t="n">
        <v>45880.04166666666</v>
      </c>
      <c r="F5273" s="10" t="n">
        <v>45880.04166666666</v>
      </c>
      <c r="G5273" s="11" t="n">
        <v>-4.93</v>
      </c>
      <c r="H5273" s="11">
        <f>H5272+G5273</f>
        <v/>
      </c>
    </row>
    <row r="5274">
      <c r="A5274" s="9" t="n">
        <v>5270</v>
      </c>
      <c r="B5274" s="9" t="inlineStr">
        <is>
          <t>Vanguard_M5</t>
        </is>
      </c>
      <c r="C5274" s="9" t="inlineStr">
        <is>
          <t>Trendline breakout (fractal swing line) + VWAP/S-R distance gate</t>
        </is>
      </c>
      <c r="D5274" s="9" t="inlineStr">
        <is>
          <t>Long</t>
        </is>
      </c>
      <c r="E5274" s="10" t="n">
        <v>45880.04166666666</v>
      </c>
      <c r="F5274" s="10" t="n">
        <v>45880.04861111111</v>
      </c>
      <c r="G5274" s="11" t="n">
        <v>-5.02</v>
      </c>
      <c r="H5274" s="11">
        <f>H5273+G5274</f>
        <v/>
      </c>
    </row>
    <row r="5275">
      <c r="A5275" s="9" t="n">
        <v>5271</v>
      </c>
      <c r="B5275" s="9" t="inlineStr">
        <is>
          <t>Ratchet</t>
        </is>
      </c>
      <c r="C5275" s="9" t="inlineStr">
        <is>
          <t>Stochastic scalp with give-back trail exit</t>
        </is>
      </c>
      <c r="D5275" s="9" t="inlineStr">
        <is>
          <t>Short</t>
        </is>
      </c>
      <c r="E5275" s="10" t="n">
        <v>45880.67708333334</v>
      </c>
      <c r="F5275" s="10" t="n">
        <v>45880.69444444445</v>
      </c>
      <c r="G5275" s="11" t="n">
        <v>-7.23</v>
      </c>
      <c r="H5275" s="11">
        <f>H5274+G5275</f>
        <v/>
      </c>
    </row>
    <row r="5276">
      <c r="A5276" s="9" t="n">
        <v>5272</v>
      </c>
      <c r="B5276" s="9" t="inlineStr">
        <is>
          <t>Aurelius_M5</t>
        </is>
      </c>
      <c r="C5276" s="9" t="inlineStr">
        <is>
          <t>MA alignment (EMA21&gt;EMA50&gt;SMA250&gt;SMMA500 vs EMA2400 trend filter)</t>
        </is>
      </c>
      <c r="D5276" s="9" t="inlineStr">
        <is>
          <t>Short</t>
        </is>
      </c>
      <c r="E5276" s="10" t="n">
        <v>45880.73611111111</v>
      </c>
      <c r="F5276" s="10" t="n">
        <v>45880.85763888889</v>
      </c>
      <c r="G5276" s="11" t="n">
        <v>-9.609999999999999</v>
      </c>
      <c r="H5276" s="11">
        <f>H5275+G5276</f>
        <v/>
      </c>
    </row>
    <row r="5277">
      <c r="A5277" s="9" t="n">
        <v>5273</v>
      </c>
      <c r="B5277" s="9" t="inlineStr">
        <is>
          <t>Meridian</t>
        </is>
      </c>
      <c r="C5277" s="9" t="inlineStr">
        <is>
          <t>21/50 MA cross, 250-period confirm filter, VWAP</t>
        </is>
      </c>
      <c r="D5277" s="9" t="inlineStr">
        <is>
          <t>Short</t>
        </is>
      </c>
      <c r="E5277" s="10" t="n">
        <v>45880.06597222222</v>
      </c>
      <c r="F5277" s="10" t="n">
        <v>45880.87847222222</v>
      </c>
      <c r="G5277" s="11" t="n">
        <v>36.04</v>
      </c>
      <c r="H5277" s="11">
        <f>H5276+G5277</f>
        <v/>
      </c>
    </row>
    <row r="5278">
      <c r="A5278" s="9" t="n">
        <v>5274</v>
      </c>
      <c r="B5278" s="9" t="inlineStr">
        <is>
          <t>Meridian</t>
        </is>
      </c>
      <c r="C5278" s="9" t="inlineStr">
        <is>
          <t>21/50 MA cross, 250-period confirm filter, VWAP</t>
        </is>
      </c>
      <c r="D5278" s="9" t="inlineStr">
        <is>
          <t>Short</t>
        </is>
      </c>
      <c r="E5278" s="10" t="n">
        <v>45880.98263888889</v>
      </c>
      <c r="F5278" s="10" t="n">
        <v>45881.13541666666</v>
      </c>
      <c r="G5278" s="11" t="n">
        <v>-3.94</v>
      </c>
      <c r="H5278" s="11">
        <f>H5277+G5278</f>
        <v/>
      </c>
    </row>
    <row r="5279">
      <c r="A5279" s="9" t="n">
        <v>5275</v>
      </c>
      <c r="B5279" s="9" t="inlineStr">
        <is>
          <t>Meridian</t>
        </is>
      </c>
      <c r="C5279" s="9" t="inlineStr">
        <is>
          <t>21/50 MA cross, 250-period confirm filter, VWAP</t>
        </is>
      </c>
      <c r="D5279" s="9" t="inlineStr">
        <is>
          <t>Short</t>
        </is>
      </c>
      <c r="E5279" s="10" t="n">
        <v>45881.29513888889</v>
      </c>
      <c r="F5279" s="10" t="n">
        <v>45881.29861111111</v>
      </c>
      <c r="G5279" s="11" t="n">
        <v>-1.88</v>
      </c>
      <c r="H5279" s="11">
        <f>H5278+G5279</f>
        <v/>
      </c>
    </row>
    <row r="5280">
      <c r="A5280" s="9" t="n">
        <v>5276</v>
      </c>
      <c r="B5280" s="9" t="inlineStr">
        <is>
          <t>Meridian</t>
        </is>
      </c>
      <c r="C5280" s="9" t="inlineStr">
        <is>
          <t>21/50 MA cross, 250-period confirm filter, VWAP</t>
        </is>
      </c>
      <c r="D5280" s="9" t="inlineStr">
        <is>
          <t>Short</t>
        </is>
      </c>
      <c r="E5280" s="10" t="n">
        <v>45881.38888888889</v>
      </c>
      <c r="F5280" s="10" t="n">
        <v>45881.4375</v>
      </c>
      <c r="G5280" s="11" t="n">
        <v>-5.98</v>
      </c>
      <c r="H5280" s="11">
        <f>H5279+G5280</f>
        <v/>
      </c>
    </row>
    <row r="5281">
      <c r="A5281" s="9" t="n">
        <v>5277</v>
      </c>
      <c r="B5281" s="9" t="inlineStr">
        <is>
          <t>Ratchet</t>
        </is>
      </c>
      <c r="C5281" s="9" t="inlineStr">
        <is>
          <t>Stochastic scalp with give-back trail exit</t>
        </is>
      </c>
      <c r="D5281" s="9" t="inlineStr">
        <is>
          <t>Short</t>
        </is>
      </c>
      <c r="E5281" s="10" t="n">
        <v>45881.41666666666</v>
      </c>
      <c r="F5281" s="10" t="n">
        <v>45881.4375</v>
      </c>
      <c r="G5281" s="11" t="n">
        <v>-5.68</v>
      </c>
      <c r="H5281" s="11">
        <f>H5280+G5281</f>
        <v/>
      </c>
    </row>
    <row r="5282">
      <c r="A5282" s="9" t="n">
        <v>5278</v>
      </c>
      <c r="B5282" s="9" t="inlineStr">
        <is>
          <t>Aurelius_M5</t>
        </is>
      </c>
      <c r="C5282" s="9" t="inlineStr">
        <is>
          <t>MA alignment (EMA21&gt;EMA50&gt;SMA250&gt;SMMA500 vs EMA2400 trend filter)</t>
        </is>
      </c>
      <c r="D5282" s="9" t="inlineStr">
        <is>
          <t>Short</t>
        </is>
      </c>
      <c r="E5282" s="10" t="n">
        <v>45881.40625</v>
      </c>
      <c r="F5282" s="10" t="n">
        <v>45881.44097222222</v>
      </c>
      <c r="G5282" s="11" t="n">
        <v>-6.63</v>
      </c>
      <c r="H5282" s="11">
        <f>H5281+G5282</f>
        <v/>
      </c>
    </row>
    <row r="5283">
      <c r="A5283" s="9" t="n">
        <v>5279</v>
      </c>
      <c r="B5283" s="9" t="inlineStr">
        <is>
          <t>Meridian</t>
        </is>
      </c>
      <c r="C5283" s="9" t="inlineStr">
        <is>
          <t>21/50 MA cross, 250-period confirm filter, VWAP</t>
        </is>
      </c>
      <c r="D5283" s="9" t="inlineStr">
        <is>
          <t>Long</t>
        </is>
      </c>
      <c r="E5283" s="10" t="n">
        <v>45881.45486111111</v>
      </c>
      <c r="F5283" s="10" t="n">
        <v>45881.48263888889</v>
      </c>
      <c r="G5283" s="11" t="n">
        <v>-7.32</v>
      </c>
      <c r="H5283" s="11">
        <f>H5282+G5283</f>
        <v/>
      </c>
    </row>
    <row r="5284">
      <c r="A5284" s="9" t="n">
        <v>5280</v>
      </c>
      <c r="B5284" s="9" t="inlineStr">
        <is>
          <t>Ratchet</t>
        </is>
      </c>
      <c r="C5284" s="9" t="inlineStr">
        <is>
          <t>Stochastic scalp with give-back trail exit</t>
        </is>
      </c>
      <c r="D5284" s="9" t="inlineStr">
        <is>
          <t>Short</t>
        </is>
      </c>
      <c r="E5284" s="10" t="n">
        <v>45881.53125</v>
      </c>
      <c r="F5284" s="10" t="n">
        <v>45881.54513888889</v>
      </c>
      <c r="G5284" s="11" t="n">
        <v>0.97</v>
      </c>
      <c r="H5284" s="11">
        <f>H5283+G5284</f>
        <v/>
      </c>
    </row>
    <row r="5285">
      <c r="A5285" s="9" t="n">
        <v>5281</v>
      </c>
      <c r="B5285" s="9" t="inlineStr">
        <is>
          <t>Meridian</t>
        </is>
      </c>
      <c r="C5285" s="9" t="inlineStr">
        <is>
          <t>21/50 MA cross, 250-period confirm filter, VWAP</t>
        </is>
      </c>
      <c r="D5285" s="9" t="inlineStr">
        <is>
          <t>Short</t>
        </is>
      </c>
      <c r="E5285" s="10" t="n">
        <v>45881.48958333334</v>
      </c>
      <c r="F5285" s="10" t="n">
        <v>45881.64583333334</v>
      </c>
      <c r="G5285" s="11" t="n">
        <v>-6.87</v>
      </c>
      <c r="H5285" s="11">
        <f>H5284+G5285</f>
        <v/>
      </c>
    </row>
    <row r="5286">
      <c r="A5286" s="9" t="n">
        <v>5282</v>
      </c>
      <c r="B5286" s="9" t="inlineStr">
        <is>
          <t>Aurelius_M5</t>
        </is>
      </c>
      <c r="C5286" s="9" t="inlineStr">
        <is>
          <t>MA alignment (EMA21&gt;EMA50&gt;SMA250&gt;SMMA500 vs EMA2400 trend filter)</t>
        </is>
      </c>
      <c r="D5286" s="9" t="inlineStr">
        <is>
          <t>Short</t>
        </is>
      </c>
      <c r="E5286" s="10" t="n">
        <v>45881.54861111111</v>
      </c>
      <c r="F5286" s="10" t="n">
        <v>45881.64583333334</v>
      </c>
      <c r="G5286" s="11" t="n">
        <v>-5.46</v>
      </c>
      <c r="H5286" s="11">
        <f>H5285+G5286</f>
        <v/>
      </c>
    </row>
    <row r="5287">
      <c r="A5287" s="9" t="n">
        <v>5283</v>
      </c>
      <c r="B5287" s="9" t="inlineStr">
        <is>
          <t>Meridian</t>
        </is>
      </c>
      <c r="C5287" s="9" t="inlineStr">
        <is>
          <t>21/50 MA cross, 250-period confirm filter, VWAP</t>
        </is>
      </c>
      <c r="D5287" s="9" t="inlineStr">
        <is>
          <t>Long</t>
        </is>
      </c>
      <c r="E5287" s="10" t="n">
        <v>45881.66319444445</v>
      </c>
      <c r="F5287" s="10" t="n">
        <v>45881.69444444445</v>
      </c>
      <c r="G5287" s="11" t="n">
        <v>-11.19</v>
      </c>
      <c r="H5287" s="11">
        <f>H5286+G5287</f>
        <v/>
      </c>
    </row>
    <row r="5288">
      <c r="A5288" s="9" t="n">
        <v>5284</v>
      </c>
      <c r="B5288" s="9" t="inlineStr">
        <is>
          <t>Meridian</t>
        </is>
      </c>
      <c r="C5288" s="9" t="inlineStr">
        <is>
          <t>21/50 MA cross, 250-period confirm filter, VWAP</t>
        </is>
      </c>
      <c r="D5288" s="9" t="inlineStr">
        <is>
          <t>Long</t>
        </is>
      </c>
      <c r="E5288" s="10" t="n">
        <v>45881.69791666666</v>
      </c>
      <c r="F5288" s="10" t="n">
        <v>45881.71180555555</v>
      </c>
      <c r="G5288" s="11" t="n">
        <v>-12.24</v>
      </c>
      <c r="H5288" s="11">
        <f>H5287+G5288</f>
        <v/>
      </c>
    </row>
    <row r="5289">
      <c r="A5289" s="9" t="n">
        <v>5285</v>
      </c>
      <c r="B5289" s="9" t="inlineStr">
        <is>
          <t>Ratchet</t>
        </is>
      </c>
      <c r="C5289" s="9" t="inlineStr">
        <is>
          <t>Stochastic scalp with give-back trail exit</t>
        </is>
      </c>
      <c r="D5289" s="9" t="inlineStr">
        <is>
          <t>Short</t>
        </is>
      </c>
      <c r="E5289" s="10" t="n">
        <v>45881.73611111111</v>
      </c>
      <c r="F5289" s="10" t="n">
        <v>45881.74305555555</v>
      </c>
      <c r="G5289" s="11" t="n">
        <v>1.09</v>
      </c>
      <c r="H5289" s="11">
        <f>H5288+G5289</f>
        <v/>
      </c>
    </row>
    <row r="5290">
      <c r="A5290" s="9" t="n">
        <v>5286</v>
      </c>
      <c r="B5290" s="9" t="inlineStr">
        <is>
          <t>Aurelius_M5</t>
        </is>
      </c>
      <c r="C5290" s="9" t="inlineStr">
        <is>
          <t>MA alignment (EMA21&gt;EMA50&gt;SMA250&gt;SMMA500 vs EMA2400 trend filter)</t>
        </is>
      </c>
      <c r="D5290" s="9" t="inlineStr">
        <is>
          <t>Short</t>
        </is>
      </c>
      <c r="E5290" s="10" t="n">
        <v>45881.74305555555</v>
      </c>
      <c r="F5290" s="10" t="n">
        <v>45881.76041666666</v>
      </c>
      <c r="G5290" s="11" t="n">
        <v>-12.4</v>
      </c>
      <c r="H5290" s="11">
        <f>H5289+G5290</f>
        <v/>
      </c>
    </row>
    <row r="5291">
      <c r="A5291" s="9" t="n">
        <v>5287</v>
      </c>
      <c r="B5291" s="9" t="inlineStr">
        <is>
          <t>Meridian</t>
        </is>
      </c>
      <c r="C5291" s="9" t="inlineStr">
        <is>
          <t>21/50 MA cross, 250-period confirm filter, VWAP</t>
        </is>
      </c>
      <c r="D5291" s="9" t="inlineStr">
        <is>
          <t>Long</t>
        </is>
      </c>
      <c r="E5291" s="10" t="n">
        <v>45881.78125</v>
      </c>
      <c r="F5291" s="10" t="n">
        <v>45881.96527777778</v>
      </c>
      <c r="G5291" s="11" t="n">
        <v>-6.74</v>
      </c>
      <c r="H5291" s="11">
        <f>H5290+G5291</f>
        <v/>
      </c>
    </row>
    <row r="5292">
      <c r="A5292" s="9" t="n">
        <v>5288</v>
      </c>
      <c r="B5292" s="9" t="inlineStr">
        <is>
          <t>Ratchet</t>
        </is>
      </c>
      <c r="C5292" s="9" t="inlineStr">
        <is>
          <t>Stochastic scalp with give-back trail exit</t>
        </is>
      </c>
      <c r="D5292" s="9" t="inlineStr">
        <is>
          <t>Short</t>
        </is>
      </c>
      <c r="E5292" s="10" t="n">
        <v>45881.96875</v>
      </c>
      <c r="F5292" s="10" t="n">
        <v>45881.98611111111</v>
      </c>
      <c r="G5292" s="11" t="n">
        <v>-2.24</v>
      </c>
      <c r="H5292" s="11">
        <f>H5291+G5292</f>
        <v/>
      </c>
    </row>
    <row r="5293">
      <c r="A5293" s="9" t="n">
        <v>5289</v>
      </c>
      <c r="B5293" s="9" t="inlineStr">
        <is>
          <t>Meridian</t>
        </is>
      </c>
      <c r="C5293" s="9" t="inlineStr">
        <is>
          <t>21/50 MA cross, 250-period confirm filter, VWAP</t>
        </is>
      </c>
      <c r="D5293" s="9" t="inlineStr">
        <is>
          <t>Long</t>
        </is>
      </c>
      <c r="E5293" s="10" t="n">
        <v>45881.98958333334</v>
      </c>
      <c r="F5293" s="10" t="n">
        <v>45882.13194444445</v>
      </c>
      <c r="G5293" s="11" t="n">
        <v>-3.06</v>
      </c>
      <c r="H5293" s="11">
        <f>H5292+G5293</f>
        <v/>
      </c>
    </row>
    <row r="5294">
      <c r="A5294" s="9" t="n">
        <v>5290</v>
      </c>
      <c r="B5294" s="9" t="inlineStr">
        <is>
          <t>Meridian</t>
        </is>
      </c>
      <c r="C5294" s="9" t="inlineStr">
        <is>
          <t>21/50 MA cross, 250-period confirm filter, VWAP</t>
        </is>
      </c>
      <c r="D5294" s="9" t="inlineStr">
        <is>
          <t>Short</t>
        </is>
      </c>
      <c r="E5294" s="10" t="n">
        <v>45882.14236111111</v>
      </c>
      <c r="F5294" s="10" t="n">
        <v>45882.17013888889</v>
      </c>
      <c r="G5294" s="11" t="n">
        <v>-3.8</v>
      </c>
      <c r="H5294" s="11">
        <f>H5293+G5294</f>
        <v/>
      </c>
    </row>
    <row r="5295">
      <c r="A5295" s="9" t="n">
        <v>5291</v>
      </c>
      <c r="B5295" s="9" t="inlineStr">
        <is>
          <t>Vanguard_M15</t>
        </is>
      </c>
      <c r="C5295" s="9" t="inlineStr">
        <is>
          <t>Trendline breakout (fractal swing line) + VWAP/S-R distance gate - M15 chart</t>
        </is>
      </c>
      <c r="D5295" s="9" t="inlineStr">
        <is>
          <t>Short</t>
        </is>
      </c>
      <c r="E5295" s="10" t="n">
        <v>45880.05208333334</v>
      </c>
      <c r="F5295" s="10" t="n">
        <v>45882.1875</v>
      </c>
      <c r="G5295" s="11" t="n">
        <v>43.78</v>
      </c>
      <c r="H5295" s="11">
        <f>H5294+G5295</f>
        <v/>
      </c>
    </row>
    <row r="5296">
      <c r="A5296" s="9" t="n">
        <v>5292</v>
      </c>
      <c r="B5296" s="9" t="inlineStr">
        <is>
          <t>Vanguard_M5</t>
        </is>
      </c>
      <c r="C5296" s="9" t="inlineStr">
        <is>
          <t>Trendline breakout (fractal swing line) + VWAP/S-R distance gate</t>
        </is>
      </c>
      <c r="D5296" s="9" t="inlineStr">
        <is>
          <t>Short</t>
        </is>
      </c>
      <c r="E5296" s="10" t="n">
        <v>45880.05208333334</v>
      </c>
      <c r="F5296" s="10" t="n">
        <v>45882.19097222222</v>
      </c>
      <c r="G5296" s="11" t="n">
        <v>43.64</v>
      </c>
      <c r="H5296" s="11">
        <f>H5295+G5296</f>
        <v/>
      </c>
    </row>
    <row r="5297">
      <c r="A5297" s="9" t="n">
        <v>5293</v>
      </c>
      <c r="B5297" s="9" t="inlineStr">
        <is>
          <t>Aurelius_M5</t>
        </is>
      </c>
      <c r="C5297" s="9" t="inlineStr">
        <is>
          <t>MA alignment (EMA21&gt;EMA50&gt;SMA250&gt;SMMA500 vs EMA2400 trend filter)</t>
        </is>
      </c>
      <c r="D5297" s="9" t="inlineStr">
        <is>
          <t>Short</t>
        </is>
      </c>
      <c r="E5297" s="10" t="n">
        <v>45882.17361111111</v>
      </c>
      <c r="F5297" s="10" t="n">
        <v>45882.19791666666</v>
      </c>
      <c r="G5297" s="11" t="n">
        <v>-4.5</v>
      </c>
      <c r="H5297" s="11">
        <f>H5296+G5297</f>
        <v/>
      </c>
    </row>
    <row r="5298">
      <c r="A5298" s="9" t="n">
        <v>5294</v>
      </c>
      <c r="B5298" s="9" t="inlineStr">
        <is>
          <t>Meridian</t>
        </is>
      </c>
      <c r="C5298" s="9" t="inlineStr">
        <is>
          <t>21/50 MA cross, 250-period confirm filter, VWAP</t>
        </is>
      </c>
      <c r="D5298" s="9" t="inlineStr">
        <is>
          <t>Long</t>
        </is>
      </c>
      <c r="E5298" s="10" t="n">
        <v>45882.22916666666</v>
      </c>
      <c r="F5298" s="10" t="n">
        <v>45882.36111111111</v>
      </c>
      <c r="G5298" s="11" t="n">
        <v>-5.56</v>
      </c>
      <c r="H5298" s="11">
        <f>H5297+G5298</f>
        <v/>
      </c>
    </row>
    <row r="5299">
      <c r="A5299" s="9" t="n">
        <v>5295</v>
      </c>
      <c r="B5299" s="9" t="inlineStr">
        <is>
          <t>Ratchet</t>
        </is>
      </c>
      <c r="C5299" s="9" t="inlineStr">
        <is>
          <t>Stochastic scalp with give-back trail exit</t>
        </is>
      </c>
      <c r="D5299" s="9" t="inlineStr">
        <is>
          <t>Long</t>
        </is>
      </c>
      <c r="E5299" s="10" t="n">
        <v>45882.5</v>
      </c>
      <c r="F5299" s="10" t="n">
        <v>45882.59027777778</v>
      </c>
      <c r="G5299" s="11" t="n">
        <v>1.79</v>
      </c>
      <c r="H5299" s="11">
        <f>H5298+G5299</f>
        <v/>
      </c>
    </row>
    <row r="5300">
      <c r="A5300" s="9" t="n">
        <v>5296</v>
      </c>
      <c r="B5300" s="9" t="inlineStr">
        <is>
          <t>Meridian</t>
        </is>
      </c>
      <c r="C5300" s="9" t="inlineStr">
        <is>
          <t>21/50 MA cross, 250-period confirm filter, VWAP</t>
        </is>
      </c>
      <c r="D5300" s="9" t="inlineStr">
        <is>
          <t>Long</t>
        </is>
      </c>
      <c r="E5300" s="10" t="n">
        <v>45882.38541666666</v>
      </c>
      <c r="F5300" s="10" t="n">
        <v>45882.65277777778</v>
      </c>
      <c r="G5300" s="11" t="n">
        <v>5.27</v>
      </c>
      <c r="H5300" s="11">
        <f>H5299+G5300</f>
        <v/>
      </c>
    </row>
    <row r="5301">
      <c r="A5301" s="9" t="n">
        <v>5297</v>
      </c>
      <c r="B5301" s="9" t="inlineStr">
        <is>
          <t>Vanguard_M5</t>
        </is>
      </c>
      <c r="C5301" s="9" t="inlineStr">
        <is>
          <t>Trendline breakout (fractal swing line) + VWAP/S-R distance gate</t>
        </is>
      </c>
      <c r="D5301" s="9" t="inlineStr">
        <is>
          <t>Long</t>
        </is>
      </c>
      <c r="E5301" s="10" t="n">
        <v>45882.19444444445</v>
      </c>
      <c r="F5301" s="10" t="n">
        <v>45882.66666666666</v>
      </c>
      <c r="G5301" s="11" t="n">
        <v>5.5</v>
      </c>
      <c r="H5301" s="11">
        <f>H5300+G5301</f>
        <v/>
      </c>
    </row>
    <row r="5302">
      <c r="A5302" s="9" t="n">
        <v>5298</v>
      </c>
      <c r="B5302" s="9" t="inlineStr">
        <is>
          <t>Vanguard_M15</t>
        </is>
      </c>
      <c r="C5302" s="9" t="inlineStr">
        <is>
          <t>Trendline breakout (fractal swing line) + VWAP/S-R distance gate - M15 chart</t>
        </is>
      </c>
      <c r="D5302" s="9" t="inlineStr">
        <is>
          <t>Long</t>
        </is>
      </c>
      <c r="E5302" s="10" t="n">
        <v>45882.19791666666</v>
      </c>
      <c r="F5302" s="10" t="n">
        <v>45882.67708333334</v>
      </c>
      <c r="G5302" s="11" t="n">
        <v>7.5</v>
      </c>
      <c r="H5302" s="11">
        <f>H5301+G5302</f>
        <v/>
      </c>
    </row>
    <row r="5303">
      <c r="A5303" s="9" t="n">
        <v>5299</v>
      </c>
      <c r="B5303" s="9" t="inlineStr">
        <is>
          <t>Vanguard_M5</t>
        </is>
      </c>
      <c r="C5303" s="9" t="inlineStr">
        <is>
          <t>Trendline breakout (fractal swing line) + VWAP/S-R distance gate</t>
        </is>
      </c>
      <c r="D5303" s="9" t="inlineStr">
        <is>
          <t>Short</t>
        </is>
      </c>
      <c r="E5303" s="10" t="n">
        <v>45882.67013888889</v>
      </c>
      <c r="F5303" s="10" t="n">
        <v>45882.70138888889</v>
      </c>
      <c r="G5303" s="11" t="n">
        <v>-10.26</v>
      </c>
      <c r="H5303" s="11">
        <f>H5302+G5303</f>
        <v/>
      </c>
    </row>
    <row r="5304">
      <c r="A5304" s="9" t="n">
        <v>5300</v>
      </c>
      <c r="B5304" s="9" t="inlineStr">
        <is>
          <t>Ratchet</t>
        </is>
      </c>
      <c r="C5304" s="9" t="inlineStr">
        <is>
          <t>Stochastic scalp with give-back trail exit</t>
        </is>
      </c>
      <c r="D5304" s="9" t="inlineStr">
        <is>
          <t>Long</t>
        </is>
      </c>
      <c r="E5304" s="10" t="n">
        <v>45882.72916666666</v>
      </c>
      <c r="F5304" s="10" t="n">
        <v>45882.73263888889</v>
      </c>
      <c r="G5304" s="11" t="n">
        <v>0</v>
      </c>
      <c r="H5304" s="11">
        <f>H5303+G5304</f>
        <v/>
      </c>
    </row>
    <row r="5305">
      <c r="A5305" s="9" t="n">
        <v>5301</v>
      </c>
      <c r="B5305" s="9" t="inlineStr">
        <is>
          <t>Meridian</t>
        </is>
      </c>
      <c r="C5305" s="9" t="inlineStr">
        <is>
          <t>21/50 MA cross, 250-period confirm filter, VWAP</t>
        </is>
      </c>
      <c r="D5305" s="9" t="inlineStr">
        <is>
          <t>Long</t>
        </is>
      </c>
      <c r="E5305" s="10" t="n">
        <v>45882.70833333334</v>
      </c>
      <c r="F5305" s="10" t="n">
        <v>45882.76041666666</v>
      </c>
      <c r="G5305" s="11" t="n">
        <v>-7.42</v>
      </c>
      <c r="H5305" s="11">
        <f>H5304+G5305</f>
        <v/>
      </c>
    </row>
    <row r="5306">
      <c r="A5306" s="9" t="n">
        <v>5302</v>
      </c>
      <c r="B5306" s="9" t="inlineStr">
        <is>
          <t>Ratchet</t>
        </is>
      </c>
      <c r="C5306" s="9" t="inlineStr">
        <is>
          <t>Stochastic scalp with give-back trail exit</t>
        </is>
      </c>
      <c r="D5306" s="9" t="inlineStr">
        <is>
          <t>Long</t>
        </is>
      </c>
      <c r="E5306" s="10" t="n">
        <v>45883.18055555555</v>
      </c>
      <c r="F5306" s="10" t="n">
        <v>45883.18402777778</v>
      </c>
      <c r="G5306" s="11" t="n">
        <v>-4.17</v>
      </c>
      <c r="H5306" s="11">
        <f>H5305+G5306</f>
        <v/>
      </c>
    </row>
    <row r="5307">
      <c r="A5307" s="9" t="n">
        <v>5303</v>
      </c>
      <c r="B5307" s="9" t="inlineStr">
        <is>
          <t>Meridian</t>
        </is>
      </c>
      <c r="C5307" s="9" t="inlineStr">
        <is>
          <t>21/50 MA cross, 250-period confirm filter, VWAP</t>
        </is>
      </c>
      <c r="D5307" s="9" t="inlineStr">
        <is>
          <t>Short</t>
        </is>
      </c>
      <c r="E5307" s="10" t="n">
        <v>45883.26388888889</v>
      </c>
      <c r="F5307" s="10" t="n">
        <v>45883.41666666666</v>
      </c>
      <c r="G5307" s="11" t="n">
        <v>-5.31</v>
      </c>
      <c r="H5307" s="11">
        <f>H5306+G5307</f>
        <v/>
      </c>
    </row>
    <row r="5308">
      <c r="A5308" s="9" t="n">
        <v>5304</v>
      </c>
      <c r="B5308" s="9" t="inlineStr">
        <is>
          <t>Ratchet</t>
        </is>
      </c>
      <c r="C5308" s="9" t="inlineStr">
        <is>
          <t>Stochastic scalp with give-back trail exit</t>
        </is>
      </c>
      <c r="D5308" s="9" t="inlineStr">
        <is>
          <t>Long</t>
        </is>
      </c>
      <c r="E5308" s="10" t="n">
        <v>45883.43055555555</v>
      </c>
      <c r="F5308" s="10" t="n">
        <v>45883.4375</v>
      </c>
      <c r="G5308" s="11" t="n">
        <v>-4.27</v>
      </c>
      <c r="H5308" s="11">
        <f>H5307+G5308</f>
        <v/>
      </c>
    </row>
    <row r="5309">
      <c r="A5309" s="9" t="n">
        <v>5305</v>
      </c>
      <c r="B5309" s="9" t="inlineStr">
        <is>
          <t>Aurelius_M5</t>
        </is>
      </c>
      <c r="C5309" s="9" t="inlineStr">
        <is>
          <t>MA alignment (EMA21&gt;EMA50&gt;SMA250&gt;SMMA500 vs EMA2400 trend filter)</t>
        </is>
      </c>
      <c r="D5309" s="9" t="inlineStr">
        <is>
          <t>Short</t>
        </is>
      </c>
      <c r="E5309" s="10" t="n">
        <v>45883.46527777778</v>
      </c>
      <c r="F5309" s="10" t="n">
        <v>45883.50347222222</v>
      </c>
      <c r="G5309" s="11" t="n">
        <v>-8.15</v>
      </c>
      <c r="H5309" s="11">
        <f>H5308+G5309</f>
        <v/>
      </c>
    </row>
    <row r="5310">
      <c r="A5310" s="9" t="n">
        <v>5306</v>
      </c>
      <c r="B5310" s="9" t="inlineStr">
        <is>
          <t>Meridian</t>
        </is>
      </c>
      <c r="C5310" s="9" t="inlineStr">
        <is>
          <t>21/50 MA cross, 250-period confirm filter, VWAP</t>
        </is>
      </c>
      <c r="D5310" s="9" t="inlineStr">
        <is>
          <t>Short</t>
        </is>
      </c>
      <c r="E5310" s="10" t="n">
        <v>45883.44444444445</v>
      </c>
      <c r="F5310" s="10" t="n">
        <v>45883.5625</v>
      </c>
      <c r="G5310" s="11" t="n">
        <v>-0.64</v>
      </c>
      <c r="H5310" s="11">
        <f>H5309+G5310</f>
        <v/>
      </c>
    </row>
    <row r="5311">
      <c r="A5311" s="9" t="n">
        <v>5307</v>
      </c>
      <c r="B5311" s="9" t="inlineStr">
        <is>
          <t>Meridian</t>
        </is>
      </c>
      <c r="C5311" s="9" t="inlineStr">
        <is>
          <t>21/50 MA cross, 250-period confirm filter, VWAP</t>
        </is>
      </c>
      <c r="D5311" s="9" t="inlineStr">
        <is>
          <t>Short</t>
        </is>
      </c>
      <c r="E5311" s="10" t="n">
        <v>45883.57986111111</v>
      </c>
      <c r="F5311" s="10" t="n">
        <v>45883.58680555555</v>
      </c>
      <c r="G5311" s="11" t="n">
        <v>-3.2</v>
      </c>
      <c r="H5311" s="11">
        <f>H5310+G5311</f>
        <v/>
      </c>
    </row>
    <row r="5312">
      <c r="A5312" s="9" t="n">
        <v>5308</v>
      </c>
      <c r="B5312" s="9" t="inlineStr">
        <is>
          <t>Meridian</t>
        </is>
      </c>
      <c r="C5312" s="9" t="inlineStr">
        <is>
          <t>21/50 MA cross, 250-period confirm filter, VWAP</t>
        </is>
      </c>
      <c r="D5312" s="9" t="inlineStr">
        <is>
          <t>Short</t>
        </is>
      </c>
      <c r="E5312" s="10" t="n">
        <v>45883.59027777778</v>
      </c>
      <c r="F5312" s="10" t="n">
        <v>45883.63194444445</v>
      </c>
      <c r="G5312" s="11" t="n">
        <v>-2.58</v>
      </c>
      <c r="H5312" s="11">
        <f>H5311+G5312</f>
        <v/>
      </c>
    </row>
    <row r="5313">
      <c r="A5313" s="9" t="n">
        <v>5309</v>
      </c>
      <c r="B5313" s="9" t="inlineStr">
        <is>
          <t>Ratchet</t>
        </is>
      </c>
      <c r="C5313" s="9" t="inlineStr">
        <is>
          <t>Stochastic scalp with give-back trail exit</t>
        </is>
      </c>
      <c r="D5313" s="9" t="inlineStr">
        <is>
          <t>Short</t>
        </is>
      </c>
      <c r="E5313" s="10" t="n">
        <v>45883.74305555555</v>
      </c>
      <c r="F5313" s="10" t="n">
        <v>45883.76041666666</v>
      </c>
      <c r="G5313" s="11" t="n">
        <v>0.93</v>
      </c>
      <c r="H5313" s="11">
        <f>H5312+G5313</f>
        <v/>
      </c>
    </row>
    <row r="5314">
      <c r="A5314" s="9" t="n">
        <v>5310</v>
      </c>
      <c r="B5314" s="9" t="inlineStr">
        <is>
          <t>Aurelius_M5</t>
        </is>
      </c>
      <c r="C5314" s="9" t="inlineStr">
        <is>
          <t>MA alignment (EMA21&gt;EMA50&gt;SMA250&gt;SMMA500 vs EMA2400 trend filter)</t>
        </is>
      </c>
      <c r="D5314" s="9" t="inlineStr">
        <is>
          <t>Short</t>
        </is>
      </c>
      <c r="E5314" s="10" t="n">
        <v>45883.6875</v>
      </c>
      <c r="F5314" s="10" t="n">
        <v>45884.04166666666</v>
      </c>
      <c r="G5314" s="11" t="n">
        <v>9.720000000000001</v>
      </c>
      <c r="H5314" s="11">
        <f>H5313+G5314</f>
        <v/>
      </c>
    </row>
    <row r="5315">
      <c r="A5315" s="9" t="n">
        <v>5311</v>
      </c>
      <c r="B5315" s="9" t="inlineStr">
        <is>
          <t>Meridian</t>
        </is>
      </c>
      <c r="C5315" s="9" t="inlineStr">
        <is>
          <t>21/50 MA cross, 250-period confirm filter, VWAP</t>
        </is>
      </c>
      <c r="D5315" s="9" t="inlineStr">
        <is>
          <t>Short</t>
        </is>
      </c>
      <c r="E5315" s="10" t="n">
        <v>45883.63888888889</v>
      </c>
      <c r="F5315" s="10" t="n">
        <v>45884.17361111111</v>
      </c>
      <c r="G5315" s="11" t="n">
        <v>17.28</v>
      </c>
      <c r="H5315" s="11">
        <f>H5314+G5315</f>
        <v/>
      </c>
    </row>
    <row r="5316">
      <c r="A5316" s="9" t="n">
        <v>5312</v>
      </c>
      <c r="B5316" s="9" t="inlineStr">
        <is>
          <t>Meridian</t>
        </is>
      </c>
      <c r="C5316" s="9" t="inlineStr">
        <is>
          <t>21/50 MA cross, 250-period confirm filter, VWAP</t>
        </is>
      </c>
      <c r="D5316" s="9" t="inlineStr">
        <is>
          <t>Short</t>
        </is>
      </c>
      <c r="E5316" s="10" t="n">
        <v>45884.18055555555</v>
      </c>
      <c r="F5316" s="10" t="n">
        <v>45884.19097222222</v>
      </c>
      <c r="G5316" s="11" t="n">
        <v>-2.76</v>
      </c>
      <c r="H5316" s="11">
        <f>H5315+G5316</f>
        <v/>
      </c>
    </row>
    <row r="5317">
      <c r="A5317" s="9" t="n">
        <v>5313</v>
      </c>
      <c r="B5317" s="9" t="inlineStr">
        <is>
          <t>Aurelius_M15</t>
        </is>
      </c>
      <c r="C5317" s="9" t="inlineStr">
        <is>
          <t>MA alignment (EMA21&gt;EMA50&gt;SMA250&gt;SMMA500 vs EMA2400 trend filter) - M15 chart</t>
        </is>
      </c>
      <c r="D5317" s="9" t="inlineStr">
        <is>
          <t>Short</t>
        </is>
      </c>
      <c r="E5317" s="10" t="n">
        <v>45883.64583333334</v>
      </c>
      <c r="F5317" s="10" t="n">
        <v>45884.21875</v>
      </c>
      <c r="G5317" s="11" t="n">
        <v>14.06</v>
      </c>
      <c r="H5317" s="11">
        <f>H5316+G5317</f>
        <v/>
      </c>
    </row>
    <row r="5318">
      <c r="A5318" s="9" t="n">
        <v>5314</v>
      </c>
      <c r="B5318" s="9" t="inlineStr">
        <is>
          <t>Ratchet</t>
        </is>
      </c>
      <c r="C5318" s="9" t="inlineStr">
        <is>
          <t>Stochastic scalp with give-back trail exit</t>
        </is>
      </c>
      <c r="D5318" s="9" t="inlineStr">
        <is>
          <t>Short</t>
        </is>
      </c>
      <c r="E5318" s="10" t="n">
        <v>45884.58333333334</v>
      </c>
      <c r="F5318" s="10" t="n">
        <v>45884.60416666666</v>
      </c>
      <c r="G5318" s="11" t="n">
        <v>-3.63</v>
      </c>
      <c r="H5318" s="11">
        <f>H5317+G5318</f>
        <v/>
      </c>
    </row>
    <row r="5319">
      <c r="A5319" s="9" t="n">
        <v>5315</v>
      </c>
      <c r="B5319" s="9" t="inlineStr">
        <is>
          <t>Ratchet</t>
        </is>
      </c>
      <c r="C5319" s="9" t="inlineStr">
        <is>
          <t>Stochastic scalp with give-back trail exit</t>
        </is>
      </c>
      <c r="D5319" s="9" t="inlineStr">
        <is>
          <t>Short</t>
        </is>
      </c>
      <c r="E5319" s="10" t="n">
        <v>45884.63541666666</v>
      </c>
      <c r="F5319" s="10" t="n">
        <v>45884.63888888889</v>
      </c>
      <c r="G5319" s="11" t="n">
        <v>0.33</v>
      </c>
      <c r="H5319" s="11">
        <f>H5318+G5319</f>
        <v/>
      </c>
    </row>
    <row r="5320">
      <c r="A5320" s="9" t="n">
        <v>5316</v>
      </c>
      <c r="B5320" s="9" t="inlineStr">
        <is>
          <t>Ratchet</t>
        </is>
      </c>
      <c r="C5320" s="9" t="inlineStr">
        <is>
          <t>Stochastic scalp with give-back trail exit</t>
        </is>
      </c>
      <c r="D5320" s="9" t="inlineStr">
        <is>
          <t>Short</t>
        </is>
      </c>
      <c r="E5320" s="10" t="n">
        <v>45884.6875</v>
      </c>
      <c r="F5320" s="10" t="n">
        <v>45884.69097222222</v>
      </c>
      <c r="G5320" s="11" t="n">
        <v>-0</v>
      </c>
      <c r="H5320" s="11">
        <f>H5319+G5320</f>
        <v/>
      </c>
    </row>
    <row r="5321">
      <c r="A5321" s="9" t="n">
        <v>5317</v>
      </c>
      <c r="B5321" s="9" t="inlineStr">
        <is>
          <t>Ratchet</t>
        </is>
      </c>
      <c r="C5321" s="9" t="inlineStr">
        <is>
          <t>Stochastic scalp with give-back trail exit</t>
        </is>
      </c>
      <c r="D5321" s="9" t="inlineStr">
        <is>
          <t>Short</t>
        </is>
      </c>
      <c r="E5321" s="10" t="n">
        <v>45884.69444444445</v>
      </c>
      <c r="F5321" s="10" t="n">
        <v>45884.70486111111</v>
      </c>
      <c r="G5321" s="11" t="n">
        <v>0.71</v>
      </c>
      <c r="H5321" s="11">
        <f>H5320+G5321</f>
        <v/>
      </c>
    </row>
    <row r="5322">
      <c r="A5322" s="9" t="n">
        <v>5318</v>
      </c>
      <c r="B5322" s="9" t="inlineStr">
        <is>
          <t>Vanguard_M5</t>
        </is>
      </c>
      <c r="C5322" s="9" t="inlineStr">
        <is>
          <t>Trendline breakout (fractal swing line) + VWAP/S-R distance gate</t>
        </is>
      </c>
      <c r="D5322" s="9" t="inlineStr">
        <is>
          <t>Short</t>
        </is>
      </c>
      <c r="E5322" s="10" t="n">
        <v>45883.44791666666</v>
      </c>
      <c r="F5322" s="10" t="n">
        <v>45884.71875</v>
      </c>
      <c r="G5322" s="11" t="n">
        <v>10.51</v>
      </c>
      <c r="H5322" s="11">
        <f>H5321+G5322</f>
        <v/>
      </c>
    </row>
    <row r="5323">
      <c r="A5323" s="9" t="n">
        <v>5319</v>
      </c>
      <c r="B5323" s="9" t="inlineStr">
        <is>
          <t>Aurelius_M5</t>
        </is>
      </c>
      <c r="C5323" s="9" t="inlineStr">
        <is>
          <t>MA alignment (EMA21&gt;EMA50&gt;SMA250&gt;SMMA500 vs EMA2400 trend filter)</t>
        </is>
      </c>
      <c r="D5323" s="9" t="inlineStr">
        <is>
          <t>Short</t>
        </is>
      </c>
      <c r="E5323" s="10" t="n">
        <v>45884.71875</v>
      </c>
      <c r="F5323" s="10" t="n">
        <v>45884.72222222222</v>
      </c>
      <c r="G5323" s="11" t="n">
        <v>-3.1</v>
      </c>
      <c r="H5323" s="11">
        <f>H5322+G5323</f>
        <v/>
      </c>
    </row>
    <row r="5324">
      <c r="A5324" s="9" t="n">
        <v>5320</v>
      </c>
      <c r="B5324" s="9" t="inlineStr">
        <is>
          <t>Vanguard_M15</t>
        </is>
      </c>
      <c r="C5324" s="9" t="inlineStr">
        <is>
          <t>Trendline breakout (fractal swing line) + VWAP/S-R distance gate - M15 chart</t>
        </is>
      </c>
      <c r="D5324" s="9" t="inlineStr">
        <is>
          <t>Short</t>
        </is>
      </c>
      <c r="E5324" s="10" t="n">
        <v>45883.44791666666</v>
      </c>
      <c r="F5324" s="10" t="n">
        <v>45884.72916666666</v>
      </c>
      <c r="G5324" s="11" t="n">
        <v>10.19</v>
      </c>
      <c r="H5324" s="11">
        <f>H5323+G5324</f>
        <v/>
      </c>
    </row>
    <row r="5325">
      <c r="A5325" s="9" t="n">
        <v>5321</v>
      </c>
      <c r="B5325" s="9" t="inlineStr">
        <is>
          <t>Meridian</t>
        </is>
      </c>
      <c r="C5325" s="9" t="inlineStr">
        <is>
          <t>21/50 MA cross, 250-period confirm filter, VWAP</t>
        </is>
      </c>
      <c r="D5325" s="9" t="inlineStr">
        <is>
          <t>Long</t>
        </is>
      </c>
      <c r="E5325" s="10" t="n">
        <v>45884.75</v>
      </c>
      <c r="F5325" s="10" t="n">
        <v>45884.81597222222</v>
      </c>
      <c r="G5325" s="11" t="n">
        <v>-3.86</v>
      </c>
      <c r="H5325" s="11">
        <f>H5324+G5325</f>
        <v/>
      </c>
    </row>
    <row r="5326">
      <c r="A5326" s="9" t="n">
        <v>5322</v>
      </c>
      <c r="B5326" s="9" t="inlineStr">
        <is>
          <t>Aurelius_M15</t>
        </is>
      </c>
      <c r="C5326" s="9" t="inlineStr">
        <is>
          <t>MA alignment (EMA21&gt;EMA50&gt;SMA250&gt;SMMA500 vs EMA2400 trend filter) - M15 chart</t>
        </is>
      </c>
      <c r="D5326" s="9" t="inlineStr">
        <is>
          <t>Short</t>
        </is>
      </c>
      <c r="E5326" s="10" t="n">
        <v>45884.71875</v>
      </c>
      <c r="F5326" s="10" t="n">
        <v>45884.92708333334</v>
      </c>
      <c r="G5326" s="11" t="n">
        <v>3.31</v>
      </c>
      <c r="H5326" s="11">
        <f>H5325+G5326</f>
        <v/>
      </c>
    </row>
    <row r="5327">
      <c r="A5327" s="9" t="n">
        <v>5323</v>
      </c>
      <c r="B5327" s="9" t="inlineStr">
        <is>
          <t>Vanguard_M5</t>
        </is>
      </c>
      <c r="C5327" s="9" t="inlineStr">
        <is>
          <t>Trendline breakout (fractal swing line) + VWAP/S-R distance gate</t>
        </is>
      </c>
      <c r="D5327" s="9" t="inlineStr">
        <is>
          <t>Long</t>
        </is>
      </c>
      <c r="E5327" s="10" t="n">
        <v>45884.72222222222</v>
      </c>
      <c r="F5327" s="10" t="n">
        <v>45887.09375</v>
      </c>
      <c r="G5327" s="11" t="n">
        <v>-12.47</v>
      </c>
      <c r="H5327" s="11">
        <f>H5326+G5327</f>
        <v/>
      </c>
    </row>
    <row r="5328">
      <c r="A5328" s="9" t="n">
        <v>5324</v>
      </c>
      <c r="B5328" s="9" t="inlineStr">
        <is>
          <t>Vanguard_M15</t>
        </is>
      </c>
      <c r="C5328" s="9" t="inlineStr">
        <is>
          <t>Trendline breakout (fractal swing line) + VWAP/S-R distance gate - M15 chart</t>
        </is>
      </c>
      <c r="D5328" s="9" t="inlineStr">
        <is>
          <t>Long</t>
        </is>
      </c>
      <c r="E5328" s="10" t="n">
        <v>45884.73958333334</v>
      </c>
      <c r="F5328" s="10" t="n">
        <v>45887.09375</v>
      </c>
      <c r="G5328" s="11" t="n">
        <v>-13.34</v>
      </c>
      <c r="H5328" s="11">
        <f>H5327+G5328</f>
        <v/>
      </c>
    </row>
    <row r="5329">
      <c r="A5329" s="9" t="n">
        <v>5325</v>
      </c>
      <c r="B5329" s="9" t="inlineStr">
        <is>
          <t>Ratchet</t>
        </is>
      </c>
      <c r="C5329" s="9" t="inlineStr">
        <is>
          <t>Stochastic scalp with give-back trail exit</t>
        </is>
      </c>
      <c r="D5329" s="9" t="inlineStr">
        <is>
          <t>Short</t>
        </is>
      </c>
      <c r="E5329" s="10" t="n">
        <v>45887.07638888889</v>
      </c>
      <c r="F5329" s="10" t="n">
        <v>45887.12847222222</v>
      </c>
      <c r="G5329" s="11" t="n">
        <v>2.85</v>
      </c>
      <c r="H5329" s="11">
        <f>H5328+G5329</f>
        <v/>
      </c>
    </row>
    <row r="5330">
      <c r="A5330" s="9" t="n">
        <v>5326</v>
      </c>
      <c r="B5330" s="9" t="inlineStr">
        <is>
          <t>Meridian</t>
        </is>
      </c>
      <c r="C5330" s="9" t="inlineStr">
        <is>
          <t>21/50 MA cross, 250-period confirm filter, VWAP</t>
        </is>
      </c>
      <c r="D5330" s="9" t="inlineStr">
        <is>
          <t>Long</t>
        </is>
      </c>
      <c r="E5330" s="10" t="n">
        <v>45887.15625</v>
      </c>
      <c r="F5330" s="10" t="n">
        <v>45887.47222222222</v>
      </c>
      <c r="G5330" s="11" t="n">
        <v>4.39</v>
      </c>
      <c r="H5330" s="11">
        <f>H5329+G5330</f>
        <v/>
      </c>
    </row>
    <row r="5331">
      <c r="A5331" s="9" t="n">
        <v>5327</v>
      </c>
      <c r="B5331" s="9" t="inlineStr">
        <is>
          <t>Meridian</t>
        </is>
      </c>
      <c r="C5331" s="9" t="inlineStr">
        <is>
          <t>21/50 MA cross, 250-period confirm filter, VWAP</t>
        </is>
      </c>
      <c r="D5331" s="9" t="inlineStr">
        <is>
          <t>Long</t>
        </is>
      </c>
      <c r="E5331" s="10" t="n">
        <v>45887.51388888889</v>
      </c>
      <c r="F5331" s="10" t="n">
        <v>45887.52083333334</v>
      </c>
      <c r="G5331" s="11" t="n">
        <v>-0.97</v>
      </c>
      <c r="H5331" s="11">
        <f>H5330+G5331</f>
        <v/>
      </c>
    </row>
    <row r="5332">
      <c r="A5332" s="9" t="n">
        <v>5328</v>
      </c>
      <c r="B5332" s="9" t="inlineStr">
        <is>
          <t>Meridian</t>
        </is>
      </c>
      <c r="C5332" s="9" t="inlineStr">
        <is>
          <t>21/50 MA cross, 250-period confirm filter, VWAP</t>
        </is>
      </c>
      <c r="D5332" s="9" t="inlineStr">
        <is>
          <t>Long</t>
        </is>
      </c>
      <c r="E5332" s="10" t="n">
        <v>45887.52430555555</v>
      </c>
      <c r="F5332" s="10" t="n">
        <v>45887.54166666666</v>
      </c>
      <c r="G5332" s="11" t="n">
        <v>-1.83</v>
      </c>
      <c r="H5332" s="11">
        <f>H5331+G5332</f>
        <v/>
      </c>
    </row>
    <row r="5333">
      <c r="A5333" s="9" t="n">
        <v>5329</v>
      </c>
      <c r="B5333" s="9" t="inlineStr">
        <is>
          <t>Meridian</t>
        </is>
      </c>
      <c r="C5333" s="9" t="inlineStr">
        <is>
          <t>21/50 MA cross, 250-period confirm filter, VWAP</t>
        </is>
      </c>
      <c r="D5333" s="9" t="inlineStr">
        <is>
          <t>Long</t>
        </is>
      </c>
      <c r="E5333" s="10" t="n">
        <v>45887.54513888889</v>
      </c>
      <c r="F5333" s="10" t="n">
        <v>45887.57638888889</v>
      </c>
      <c r="G5333" s="11" t="n">
        <v>-1.56</v>
      </c>
      <c r="H5333" s="11">
        <f>H5332+G5333</f>
        <v/>
      </c>
    </row>
    <row r="5334">
      <c r="A5334" s="9" t="n">
        <v>5330</v>
      </c>
      <c r="B5334" s="9" t="inlineStr">
        <is>
          <t>Ratchet</t>
        </is>
      </c>
      <c r="C5334" s="9" t="inlineStr">
        <is>
          <t>Stochastic scalp with give-back trail exit</t>
        </is>
      </c>
      <c r="D5334" s="9" t="inlineStr">
        <is>
          <t>Short</t>
        </is>
      </c>
      <c r="E5334" s="10" t="n">
        <v>45887.85416666666</v>
      </c>
      <c r="F5334" s="10" t="n">
        <v>45887.90625</v>
      </c>
      <c r="G5334" s="11" t="n">
        <v>-0</v>
      </c>
      <c r="H5334" s="11">
        <f>H5333+G5334</f>
        <v/>
      </c>
    </row>
    <row r="5335">
      <c r="A5335" s="9" t="n">
        <v>5331</v>
      </c>
      <c r="B5335" s="9" t="inlineStr">
        <is>
          <t>Vanguard_M15</t>
        </is>
      </c>
      <c r="C5335" s="9" t="inlineStr">
        <is>
          <t>Trendline breakout (fractal swing line) + VWAP/S-R distance gate - M15 chart</t>
        </is>
      </c>
      <c r="D5335" s="9" t="inlineStr">
        <is>
          <t>Long</t>
        </is>
      </c>
      <c r="E5335" s="10" t="n">
        <v>45887.13541666666</v>
      </c>
      <c r="F5335" s="10" t="n">
        <v>45887.91666666666</v>
      </c>
      <c r="G5335" s="11" t="n">
        <v>-3.8</v>
      </c>
      <c r="H5335" s="11">
        <f>H5334+G5335</f>
        <v/>
      </c>
    </row>
    <row r="5336">
      <c r="A5336" s="9" t="n">
        <v>5332</v>
      </c>
      <c r="B5336" s="9" t="inlineStr">
        <is>
          <t>Vanguard_M5</t>
        </is>
      </c>
      <c r="C5336" s="9" t="inlineStr">
        <is>
          <t>Trendline breakout (fractal swing line) + VWAP/S-R distance gate</t>
        </is>
      </c>
      <c r="D5336" s="9" t="inlineStr">
        <is>
          <t>Long</t>
        </is>
      </c>
      <c r="E5336" s="10" t="n">
        <v>45887.13541666666</v>
      </c>
      <c r="F5336" s="10" t="n">
        <v>45887.91666666666</v>
      </c>
      <c r="G5336" s="11" t="n">
        <v>-3.11</v>
      </c>
      <c r="H5336" s="11">
        <f>H5335+G5336</f>
        <v/>
      </c>
    </row>
    <row r="5337">
      <c r="A5337" s="9" t="n">
        <v>5333</v>
      </c>
      <c r="B5337" s="9" t="inlineStr">
        <is>
          <t>Ratchet</t>
        </is>
      </c>
      <c r="C5337" s="9" t="inlineStr">
        <is>
          <t>Stochastic scalp with give-back trail exit</t>
        </is>
      </c>
      <c r="D5337" s="9" t="inlineStr">
        <is>
          <t>Short</t>
        </is>
      </c>
      <c r="E5337" s="10" t="n">
        <v>45887.93055555555</v>
      </c>
      <c r="F5337" s="10" t="n">
        <v>45887.9375</v>
      </c>
      <c r="G5337" s="11" t="n">
        <v>-1.65</v>
      </c>
      <c r="H5337" s="11">
        <f>H5336+G5337</f>
        <v/>
      </c>
    </row>
    <row r="5338">
      <c r="A5338" s="9" t="n">
        <v>5334</v>
      </c>
      <c r="B5338" s="9" t="inlineStr">
        <is>
          <t>Meridian</t>
        </is>
      </c>
      <c r="C5338" s="9" t="inlineStr">
        <is>
          <t>21/50 MA cross, 250-period confirm filter, VWAP</t>
        </is>
      </c>
      <c r="D5338" s="9" t="inlineStr">
        <is>
          <t>Short</t>
        </is>
      </c>
      <c r="E5338" s="10" t="n">
        <v>45888.10069444445</v>
      </c>
      <c r="F5338" s="10" t="n">
        <v>45888.13194444445</v>
      </c>
      <c r="G5338" s="11" t="n">
        <v>-1.99</v>
      </c>
      <c r="H5338" s="11">
        <f>H5337+G5338</f>
        <v/>
      </c>
    </row>
    <row r="5339">
      <c r="A5339" s="9" t="n">
        <v>5335</v>
      </c>
      <c r="B5339" s="9" t="inlineStr">
        <is>
          <t>Meridian</t>
        </is>
      </c>
      <c r="C5339" s="9" t="inlineStr">
        <is>
          <t>21/50 MA cross, 250-period confirm filter, VWAP</t>
        </is>
      </c>
      <c r="D5339" s="9" t="inlineStr">
        <is>
          <t>Short</t>
        </is>
      </c>
      <c r="E5339" s="10" t="n">
        <v>45888.19097222222</v>
      </c>
      <c r="F5339" s="10" t="n">
        <v>45888.24652777778</v>
      </c>
      <c r="G5339" s="11" t="n">
        <v>-2.93</v>
      </c>
      <c r="H5339" s="11">
        <f>H5338+G5339</f>
        <v/>
      </c>
    </row>
    <row r="5340">
      <c r="A5340" s="9" t="n">
        <v>5336</v>
      </c>
      <c r="B5340" s="9" t="inlineStr">
        <is>
          <t>Aurelius_M15</t>
        </is>
      </c>
      <c r="C5340" s="9" t="inlineStr">
        <is>
          <t>MA alignment (EMA21&gt;EMA50&gt;SMA250&gt;SMMA500 vs EMA2400 trend filter) - M15 chart</t>
        </is>
      </c>
      <c r="D5340" s="9" t="inlineStr">
        <is>
          <t>Short</t>
        </is>
      </c>
      <c r="E5340" s="10" t="n">
        <v>45888.17708333334</v>
      </c>
      <c r="F5340" s="10" t="n">
        <v>45888.25</v>
      </c>
      <c r="G5340" s="11" t="n">
        <v>-7.36</v>
      </c>
      <c r="H5340" s="11">
        <f>H5339+G5340</f>
        <v/>
      </c>
    </row>
    <row r="5341">
      <c r="A5341" s="9" t="n">
        <v>5337</v>
      </c>
      <c r="B5341" s="9" t="inlineStr">
        <is>
          <t>Ratchet</t>
        </is>
      </c>
      <c r="C5341" s="9" t="inlineStr">
        <is>
          <t>Stochastic scalp with give-back trail exit</t>
        </is>
      </c>
      <c r="D5341" s="9" t="inlineStr">
        <is>
          <t>Short</t>
        </is>
      </c>
      <c r="E5341" s="10" t="n">
        <v>45888.87847222222</v>
      </c>
      <c r="F5341" s="10" t="n">
        <v>45888.94791666666</v>
      </c>
      <c r="G5341" s="11" t="n">
        <v>0.37</v>
      </c>
      <c r="H5341" s="11">
        <f>H5340+G5341</f>
        <v/>
      </c>
    </row>
    <row r="5342">
      <c r="A5342" s="9" t="n">
        <v>5338</v>
      </c>
      <c r="B5342" s="9" t="inlineStr">
        <is>
          <t>Ratchet</t>
        </is>
      </c>
      <c r="C5342" s="9" t="inlineStr">
        <is>
          <t>Stochastic scalp with give-back trail exit</t>
        </is>
      </c>
      <c r="D5342" s="9" t="inlineStr">
        <is>
          <t>Short</t>
        </is>
      </c>
      <c r="E5342" s="10" t="n">
        <v>45889.09027777778</v>
      </c>
      <c r="F5342" s="10" t="n">
        <v>45889.10069444445</v>
      </c>
      <c r="G5342" s="11" t="n">
        <v>-0</v>
      </c>
      <c r="H5342" s="11">
        <f>H5341+G5342</f>
        <v/>
      </c>
    </row>
    <row r="5343">
      <c r="A5343" s="9" t="n">
        <v>5339</v>
      </c>
      <c r="B5343" s="9" t="inlineStr">
        <is>
          <t>Ratchet</t>
        </is>
      </c>
      <c r="C5343" s="9" t="inlineStr">
        <is>
          <t>Stochastic scalp with give-back trail exit</t>
        </is>
      </c>
      <c r="D5343" s="9" t="inlineStr">
        <is>
          <t>Short</t>
        </is>
      </c>
      <c r="E5343" s="10" t="n">
        <v>45889.13888888889</v>
      </c>
      <c r="F5343" s="10" t="n">
        <v>45889.15625</v>
      </c>
      <c r="G5343" s="11" t="n">
        <v>-2.33</v>
      </c>
      <c r="H5343" s="11">
        <f>H5342+G5343</f>
        <v/>
      </c>
    </row>
    <row r="5344">
      <c r="A5344" s="9" t="n">
        <v>5340</v>
      </c>
      <c r="B5344" s="9" t="inlineStr">
        <is>
          <t>Ratchet</t>
        </is>
      </c>
      <c r="C5344" s="9" t="inlineStr">
        <is>
          <t>Stochastic scalp with give-back trail exit</t>
        </is>
      </c>
      <c r="D5344" s="9" t="inlineStr">
        <is>
          <t>Short</t>
        </is>
      </c>
      <c r="E5344" s="10" t="n">
        <v>45889.17708333334</v>
      </c>
      <c r="F5344" s="10" t="n">
        <v>45889.1875</v>
      </c>
      <c r="G5344" s="11" t="n">
        <v>0.42</v>
      </c>
      <c r="H5344" s="11">
        <f>H5343+G5344</f>
        <v/>
      </c>
    </row>
    <row r="5345">
      <c r="A5345" s="9" t="n">
        <v>5341</v>
      </c>
      <c r="B5345" s="9" t="inlineStr">
        <is>
          <t>Aurelius_M5</t>
        </is>
      </c>
      <c r="C5345" s="9" t="inlineStr">
        <is>
          <t>MA alignment (EMA21&gt;EMA50&gt;SMA250&gt;SMMA500 vs EMA2400 trend filter)</t>
        </is>
      </c>
      <c r="D5345" s="9" t="inlineStr">
        <is>
          <t>Short</t>
        </is>
      </c>
      <c r="E5345" s="10" t="n">
        <v>45889.1875</v>
      </c>
      <c r="F5345" s="10" t="n">
        <v>45889.19444444445</v>
      </c>
      <c r="G5345" s="11" t="n">
        <v>-4.62</v>
      </c>
      <c r="H5345" s="11">
        <f>H5344+G5345</f>
        <v/>
      </c>
    </row>
    <row r="5346">
      <c r="A5346" s="9" t="n">
        <v>5342</v>
      </c>
      <c r="B5346" s="9" t="inlineStr">
        <is>
          <t>Vanguard_M15</t>
        </is>
      </c>
      <c r="C5346" s="9" t="inlineStr">
        <is>
          <t>Trendline breakout (fractal swing line) + VWAP/S-R distance gate - M15 chart</t>
        </is>
      </c>
      <c r="D5346" s="9" t="inlineStr">
        <is>
          <t>Short</t>
        </is>
      </c>
      <c r="E5346" s="10" t="n">
        <v>45888.73958333334</v>
      </c>
      <c r="F5346" s="10" t="n">
        <v>45889.5625</v>
      </c>
      <c r="G5346" s="11" t="n">
        <v>-1.1</v>
      </c>
      <c r="H5346" s="11">
        <f>H5345+G5346</f>
        <v/>
      </c>
    </row>
    <row r="5347">
      <c r="A5347" s="9" t="n">
        <v>5343</v>
      </c>
      <c r="B5347" s="9" t="inlineStr">
        <is>
          <t>Vanguard_M5</t>
        </is>
      </c>
      <c r="C5347" s="9" t="inlineStr">
        <is>
          <t>Trendline breakout (fractal swing line) + VWAP/S-R distance gate</t>
        </is>
      </c>
      <c r="D5347" s="9" t="inlineStr">
        <is>
          <t>Short</t>
        </is>
      </c>
      <c r="E5347" s="10" t="n">
        <v>45888.73958333334</v>
      </c>
      <c r="F5347" s="10" t="n">
        <v>45889.5625</v>
      </c>
      <c r="G5347" s="11" t="n">
        <v>-1.03</v>
      </c>
      <c r="H5347" s="11">
        <f>H5346+G5347</f>
        <v/>
      </c>
    </row>
    <row r="5348">
      <c r="A5348" s="9" t="n">
        <v>5344</v>
      </c>
      <c r="B5348" s="9" t="inlineStr">
        <is>
          <t>Ratchet</t>
        </is>
      </c>
      <c r="C5348" s="9" t="inlineStr">
        <is>
          <t>Stochastic scalp with give-back trail exit</t>
        </is>
      </c>
      <c r="D5348" s="9" t="inlineStr">
        <is>
          <t>Long</t>
        </is>
      </c>
      <c r="E5348" s="10" t="n">
        <v>45889.83680555555</v>
      </c>
      <c r="F5348" s="10" t="n">
        <v>45889.84375</v>
      </c>
      <c r="G5348" s="11" t="n">
        <v>0</v>
      </c>
      <c r="H5348" s="11">
        <f>H5347+G5348</f>
        <v/>
      </c>
    </row>
    <row r="5349">
      <c r="A5349" s="9" t="n">
        <v>5345</v>
      </c>
      <c r="B5349" s="9" t="inlineStr">
        <is>
          <t>Ratchet</t>
        </is>
      </c>
      <c r="C5349" s="9" t="inlineStr">
        <is>
          <t>Stochastic scalp with give-back trail exit</t>
        </is>
      </c>
      <c r="D5349" s="9" t="inlineStr">
        <is>
          <t>Long</t>
        </is>
      </c>
      <c r="E5349" s="10" t="n">
        <v>45889.85416666666</v>
      </c>
      <c r="F5349" s="10" t="n">
        <v>45889.87152777778</v>
      </c>
      <c r="G5349" s="11" t="n">
        <v>0.5600000000000001</v>
      </c>
      <c r="H5349" s="11">
        <f>H5348+G5349</f>
        <v/>
      </c>
    </row>
    <row r="5350">
      <c r="A5350" s="9" t="n">
        <v>5346</v>
      </c>
      <c r="B5350" s="9" t="inlineStr">
        <is>
          <t>Ratchet</t>
        </is>
      </c>
      <c r="C5350" s="9" t="inlineStr">
        <is>
          <t>Stochastic scalp with give-back trail exit</t>
        </is>
      </c>
      <c r="D5350" s="9" t="inlineStr">
        <is>
          <t>Long</t>
        </is>
      </c>
      <c r="E5350" s="10" t="n">
        <v>45890.06597222222</v>
      </c>
      <c r="F5350" s="10" t="n">
        <v>45890.08333333334</v>
      </c>
      <c r="G5350" s="11" t="n">
        <v>-2.13</v>
      </c>
      <c r="H5350" s="11">
        <f>H5349+G5350</f>
        <v/>
      </c>
    </row>
    <row r="5351">
      <c r="A5351" s="9" t="n">
        <v>5347</v>
      </c>
      <c r="B5351" s="9" t="inlineStr">
        <is>
          <t>Meridian</t>
        </is>
      </c>
      <c r="C5351" s="9" t="inlineStr">
        <is>
          <t>21/50 MA cross, 250-period confirm filter, VWAP</t>
        </is>
      </c>
      <c r="D5351" s="9" t="inlineStr">
        <is>
          <t>Short</t>
        </is>
      </c>
      <c r="E5351" s="10" t="n">
        <v>45890.48958333334</v>
      </c>
      <c r="F5351" s="10" t="n">
        <v>45890.5</v>
      </c>
      <c r="G5351" s="11" t="n">
        <v>-0.91</v>
      </c>
      <c r="H5351" s="11">
        <f>H5350+G5351</f>
        <v/>
      </c>
    </row>
    <row r="5352">
      <c r="A5352" s="9" t="n">
        <v>5348</v>
      </c>
      <c r="B5352" s="9" t="inlineStr">
        <is>
          <t>Meridian</t>
        </is>
      </c>
      <c r="C5352" s="9" t="inlineStr">
        <is>
          <t>21/50 MA cross, 250-period confirm filter, VWAP</t>
        </is>
      </c>
      <c r="D5352" s="9" t="inlineStr">
        <is>
          <t>Short</t>
        </is>
      </c>
      <c r="E5352" s="10" t="n">
        <v>45890.50347222222</v>
      </c>
      <c r="F5352" s="10" t="n">
        <v>45890.50694444445</v>
      </c>
      <c r="G5352" s="11" t="n">
        <v>-1.72</v>
      </c>
      <c r="H5352" s="11">
        <f>H5351+G5352</f>
        <v/>
      </c>
    </row>
    <row r="5353">
      <c r="A5353" s="9" t="n">
        <v>5349</v>
      </c>
      <c r="B5353" s="9" t="inlineStr">
        <is>
          <t>Meridian</t>
        </is>
      </c>
      <c r="C5353" s="9" t="inlineStr">
        <is>
          <t>21/50 MA cross, 250-period confirm filter, VWAP</t>
        </is>
      </c>
      <c r="D5353" s="9" t="inlineStr">
        <is>
          <t>Short</t>
        </is>
      </c>
      <c r="E5353" s="10" t="n">
        <v>45890.53125</v>
      </c>
      <c r="F5353" s="10" t="n">
        <v>45890.53472222222</v>
      </c>
      <c r="G5353" s="11" t="n">
        <v>-1.63</v>
      </c>
      <c r="H5353" s="11">
        <f>H5352+G5353</f>
        <v/>
      </c>
    </row>
    <row r="5354">
      <c r="A5354" s="9" t="n">
        <v>5350</v>
      </c>
      <c r="B5354" s="9" t="inlineStr">
        <is>
          <t>Vanguard_M15</t>
        </is>
      </c>
      <c r="C5354" s="9" t="inlineStr">
        <is>
          <t>Trendline breakout (fractal swing line) + VWAP/S-R distance gate - M15 chart</t>
        </is>
      </c>
      <c r="D5354" s="9" t="inlineStr">
        <is>
          <t>Long</t>
        </is>
      </c>
      <c r="E5354" s="10" t="n">
        <v>45889.63541666666</v>
      </c>
      <c r="F5354" s="10" t="n">
        <v>45890.5625</v>
      </c>
      <c r="G5354" s="11" t="n">
        <v>-4.72</v>
      </c>
      <c r="H5354" s="11">
        <f>H5353+G5354</f>
        <v/>
      </c>
    </row>
    <row r="5355">
      <c r="A5355" s="9" t="n">
        <v>5351</v>
      </c>
      <c r="B5355" s="9" t="inlineStr">
        <is>
          <t>Vanguard_M5</t>
        </is>
      </c>
      <c r="C5355" s="9" t="inlineStr">
        <is>
          <t>Trendline breakout (fractal swing line) + VWAP/S-R distance gate</t>
        </is>
      </c>
      <c r="D5355" s="9" t="inlineStr">
        <is>
          <t>Long</t>
        </is>
      </c>
      <c r="E5355" s="10" t="n">
        <v>45889.62847222222</v>
      </c>
      <c r="F5355" s="10" t="n">
        <v>45890.56597222222</v>
      </c>
      <c r="G5355" s="11" t="n">
        <v>-1.03</v>
      </c>
      <c r="H5355" s="11">
        <f>H5354+G5355</f>
        <v/>
      </c>
    </row>
    <row r="5356">
      <c r="A5356" s="9" t="n">
        <v>5352</v>
      </c>
      <c r="B5356" s="9" t="inlineStr">
        <is>
          <t>Meridian</t>
        </is>
      </c>
      <c r="C5356" s="9" t="inlineStr">
        <is>
          <t>21/50 MA cross, 250-period confirm filter, VWAP</t>
        </is>
      </c>
      <c r="D5356" s="9" t="inlineStr">
        <is>
          <t>Short</t>
        </is>
      </c>
      <c r="E5356" s="10" t="n">
        <v>45890.56597222222</v>
      </c>
      <c r="F5356" s="10" t="n">
        <v>45890.62847222222</v>
      </c>
      <c r="G5356" s="11" t="n">
        <v>-3.61</v>
      </c>
      <c r="H5356" s="11">
        <f>H5355+G5356</f>
        <v/>
      </c>
    </row>
    <row r="5357">
      <c r="A5357" s="9" t="n">
        <v>5353</v>
      </c>
      <c r="B5357" s="9" t="inlineStr">
        <is>
          <t>Meridian</t>
        </is>
      </c>
      <c r="C5357" s="9" t="inlineStr">
        <is>
          <t>21/50 MA cross, 250-period confirm filter, VWAP</t>
        </is>
      </c>
      <c r="D5357" s="9" t="inlineStr">
        <is>
          <t>Long</t>
        </is>
      </c>
      <c r="E5357" s="10" t="n">
        <v>45890.64930555555</v>
      </c>
      <c r="F5357" s="10" t="n">
        <v>45890.65625</v>
      </c>
      <c r="G5357" s="11" t="n">
        <v>-6.7</v>
      </c>
      <c r="H5357" s="11">
        <f>H5356+G5357</f>
        <v/>
      </c>
    </row>
    <row r="5358">
      <c r="A5358" s="9" t="n">
        <v>5354</v>
      </c>
      <c r="B5358" s="9" t="inlineStr">
        <is>
          <t>Ratchet</t>
        </is>
      </c>
      <c r="C5358" s="9" t="inlineStr">
        <is>
          <t>Stochastic scalp with give-back trail exit</t>
        </is>
      </c>
      <c r="D5358" s="9" t="inlineStr">
        <is>
          <t>Long</t>
        </is>
      </c>
      <c r="E5358" s="10" t="n">
        <v>45890.72569444445</v>
      </c>
      <c r="F5358" s="10" t="n">
        <v>45890.73611111111</v>
      </c>
      <c r="G5358" s="11" t="n">
        <v>0.71</v>
      </c>
      <c r="H5358" s="11">
        <f>H5357+G5358</f>
        <v/>
      </c>
    </row>
    <row r="5359">
      <c r="A5359" s="9" t="n">
        <v>5355</v>
      </c>
      <c r="B5359" s="9" t="inlineStr">
        <is>
          <t>Ratchet</t>
        </is>
      </c>
      <c r="C5359" s="9" t="inlineStr">
        <is>
          <t>Stochastic scalp with give-back trail exit</t>
        </is>
      </c>
      <c r="D5359" s="9" t="inlineStr">
        <is>
          <t>Long</t>
        </is>
      </c>
      <c r="E5359" s="10" t="n">
        <v>45890.78125</v>
      </c>
      <c r="F5359" s="10" t="n">
        <v>45890.80208333334</v>
      </c>
      <c r="G5359" s="11" t="n">
        <v>-5.04</v>
      </c>
      <c r="H5359" s="11">
        <f>H5358+G5359</f>
        <v/>
      </c>
    </row>
    <row r="5360">
      <c r="A5360" s="9" t="n">
        <v>5356</v>
      </c>
      <c r="B5360" s="9" t="inlineStr">
        <is>
          <t>Meridian</t>
        </is>
      </c>
      <c r="C5360" s="9" t="inlineStr">
        <is>
          <t>21/50 MA cross, 250-period confirm filter, VWAP</t>
        </is>
      </c>
      <c r="D5360" s="9" t="inlineStr">
        <is>
          <t>Short</t>
        </is>
      </c>
      <c r="E5360" s="10" t="n">
        <v>45890.83333333334</v>
      </c>
      <c r="F5360" s="10" t="n">
        <v>45890.94791666666</v>
      </c>
      <c r="G5360" s="11" t="n">
        <v>-1.13</v>
      </c>
      <c r="H5360" s="11">
        <f>H5359+G5360</f>
        <v/>
      </c>
    </row>
    <row r="5361">
      <c r="A5361" s="9" t="n">
        <v>5357</v>
      </c>
      <c r="B5361" s="9" t="inlineStr">
        <is>
          <t>Ratchet</t>
        </is>
      </c>
      <c r="C5361" s="9" t="inlineStr">
        <is>
          <t>Stochastic scalp with give-back trail exit</t>
        </is>
      </c>
      <c r="D5361" s="9" t="inlineStr">
        <is>
          <t>Short</t>
        </is>
      </c>
      <c r="E5361" s="10" t="n">
        <v>45891.34722222222</v>
      </c>
      <c r="F5361" s="10" t="n">
        <v>45891.35069444445</v>
      </c>
      <c r="G5361" s="11" t="n">
        <v>-0</v>
      </c>
      <c r="H5361" s="11">
        <f>H5360+G5361</f>
        <v/>
      </c>
    </row>
    <row r="5362">
      <c r="A5362" s="9" t="n">
        <v>5358</v>
      </c>
      <c r="B5362" s="9" t="inlineStr">
        <is>
          <t>Ratchet</t>
        </is>
      </c>
      <c r="C5362" s="9" t="inlineStr">
        <is>
          <t>Stochastic scalp with give-back trail exit</t>
        </is>
      </c>
      <c r="D5362" s="9" t="inlineStr">
        <is>
          <t>Short</t>
        </is>
      </c>
      <c r="E5362" s="10" t="n">
        <v>45891.45486111111</v>
      </c>
      <c r="F5362" s="10" t="n">
        <v>45891.47569444445</v>
      </c>
      <c r="G5362" s="11" t="n">
        <v>-3.55</v>
      </c>
      <c r="H5362" s="11">
        <f>H5361+G5362</f>
        <v/>
      </c>
    </row>
    <row r="5363">
      <c r="A5363" s="9" t="n">
        <v>5359</v>
      </c>
      <c r="B5363" s="9" t="inlineStr">
        <is>
          <t>Meridian</t>
        </is>
      </c>
      <c r="C5363" s="9" t="inlineStr">
        <is>
          <t>21/50 MA cross, 250-period confirm filter, VWAP</t>
        </is>
      </c>
      <c r="D5363" s="9" t="inlineStr">
        <is>
          <t>Short</t>
        </is>
      </c>
      <c r="E5363" s="10" t="n">
        <v>45890.95486111111</v>
      </c>
      <c r="F5363" s="10" t="n">
        <v>45891.54861111111</v>
      </c>
      <c r="G5363" s="11" t="n">
        <v>7.08</v>
      </c>
      <c r="H5363" s="11">
        <f>H5362+G5363</f>
        <v/>
      </c>
    </row>
    <row r="5364">
      <c r="A5364" s="9" t="n">
        <v>5360</v>
      </c>
      <c r="B5364" s="9" t="inlineStr">
        <is>
          <t>Aurelius_M5</t>
        </is>
      </c>
      <c r="C5364" s="9" t="inlineStr">
        <is>
          <t>MA alignment (EMA21&gt;EMA50&gt;SMA250&gt;SMMA500 vs EMA2400 trend filter)</t>
        </is>
      </c>
      <c r="D5364" s="9" t="inlineStr">
        <is>
          <t>Short</t>
        </is>
      </c>
      <c r="E5364" s="10" t="n">
        <v>45891.44097222222</v>
      </c>
      <c r="F5364" s="10" t="n">
        <v>45891.54861111111</v>
      </c>
      <c r="G5364" s="11" t="n">
        <v>-1.05</v>
      </c>
      <c r="H5364" s="11">
        <f>H5363+G5364</f>
        <v/>
      </c>
    </row>
    <row r="5365">
      <c r="A5365" s="9" t="n">
        <v>5361</v>
      </c>
      <c r="B5365" s="9" t="inlineStr">
        <is>
          <t>Aurelius_M15</t>
        </is>
      </c>
      <c r="C5365" s="9" t="inlineStr">
        <is>
          <t>MA alignment (EMA21&gt;EMA50&gt;SMA250&gt;SMMA500 vs EMA2400 trend filter) - M15 chart</t>
        </is>
      </c>
      <c r="D5365" s="9" t="inlineStr">
        <is>
          <t>Short</t>
        </is>
      </c>
      <c r="E5365" s="10" t="n">
        <v>45891.63541666666</v>
      </c>
      <c r="F5365" s="10" t="n">
        <v>45891.6875</v>
      </c>
      <c r="G5365" s="11" t="n">
        <v>-6.5</v>
      </c>
      <c r="H5365" s="11">
        <f>H5364+G5365</f>
        <v/>
      </c>
    </row>
    <row r="5366">
      <c r="A5366" s="9" t="n">
        <v>5362</v>
      </c>
      <c r="B5366" s="9" t="inlineStr">
        <is>
          <t>Aurelius_M5</t>
        </is>
      </c>
      <c r="C5366" s="9" t="inlineStr">
        <is>
          <t>MA alignment (EMA21&gt;EMA50&gt;SMA250&gt;SMMA500 vs EMA2400 trend filter)</t>
        </is>
      </c>
      <c r="D5366" s="9" t="inlineStr">
        <is>
          <t>Short</t>
        </is>
      </c>
      <c r="E5366" s="10" t="n">
        <v>45891.64583333334</v>
      </c>
      <c r="F5366" s="10" t="n">
        <v>45891.6875</v>
      </c>
      <c r="G5366" s="11" t="n">
        <v>-4.54</v>
      </c>
      <c r="H5366" s="11">
        <f>H5365+G5366</f>
        <v/>
      </c>
    </row>
    <row r="5367">
      <c r="A5367" s="9" t="n">
        <v>5363</v>
      </c>
      <c r="B5367" s="9" t="inlineStr">
        <is>
          <t>Meridian</t>
        </is>
      </c>
      <c r="C5367" s="9" t="inlineStr">
        <is>
          <t>21/50 MA cross, 250-period confirm filter, VWAP</t>
        </is>
      </c>
      <c r="D5367" s="9" t="inlineStr">
        <is>
          <t>Short</t>
        </is>
      </c>
      <c r="E5367" s="10" t="n">
        <v>45891.60416666666</v>
      </c>
      <c r="F5367" s="10" t="n">
        <v>45891.69097222222</v>
      </c>
      <c r="G5367" s="11" t="n">
        <v>-3.15</v>
      </c>
      <c r="H5367" s="11">
        <f>H5366+G5367</f>
        <v/>
      </c>
    </row>
    <row r="5368">
      <c r="A5368" s="9" t="n">
        <v>5364</v>
      </c>
      <c r="B5368" s="9" t="inlineStr">
        <is>
          <t>Vanguard_M5</t>
        </is>
      </c>
      <c r="C5368" s="9" t="inlineStr">
        <is>
          <t>Trendline breakout (fractal swing line) + VWAP/S-R distance gate</t>
        </is>
      </c>
      <c r="D5368" s="9" t="inlineStr">
        <is>
          <t>Short</t>
        </is>
      </c>
      <c r="E5368" s="10" t="n">
        <v>45891.29513888889</v>
      </c>
      <c r="F5368" s="10" t="n">
        <v>45891.70833333334</v>
      </c>
      <c r="G5368" s="11" t="n">
        <v>-5.21</v>
      </c>
      <c r="H5368" s="11">
        <f>H5367+G5368</f>
        <v/>
      </c>
    </row>
    <row r="5369">
      <c r="A5369" s="9" t="n">
        <v>5365</v>
      </c>
      <c r="B5369" s="9" t="inlineStr">
        <is>
          <t>Vanguard_M15</t>
        </is>
      </c>
      <c r="C5369" s="9" t="inlineStr">
        <is>
          <t>Trendline breakout (fractal swing line) + VWAP/S-R distance gate - M15 chart</t>
        </is>
      </c>
      <c r="D5369" s="9" t="inlineStr">
        <is>
          <t>Short</t>
        </is>
      </c>
      <c r="E5369" s="10" t="n">
        <v>45891.30208333334</v>
      </c>
      <c r="F5369" s="10" t="n">
        <v>45891.70833333334</v>
      </c>
      <c r="G5369" s="11" t="n">
        <v>-6.41</v>
      </c>
      <c r="H5369" s="11">
        <f>H5368+G5369</f>
        <v/>
      </c>
    </row>
    <row r="5370">
      <c r="A5370" s="9" t="n">
        <v>5366</v>
      </c>
      <c r="B5370" s="9" t="inlineStr">
        <is>
          <t>Ratchet</t>
        </is>
      </c>
      <c r="C5370" s="9" t="inlineStr">
        <is>
          <t>Stochastic scalp with give-back trail exit</t>
        </is>
      </c>
      <c r="D5370" s="9" t="inlineStr">
        <is>
          <t>Long</t>
        </is>
      </c>
      <c r="E5370" s="10" t="n">
        <v>45894.28472222222</v>
      </c>
      <c r="F5370" s="10" t="n">
        <v>45894.29166666666</v>
      </c>
      <c r="G5370" s="11" t="n">
        <v>-1.84</v>
      </c>
      <c r="H5370" s="11">
        <f>H5369+G5370</f>
        <v/>
      </c>
    </row>
    <row r="5371">
      <c r="A5371" s="9" t="n">
        <v>5367</v>
      </c>
      <c r="B5371" s="9" t="inlineStr">
        <is>
          <t>Meridian</t>
        </is>
      </c>
      <c r="C5371" s="9" t="inlineStr">
        <is>
          <t>21/50 MA cross, 250-period confirm filter, VWAP</t>
        </is>
      </c>
      <c r="D5371" s="9" t="inlineStr">
        <is>
          <t>Long</t>
        </is>
      </c>
      <c r="E5371" s="10" t="n">
        <v>45894.28472222222</v>
      </c>
      <c r="F5371" s="10" t="n">
        <v>45894.29513888889</v>
      </c>
      <c r="G5371" s="11" t="n">
        <v>-3.2</v>
      </c>
      <c r="H5371" s="11">
        <f>H5370+G5371</f>
        <v/>
      </c>
    </row>
    <row r="5372">
      <c r="A5372" s="9" t="n">
        <v>5368</v>
      </c>
      <c r="B5372" s="9" t="inlineStr">
        <is>
          <t>Aurelius_M5</t>
        </is>
      </c>
      <c r="C5372" s="9" t="inlineStr">
        <is>
          <t>MA alignment (EMA21&gt;EMA50&gt;SMA250&gt;SMMA500 vs EMA2400 trend filter)</t>
        </is>
      </c>
      <c r="D5372" s="9" t="inlineStr">
        <is>
          <t>Long</t>
        </is>
      </c>
      <c r="E5372" s="10" t="n">
        <v>45894.40972222222</v>
      </c>
      <c r="F5372" s="10" t="n">
        <v>45894.45833333334</v>
      </c>
      <c r="G5372" s="11" t="n">
        <v>-3.3</v>
      </c>
      <c r="H5372" s="11">
        <f>H5371+G5372</f>
        <v/>
      </c>
    </row>
    <row r="5373">
      <c r="A5373" s="9" t="n">
        <v>5369</v>
      </c>
      <c r="B5373" s="9" t="inlineStr">
        <is>
          <t>Meridian</t>
        </is>
      </c>
      <c r="C5373" s="9" t="inlineStr">
        <is>
          <t>21/50 MA cross, 250-period confirm filter, VWAP</t>
        </is>
      </c>
      <c r="D5373" s="9" t="inlineStr">
        <is>
          <t>Long</t>
        </is>
      </c>
      <c r="E5373" s="10" t="n">
        <v>45894.38541666666</v>
      </c>
      <c r="F5373" s="10" t="n">
        <v>45894.46180555555</v>
      </c>
      <c r="G5373" s="11" t="n">
        <v>-3.04</v>
      </c>
      <c r="H5373" s="11">
        <f>H5372+G5373</f>
        <v/>
      </c>
    </row>
    <row r="5374">
      <c r="A5374" s="9" t="n">
        <v>5370</v>
      </c>
      <c r="B5374" s="9" t="inlineStr">
        <is>
          <t>Ratchet</t>
        </is>
      </c>
      <c r="C5374" s="9" t="inlineStr">
        <is>
          <t>Stochastic scalp with give-back trail exit</t>
        </is>
      </c>
      <c r="D5374" s="9" t="inlineStr">
        <is>
          <t>Long</t>
        </is>
      </c>
      <c r="E5374" s="10" t="n">
        <v>45894.55208333334</v>
      </c>
      <c r="F5374" s="10" t="n">
        <v>45894.55902777778</v>
      </c>
      <c r="G5374" s="11" t="n">
        <v>-2.18</v>
      </c>
      <c r="H5374" s="11">
        <f>H5373+G5374</f>
        <v/>
      </c>
    </row>
    <row r="5375">
      <c r="A5375" s="9" t="n">
        <v>5371</v>
      </c>
      <c r="B5375" s="9" t="inlineStr">
        <is>
          <t>Ratchet</t>
        </is>
      </c>
      <c r="C5375" s="9" t="inlineStr">
        <is>
          <t>Stochastic scalp with give-back trail exit</t>
        </is>
      </c>
      <c r="D5375" s="9" t="inlineStr">
        <is>
          <t>Long</t>
        </is>
      </c>
      <c r="E5375" s="10" t="n">
        <v>45894.64236111111</v>
      </c>
      <c r="F5375" s="10" t="n">
        <v>45894.64583333334</v>
      </c>
      <c r="G5375" s="11" t="n">
        <v>-2.41</v>
      </c>
      <c r="H5375" s="11">
        <f>H5374+G5375</f>
        <v/>
      </c>
    </row>
    <row r="5376">
      <c r="A5376" s="9" t="n">
        <v>5372</v>
      </c>
      <c r="B5376" s="9" t="inlineStr">
        <is>
          <t>Meridian</t>
        </is>
      </c>
      <c r="C5376" s="9" t="inlineStr">
        <is>
          <t>21/50 MA cross, 250-period confirm filter, VWAP</t>
        </is>
      </c>
      <c r="D5376" s="9" t="inlineStr">
        <is>
          <t>Long</t>
        </is>
      </c>
      <c r="E5376" s="10" t="n">
        <v>45894.55208333334</v>
      </c>
      <c r="F5376" s="10" t="n">
        <v>45894.66319444445</v>
      </c>
      <c r="G5376" s="11" t="n">
        <v>-3.06</v>
      </c>
      <c r="H5376" s="11">
        <f>H5375+G5376</f>
        <v/>
      </c>
    </row>
    <row r="5377">
      <c r="A5377" s="9" t="n">
        <v>5373</v>
      </c>
      <c r="B5377" s="9" t="inlineStr">
        <is>
          <t>Meridian</t>
        </is>
      </c>
      <c r="C5377" s="9" t="inlineStr">
        <is>
          <t>21/50 MA cross, 250-period confirm filter, VWAP</t>
        </is>
      </c>
      <c r="D5377" s="9" t="inlineStr">
        <is>
          <t>Short</t>
        </is>
      </c>
      <c r="E5377" s="10" t="n">
        <v>45894.67013888889</v>
      </c>
      <c r="F5377" s="10" t="n">
        <v>45894.6875</v>
      </c>
      <c r="G5377" s="11" t="n">
        <v>-3.79</v>
      </c>
      <c r="H5377" s="11">
        <f>H5376+G5377</f>
        <v/>
      </c>
    </row>
    <row r="5378">
      <c r="A5378" s="9" t="n">
        <v>5374</v>
      </c>
      <c r="B5378" s="9" t="inlineStr">
        <is>
          <t>Ratchet</t>
        </is>
      </c>
      <c r="C5378" s="9" t="inlineStr">
        <is>
          <t>Stochastic scalp with give-back trail exit</t>
        </is>
      </c>
      <c r="D5378" s="9" t="inlineStr">
        <is>
          <t>Long</t>
        </is>
      </c>
      <c r="E5378" s="10" t="n">
        <v>45894.70833333334</v>
      </c>
      <c r="F5378" s="10" t="n">
        <v>45894.71180555555</v>
      </c>
      <c r="G5378" s="11" t="n">
        <v>0.54</v>
      </c>
      <c r="H5378" s="11">
        <f>H5377+G5378</f>
        <v/>
      </c>
    </row>
    <row r="5379">
      <c r="A5379" s="9" t="n">
        <v>5375</v>
      </c>
      <c r="B5379" s="9" t="inlineStr">
        <is>
          <t>Ratchet</t>
        </is>
      </c>
      <c r="C5379" s="9" t="inlineStr">
        <is>
          <t>Stochastic scalp with give-back trail exit</t>
        </is>
      </c>
      <c r="D5379" s="9" t="inlineStr">
        <is>
          <t>Long</t>
        </is>
      </c>
      <c r="E5379" s="10" t="n">
        <v>45894.78819444445</v>
      </c>
      <c r="F5379" s="10" t="n">
        <v>45894.85416666666</v>
      </c>
      <c r="G5379" s="11" t="n">
        <v>-2.63</v>
      </c>
      <c r="H5379" s="11">
        <f>H5378+G5379</f>
        <v/>
      </c>
    </row>
    <row r="5380">
      <c r="A5380" s="9" t="n">
        <v>5376</v>
      </c>
      <c r="B5380" s="9" t="inlineStr">
        <is>
          <t>Meridian</t>
        </is>
      </c>
      <c r="C5380" s="9" t="inlineStr">
        <is>
          <t>21/50 MA cross, 250-period confirm filter, VWAP</t>
        </is>
      </c>
      <c r="D5380" s="9" t="inlineStr">
        <is>
          <t>Long</t>
        </is>
      </c>
      <c r="E5380" s="10" t="n">
        <v>45894.70486111111</v>
      </c>
      <c r="F5380" s="10" t="n">
        <v>45894.91666666666</v>
      </c>
      <c r="G5380" s="11" t="n">
        <v>0.12</v>
      </c>
      <c r="H5380" s="11">
        <f>H5379+G5380</f>
        <v/>
      </c>
    </row>
    <row r="5381">
      <c r="A5381" s="9" t="n">
        <v>5377</v>
      </c>
      <c r="B5381" s="9" t="inlineStr">
        <is>
          <t>Aurelius_M5</t>
        </is>
      </c>
      <c r="C5381" s="9" t="inlineStr">
        <is>
          <t>MA alignment (EMA21&gt;EMA50&gt;SMA250&gt;SMMA500 vs EMA2400 trend filter)</t>
        </is>
      </c>
      <c r="D5381" s="9" t="inlineStr">
        <is>
          <t>Long</t>
        </is>
      </c>
      <c r="E5381" s="10" t="n">
        <v>45894.73263888889</v>
      </c>
      <c r="F5381" s="10" t="n">
        <v>45894.91666666666</v>
      </c>
      <c r="G5381" s="11" t="n">
        <v>-1.13</v>
      </c>
      <c r="H5381" s="11">
        <f>H5380+G5381</f>
        <v/>
      </c>
    </row>
    <row r="5382">
      <c r="A5382" s="9" t="n">
        <v>5378</v>
      </c>
      <c r="B5382" s="9" t="inlineStr">
        <is>
          <t>Aurelius_M15</t>
        </is>
      </c>
      <c r="C5382" s="9" t="inlineStr">
        <is>
          <t>MA alignment (EMA21&gt;EMA50&gt;SMA250&gt;SMMA500 vs EMA2400 trend filter) - M15 chart</t>
        </is>
      </c>
      <c r="D5382" s="9" t="inlineStr">
        <is>
          <t>Long</t>
        </is>
      </c>
      <c r="E5382" s="10" t="n">
        <v>45894.69791666666</v>
      </c>
      <c r="F5382" s="10" t="n">
        <v>45895.04166666666</v>
      </c>
      <c r="G5382" s="11" t="n">
        <v>-2.63</v>
      </c>
      <c r="H5382" s="11">
        <f>H5381+G5382</f>
        <v/>
      </c>
    </row>
    <row r="5383">
      <c r="A5383" s="9" t="n">
        <v>5379</v>
      </c>
      <c r="B5383" s="9" t="inlineStr">
        <is>
          <t>Vanguard_M15</t>
        </is>
      </c>
      <c r="C5383" s="9" t="inlineStr">
        <is>
          <t>Trendline breakout (fractal swing line) + VWAP/S-R distance gate - M15 chart</t>
        </is>
      </c>
      <c r="D5383" s="9" t="inlineStr">
        <is>
          <t>Long</t>
        </is>
      </c>
      <c r="E5383" s="10" t="n">
        <v>45891.71875</v>
      </c>
      <c r="F5383" s="10" t="n">
        <v>45895.08333333334</v>
      </c>
      <c r="G5383" s="11" t="n">
        <v>-0.64</v>
      </c>
      <c r="H5383" s="11">
        <f>H5382+G5383</f>
        <v/>
      </c>
    </row>
    <row r="5384">
      <c r="A5384" s="9" t="n">
        <v>5380</v>
      </c>
      <c r="B5384" s="9" t="inlineStr">
        <is>
          <t>Meridian</t>
        </is>
      </c>
      <c r="C5384" s="9" t="inlineStr">
        <is>
          <t>21/50 MA cross, 250-period confirm filter, VWAP</t>
        </is>
      </c>
      <c r="D5384" s="9" t="inlineStr">
        <is>
          <t>Long</t>
        </is>
      </c>
      <c r="E5384" s="10" t="n">
        <v>45895.14930555555</v>
      </c>
      <c r="F5384" s="10" t="n">
        <v>45895.19097222222</v>
      </c>
      <c r="G5384" s="11" t="n">
        <v>-9.35</v>
      </c>
      <c r="H5384" s="11">
        <f>H5383+G5384</f>
        <v/>
      </c>
    </row>
    <row r="5385">
      <c r="A5385" s="9" t="n">
        <v>5381</v>
      </c>
      <c r="B5385" s="9" t="inlineStr">
        <is>
          <t>Ratchet</t>
        </is>
      </c>
      <c r="C5385" s="9" t="inlineStr">
        <is>
          <t>Stochastic scalp with give-back trail exit</t>
        </is>
      </c>
      <c r="D5385" s="9" t="inlineStr">
        <is>
          <t>Long</t>
        </is>
      </c>
      <c r="E5385" s="10" t="n">
        <v>45895.20486111111</v>
      </c>
      <c r="F5385" s="10" t="n">
        <v>45895.21527777778</v>
      </c>
      <c r="G5385" s="11" t="n">
        <v>0.6899999999999999</v>
      </c>
      <c r="H5385" s="11">
        <f>H5384+G5385</f>
        <v/>
      </c>
    </row>
    <row r="5386">
      <c r="A5386" s="9" t="n">
        <v>5382</v>
      </c>
      <c r="B5386" s="9" t="inlineStr">
        <is>
          <t>Meridian</t>
        </is>
      </c>
      <c r="C5386" s="9" t="inlineStr">
        <is>
          <t>21/50 MA cross, 250-period confirm filter, VWAP</t>
        </is>
      </c>
      <c r="D5386" s="9" t="inlineStr">
        <is>
          <t>Short</t>
        </is>
      </c>
      <c r="E5386" s="10" t="n">
        <v>45895.43055555555</v>
      </c>
      <c r="F5386" s="10" t="n">
        <v>45895.44097222222</v>
      </c>
      <c r="G5386" s="11" t="n">
        <v>-5.54</v>
      </c>
      <c r="H5386" s="11">
        <f>H5385+G5386</f>
        <v/>
      </c>
    </row>
    <row r="5387">
      <c r="A5387" s="9" t="n">
        <v>5383</v>
      </c>
      <c r="B5387" s="9" t="inlineStr">
        <is>
          <t>Ratchet</t>
        </is>
      </c>
      <c r="C5387" s="9" t="inlineStr">
        <is>
          <t>Stochastic scalp with give-back trail exit</t>
        </is>
      </c>
      <c r="D5387" s="9" t="inlineStr">
        <is>
          <t>Long</t>
        </is>
      </c>
      <c r="E5387" s="10" t="n">
        <v>45895.45138888889</v>
      </c>
      <c r="F5387" s="10" t="n">
        <v>45895.48263888889</v>
      </c>
      <c r="G5387" s="11" t="n">
        <v>0.49</v>
      </c>
      <c r="H5387" s="11">
        <f>H5386+G5387</f>
        <v/>
      </c>
    </row>
    <row r="5388">
      <c r="A5388" s="9" t="n">
        <v>5384</v>
      </c>
      <c r="B5388" s="9" t="inlineStr">
        <is>
          <t>Meridian</t>
        </is>
      </c>
      <c r="C5388" s="9" t="inlineStr">
        <is>
          <t>21/50 MA cross, 250-period confirm filter, VWAP</t>
        </is>
      </c>
      <c r="D5388" s="9" t="inlineStr">
        <is>
          <t>Short</t>
        </is>
      </c>
      <c r="E5388" s="10" t="n">
        <v>45895.53472222222</v>
      </c>
      <c r="F5388" s="10" t="n">
        <v>45895.58680555555</v>
      </c>
      <c r="G5388" s="11" t="n">
        <v>-5.32</v>
      </c>
      <c r="H5388" s="11">
        <f>H5387+G5388</f>
        <v/>
      </c>
    </row>
    <row r="5389">
      <c r="A5389" s="9" t="n">
        <v>5385</v>
      </c>
      <c r="B5389" s="9" t="inlineStr">
        <is>
          <t>Meridian</t>
        </is>
      </c>
      <c r="C5389" s="9" t="inlineStr">
        <is>
          <t>21/50 MA cross, 250-period confirm filter, VWAP</t>
        </is>
      </c>
      <c r="D5389" s="9" t="inlineStr">
        <is>
          <t>Long</t>
        </is>
      </c>
      <c r="E5389" s="10" t="n">
        <v>45895.60763888889</v>
      </c>
      <c r="F5389" s="10" t="n">
        <v>45895.66319444445</v>
      </c>
      <c r="G5389" s="11" t="n">
        <v>-4.93</v>
      </c>
      <c r="H5389" s="11">
        <f>H5388+G5389</f>
        <v/>
      </c>
    </row>
    <row r="5390">
      <c r="A5390" s="9" t="n">
        <v>5386</v>
      </c>
      <c r="B5390" s="9" t="inlineStr">
        <is>
          <t>Ratchet</t>
        </is>
      </c>
      <c r="C5390" s="9" t="inlineStr">
        <is>
          <t>Stochastic scalp with give-back trail exit</t>
        </is>
      </c>
      <c r="D5390" s="9" t="inlineStr">
        <is>
          <t>Long</t>
        </is>
      </c>
      <c r="E5390" s="10" t="n">
        <v>45895.61111111111</v>
      </c>
      <c r="F5390" s="10" t="n">
        <v>45895.66319444445</v>
      </c>
      <c r="G5390" s="11" t="n">
        <v>-3.52</v>
      </c>
      <c r="H5390" s="11">
        <f>H5389+G5390</f>
        <v/>
      </c>
    </row>
    <row r="5391">
      <c r="A5391" s="9" t="n">
        <v>5387</v>
      </c>
      <c r="B5391" s="9" t="inlineStr">
        <is>
          <t>Meridian</t>
        </is>
      </c>
      <c r="C5391" s="9" t="inlineStr">
        <is>
          <t>21/50 MA cross, 250-period confirm filter, VWAP</t>
        </is>
      </c>
      <c r="D5391" s="9" t="inlineStr">
        <is>
          <t>Short</t>
        </is>
      </c>
      <c r="E5391" s="10" t="n">
        <v>45895.67708333334</v>
      </c>
      <c r="F5391" s="10" t="n">
        <v>45895.73958333334</v>
      </c>
      <c r="G5391" s="11" t="n">
        <v>-5.96</v>
      </c>
      <c r="H5391" s="11">
        <f>H5390+G5391</f>
        <v/>
      </c>
    </row>
    <row r="5392">
      <c r="A5392" s="9" t="n">
        <v>5388</v>
      </c>
      <c r="B5392" s="9" t="inlineStr">
        <is>
          <t>Ratchet</t>
        </is>
      </c>
      <c r="C5392" s="9" t="inlineStr">
        <is>
          <t>Stochastic scalp with give-back trail exit</t>
        </is>
      </c>
      <c r="D5392" s="9" t="inlineStr">
        <is>
          <t>Long</t>
        </is>
      </c>
      <c r="E5392" s="10" t="n">
        <v>45895.74652777778</v>
      </c>
      <c r="F5392" s="10" t="n">
        <v>45895.76041666666</v>
      </c>
      <c r="G5392" s="11" t="n">
        <v>0.73</v>
      </c>
      <c r="H5392" s="11">
        <f>H5391+G5392</f>
        <v/>
      </c>
    </row>
    <row r="5393">
      <c r="A5393" s="9" t="n">
        <v>5389</v>
      </c>
      <c r="B5393" s="9" t="inlineStr">
        <is>
          <t>Ratchet</t>
        </is>
      </c>
      <c r="C5393" s="9" t="inlineStr">
        <is>
          <t>Stochastic scalp with give-back trail exit</t>
        </is>
      </c>
      <c r="D5393" s="9" t="inlineStr">
        <is>
          <t>Long</t>
        </is>
      </c>
      <c r="E5393" s="10" t="n">
        <v>45896.13541666666</v>
      </c>
      <c r="F5393" s="10" t="n">
        <v>45896.13888888889</v>
      </c>
      <c r="G5393" s="11" t="n">
        <v>0.19</v>
      </c>
      <c r="H5393" s="11">
        <f>H5392+G5393</f>
        <v/>
      </c>
    </row>
    <row r="5394">
      <c r="A5394" s="9" t="n">
        <v>5390</v>
      </c>
      <c r="B5394" s="9" t="inlineStr">
        <is>
          <t>Aurelius_M5</t>
        </is>
      </c>
      <c r="C5394" s="9" t="inlineStr">
        <is>
          <t>MA alignment (EMA21&gt;EMA50&gt;SMA250&gt;SMMA500 vs EMA2400 trend filter)</t>
        </is>
      </c>
      <c r="D5394" s="9" t="inlineStr">
        <is>
          <t>Long</t>
        </is>
      </c>
      <c r="E5394" s="10" t="n">
        <v>45896.16319444445</v>
      </c>
      <c r="F5394" s="10" t="n">
        <v>45896.16666666666</v>
      </c>
      <c r="G5394" s="11" t="n">
        <v>-3.54</v>
      </c>
      <c r="H5394" s="11">
        <f>H5393+G5394</f>
        <v/>
      </c>
    </row>
    <row r="5395">
      <c r="A5395" s="9" t="n">
        <v>5391</v>
      </c>
      <c r="B5395" s="9" t="inlineStr">
        <is>
          <t>Vanguard_M5</t>
        </is>
      </c>
      <c r="C5395" s="9" t="inlineStr">
        <is>
          <t>Trendline breakout (fractal swing line) + VWAP/S-R distance gate</t>
        </is>
      </c>
      <c r="D5395" s="9" t="inlineStr">
        <is>
          <t>Long</t>
        </is>
      </c>
      <c r="E5395" s="10" t="n">
        <v>45891.71180555555</v>
      </c>
      <c r="F5395" s="10" t="n">
        <v>45896.17013888889</v>
      </c>
      <c r="G5395" s="11" t="n">
        <v>38.95</v>
      </c>
      <c r="H5395" s="11">
        <f>H5394+G5395</f>
        <v/>
      </c>
    </row>
    <row r="5396">
      <c r="A5396" s="9" t="n">
        <v>5392</v>
      </c>
      <c r="B5396" s="9" t="inlineStr">
        <is>
          <t>Aurelius_M15</t>
        </is>
      </c>
      <c r="C5396" s="9" t="inlineStr">
        <is>
          <t>MA alignment (EMA21&gt;EMA50&gt;SMA250&gt;SMMA500 vs EMA2400 trend filter) - M15 chart</t>
        </is>
      </c>
      <c r="D5396" s="9" t="inlineStr">
        <is>
          <t>Long</t>
        </is>
      </c>
      <c r="E5396" s="10" t="n">
        <v>45895.79166666666</v>
      </c>
      <c r="F5396" s="10" t="n">
        <v>45896.22916666666</v>
      </c>
      <c r="G5396" s="11" t="n">
        <v>-1.14</v>
      </c>
      <c r="H5396" s="11">
        <f>H5395+G5396</f>
        <v/>
      </c>
    </row>
    <row r="5397">
      <c r="A5397" s="9" t="n">
        <v>5393</v>
      </c>
      <c r="B5397" s="9" t="inlineStr">
        <is>
          <t>Meridian</t>
        </is>
      </c>
      <c r="C5397" s="9" t="inlineStr">
        <is>
          <t>21/50 MA cross, 250-period confirm filter, VWAP</t>
        </is>
      </c>
      <c r="D5397" s="9" t="inlineStr">
        <is>
          <t>Long</t>
        </is>
      </c>
      <c r="E5397" s="10" t="n">
        <v>45896.47222222222</v>
      </c>
      <c r="F5397" s="10" t="n">
        <v>45896.53472222222</v>
      </c>
      <c r="G5397" s="11" t="n">
        <v>-4.48</v>
      </c>
      <c r="H5397" s="11">
        <f>H5396+G5397</f>
        <v/>
      </c>
    </row>
    <row r="5398">
      <c r="A5398" s="9" t="n">
        <v>5394</v>
      </c>
      <c r="B5398" s="9" t="inlineStr">
        <is>
          <t>Meridian</t>
        </is>
      </c>
      <c r="C5398" s="9" t="inlineStr">
        <is>
          <t>21/50 MA cross, 250-period confirm filter, VWAP</t>
        </is>
      </c>
      <c r="D5398" s="9" t="inlineStr">
        <is>
          <t>Short</t>
        </is>
      </c>
      <c r="E5398" s="10" t="n">
        <v>45896.55208333334</v>
      </c>
      <c r="F5398" s="10" t="n">
        <v>45896.64236111111</v>
      </c>
      <c r="G5398" s="11" t="n">
        <v>-4.19</v>
      </c>
      <c r="H5398" s="11">
        <f>H5397+G5398</f>
        <v/>
      </c>
    </row>
    <row r="5399">
      <c r="A5399" s="9" t="n">
        <v>5395</v>
      </c>
      <c r="B5399" s="9" t="inlineStr">
        <is>
          <t>Ratchet</t>
        </is>
      </c>
      <c r="C5399" s="9" t="inlineStr">
        <is>
          <t>Stochastic scalp with give-back trail exit</t>
        </is>
      </c>
      <c r="D5399" s="9" t="inlineStr">
        <is>
          <t>Long</t>
        </is>
      </c>
      <c r="E5399" s="10" t="n">
        <v>45896.76736111111</v>
      </c>
      <c r="F5399" s="10" t="n">
        <v>45896.77777777778</v>
      </c>
      <c r="G5399" s="11" t="n">
        <v>0.44</v>
      </c>
      <c r="H5399" s="11">
        <f>H5398+G5399</f>
        <v/>
      </c>
    </row>
    <row r="5400">
      <c r="A5400" s="9" t="n">
        <v>5396</v>
      </c>
      <c r="B5400" s="9" t="inlineStr">
        <is>
          <t>Vanguard_M5</t>
        </is>
      </c>
      <c r="C5400" s="9" t="inlineStr">
        <is>
          <t>Trendline breakout (fractal swing line) + VWAP/S-R distance gate</t>
        </is>
      </c>
      <c r="D5400" s="9" t="inlineStr">
        <is>
          <t>Short</t>
        </is>
      </c>
      <c r="E5400" s="10" t="n">
        <v>45896.17361111111</v>
      </c>
      <c r="F5400" s="10" t="n">
        <v>45896.8125</v>
      </c>
      <c r="G5400" s="11" t="n">
        <v>-6.08</v>
      </c>
      <c r="H5400" s="11">
        <f>H5399+G5400</f>
        <v/>
      </c>
    </row>
    <row r="5401">
      <c r="A5401" s="9" t="n">
        <v>5397</v>
      </c>
      <c r="B5401" s="9" t="inlineStr">
        <is>
          <t>Vanguard_M15</t>
        </is>
      </c>
      <c r="C5401" s="9" t="inlineStr">
        <is>
          <t>Trendline breakout (fractal swing line) + VWAP/S-R distance gate - M15 chart</t>
        </is>
      </c>
      <c r="D5401" s="9" t="inlineStr">
        <is>
          <t>Short</t>
        </is>
      </c>
      <c r="E5401" s="10" t="n">
        <v>45896.17708333334</v>
      </c>
      <c r="F5401" s="10" t="n">
        <v>45896.8125</v>
      </c>
      <c r="G5401" s="11" t="n">
        <v>-7.44</v>
      </c>
      <c r="H5401" s="11">
        <f>H5400+G5401</f>
        <v/>
      </c>
    </row>
    <row r="5402">
      <c r="A5402" s="9" t="n">
        <v>5398</v>
      </c>
      <c r="B5402" s="9" t="inlineStr">
        <is>
          <t>Ratchet</t>
        </is>
      </c>
      <c r="C5402" s="9" t="inlineStr">
        <is>
          <t>Stochastic scalp with give-back trail exit</t>
        </is>
      </c>
      <c r="D5402" s="9" t="inlineStr">
        <is>
          <t>Long</t>
        </is>
      </c>
      <c r="E5402" s="10" t="n">
        <v>45896.89236111111</v>
      </c>
      <c r="F5402" s="10" t="n">
        <v>45896.90625</v>
      </c>
      <c r="G5402" s="11" t="n">
        <v>0.28</v>
      </c>
      <c r="H5402" s="11">
        <f>H5401+G5402</f>
        <v/>
      </c>
    </row>
    <row r="5403">
      <c r="A5403" s="9" t="n">
        <v>5399</v>
      </c>
      <c r="B5403" s="9" t="inlineStr">
        <is>
          <t>Ratchet</t>
        </is>
      </c>
      <c r="C5403" s="9" t="inlineStr">
        <is>
          <t>Stochastic scalp with give-back trail exit</t>
        </is>
      </c>
      <c r="D5403" s="9" t="inlineStr">
        <is>
          <t>Long</t>
        </is>
      </c>
      <c r="E5403" s="10" t="n">
        <v>45896.92361111111</v>
      </c>
      <c r="F5403" s="10" t="n">
        <v>45896.95833333334</v>
      </c>
      <c r="G5403" s="11" t="n">
        <v>0</v>
      </c>
      <c r="H5403" s="11">
        <f>H5402+G5403</f>
        <v/>
      </c>
    </row>
    <row r="5404">
      <c r="A5404" s="9" t="n">
        <v>5400</v>
      </c>
      <c r="B5404" s="9" t="inlineStr">
        <is>
          <t>Ratchet</t>
        </is>
      </c>
      <c r="C5404" s="9" t="inlineStr">
        <is>
          <t>Stochastic scalp with give-back trail exit</t>
        </is>
      </c>
      <c r="D5404" s="9" t="inlineStr">
        <is>
          <t>Long</t>
        </is>
      </c>
      <c r="E5404" s="10" t="n">
        <v>45897.09722222222</v>
      </c>
      <c r="F5404" s="10" t="n">
        <v>45897.11458333334</v>
      </c>
      <c r="G5404" s="11" t="n">
        <v>0.26</v>
      </c>
      <c r="H5404" s="11">
        <f>H5403+G5404</f>
        <v/>
      </c>
    </row>
    <row r="5405">
      <c r="A5405" s="9" t="n">
        <v>5401</v>
      </c>
      <c r="B5405" s="9" t="inlineStr">
        <is>
          <t>Ratchet</t>
        </is>
      </c>
      <c r="C5405" s="9" t="inlineStr">
        <is>
          <t>Stochastic scalp with give-back trail exit</t>
        </is>
      </c>
      <c r="D5405" s="9" t="inlineStr">
        <is>
          <t>Long</t>
        </is>
      </c>
      <c r="E5405" s="10" t="n">
        <v>45897.41666666666</v>
      </c>
      <c r="F5405" s="10" t="n">
        <v>45897.42708333334</v>
      </c>
      <c r="G5405" s="11" t="n">
        <v>0.32</v>
      </c>
      <c r="H5405" s="11">
        <f>H5404+G5405</f>
        <v/>
      </c>
    </row>
    <row r="5406">
      <c r="A5406" s="9" t="n">
        <v>5402</v>
      </c>
      <c r="B5406" s="9" t="inlineStr">
        <is>
          <t>Ratchet</t>
        </is>
      </c>
      <c r="C5406" s="9" t="inlineStr">
        <is>
          <t>Stochastic scalp with give-back trail exit</t>
        </is>
      </c>
      <c r="D5406" s="9" t="inlineStr">
        <is>
          <t>Long</t>
        </is>
      </c>
      <c r="E5406" s="10" t="n">
        <v>45897.47569444445</v>
      </c>
      <c r="F5406" s="10" t="n">
        <v>45897.54166666666</v>
      </c>
      <c r="G5406" s="11" t="n">
        <v>1.67</v>
      </c>
      <c r="H5406" s="11">
        <f>H5405+G5406</f>
        <v/>
      </c>
    </row>
    <row r="5407">
      <c r="A5407" s="9" t="n">
        <v>5403</v>
      </c>
      <c r="B5407" s="9" t="inlineStr">
        <is>
          <t>Aurelius_M5</t>
        </is>
      </c>
      <c r="C5407" s="9" t="inlineStr">
        <is>
          <t>MA alignment (EMA21&gt;EMA50&gt;SMA250&gt;SMMA500 vs EMA2400 trend filter)</t>
        </is>
      </c>
      <c r="D5407" s="9" t="inlineStr">
        <is>
          <t>Long</t>
        </is>
      </c>
      <c r="E5407" s="10" t="n">
        <v>45897.42013888889</v>
      </c>
      <c r="F5407" s="10" t="n">
        <v>45898.04166666666</v>
      </c>
      <c r="G5407" s="11" t="n">
        <v>22.11</v>
      </c>
      <c r="H5407" s="11">
        <f>H5406+G5407</f>
        <v/>
      </c>
    </row>
    <row r="5408">
      <c r="A5408" s="9" t="n">
        <v>5404</v>
      </c>
      <c r="B5408" s="9" t="inlineStr">
        <is>
          <t>Meridian</t>
        </is>
      </c>
      <c r="C5408" s="9" t="inlineStr">
        <is>
          <t>21/50 MA cross, 250-period confirm filter, VWAP</t>
        </is>
      </c>
      <c r="D5408" s="9" t="inlineStr">
        <is>
          <t>Long</t>
        </is>
      </c>
      <c r="E5408" s="10" t="n">
        <v>45897.40277777778</v>
      </c>
      <c r="F5408" s="10" t="n">
        <v>45898.10416666666</v>
      </c>
      <c r="G5408" s="11" t="n">
        <v>21.75</v>
      </c>
      <c r="H5408" s="11">
        <f>H5407+G5408</f>
        <v/>
      </c>
    </row>
    <row r="5409">
      <c r="A5409" s="9" t="n">
        <v>5405</v>
      </c>
      <c r="B5409" s="9" t="inlineStr">
        <is>
          <t>Aurelius_M15</t>
        </is>
      </c>
      <c r="C5409" s="9" t="inlineStr">
        <is>
          <t>MA alignment (EMA21&gt;EMA50&gt;SMA250&gt;SMMA500 vs EMA2400 trend filter) - M15 chart</t>
        </is>
      </c>
      <c r="D5409" s="9" t="inlineStr">
        <is>
          <t>Long</t>
        </is>
      </c>
      <c r="E5409" s="10" t="n">
        <v>45897.69791666666</v>
      </c>
      <c r="F5409" s="10" t="n">
        <v>45898.36458333334</v>
      </c>
      <c r="G5409" s="11" t="n">
        <v>3.53</v>
      </c>
      <c r="H5409" s="11">
        <f>H5408+G5409</f>
        <v/>
      </c>
    </row>
    <row r="5410">
      <c r="A5410" s="9" t="n">
        <v>5406</v>
      </c>
      <c r="B5410" s="9" t="inlineStr">
        <is>
          <t>Meridian</t>
        </is>
      </c>
      <c r="C5410" s="9" t="inlineStr">
        <is>
          <t>21/50 MA cross, 250-period confirm filter, VWAP</t>
        </is>
      </c>
      <c r="D5410" s="9" t="inlineStr">
        <is>
          <t>Long</t>
        </is>
      </c>
      <c r="E5410" s="10" t="n">
        <v>45898.46527777778</v>
      </c>
      <c r="F5410" s="10" t="n">
        <v>45898.50694444445</v>
      </c>
      <c r="G5410" s="11" t="n">
        <v>-3.93</v>
      </c>
      <c r="H5410" s="11">
        <f>H5409+G5410</f>
        <v/>
      </c>
    </row>
    <row r="5411">
      <c r="A5411" s="9" t="n">
        <v>5407</v>
      </c>
      <c r="B5411" s="9" t="inlineStr">
        <is>
          <t>Meridian</t>
        </is>
      </c>
      <c r="C5411" s="9" t="inlineStr">
        <is>
          <t>21/50 MA cross, 250-period confirm filter, VWAP</t>
        </is>
      </c>
      <c r="D5411" s="9" t="inlineStr">
        <is>
          <t>Short</t>
        </is>
      </c>
      <c r="E5411" s="10" t="n">
        <v>45898.52083333334</v>
      </c>
      <c r="F5411" s="10" t="n">
        <v>45898.64583333334</v>
      </c>
      <c r="G5411" s="11" t="n">
        <v>-3.58</v>
      </c>
      <c r="H5411" s="11">
        <f>H5410+G5411</f>
        <v/>
      </c>
    </row>
    <row r="5412">
      <c r="A5412" s="9" t="n">
        <v>5408</v>
      </c>
      <c r="B5412" s="9" t="inlineStr">
        <is>
          <t>Aurelius_M15</t>
        </is>
      </c>
      <c r="C5412" s="9" t="inlineStr">
        <is>
          <t>MA alignment (EMA21&gt;EMA50&gt;SMA250&gt;SMMA500 vs EMA2400 trend filter) - M15 chart</t>
        </is>
      </c>
      <c r="D5412" s="9" t="inlineStr">
        <is>
          <t>Long</t>
        </is>
      </c>
      <c r="E5412" s="10" t="n">
        <v>45898.71875</v>
      </c>
      <c r="F5412" s="10" t="n">
        <v>45898.92708333334</v>
      </c>
      <c r="G5412" s="11" t="n">
        <v>8.710000000000001</v>
      </c>
      <c r="H5412" s="11">
        <f>H5411+G5412</f>
        <v/>
      </c>
    </row>
    <row r="5413">
      <c r="A5413" s="9" t="n">
        <v>5409</v>
      </c>
      <c r="B5413" s="9" t="inlineStr">
        <is>
          <t>Meridian</t>
        </is>
      </c>
      <c r="C5413" s="9" t="inlineStr">
        <is>
          <t>21/50 MA cross, 250-period confirm filter, VWAP</t>
        </is>
      </c>
      <c r="D5413" s="9" t="inlineStr">
        <is>
          <t>Long</t>
        </is>
      </c>
      <c r="E5413" s="10" t="n">
        <v>45901.20833333334</v>
      </c>
      <c r="F5413" s="10" t="n">
        <v>45901.52083333334</v>
      </c>
      <c r="G5413" s="11" t="n">
        <v>13.94</v>
      </c>
      <c r="H5413" s="11">
        <f>H5412+G5413</f>
        <v/>
      </c>
    </row>
    <row r="5414">
      <c r="A5414" s="9" t="n">
        <v>5410</v>
      </c>
      <c r="B5414" s="9" t="inlineStr">
        <is>
          <t>Ratchet</t>
        </is>
      </c>
      <c r="C5414" s="9" t="inlineStr">
        <is>
          <t>Stochastic scalp with give-back trail exit</t>
        </is>
      </c>
      <c r="D5414" s="9" t="inlineStr">
        <is>
          <t>Long</t>
        </is>
      </c>
      <c r="E5414" s="10" t="n">
        <v>45902.06597222222</v>
      </c>
      <c r="F5414" s="10" t="n">
        <v>45902.07638888889</v>
      </c>
      <c r="G5414" s="11" t="n">
        <v>-2.56</v>
      </c>
      <c r="H5414" s="11">
        <f>H5413+G5414</f>
        <v/>
      </c>
    </row>
    <row r="5415">
      <c r="A5415" s="9" t="n">
        <v>5411</v>
      </c>
      <c r="B5415" s="9" t="inlineStr">
        <is>
          <t>Meridian</t>
        </is>
      </c>
      <c r="C5415" s="9" t="inlineStr">
        <is>
          <t>21/50 MA cross, 250-period confirm filter, VWAP</t>
        </is>
      </c>
      <c r="D5415" s="9" t="inlineStr">
        <is>
          <t>Long</t>
        </is>
      </c>
      <c r="E5415" s="10" t="n">
        <v>45901.68055555555</v>
      </c>
      <c r="F5415" s="10" t="n">
        <v>45902.39583333334</v>
      </c>
      <c r="G5415" s="11" t="n">
        <v>9.01</v>
      </c>
      <c r="H5415" s="11">
        <f>H5414+G5415</f>
        <v/>
      </c>
    </row>
    <row r="5416">
      <c r="A5416" s="9" t="n">
        <v>5412</v>
      </c>
      <c r="B5416" s="9" t="inlineStr">
        <is>
          <t>Aurelius_M5</t>
        </is>
      </c>
      <c r="C5416" s="9" t="inlineStr">
        <is>
          <t>MA alignment (EMA21&gt;EMA50&gt;SMA250&gt;SMMA500 vs EMA2400 trend filter)</t>
        </is>
      </c>
      <c r="D5416" s="9" t="inlineStr">
        <is>
          <t>Long</t>
        </is>
      </c>
      <c r="E5416" s="10" t="n">
        <v>45902.04861111111</v>
      </c>
      <c r="F5416" s="10" t="n">
        <v>45902.39583333334</v>
      </c>
      <c r="G5416" s="11" t="n">
        <v>8.390000000000001</v>
      </c>
      <c r="H5416" s="11">
        <f>H5415+G5416</f>
        <v/>
      </c>
    </row>
    <row r="5417">
      <c r="A5417" s="9" t="n">
        <v>5413</v>
      </c>
      <c r="B5417" s="9" t="inlineStr">
        <is>
          <t>Aurelius_M15</t>
        </is>
      </c>
      <c r="C5417" s="9" t="inlineStr">
        <is>
          <t>MA alignment (EMA21&gt;EMA50&gt;SMA250&gt;SMMA500 vs EMA2400 trend filter) - M15 chart</t>
        </is>
      </c>
      <c r="D5417" s="9" t="inlineStr">
        <is>
          <t>Long</t>
        </is>
      </c>
      <c r="E5417" s="10" t="n">
        <v>45902.13541666666</v>
      </c>
      <c r="F5417" s="10" t="n">
        <v>45902.44791666666</v>
      </c>
      <c r="G5417" s="11" t="n">
        <v>-7.91</v>
      </c>
      <c r="H5417" s="11">
        <f>H5416+G5417</f>
        <v/>
      </c>
    </row>
    <row r="5418">
      <c r="A5418" s="9" t="n">
        <v>5414</v>
      </c>
      <c r="B5418" s="9" t="inlineStr">
        <is>
          <t>Meridian</t>
        </is>
      </c>
      <c r="C5418" s="9" t="inlineStr">
        <is>
          <t>21/50 MA cross, 250-period confirm filter, VWAP</t>
        </is>
      </c>
      <c r="D5418" s="9" t="inlineStr">
        <is>
          <t>Short</t>
        </is>
      </c>
      <c r="E5418" s="10" t="n">
        <v>45902.59722222222</v>
      </c>
      <c r="F5418" s="10" t="n">
        <v>45902.61805555555</v>
      </c>
      <c r="G5418" s="11" t="n">
        <v>-4.42</v>
      </c>
      <c r="H5418" s="11">
        <f>H5417+G5418</f>
        <v/>
      </c>
    </row>
    <row r="5419">
      <c r="A5419" s="9" t="n">
        <v>5415</v>
      </c>
      <c r="B5419" s="9" t="inlineStr">
        <is>
          <t>Aurelius_M5</t>
        </is>
      </c>
      <c r="C5419" s="9" t="inlineStr">
        <is>
          <t>MA alignment (EMA21&gt;EMA50&gt;SMA250&gt;SMMA500 vs EMA2400 trend filter)</t>
        </is>
      </c>
      <c r="D5419" s="9" t="inlineStr">
        <is>
          <t>Long</t>
        </is>
      </c>
      <c r="E5419" s="10" t="n">
        <v>45902.63888888889</v>
      </c>
      <c r="F5419" s="10" t="n">
        <v>45902.64930555555</v>
      </c>
      <c r="G5419" s="11" t="n">
        <v>-7.71</v>
      </c>
      <c r="H5419" s="11">
        <f>H5418+G5419</f>
        <v/>
      </c>
    </row>
    <row r="5420">
      <c r="A5420" s="9" t="n">
        <v>5416</v>
      </c>
      <c r="B5420" s="9" t="inlineStr">
        <is>
          <t>Meridian</t>
        </is>
      </c>
      <c r="C5420" s="9" t="inlineStr">
        <is>
          <t>21/50 MA cross, 250-period confirm filter, VWAP</t>
        </is>
      </c>
      <c r="D5420" s="9" t="inlineStr">
        <is>
          <t>Short</t>
        </is>
      </c>
      <c r="E5420" s="10" t="n">
        <v>45902.65972222222</v>
      </c>
      <c r="F5420" s="10" t="n">
        <v>45902.66319444445</v>
      </c>
      <c r="G5420" s="11" t="n">
        <v>-7.17</v>
      </c>
      <c r="H5420" s="11">
        <f>H5419+G5420</f>
        <v/>
      </c>
    </row>
    <row r="5421">
      <c r="A5421" s="9" t="n">
        <v>5417</v>
      </c>
      <c r="B5421" s="9" t="inlineStr">
        <is>
          <t>Meridian</t>
        </is>
      </c>
      <c r="C5421" s="9" t="inlineStr">
        <is>
          <t>21/50 MA cross, 250-period confirm filter, VWAP</t>
        </is>
      </c>
      <c r="D5421" s="9" t="inlineStr">
        <is>
          <t>Short</t>
        </is>
      </c>
      <c r="E5421" s="10" t="n">
        <v>45902.66666666666</v>
      </c>
      <c r="F5421" s="10" t="n">
        <v>45902.69444444445</v>
      </c>
      <c r="G5421" s="11" t="n">
        <v>-3.75</v>
      </c>
      <c r="H5421" s="11">
        <f>H5420+G5421</f>
        <v/>
      </c>
    </row>
    <row r="5422">
      <c r="A5422" s="9" t="n">
        <v>5418</v>
      </c>
      <c r="B5422" s="9" t="inlineStr">
        <is>
          <t>Aurelius_M5</t>
        </is>
      </c>
      <c r="C5422" s="9" t="inlineStr">
        <is>
          <t>MA alignment (EMA21&gt;EMA50&gt;SMA250&gt;SMMA500 vs EMA2400 trend filter)</t>
        </is>
      </c>
      <c r="D5422" s="9" t="inlineStr">
        <is>
          <t>Long</t>
        </is>
      </c>
      <c r="E5422" s="10" t="n">
        <v>45902.72222222222</v>
      </c>
      <c r="F5422" s="10" t="n">
        <v>45903.04166666666</v>
      </c>
      <c r="G5422" s="11" t="n">
        <v>33.79</v>
      </c>
      <c r="H5422" s="11">
        <f>H5421+G5422</f>
        <v/>
      </c>
    </row>
    <row r="5423">
      <c r="A5423" s="9" t="n">
        <v>5419</v>
      </c>
      <c r="B5423" s="9" t="inlineStr">
        <is>
          <t>Meridian</t>
        </is>
      </c>
      <c r="C5423" s="9" t="inlineStr">
        <is>
          <t>21/50 MA cross, 250-period confirm filter, VWAP</t>
        </is>
      </c>
      <c r="D5423" s="9" t="inlineStr">
        <is>
          <t>Long</t>
        </is>
      </c>
      <c r="E5423" s="10" t="n">
        <v>45903.12152777778</v>
      </c>
      <c r="F5423" s="10" t="n">
        <v>45903.12847222222</v>
      </c>
      <c r="G5423" s="11" t="n">
        <v>-4.52</v>
      </c>
      <c r="H5423" s="11">
        <f>H5422+G5423</f>
        <v/>
      </c>
    </row>
    <row r="5424">
      <c r="A5424" s="9" t="n">
        <v>5420</v>
      </c>
      <c r="B5424" s="9" t="inlineStr">
        <is>
          <t>Ratchet</t>
        </is>
      </c>
      <c r="C5424" s="9" t="inlineStr">
        <is>
          <t>Stochastic scalp with give-back trail exit</t>
        </is>
      </c>
      <c r="D5424" s="9" t="inlineStr">
        <is>
          <t>Long</t>
        </is>
      </c>
      <c r="E5424" s="10" t="n">
        <v>45903.14930555555</v>
      </c>
      <c r="F5424" s="10" t="n">
        <v>45903.16319444445</v>
      </c>
      <c r="G5424" s="11" t="n">
        <v>1.12</v>
      </c>
      <c r="H5424" s="11">
        <f>H5423+G5424</f>
        <v/>
      </c>
    </row>
    <row r="5425">
      <c r="A5425" s="9" t="n">
        <v>5421</v>
      </c>
      <c r="B5425" s="9" t="inlineStr">
        <is>
          <t>Ratchet</t>
        </is>
      </c>
      <c r="C5425" s="9" t="inlineStr">
        <is>
          <t>Stochastic scalp with give-back trail exit</t>
        </is>
      </c>
      <c r="D5425" s="9" t="inlineStr">
        <is>
          <t>Long</t>
        </is>
      </c>
      <c r="E5425" s="10" t="n">
        <v>45903.20833333334</v>
      </c>
      <c r="F5425" s="10" t="n">
        <v>45903.21527777778</v>
      </c>
      <c r="G5425" s="11" t="n">
        <v>0.9399999999999999</v>
      </c>
      <c r="H5425" s="11">
        <f>H5424+G5425</f>
        <v/>
      </c>
    </row>
    <row r="5426">
      <c r="A5426" s="9" t="n">
        <v>5422</v>
      </c>
      <c r="B5426" s="9" t="inlineStr">
        <is>
          <t>Meridian</t>
        </is>
      </c>
      <c r="C5426" s="9" t="inlineStr">
        <is>
          <t>21/50 MA cross, 250-period confirm filter, VWAP</t>
        </is>
      </c>
      <c r="D5426" s="9" t="inlineStr">
        <is>
          <t>Long</t>
        </is>
      </c>
      <c r="E5426" s="10" t="n">
        <v>45903.13888888889</v>
      </c>
      <c r="F5426" s="10" t="n">
        <v>45903.27083333334</v>
      </c>
      <c r="G5426" s="11" t="n">
        <v>-3.45</v>
      </c>
      <c r="H5426" s="11">
        <f>H5425+G5426</f>
        <v/>
      </c>
    </row>
    <row r="5427">
      <c r="A5427" s="9" t="n">
        <v>5423</v>
      </c>
      <c r="B5427" s="9" t="inlineStr">
        <is>
          <t>Ratchet</t>
        </is>
      </c>
      <c r="C5427" s="9" t="inlineStr">
        <is>
          <t>Stochastic scalp with give-back trail exit</t>
        </is>
      </c>
      <c r="D5427" s="9" t="inlineStr">
        <is>
          <t>Long</t>
        </is>
      </c>
      <c r="E5427" s="10" t="n">
        <v>45903.34027777778</v>
      </c>
      <c r="F5427" s="10" t="n">
        <v>45903.34722222222</v>
      </c>
      <c r="G5427" s="11" t="n">
        <v>-3.03</v>
      </c>
      <c r="H5427" s="11">
        <f>H5426+G5427</f>
        <v/>
      </c>
    </row>
    <row r="5428">
      <c r="A5428" s="9" t="n">
        <v>5424</v>
      </c>
      <c r="B5428" s="9" t="inlineStr">
        <is>
          <t>Meridian</t>
        </is>
      </c>
      <c r="C5428" s="9" t="inlineStr">
        <is>
          <t>21/50 MA cross, 250-period confirm filter, VWAP</t>
        </is>
      </c>
      <c r="D5428" s="9" t="inlineStr">
        <is>
          <t>Long</t>
        </is>
      </c>
      <c r="E5428" s="10" t="n">
        <v>45903.32986111111</v>
      </c>
      <c r="F5428" s="10" t="n">
        <v>45903.35763888889</v>
      </c>
      <c r="G5428" s="11" t="n">
        <v>-4.23</v>
      </c>
      <c r="H5428" s="11">
        <f>H5427+G5428</f>
        <v/>
      </c>
    </row>
    <row r="5429">
      <c r="A5429" s="9" t="n">
        <v>5425</v>
      </c>
      <c r="B5429" s="9" t="inlineStr">
        <is>
          <t>Meridian</t>
        </is>
      </c>
      <c r="C5429" s="9" t="inlineStr">
        <is>
          <t>21/50 MA cross, 250-period confirm filter, VWAP</t>
        </is>
      </c>
      <c r="D5429" s="9" t="inlineStr">
        <is>
          <t>Long</t>
        </is>
      </c>
      <c r="E5429" s="10" t="n">
        <v>45903.41666666666</v>
      </c>
      <c r="F5429" s="10" t="n">
        <v>45903.43055555555</v>
      </c>
      <c r="G5429" s="11" t="n">
        <v>-4.94</v>
      </c>
      <c r="H5429" s="11">
        <f>H5428+G5429</f>
        <v/>
      </c>
    </row>
    <row r="5430">
      <c r="A5430" s="9" t="n">
        <v>5426</v>
      </c>
      <c r="B5430" s="9" t="inlineStr">
        <is>
          <t>Ratchet</t>
        </is>
      </c>
      <c r="C5430" s="9" t="inlineStr">
        <is>
          <t>Stochastic scalp with give-back trail exit</t>
        </is>
      </c>
      <c r="D5430" s="9" t="inlineStr">
        <is>
          <t>Long</t>
        </is>
      </c>
      <c r="E5430" s="10" t="n">
        <v>45903.48958333334</v>
      </c>
      <c r="F5430" s="10" t="n">
        <v>45903.49305555555</v>
      </c>
      <c r="G5430" s="11" t="n">
        <v>0.48</v>
      </c>
      <c r="H5430" s="11">
        <f>H5429+G5430</f>
        <v/>
      </c>
    </row>
    <row r="5431">
      <c r="A5431" s="9" t="n">
        <v>5427</v>
      </c>
      <c r="B5431" s="9" t="inlineStr">
        <is>
          <t>Aurelius_M5</t>
        </is>
      </c>
      <c r="C5431" s="9" t="inlineStr">
        <is>
          <t>MA alignment (EMA21&gt;EMA50&gt;SMA250&gt;SMMA500 vs EMA2400 trend filter)</t>
        </is>
      </c>
      <c r="D5431" s="9" t="inlineStr">
        <is>
          <t>Long</t>
        </is>
      </c>
      <c r="E5431" s="10" t="n">
        <v>45903.60763888889</v>
      </c>
      <c r="F5431" s="10" t="n">
        <v>45903.63541666666</v>
      </c>
      <c r="G5431" s="11" t="n">
        <v>-6.24</v>
      </c>
      <c r="H5431" s="11">
        <f>H5430+G5431</f>
        <v/>
      </c>
    </row>
    <row r="5432">
      <c r="A5432" s="9" t="n">
        <v>5428</v>
      </c>
      <c r="B5432" s="9" t="inlineStr">
        <is>
          <t>Ratchet</t>
        </is>
      </c>
      <c r="C5432" s="9" t="inlineStr">
        <is>
          <t>Stochastic scalp with give-back trail exit</t>
        </is>
      </c>
      <c r="D5432" s="9" t="inlineStr">
        <is>
          <t>Long</t>
        </is>
      </c>
      <c r="E5432" s="10" t="n">
        <v>45903.64930555555</v>
      </c>
      <c r="F5432" s="10" t="n">
        <v>45903.69097222222</v>
      </c>
      <c r="G5432" s="11" t="n">
        <v>3.48</v>
      </c>
      <c r="H5432" s="11">
        <f>H5431+G5432</f>
        <v/>
      </c>
    </row>
    <row r="5433">
      <c r="A5433" s="9" t="n">
        <v>5429</v>
      </c>
      <c r="B5433" s="9" t="inlineStr">
        <is>
          <t>Ratchet</t>
        </is>
      </c>
      <c r="C5433" s="9" t="inlineStr">
        <is>
          <t>Stochastic scalp with give-back trail exit</t>
        </is>
      </c>
      <c r="D5433" s="9" t="inlineStr">
        <is>
          <t>Long</t>
        </is>
      </c>
      <c r="E5433" s="10" t="n">
        <v>45903.76388888889</v>
      </c>
      <c r="F5433" s="10" t="n">
        <v>45903.77430555555</v>
      </c>
      <c r="G5433" s="11" t="n">
        <v>0.68</v>
      </c>
      <c r="H5433" s="11">
        <f>H5432+G5433</f>
        <v/>
      </c>
    </row>
    <row r="5434">
      <c r="A5434" s="9" t="n">
        <v>5430</v>
      </c>
      <c r="B5434" s="9" t="inlineStr">
        <is>
          <t>Ratchet</t>
        </is>
      </c>
      <c r="C5434" s="9" t="inlineStr">
        <is>
          <t>Stochastic scalp with give-back trail exit</t>
        </is>
      </c>
      <c r="D5434" s="9" t="inlineStr">
        <is>
          <t>Long</t>
        </is>
      </c>
      <c r="E5434" s="10" t="n">
        <v>45903.78125</v>
      </c>
      <c r="F5434" s="10" t="n">
        <v>45903.80208333334</v>
      </c>
      <c r="G5434" s="11" t="n">
        <v>-0</v>
      </c>
      <c r="H5434" s="11">
        <f>H5433+G5434</f>
        <v/>
      </c>
    </row>
    <row r="5435">
      <c r="A5435" s="9" t="n">
        <v>5431</v>
      </c>
      <c r="B5435" s="9" t="inlineStr">
        <is>
          <t>Meridian</t>
        </is>
      </c>
      <c r="C5435" s="9" t="inlineStr">
        <is>
          <t>21/50 MA cross, 250-period confirm filter, VWAP</t>
        </is>
      </c>
      <c r="D5435" s="9" t="inlineStr">
        <is>
          <t>Long</t>
        </is>
      </c>
      <c r="E5435" s="10" t="n">
        <v>45903.46180555555</v>
      </c>
      <c r="F5435" s="10" t="n">
        <v>45903.95833333334</v>
      </c>
      <c r="G5435" s="11" t="n">
        <v>25.93</v>
      </c>
      <c r="H5435" s="11">
        <f>H5434+G5435</f>
        <v/>
      </c>
    </row>
    <row r="5436">
      <c r="A5436" s="9" t="n">
        <v>5432</v>
      </c>
      <c r="B5436" s="9" t="inlineStr">
        <is>
          <t>Aurelius_M15</t>
        </is>
      </c>
      <c r="C5436" s="9" t="inlineStr">
        <is>
          <t>MA alignment (EMA21&gt;EMA50&gt;SMA250&gt;SMMA500 vs EMA2400 trend filter) - M15 chart</t>
        </is>
      </c>
      <c r="D5436" s="9" t="inlineStr">
        <is>
          <t>Long</t>
        </is>
      </c>
      <c r="E5436" s="10" t="n">
        <v>45902.73958333334</v>
      </c>
      <c r="F5436" s="10" t="n">
        <v>45904.25</v>
      </c>
      <c r="G5436" s="11" t="n">
        <v>20.11</v>
      </c>
      <c r="H5436" s="11">
        <f>H5435+G5436</f>
        <v/>
      </c>
    </row>
    <row r="5437">
      <c r="A5437" s="9" t="n">
        <v>5433</v>
      </c>
      <c r="B5437" s="9" t="inlineStr">
        <is>
          <t>Vanguard_M15</t>
        </is>
      </c>
      <c r="C5437" s="9" t="inlineStr">
        <is>
          <t>Trendline breakout (fractal swing line) + VWAP/S-R distance gate - M15 chart</t>
        </is>
      </c>
      <c r="D5437" s="9" t="inlineStr">
        <is>
          <t>Short</t>
        </is>
      </c>
      <c r="E5437" s="10" t="n">
        <v>45904.26041666666</v>
      </c>
      <c r="F5437" s="10" t="n">
        <v>45904.38541666666</v>
      </c>
      <c r="G5437" s="11" t="n">
        <v>-22.29</v>
      </c>
      <c r="H5437" s="11">
        <f>H5436+G5437</f>
        <v/>
      </c>
    </row>
    <row r="5438">
      <c r="A5438" s="9" t="n">
        <v>5434</v>
      </c>
      <c r="B5438" s="9" t="inlineStr">
        <is>
          <t>Vanguard_M5</t>
        </is>
      </c>
      <c r="C5438" s="9" t="inlineStr">
        <is>
          <t>Trendline breakout (fractal swing line) + VWAP/S-R distance gate</t>
        </is>
      </c>
      <c r="D5438" s="9" t="inlineStr">
        <is>
          <t>Short</t>
        </is>
      </c>
      <c r="E5438" s="10" t="n">
        <v>45904.26041666666</v>
      </c>
      <c r="F5438" s="10" t="n">
        <v>45904.39236111111</v>
      </c>
      <c r="G5438" s="11" t="n">
        <v>-21.3</v>
      </c>
      <c r="H5438" s="11">
        <f>H5437+G5438</f>
        <v/>
      </c>
    </row>
    <row r="5439">
      <c r="A5439" s="9" t="n">
        <v>5435</v>
      </c>
      <c r="B5439" s="9" t="inlineStr">
        <is>
          <t>Meridian</t>
        </is>
      </c>
      <c r="C5439" s="9" t="inlineStr">
        <is>
          <t>21/50 MA cross, 250-period confirm filter, VWAP</t>
        </is>
      </c>
      <c r="D5439" s="9" t="inlineStr">
        <is>
          <t>Short</t>
        </is>
      </c>
      <c r="E5439" s="10" t="n">
        <v>45904.74305555555</v>
      </c>
      <c r="F5439" s="10" t="n">
        <v>45904.75</v>
      </c>
      <c r="G5439" s="11" t="n">
        <v>-4.97</v>
      </c>
      <c r="H5439" s="11">
        <f>H5438+G5439</f>
        <v/>
      </c>
    </row>
    <row r="5440">
      <c r="A5440" s="9" t="n">
        <v>5436</v>
      </c>
      <c r="B5440" s="9" t="inlineStr">
        <is>
          <t>Ratchet</t>
        </is>
      </c>
      <c r="C5440" s="9" t="inlineStr">
        <is>
          <t>Stochastic scalp with give-back trail exit</t>
        </is>
      </c>
      <c r="D5440" s="9" t="inlineStr">
        <is>
          <t>Long</t>
        </is>
      </c>
      <c r="E5440" s="10" t="n">
        <v>45904.83333333334</v>
      </c>
      <c r="F5440" s="10" t="n">
        <v>45904.84027777778</v>
      </c>
      <c r="G5440" s="11" t="n">
        <v>0.72</v>
      </c>
      <c r="H5440" s="11">
        <f>H5439+G5440</f>
        <v/>
      </c>
    </row>
    <row r="5441">
      <c r="A5441" s="9" t="n">
        <v>5437</v>
      </c>
      <c r="B5441" s="9" t="inlineStr">
        <is>
          <t>Meridian</t>
        </is>
      </c>
      <c r="C5441" s="9" t="inlineStr">
        <is>
          <t>21/50 MA cross, 250-period confirm filter, VWAP</t>
        </is>
      </c>
      <c r="D5441" s="9" t="inlineStr">
        <is>
          <t>Long</t>
        </is>
      </c>
      <c r="E5441" s="10" t="n">
        <v>45904.94097222222</v>
      </c>
      <c r="F5441" s="10" t="n">
        <v>45904.98263888889</v>
      </c>
      <c r="G5441" s="11" t="n">
        <v>-4.47</v>
      </c>
      <c r="H5441" s="11">
        <f>H5440+G5441</f>
        <v/>
      </c>
    </row>
    <row r="5442">
      <c r="A5442" s="9" t="n">
        <v>5438</v>
      </c>
      <c r="B5442" s="9" t="inlineStr">
        <is>
          <t>Aurelius_M15</t>
        </is>
      </c>
      <c r="C5442" s="9" t="inlineStr">
        <is>
          <t>MA alignment (EMA21&gt;EMA50&gt;SMA250&gt;SMMA500 vs EMA2400 trend filter) - M15 chart</t>
        </is>
      </c>
      <c r="D5442" s="9" t="inlineStr">
        <is>
          <t>Long</t>
        </is>
      </c>
      <c r="E5442" s="10" t="n">
        <v>45904.75</v>
      </c>
      <c r="F5442" s="10" t="n">
        <v>45905.09375</v>
      </c>
      <c r="G5442" s="11" t="n">
        <v>-4.01</v>
      </c>
      <c r="H5442" s="11">
        <f>H5441+G5442</f>
        <v/>
      </c>
    </row>
    <row r="5443">
      <c r="A5443" s="9" t="n">
        <v>5439</v>
      </c>
      <c r="B5443" s="9" t="inlineStr">
        <is>
          <t>Ratchet</t>
        </is>
      </c>
      <c r="C5443" s="9" t="inlineStr">
        <is>
          <t>Stochastic scalp with give-back trail exit</t>
        </is>
      </c>
      <c r="D5443" s="9" t="inlineStr">
        <is>
          <t>Long</t>
        </is>
      </c>
      <c r="E5443" s="10" t="n">
        <v>45905.15972222222</v>
      </c>
      <c r="F5443" s="10" t="n">
        <v>45905.17361111111</v>
      </c>
      <c r="G5443" s="11" t="n">
        <v>0.59</v>
      </c>
      <c r="H5443" s="11">
        <f>H5442+G5443</f>
        <v/>
      </c>
    </row>
    <row r="5444">
      <c r="A5444" s="9" t="n">
        <v>5440</v>
      </c>
      <c r="B5444" s="9" t="inlineStr">
        <is>
          <t>Meridian</t>
        </is>
      </c>
      <c r="C5444" s="9" t="inlineStr">
        <is>
          <t>21/50 MA cross, 250-period confirm filter, VWAP</t>
        </is>
      </c>
      <c r="D5444" s="9" t="inlineStr">
        <is>
          <t>Long</t>
        </is>
      </c>
      <c r="E5444" s="10" t="n">
        <v>45905.12152777778</v>
      </c>
      <c r="F5444" s="10" t="n">
        <v>45905.22916666666</v>
      </c>
      <c r="G5444" s="11" t="n">
        <v>-5.66</v>
      </c>
      <c r="H5444" s="11">
        <f>H5443+G5444</f>
        <v/>
      </c>
    </row>
    <row r="5445">
      <c r="A5445" s="9" t="n">
        <v>5441</v>
      </c>
      <c r="B5445" s="9" t="inlineStr">
        <is>
          <t>Ratchet</t>
        </is>
      </c>
      <c r="C5445" s="9" t="inlineStr">
        <is>
          <t>Stochastic scalp with give-back trail exit</t>
        </is>
      </c>
      <c r="D5445" s="9" t="inlineStr">
        <is>
          <t>Long</t>
        </is>
      </c>
      <c r="E5445" s="10" t="n">
        <v>45905.32291666666</v>
      </c>
      <c r="F5445" s="10" t="n">
        <v>45905.33680555555</v>
      </c>
      <c r="G5445" s="11" t="n">
        <v>0.39</v>
      </c>
      <c r="H5445" s="11">
        <f>H5444+G5445</f>
        <v/>
      </c>
    </row>
    <row r="5446">
      <c r="A5446" s="9" t="n">
        <v>5442</v>
      </c>
      <c r="B5446" s="9" t="inlineStr">
        <is>
          <t>Aurelius_M5</t>
        </is>
      </c>
      <c r="C5446" s="9" t="inlineStr">
        <is>
          <t>MA alignment (EMA21&gt;EMA50&gt;SMA250&gt;SMMA500 vs EMA2400 trend filter)</t>
        </is>
      </c>
      <c r="D5446" s="9" t="inlineStr">
        <is>
          <t>Long</t>
        </is>
      </c>
      <c r="E5446" s="10" t="n">
        <v>45905.24652777778</v>
      </c>
      <c r="F5446" s="10" t="n">
        <v>45905.39930555555</v>
      </c>
      <c r="G5446" s="11" t="n">
        <v>1.93</v>
      </c>
      <c r="H5446" s="11">
        <f>H5445+G5446</f>
        <v/>
      </c>
    </row>
    <row r="5447">
      <c r="A5447" s="9" t="n">
        <v>5443</v>
      </c>
      <c r="B5447" s="9" t="inlineStr">
        <is>
          <t>Ratchet</t>
        </is>
      </c>
      <c r="C5447" s="9" t="inlineStr">
        <is>
          <t>Stochastic scalp with give-back trail exit</t>
        </is>
      </c>
      <c r="D5447" s="9" t="inlineStr">
        <is>
          <t>Long</t>
        </is>
      </c>
      <c r="E5447" s="10" t="n">
        <v>45905.59027777778</v>
      </c>
      <c r="F5447" s="10" t="n">
        <v>45905.59375</v>
      </c>
      <c r="G5447" s="11" t="n">
        <v>-2.77</v>
      </c>
      <c r="H5447" s="11">
        <f>H5446+G5447</f>
        <v/>
      </c>
    </row>
    <row r="5448">
      <c r="A5448" s="9" t="n">
        <v>5444</v>
      </c>
      <c r="B5448" s="9" t="inlineStr">
        <is>
          <t>Meridian</t>
        </is>
      </c>
      <c r="C5448" s="9" t="inlineStr">
        <is>
          <t>21/50 MA cross, 250-period confirm filter, VWAP</t>
        </is>
      </c>
      <c r="D5448" s="9" t="inlineStr">
        <is>
          <t>Long</t>
        </is>
      </c>
      <c r="E5448" s="10" t="n">
        <v>45905.57986111111</v>
      </c>
      <c r="F5448" s="10" t="n">
        <v>45905.60763888889</v>
      </c>
      <c r="G5448" s="11" t="n">
        <v>-3.64</v>
      </c>
      <c r="H5448" s="11">
        <f>H5447+G5448</f>
        <v/>
      </c>
    </row>
    <row r="5449">
      <c r="A5449" s="9" t="n">
        <v>5445</v>
      </c>
      <c r="B5449" s="9" t="inlineStr">
        <is>
          <t>Aurelius_M5</t>
        </is>
      </c>
      <c r="C5449" s="9" t="inlineStr">
        <is>
          <t>MA alignment (EMA21&gt;EMA50&gt;SMA250&gt;SMMA500 vs EMA2400 trend filter)</t>
        </is>
      </c>
      <c r="D5449" s="9" t="inlineStr">
        <is>
          <t>Long</t>
        </is>
      </c>
      <c r="E5449" s="10" t="n">
        <v>45905.59722222222</v>
      </c>
      <c r="F5449" s="10" t="n">
        <v>45905.60763888889</v>
      </c>
      <c r="G5449" s="11" t="n">
        <v>-2.34</v>
      </c>
      <c r="H5449" s="11">
        <f>H5448+G5449</f>
        <v/>
      </c>
    </row>
    <row r="5450">
      <c r="A5450" s="9" t="n">
        <v>5446</v>
      </c>
      <c r="B5450" s="9" t="inlineStr">
        <is>
          <t>Aurelius_M15</t>
        </is>
      </c>
      <c r="C5450" s="9" t="inlineStr">
        <is>
          <t>MA alignment (EMA21&gt;EMA50&gt;SMA250&gt;SMMA500 vs EMA2400 trend filter) - M15 chart</t>
        </is>
      </c>
      <c r="D5450" s="9" t="inlineStr">
        <is>
          <t>Long</t>
        </is>
      </c>
      <c r="E5450" s="10" t="n">
        <v>45905.70833333334</v>
      </c>
      <c r="F5450" s="10" t="n">
        <v>45905.72916666666</v>
      </c>
      <c r="G5450" s="11" t="n">
        <v>-18.23</v>
      </c>
      <c r="H5450" s="11">
        <f>H5449+G5450</f>
        <v/>
      </c>
    </row>
    <row r="5451">
      <c r="A5451" s="9" t="n">
        <v>5447</v>
      </c>
      <c r="B5451" s="9" t="inlineStr">
        <is>
          <t>Meridian</t>
        </is>
      </c>
      <c r="C5451" s="9" t="inlineStr">
        <is>
          <t>21/50 MA cross, 250-period confirm filter, VWAP</t>
        </is>
      </c>
      <c r="D5451" s="9" t="inlineStr">
        <is>
          <t>Long</t>
        </is>
      </c>
      <c r="E5451" s="10" t="n">
        <v>45905.625</v>
      </c>
      <c r="F5451" s="10" t="n">
        <v>45905.91666666666</v>
      </c>
      <c r="G5451" s="11" t="n">
        <v>41.98</v>
      </c>
      <c r="H5451" s="11">
        <f>H5450+G5451</f>
        <v/>
      </c>
    </row>
    <row r="5452">
      <c r="A5452" s="9" t="n">
        <v>5448</v>
      </c>
      <c r="B5452" s="9" t="inlineStr">
        <is>
          <t>Ratchet</t>
        </is>
      </c>
      <c r="C5452" s="9" t="inlineStr">
        <is>
          <t>Stochastic scalp with give-back trail exit</t>
        </is>
      </c>
      <c r="D5452" s="9" t="inlineStr">
        <is>
          <t>Long</t>
        </is>
      </c>
      <c r="E5452" s="10" t="n">
        <v>45905.64236111111</v>
      </c>
      <c r="F5452" s="10" t="n">
        <v>45905.91666666666</v>
      </c>
      <c r="G5452" s="11" t="n">
        <v>42.51</v>
      </c>
      <c r="H5452" s="11">
        <f>H5451+G5452</f>
        <v/>
      </c>
    </row>
    <row r="5453">
      <c r="A5453" s="9" t="n">
        <v>5449</v>
      </c>
      <c r="B5453" s="9" t="inlineStr">
        <is>
          <t>Meridian</t>
        </is>
      </c>
      <c r="C5453" s="9" t="inlineStr">
        <is>
          <t>21/50 MA cross, 250-period confirm filter, VWAP</t>
        </is>
      </c>
      <c r="D5453" s="9" t="inlineStr">
        <is>
          <t>Long</t>
        </is>
      </c>
      <c r="E5453" s="10" t="n">
        <v>45908.06597222222</v>
      </c>
      <c r="F5453" s="10" t="n">
        <v>45908.09375</v>
      </c>
      <c r="G5453" s="11" t="n">
        <v>-4.87</v>
      </c>
      <c r="H5453" s="11">
        <f>H5452+G5453</f>
        <v/>
      </c>
    </row>
    <row r="5454">
      <c r="A5454" s="9" t="n">
        <v>5450</v>
      </c>
      <c r="B5454" s="9" t="inlineStr">
        <is>
          <t>Ratchet</t>
        </is>
      </c>
      <c r="C5454" s="9" t="inlineStr">
        <is>
          <t>Stochastic scalp with give-back trail exit</t>
        </is>
      </c>
      <c r="D5454" s="9" t="inlineStr">
        <is>
          <t>Long</t>
        </is>
      </c>
      <c r="E5454" s="10" t="n">
        <v>45908.38194444445</v>
      </c>
      <c r="F5454" s="10" t="n">
        <v>45908.38541666666</v>
      </c>
      <c r="G5454" s="11" t="n">
        <v>1.07</v>
      </c>
      <c r="H5454" s="11">
        <f>H5453+G5454</f>
        <v/>
      </c>
    </row>
    <row r="5455">
      <c r="A5455" s="9" t="n">
        <v>5451</v>
      </c>
      <c r="B5455" s="9" t="inlineStr">
        <is>
          <t>Ratchet</t>
        </is>
      </c>
      <c r="C5455" s="9" t="inlineStr">
        <is>
          <t>Stochastic scalp with give-back trail exit</t>
        </is>
      </c>
      <c r="D5455" s="9" t="inlineStr">
        <is>
          <t>Long</t>
        </is>
      </c>
      <c r="E5455" s="10" t="n">
        <v>45908.5</v>
      </c>
      <c r="F5455" s="10" t="n">
        <v>45908.51736111111</v>
      </c>
      <c r="G5455" s="11" t="n">
        <v>0.62</v>
      </c>
      <c r="H5455" s="11">
        <f>H5454+G5455</f>
        <v/>
      </c>
    </row>
    <row r="5456">
      <c r="A5456" s="9" t="n">
        <v>5452</v>
      </c>
      <c r="B5456" s="9" t="inlineStr">
        <is>
          <t>Ratchet</t>
        </is>
      </c>
      <c r="C5456" s="9" t="inlineStr">
        <is>
          <t>Stochastic scalp with give-back trail exit</t>
        </is>
      </c>
      <c r="D5456" s="9" t="inlineStr">
        <is>
          <t>Long</t>
        </is>
      </c>
      <c r="E5456" s="10" t="n">
        <v>45908.53472222222</v>
      </c>
      <c r="F5456" s="10" t="n">
        <v>45908.55208333334</v>
      </c>
      <c r="G5456" s="11" t="n">
        <v>1.91</v>
      </c>
      <c r="H5456" s="11">
        <f>H5455+G5456</f>
        <v/>
      </c>
    </row>
    <row r="5457">
      <c r="A5457" s="9" t="n">
        <v>5453</v>
      </c>
      <c r="B5457" s="9" t="inlineStr">
        <is>
          <t>Ratchet</t>
        </is>
      </c>
      <c r="C5457" s="9" t="inlineStr">
        <is>
          <t>Stochastic scalp with give-back trail exit</t>
        </is>
      </c>
      <c r="D5457" s="9" t="inlineStr">
        <is>
          <t>Long</t>
        </is>
      </c>
      <c r="E5457" s="10" t="n">
        <v>45908.57291666666</v>
      </c>
      <c r="F5457" s="10" t="n">
        <v>45908.57638888889</v>
      </c>
      <c r="G5457" s="11" t="n">
        <v>-4.27</v>
      </c>
      <c r="H5457" s="11">
        <f>H5456+G5457</f>
        <v/>
      </c>
    </row>
    <row r="5458">
      <c r="A5458" s="9" t="n">
        <v>5454</v>
      </c>
      <c r="B5458" s="9" t="inlineStr">
        <is>
          <t>Ratchet</t>
        </is>
      </c>
      <c r="C5458" s="9" t="inlineStr">
        <is>
          <t>Stochastic scalp with give-back trail exit</t>
        </is>
      </c>
      <c r="D5458" s="9" t="inlineStr">
        <is>
          <t>Long</t>
        </is>
      </c>
      <c r="E5458" s="10" t="n">
        <v>45908.60416666666</v>
      </c>
      <c r="F5458" s="10" t="n">
        <v>45908.61111111111</v>
      </c>
      <c r="G5458" s="11" t="n">
        <v>-3.64</v>
      </c>
      <c r="H5458" s="11">
        <f>H5457+G5458</f>
        <v/>
      </c>
    </row>
    <row r="5459">
      <c r="A5459" s="9" t="n">
        <v>5455</v>
      </c>
      <c r="B5459" s="9" t="inlineStr">
        <is>
          <t>Ratchet</t>
        </is>
      </c>
      <c r="C5459" s="9" t="inlineStr">
        <is>
          <t>Stochastic scalp with give-back trail exit</t>
        </is>
      </c>
      <c r="D5459" s="9" t="inlineStr">
        <is>
          <t>Long</t>
        </is>
      </c>
      <c r="E5459" s="10" t="n">
        <v>45908.69097222222</v>
      </c>
      <c r="F5459" s="10" t="n">
        <v>45908.72916666666</v>
      </c>
      <c r="G5459" s="11" t="n">
        <v>3.44</v>
      </c>
      <c r="H5459" s="11">
        <f>H5458+G5459</f>
        <v/>
      </c>
    </row>
    <row r="5460">
      <c r="A5460" s="9" t="n">
        <v>5456</v>
      </c>
      <c r="B5460" s="9" t="inlineStr">
        <is>
          <t>Ratchet</t>
        </is>
      </c>
      <c r="C5460" s="9" t="inlineStr">
        <is>
          <t>Stochastic scalp with give-back trail exit</t>
        </is>
      </c>
      <c r="D5460" s="9" t="inlineStr">
        <is>
          <t>Long</t>
        </is>
      </c>
      <c r="E5460" s="10" t="n">
        <v>45908.80208333334</v>
      </c>
      <c r="F5460" s="10" t="n">
        <v>45908.8125</v>
      </c>
      <c r="G5460" s="11" t="n">
        <v>0</v>
      </c>
      <c r="H5460" s="11">
        <f>H5459+G5460</f>
        <v/>
      </c>
    </row>
    <row r="5461">
      <c r="A5461" s="9" t="n">
        <v>5457</v>
      </c>
      <c r="B5461" s="9" t="inlineStr">
        <is>
          <t>Ratchet</t>
        </is>
      </c>
      <c r="C5461" s="9" t="inlineStr">
        <is>
          <t>Stochastic scalp with give-back trail exit</t>
        </is>
      </c>
      <c r="D5461" s="9" t="inlineStr">
        <is>
          <t>Long</t>
        </is>
      </c>
      <c r="E5461" s="10" t="n">
        <v>45908.83333333334</v>
      </c>
      <c r="F5461" s="10" t="n">
        <v>45908.83333333334</v>
      </c>
      <c r="G5461" s="11" t="n">
        <v>-3.98</v>
      </c>
      <c r="H5461" s="11">
        <f>H5460+G5461</f>
        <v/>
      </c>
    </row>
    <row r="5462">
      <c r="A5462" s="9" t="n">
        <v>5458</v>
      </c>
      <c r="B5462" s="9" t="inlineStr">
        <is>
          <t>Ratchet</t>
        </is>
      </c>
      <c r="C5462" s="9" t="inlineStr">
        <is>
          <t>Stochastic scalp with give-back trail exit</t>
        </is>
      </c>
      <c r="D5462" s="9" t="inlineStr">
        <is>
          <t>Long</t>
        </is>
      </c>
      <c r="E5462" s="10" t="n">
        <v>45908.94791666666</v>
      </c>
      <c r="F5462" s="10" t="n">
        <v>45908.96527777778</v>
      </c>
      <c r="G5462" s="11" t="n">
        <v>0</v>
      </c>
      <c r="H5462" s="11">
        <f>H5461+G5462</f>
        <v/>
      </c>
    </row>
    <row r="5463">
      <c r="A5463" s="9" t="n">
        <v>5459</v>
      </c>
      <c r="B5463" s="9" t="inlineStr">
        <is>
          <t>Ratchet</t>
        </is>
      </c>
      <c r="C5463" s="9" t="inlineStr">
        <is>
          <t>Stochastic scalp with give-back trail exit</t>
        </is>
      </c>
      <c r="D5463" s="9" t="inlineStr">
        <is>
          <t>Long</t>
        </is>
      </c>
      <c r="E5463" s="10" t="n">
        <v>45909.04861111111</v>
      </c>
      <c r="F5463" s="10" t="n">
        <v>45909.04861111111</v>
      </c>
      <c r="G5463" s="11" t="n">
        <v>-1.99</v>
      </c>
      <c r="H5463" s="11">
        <f>H5462+G5463</f>
        <v/>
      </c>
    </row>
    <row r="5464">
      <c r="A5464" s="9" t="n">
        <v>5460</v>
      </c>
      <c r="B5464" s="9" t="inlineStr">
        <is>
          <t>Meridian</t>
        </is>
      </c>
      <c r="C5464" s="9" t="inlineStr">
        <is>
          <t>21/50 MA cross, 250-period confirm filter, VWAP</t>
        </is>
      </c>
      <c r="D5464" s="9" t="inlineStr">
        <is>
          <t>Long</t>
        </is>
      </c>
      <c r="E5464" s="10" t="n">
        <v>45908.38194444445</v>
      </c>
      <c r="F5464" s="10" t="n">
        <v>45909.06597222222</v>
      </c>
      <c r="G5464" s="11" t="n">
        <v>38.28</v>
      </c>
      <c r="H5464" s="11">
        <f>H5463+G5464</f>
        <v/>
      </c>
    </row>
    <row r="5465">
      <c r="A5465" s="9" t="n">
        <v>5461</v>
      </c>
      <c r="B5465" s="9" t="inlineStr">
        <is>
          <t>Meridian</t>
        </is>
      </c>
      <c r="C5465" s="9" t="inlineStr">
        <is>
          <t>21/50 MA cross, 250-period confirm filter, VWAP</t>
        </is>
      </c>
      <c r="D5465" s="9" t="inlineStr">
        <is>
          <t>Long</t>
        </is>
      </c>
      <c r="E5465" s="10" t="n">
        <v>45909.14236111111</v>
      </c>
      <c r="F5465" s="10" t="n">
        <v>45909.39930555555</v>
      </c>
      <c r="G5465" s="11" t="n">
        <v>1.05</v>
      </c>
      <c r="H5465" s="11">
        <f>H5464+G5465</f>
        <v/>
      </c>
    </row>
    <row r="5466">
      <c r="A5466" s="9" t="n">
        <v>5462</v>
      </c>
      <c r="B5466" s="9" t="inlineStr">
        <is>
          <t>Aurelius_M5</t>
        </is>
      </c>
      <c r="C5466" s="9" t="inlineStr">
        <is>
          <t>MA alignment (EMA21&gt;EMA50&gt;SMA250&gt;SMMA500 vs EMA2400 trend filter)</t>
        </is>
      </c>
      <c r="D5466" s="9" t="inlineStr">
        <is>
          <t>Long</t>
        </is>
      </c>
      <c r="E5466" s="10" t="n">
        <v>45909.17708333334</v>
      </c>
      <c r="F5466" s="10" t="n">
        <v>45909.39930555555</v>
      </c>
      <c r="G5466" s="11" t="n">
        <v>1.17</v>
      </c>
      <c r="H5466" s="11">
        <f>H5465+G5466</f>
        <v/>
      </c>
    </row>
    <row r="5467">
      <c r="A5467" s="9" t="n">
        <v>5463</v>
      </c>
      <c r="B5467" s="9" t="inlineStr">
        <is>
          <t>Vanguard_M15</t>
        </is>
      </c>
      <c r="C5467" s="9" t="inlineStr">
        <is>
          <t>Trendline breakout (fractal swing line) + VWAP/S-R distance gate - M15 chart</t>
        </is>
      </c>
      <c r="D5467" s="9" t="inlineStr">
        <is>
          <t>Long</t>
        </is>
      </c>
      <c r="E5467" s="10" t="n">
        <v>45905.11458333334</v>
      </c>
      <c r="F5467" s="10" t="n">
        <v>45909.4375</v>
      </c>
      <c r="G5467" s="11" t="n">
        <v>94</v>
      </c>
      <c r="H5467" s="11">
        <f>H5466+G5467</f>
        <v/>
      </c>
    </row>
    <row r="5468">
      <c r="A5468" s="9" t="n">
        <v>5464</v>
      </c>
      <c r="B5468" s="9" t="inlineStr">
        <is>
          <t>Vanguard_M5</t>
        </is>
      </c>
      <c r="C5468" s="9" t="inlineStr">
        <is>
          <t>Trendline breakout (fractal swing line) + VWAP/S-R distance gate</t>
        </is>
      </c>
      <c r="D5468" s="9" t="inlineStr">
        <is>
          <t>Long</t>
        </is>
      </c>
      <c r="E5468" s="10" t="n">
        <v>45905.11458333334</v>
      </c>
      <c r="F5468" s="10" t="n">
        <v>45909.44444444445</v>
      </c>
      <c r="G5468" s="11" t="n">
        <v>94</v>
      </c>
      <c r="H5468" s="11">
        <f>H5467+G5468</f>
        <v/>
      </c>
    </row>
    <row r="5469">
      <c r="A5469" s="9" t="n">
        <v>5465</v>
      </c>
      <c r="B5469" s="9" t="inlineStr">
        <is>
          <t>Ratchet</t>
        </is>
      </c>
      <c r="C5469" s="9" t="inlineStr">
        <is>
          <t>Stochastic scalp with give-back trail exit</t>
        </is>
      </c>
      <c r="D5469" s="9" t="inlineStr">
        <is>
          <t>Long</t>
        </is>
      </c>
      <c r="E5469" s="10" t="n">
        <v>45909.52430555555</v>
      </c>
      <c r="F5469" s="10" t="n">
        <v>45909.57638888889</v>
      </c>
      <c r="G5469" s="11" t="n">
        <v>-5.15</v>
      </c>
      <c r="H5469" s="11">
        <f>H5468+G5469</f>
        <v/>
      </c>
    </row>
    <row r="5470">
      <c r="A5470" s="9" t="n">
        <v>5466</v>
      </c>
      <c r="B5470" s="9" t="inlineStr">
        <is>
          <t>Meridian</t>
        </is>
      </c>
      <c r="C5470" s="9" t="inlineStr">
        <is>
          <t>21/50 MA cross, 250-period confirm filter, VWAP</t>
        </is>
      </c>
      <c r="D5470" s="9" t="inlineStr">
        <is>
          <t>Long</t>
        </is>
      </c>
      <c r="E5470" s="10" t="n">
        <v>45909.51041666666</v>
      </c>
      <c r="F5470" s="10" t="n">
        <v>45909.62152777778</v>
      </c>
      <c r="G5470" s="11" t="n">
        <v>-8.16</v>
      </c>
      <c r="H5470" s="11">
        <f>H5469+G5470</f>
        <v/>
      </c>
    </row>
    <row r="5471">
      <c r="A5471" s="9" t="n">
        <v>5467</v>
      </c>
      <c r="B5471" s="9" t="inlineStr">
        <is>
          <t>Vanguard_M5</t>
        </is>
      </c>
      <c r="C5471" s="9" t="inlineStr">
        <is>
          <t>Trendline breakout (fractal swing line) + VWAP/S-R distance gate</t>
        </is>
      </c>
      <c r="D5471" s="9" t="inlineStr">
        <is>
          <t>Short</t>
        </is>
      </c>
      <c r="E5471" s="10" t="n">
        <v>45909.44791666666</v>
      </c>
      <c r="F5471" s="10" t="n">
        <v>45909.68402777778</v>
      </c>
      <c r="G5471" s="11" t="n">
        <v>-13.28</v>
      </c>
      <c r="H5471" s="11">
        <f>H5470+G5471</f>
        <v/>
      </c>
    </row>
    <row r="5472">
      <c r="A5472" s="9" t="n">
        <v>5468</v>
      </c>
      <c r="B5472" s="9" t="inlineStr">
        <is>
          <t>Vanguard_M15</t>
        </is>
      </c>
      <c r="C5472" s="9" t="inlineStr">
        <is>
          <t>Trendline breakout (fractal swing line) + VWAP/S-R distance gate - M15 chart</t>
        </is>
      </c>
      <c r="D5472" s="9" t="inlineStr">
        <is>
          <t>Short</t>
        </is>
      </c>
      <c r="E5472" s="10" t="n">
        <v>45909.44791666666</v>
      </c>
      <c r="F5472" s="10" t="n">
        <v>45909.6875</v>
      </c>
      <c r="G5472" s="11" t="n">
        <v>-17.36</v>
      </c>
      <c r="H5472" s="11">
        <f>H5471+G5472</f>
        <v/>
      </c>
    </row>
    <row r="5473">
      <c r="A5473" s="9" t="n">
        <v>5469</v>
      </c>
      <c r="B5473" s="9" t="inlineStr">
        <is>
          <t>Aurelius_M15</t>
        </is>
      </c>
      <c r="C5473" s="9" t="inlineStr">
        <is>
          <t>MA alignment (EMA21&gt;EMA50&gt;SMA250&gt;SMMA500 vs EMA2400 trend filter) - M15 chart</t>
        </is>
      </c>
      <c r="D5473" s="9" t="inlineStr">
        <is>
          <t>Long</t>
        </is>
      </c>
      <c r="E5473" s="10" t="n">
        <v>45909.63541666666</v>
      </c>
      <c r="F5473" s="10" t="n">
        <v>45909.70833333334</v>
      </c>
      <c r="G5473" s="11" t="n">
        <v>-11.76</v>
      </c>
      <c r="H5473" s="11">
        <f>H5472+G5473</f>
        <v/>
      </c>
    </row>
    <row r="5474">
      <c r="A5474" s="9" t="n">
        <v>5470</v>
      </c>
      <c r="B5474" s="9" t="inlineStr">
        <is>
          <t>Meridian</t>
        </is>
      </c>
      <c r="C5474" s="9" t="inlineStr">
        <is>
          <t>21/50 MA cross, 250-period confirm filter, VWAP</t>
        </is>
      </c>
      <c r="D5474" s="9" t="inlineStr">
        <is>
          <t>Long</t>
        </is>
      </c>
      <c r="E5474" s="10" t="n">
        <v>45909.68402777778</v>
      </c>
      <c r="F5474" s="10" t="n">
        <v>45909.71180555555</v>
      </c>
      <c r="G5474" s="11" t="n">
        <v>-8.26</v>
      </c>
      <c r="H5474" s="11">
        <f>H5473+G5474</f>
        <v/>
      </c>
    </row>
    <row r="5475">
      <c r="A5475" s="9" t="n">
        <v>5471</v>
      </c>
      <c r="B5475" s="9" t="inlineStr">
        <is>
          <t>Aurelius_M5</t>
        </is>
      </c>
      <c r="C5475" s="9" t="inlineStr">
        <is>
          <t>MA alignment (EMA21&gt;EMA50&gt;SMA250&gt;SMMA500 vs EMA2400 trend filter)</t>
        </is>
      </c>
      <c r="D5475" s="9" t="inlineStr">
        <is>
          <t>Long</t>
        </is>
      </c>
      <c r="E5475" s="10" t="n">
        <v>45909.69791666666</v>
      </c>
      <c r="F5475" s="10" t="n">
        <v>45909.71180555555</v>
      </c>
      <c r="G5475" s="11" t="n">
        <v>-9.26</v>
      </c>
      <c r="H5475" s="11">
        <f>H5474+G5475</f>
        <v/>
      </c>
    </row>
    <row r="5476">
      <c r="A5476" s="9" t="n">
        <v>5472</v>
      </c>
      <c r="B5476" s="9" t="inlineStr">
        <is>
          <t>Ratchet</t>
        </is>
      </c>
      <c r="C5476" s="9" t="inlineStr">
        <is>
          <t>Stochastic scalp with give-back trail exit</t>
        </is>
      </c>
      <c r="D5476" s="9" t="inlineStr">
        <is>
          <t>Long</t>
        </is>
      </c>
      <c r="E5476" s="10" t="n">
        <v>45910.35416666666</v>
      </c>
      <c r="F5476" s="10" t="n">
        <v>45910.35763888889</v>
      </c>
      <c r="G5476" s="11" t="n">
        <v>-2.45</v>
      </c>
      <c r="H5476" s="11">
        <f>H5475+G5476</f>
        <v/>
      </c>
    </row>
    <row r="5477">
      <c r="A5477" s="9" t="n">
        <v>5473</v>
      </c>
      <c r="B5477" s="9" t="inlineStr">
        <is>
          <t>Ratchet</t>
        </is>
      </c>
      <c r="C5477" s="9" t="inlineStr">
        <is>
          <t>Stochastic scalp with give-back trail exit</t>
        </is>
      </c>
      <c r="D5477" s="9" t="inlineStr">
        <is>
          <t>Long</t>
        </is>
      </c>
      <c r="E5477" s="10" t="n">
        <v>45910.49652777778</v>
      </c>
      <c r="F5477" s="10" t="n">
        <v>45910.53819444445</v>
      </c>
      <c r="G5477" s="11" t="n">
        <v>9.25</v>
      </c>
      <c r="H5477" s="11">
        <f>H5476+G5477</f>
        <v/>
      </c>
    </row>
    <row r="5478">
      <c r="A5478" s="9" t="n">
        <v>5474</v>
      </c>
      <c r="B5478" s="9" t="inlineStr">
        <is>
          <t>Ratchet</t>
        </is>
      </c>
      <c r="C5478" s="9" t="inlineStr">
        <is>
          <t>Stochastic scalp with give-back trail exit</t>
        </is>
      </c>
      <c r="D5478" s="9" t="inlineStr">
        <is>
          <t>Long</t>
        </is>
      </c>
      <c r="E5478" s="10" t="n">
        <v>45910.59375</v>
      </c>
      <c r="F5478" s="10" t="n">
        <v>45910.60069444445</v>
      </c>
      <c r="G5478" s="11" t="n">
        <v>0.42</v>
      </c>
      <c r="H5478" s="11">
        <f>H5477+G5478</f>
        <v/>
      </c>
    </row>
    <row r="5479">
      <c r="A5479" s="9" t="n">
        <v>5475</v>
      </c>
      <c r="B5479" s="9" t="inlineStr">
        <is>
          <t>Aurelius_M5</t>
        </is>
      </c>
      <c r="C5479" s="9" t="inlineStr">
        <is>
          <t>MA alignment (EMA21&gt;EMA50&gt;SMA250&gt;SMMA500 vs EMA2400 trend filter)</t>
        </is>
      </c>
      <c r="D5479" s="9" t="inlineStr">
        <is>
          <t>Long</t>
        </is>
      </c>
      <c r="E5479" s="10" t="n">
        <v>45910.49305555555</v>
      </c>
      <c r="F5479" s="10" t="n">
        <v>45910.63541666666</v>
      </c>
      <c r="G5479" s="11" t="n">
        <v>2.22</v>
      </c>
      <c r="H5479" s="11">
        <f>H5478+G5479</f>
        <v/>
      </c>
    </row>
    <row r="5480">
      <c r="A5480" s="9" t="n">
        <v>5476</v>
      </c>
      <c r="B5480" s="9" t="inlineStr">
        <is>
          <t>Ratchet</t>
        </is>
      </c>
      <c r="C5480" s="9" t="inlineStr">
        <is>
          <t>Stochastic scalp with give-back trail exit</t>
        </is>
      </c>
      <c r="D5480" s="9" t="inlineStr">
        <is>
          <t>Long</t>
        </is>
      </c>
      <c r="E5480" s="10" t="n">
        <v>45910.72916666666</v>
      </c>
      <c r="F5480" s="10" t="n">
        <v>45910.73611111111</v>
      </c>
      <c r="G5480" s="11" t="n">
        <v>0.67</v>
      </c>
      <c r="H5480" s="11">
        <f>H5479+G5480</f>
        <v/>
      </c>
    </row>
    <row r="5481">
      <c r="A5481" s="9" t="n">
        <v>5477</v>
      </c>
      <c r="B5481" s="9" t="inlineStr">
        <is>
          <t>Meridian</t>
        </is>
      </c>
      <c r="C5481" s="9" t="inlineStr">
        <is>
          <t>21/50 MA cross, 250-period confirm filter, VWAP</t>
        </is>
      </c>
      <c r="D5481" s="9" t="inlineStr">
        <is>
          <t>Long</t>
        </is>
      </c>
      <c r="E5481" s="10" t="n">
        <v>45910.71180555555</v>
      </c>
      <c r="F5481" s="10" t="n">
        <v>45910.74305555555</v>
      </c>
      <c r="G5481" s="11" t="n">
        <v>-8.82</v>
      </c>
      <c r="H5481" s="11">
        <f>H5480+G5481</f>
        <v/>
      </c>
    </row>
    <row r="5482">
      <c r="A5482" s="9" t="n">
        <v>5478</v>
      </c>
      <c r="B5482" s="9" t="inlineStr">
        <is>
          <t>Meridian</t>
        </is>
      </c>
      <c r="C5482" s="9" t="inlineStr">
        <is>
          <t>21/50 MA cross, 250-period confirm filter, VWAP</t>
        </is>
      </c>
      <c r="D5482" s="9" t="inlineStr">
        <is>
          <t>Long</t>
        </is>
      </c>
      <c r="E5482" s="10" t="n">
        <v>45910.89583333334</v>
      </c>
      <c r="F5482" s="10" t="n">
        <v>45910.90972222222</v>
      </c>
      <c r="G5482" s="11" t="n">
        <v>-3.97</v>
      </c>
      <c r="H5482" s="11">
        <f>H5481+G5482</f>
        <v/>
      </c>
    </row>
    <row r="5483">
      <c r="A5483" s="9" t="n">
        <v>5479</v>
      </c>
      <c r="B5483" s="9" t="inlineStr">
        <is>
          <t>Aurelius_M15</t>
        </is>
      </c>
      <c r="C5483" s="9" t="inlineStr">
        <is>
          <t>MA alignment (EMA21&gt;EMA50&gt;SMA250&gt;SMMA500 vs EMA2400 trend filter) - M15 chart</t>
        </is>
      </c>
      <c r="D5483" s="9" t="inlineStr">
        <is>
          <t>Long</t>
        </is>
      </c>
      <c r="E5483" s="10" t="n">
        <v>45910.69791666666</v>
      </c>
      <c r="F5483" s="10" t="n">
        <v>45910.9375</v>
      </c>
      <c r="G5483" s="11" t="n">
        <v>-12.93</v>
      </c>
      <c r="H5483" s="11">
        <f>H5482+G5483</f>
        <v/>
      </c>
    </row>
    <row r="5484">
      <c r="A5484" s="9" t="n">
        <v>5480</v>
      </c>
      <c r="B5484" s="9" t="inlineStr">
        <is>
          <t>Meridian</t>
        </is>
      </c>
      <c r="C5484" s="9" t="inlineStr">
        <is>
          <t>21/50 MA cross, 250-period confirm filter, VWAP</t>
        </is>
      </c>
      <c r="D5484" s="9" t="inlineStr">
        <is>
          <t>Long</t>
        </is>
      </c>
      <c r="E5484" s="10" t="n">
        <v>45911.125</v>
      </c>
      <c r="F5484" s="10" t="n">
        <v>45911.19791666666</v>
      </c>
      <c r="G5484" s="11" t="n">
        <v>-4.11</v>
      </c>
      <c r="H5484" s="11">
        <f>H5483+G5484</f>
        <v/>
      </c>
    </row>
    <row r="5485">
      <c r="A5485" s="9" t="n">
        <v>5481</v>
      </c>
      <c r="B5485" s="9" t="inlineStr">
        <is>
          <t>Vanguard_M5</t>
        </is>
      </c>
      <c r="C5485" s="9" t="inlineStr">
        <is>
          <t>Trendline breakout (fractal swing line) + VWAP/S-R distance gate</t>
        </is>
      </c>
      <c r="D5485" s="9" t="inlineStr">
        <is>
          <t>Long</t>
        </is>
      </c>
      <c r="E5485" s="10" t="n">
        <v>45911.17708333334</v>
      </c>
      <c r="F5485" s="10" t="n">
        <v>45911.22569444445</v>
      </c>
      <c r="G5485" s="11" t="n">
        <v>-7.7</v>
      </c>
      <c r="H5485" s="11">
        <f>H5484+G5485</f>
        <v/>
      </c>
    </row>
    <row r="5486">
      <c r="A5486" s="9" t="n">
        <v>5482</v>
      </c>
      <c r="B5486" s="9" t="inlineStr">
        <is>
          <t>Vanguard_M15</t>
        </is>
      </c>
      <c r="C5486" s="9" t="inlineStr">
        <is>
          <t>Trendline breakout (fractal swing line) + VWAP/S-R distance gate - M15 chart</t>
        </is>
      </c>
      <c r="D5486" s="9" t="inlineStr">
        <is>
          <t>Long</t>
        </is>
      </c>
      <c r="E5486" s="10" t="n">
        <v>45911.17708333334</v>
      </c>
      <c r="F5486" s="10" t="n">
        <v>45911.22916666666</v>
      </c>
      <c r="G5486" s="11" t="n">
        <v>-9.970000000000001</v>
      </c>
      <c r="H5486" s="11">
        <f>H5485+G5486</f>
        <v/>
      </c>
    </row>
    <row r="5487">
      <c r="A5487" s="9" t="n">
        <v>5483</v>
      </c>
      <c r="B5487" s="9" t="inlineStr">
        <is>
          <t>Meridian</t>
        </is>
      </c>
      <c r="C5487" s="9" t="inlineStr">
        <is>
          <t>21/50 MA cross, 250-period confirm filter, VWAP</t>
        </is>
      </c>
      <c r="D5487" s="9" t="inlineStr">
        <is>
          <t>Short</t>
        </is>
      </c>
      <c r="E5487" s="10" t="n">
        <v>45911.22222222222</v>
      </c>
      <c r="F5487" s="10" t="n">
        <v>45911.65277777778</v>
      </c>
      <c r="G5487" s="11" t="n">
        <v>1.2</v>
      </c>
      <c r="H5487" s="11">
        <f>H5486+G5487</f>
        <v/>
      </c>
    </row>
    <row r="5488">
      <c r="A5488" s="9" t="n">
        <v>5484</v>
      </c>
      <c r="B5488" s="9" t="inlineStr">
        <is>
          <t>Vanguard_M5</t>
        </is>
      </c>
      <c r="C5488" s="9" t="inlineStr">
        <is>
          <t>Trendline breakout (fractal swing line) + VWAP/S-R distance gate</t>
        </is>
      </c>
      <c r="D5488" s="9" t="inlineStr">
        <is>
          <t>Long</t>
        </is>
      </c>
      <c r="E5488" s="10" t="n">
        <v>45911.64930555555</v>
      </c>
      <c r="F5488" s="10" t="n">
        <v>45911.68055555555</v>
      </c>
      <c r="G5488" s="11" t="n">
        <v>-17.18</v>
      </c>
      <c r="H5488" s="11">
        <f>H5487+G5488</f>
        <v/>
      </c>
    </row>
    <row r="5489">
      <c r="A5489" s="9" t="n">
        <v>5485</v>
      </c>
      <c r="B5489" s="9" t="inlineStr">
        <is>
          <t>Vanguard_M15</t>
        </is>
      </c>
      <c r="C5489" s="9" t="inlineStr">
        <is>
          <t>Trendline breakout (fractal swing line) + VWAP/S-R distance gate - M15 chart</t>
        </is>
      </c>
      <c r="D5489" s="9" t="inlineStr">
        <is>
          <t>Long</t>
        </is>
      </c>
      <c r="E5489" s="10" t="n">
        <v>45911.65625</v>
      </c>
      <c r="F5489" s="10" t="n">
        <v>45911.6875</v>
      </c>
      <c r="G5489" s="11" t="n">
        <v>-18.71</v>
      </c>
      <c r="H5489" s="11">
        <f>H5488+G5489</f>
        <v/>
      </c>
    </row>
    <row r="5490">
      <c r="A5490" s="9" t="n">
        <v>5486</v>
      </c>
      <c r="B5490" s="9" t="inlineStr">
        <is>
          <t>Ratchet</t>
        </is>
      </c>
      <c r="C5490" s="9" t="inlineStr">
        <is>
          <t>Stochastic scalp with give-back trail exit</t>
        </is>
      </c>
      <c r="D5490" s="9" t="inlineStr">
        <is>
          <t>Long</t>
        </is>
      </c>
      <c r="E5490" s="10" t="n">
        <v>45912.28819444445</v>
      </c>
      <c r="F5490" s="10" t="n">
        <v>45912.29513888889</v>
      </c>
      <c r="G5490" s="11" t="n">
        <v>0.53</v>
      </c>
      <c r="H5490" s="11">
        <f>H5489+G5490</f>
        <v/>
      </c>
    </row>
    <row r="5491">
      <c r="A5491" s="9" t="n">
        <v>5487</v>
      </c>
      <c r="B5491" s="9" t="inlineStr">
        <is>
          <t>Meridian</t>
        </is>
      </c>
      <c r="C5491" s="9" t="inlineStr">
        <is>
          <t>21/50 MA cross, 250-period confirm filter, VWAP</t>
        </is>
      </c>
      <c r="D5491" s="9" t="inlineStr">
        <is>
          <t>Long</t>
        </is>
      </c>
      <c r="E5491" s="10" t="n">
        <v>45912.17013888889</v>
      </c>
      <c r="F5491" s="10" t="n">
        <v>45912.45833333334</v>
      </c>
      <c r="G5491" s="11" t="n">
        <v>8.109999999999999</v>
      </c>
      <c r="H5491" s="11">
        <f>H5490+G5491</f>
        <v/>
      </c>
    </row>
    <row r="5492">
      <c r="A5492" s="9" t="n">
        <v>5488</v>
      </c>
      <c r="B5492" s="9" t="inlineStr">
        <is>
          <t>Aurelius_M5</t>
        </is>
      </c>
      <c r="C5492" s="9" t="inlineStr">
        <is>
          <t>MA alignment (EMA21&gt;EMA50&gt;SMA250&gt;SMMA500 vs EMA2400 trend filter)</t>
        </is>
      </c>
      <c r="D5492" s="9" t="inlineStr">
        <is>
          <t>Long</t>
        </is>
      </c>
      <c r="E5492" s="10" t="n">
        <v>45912.1875</v>
      </c>
      <c r="F5492" s="10" t="n">
        <v>45912.45833333334</v>
      </c>
      <c r="G5492" s="11" t="n">
        <v>5.42</v>
      </c>
      <c r="H5492" s="11">
        <f>H5491+G5492</f>
        <v/>
      </c>
    </row>
    <row r="5493">
      <c r="A5493" s="9" t="n">
        <v>5489</v>
      </c>
      <c r="B5493" s="9" t="inlineStr">
        <is>
          <t>Vanguard_M15</t>
        </is>
      </c>
      <c r="C5493" s="9" t="inlineStr">
        <is>
          <t>Trendline breakout (fractal swing line) + VWAP/S-R distance gate - M15 chart</t>
        </is>
      </c>
      <c r="D5493" s="9" t="inlineStr">
        <is>
          <t>Long</t>
        </is>
      </c>
      <c r="E5493" s="10" t="n">
        <v>45911.72916666666</v>
      </c>
      <c r="F5493" s="10" t="n">
        <v>45912.52083333334</v>
      </c>
      <c r="G5493" s="11" t="n">
        <v>9.390000000000001</v>
      </c>
      <c r="H5493" s="11">
        <f>H5492+G5493</f>
        <v/>
      </c>
    </row>
    <row r="5494">
      <c r="A5494" s="9" t="n">
        <v>5490</v>
      </c>
      <c r="B5494" s="9" t="inlineStr">
        <is>
          <t>Vanguard_M5</t>
        </is>
      </c>
      <c r="C5494" s="9" t="inlineStr">
        <is>
          <t>Trendline breakout (fractal swing line) + VWAP/S-R distance gate</t>
        </is>
      </c>
      <c r="D5494" s="9" t="inlineStr">
        <is>
          <t>Long</t>
        </is>
      </c>
      <c r="E5494" s="10" t="n">
        <v>45911.72222222222</v>
      </c>
      <c r="F5494" s="10" t="n">
        <v>45912.52430555555</v>
      </c>
      <c r="G5494" s="11" t="n">
        <v>6.23</v>
      </c>
      <c r="H5494" s="11">
        <f>H5493+G5494</f>
        <v/>
      </c>
    </row>
    <row r="5495">
      <c r="A5495" s="9" t="n">
        <v>5491</v>
      </c>
      <c r="B5495" s="9" t="inlineStr">
        <is>
          <t>Ratchet</t>
        </is>
      </c>
      <c r="C5495" s="9" t="inlineStr">
        <is>
          <t>Stochastic scalp with give-back trail exit</t>
        </is>
      </c>
      <c r="D5495" s="9" t="inlineStr">
        <is>
          <t>Long</t>
        </is>
      </c>
      <c r="E5495" s="10" t="n">
        <v>45912.57638888889</v>
      </c>
      <c r="F5495" s="10" t="n">
        <v>45912.58333333334</v>
      </c>
      <c r="G5495" s="11" t="n">
        <v>0.41</v>
      </c>
      <c r="H5495" s="11">
        <f>H5494+G5495</f>
        <v/>
      </c>
    </row>
    <row r="5496">
      <c r="A5496" s="9" t="n">
        <v>5492</v>
      </c>
      <c r="B5496" s="9" t="inlineStr">
        <is>
          <t>Ratchet</t>
        </is>
      </c>
      <c r="C5496" s="9" t="inlineStr">
        <is>
          <t>Stochastic scalp with give-back trail exit</t>
        </is>
      </c>
      <c r="D5496" s="9" t="inlineStr">
        <is>
          <t>Long</t>
        </is>
      </c>
      <c r="E5496" s="10" t="n">
        <v>45912.59027777778</v>
      </c>
      <c r="F5496" s="10" t="n">
        <v>45912.60069444445</v>
      </c>
      <c r="G5496" s="11" t="n">
        <v>-2.6</v>
      </c>
      <c r="H5496" s="11">
        <f>H5495+G5496</f>
        <v/>
      </c>
    </row>
    <row r="5497">
      <c r="A5497" s="9" t="n">
        <v>5493</v>
      </c>
      <c r="B5497" s="9" t="inlineStr">
        <is>
          <t>Meridian</t>
        </is>
      </c>
      <c r="C5497" s="9" t="inlineStr">
        <is>
          <t>21/50 MA cross, 250-period confirm filter, VWAP</t>
        </is>
      </c>
      <c r="D5497" s="9" t="inlineStr">
        <is>
          <t>Long</t>
        </is>
      </c>
      <c r="E5497" s="10" t="n">
        <v>45912.57291666666</v>
      </c>
      <c r="F5497" s="10" t="n">
        <v>45912.62847222222</v>
      </c>
      <c r="G5497" s="11" t="n">
        <v>-5.03</v>
      </c>
      <c r="H5497" s="11">
        <f>H5496+G5497</f>
        <v/>
      </c>
    </row>
    <row r="5498">
      <c r="A5498" s="9" t="n">
        <v>5494</v>
      </c>
      <c r="B5498" s="9" t="inlineStr">
        <is>
          <t>Vanguard_M5</t>
        </is>
      </c>
      <c r="C5498" s="9" t="inlineStr">
        <is>
          <t>Trendline breakout (fractal swing line) + VWAP/S-R distance gate</t>
        </is>
      </c>
      <c r="D5498" s="9" t="inlineStr">
        <is>
          <t>Short</t>
        </is>
      </c>
      <c r="E5498" s="10" t="n">
        <v>45912.52777777778</v>
      </c>
      <c r="F5498" s="10" t="n">
        <v>45912.72569444445</v>
      </c>
      <c r="G5498" s="11" t="n">
        <v>-11.36</v>
      </c>
      <c r="H5498" s="11">
        <f>H5497+G5498</f>
        <v/>
      </c>
    </row>
    <row r="5499">
      <c r="A5499" s="9" t="n">
        <v>5495</v>
      </c>
      <c r="B5499" s="9" t="inlineStr">
        <is>
          <t>Aurelius_M5</t>
        </is>
      </c>
      <c r="C5499" s="9" t="inlineStr">
        <is>
          <t>MA alignment (EMA21&gt;EMA50&gt;SMA250&gt;SMMA500 vs EMA2400 trend filter)</t>
        </is>
      </c>
      <c r="D5499" s="9" t="inlineStr">
        <is>
          <t>Long</t>
        </is>
      </c>
      <c r="E5499" s="10" t="n">
        <v>45912.72222222222</v>
      </c>
      <c r="F5499" s="10" t="n">
        <v>45912.75347222222</v>
      </c>
      <c r="G5499" s="11" t="n">
        <v>-7.43</v>
      </c>
      <c r="H5499" s="11">
        <f>H5498+G5499</f>
        <v/>
      </c>
    </row>
    <row r="5500">
      <c r="A5500" s="9" t="n">
        <v>5496</v>
      </c>
      <c r="B5500" s="9" t="inlineStr">
        <is>
          <t>Meridian</t>
        </is>
      </c>
      <c r="C5500" s="9" t="inlineStr">
        <is>
          <t>21/50 MA cross, 250-period confirm filter, VWAP</t>
        </is>
      </c>
      <c r="D5500" s="9" t="inlineStr">
        <is>
          <t>Long</t>
        </is>
      </c>
      <c r="E5500" s="10" t="n">
        <v>45912.69444444445</v>
      </c>
      <c r="F5500" s="10" t="n">
        <v>45912.75694444445</v>
      </c>
      <c r="G5500" s="11" t="n">
        <v>-6.98</v>
      </c>
      <c r="H5500" s="11">
        <f>H5499+G5500</f>
        <v/>
      </c>
    </row>
    <row r="5501">
      <c r="A5501" s="9" t="n">
        <v>5497</v>
      </c>
      <c r="B5501" s="9" t="inlineStr">
        <is>
          <t>Meridian</t>
        </is>
      </c>
      <c r="C5501" s="9" t="inlineStr">
        <is>
          <t>21/50 MA cross, 250-period confirm filter, VWAP</t>
        </is>
      </c>
      <c r="D5501" s="9" t="inlineStr">
        <is>
          <t>Short</t>
        </is>
      </c>
      <c r="E5501" s="10" t="n">
        <v>45912.76736111111</v>
      </c>
      <c r="F5501" s="10" t="n">
        <v>45912.83333333334</v>
      </c>
      <c r="G5501" s="11" t="n">
        <v>-6.47</v>
      </c>
      <c r="H5501" s="11">
        <f>H5500+G5501</f>
        <v/>
      </c>
    </row>
    <row r="5502">
      <c r="A5502" s="9" t="n">
        <v>5498</v>
      </c>
      <c r="B5502" s="9" t="inlineStr">
        <is>
          <t>Meridian</t>
        </is>
      </c>
      <c r="C5502" s="9" t="inlineStr">
        <is>
          <t>21/50 MA cross, 250-period confirm filter, VWAP</t>
        </is>
      </c>
      <c r="D5502" s="9" t="inlineStr">
        <is>
          <t>Long</t>
        </is>
      </c>
      <c r="E5502" s="10" t="n">
        <v>45912.84375</v>
      </c>
      <c r="F5502" s="10" t="n">
        <v>45912.91666666666</v>
      </c>
      <c r="G5502" s="11" t="n">
        <v>-1.71</v>
      </c>
      <c r="H5502" s="11">
        <f>H5501+G5502</f>
        <v/>
      </c>
    </row>
    <row r="5503">
      <c r="A5503" s="9" t="n">
        <v>5499</v>
      </c>
      <c r="B5503" s="9" t="inlineStr">
        <is>
          <t>Aurelius_M15</t>
        </is>
      </c>
      <c r="C5503" s="9" t="inlineStr">
        <is>
          <t>MA alignment (EMA21&gt;EMA50&gt;SMA250&gt;SMMA500 vs EMA2400 trend filter) - M15 chart</t>
        </is>
      </c>
      <c r="D5503" s="9" t="inlineStr">
        <is>
          <t>Long</t>
        </is>
      </c>
      <c r="E5503" s="10" t="n">
        <v>45912.70833333334</v>
      </c>
      <c r="F5503" s="10" t="n">
        <v>45912.92708333334</v>
      </c>
      <c r="G5503" s="11" t="n">
        <v>-3.45</v>
      </c>
      <c r="H5503" s="11">
        <f>H5502+G5503</f>
        <v/>
      </c>
    </row>
    <row r="5504">
      <c r="A5504" s="9" t="n">
        <v>5500</v>
      </c>
      <c r="B5504" s="9" t="inlineStr">
        <is>
          <t>Meridian</t>
        </is>
      </c>
      <c r="C5504" s="9" t="inlineStr">
        <is>
          <t>21/50 MA cross, 250-period confirm filter, VWAP</t>
        </is>
      </c>
      <c r="D5504" s="9" t="inlineStr">
        <is>
          <t>Short</t>
        </is>
      </c>
      <c r="E5504" s="10" t="n">
        <v>45915.40972222222</v>
      </c>
      <c r="F5504" s="10" t="n">
        <v>45915.45138888889</v>
      </c>
      <c r="G5504" s="11" t="n">
        <v>-4.58</v>
      </c>
      <c r="H5504" s="11">
        <f>H5503+G5504</f>
        <v/>
      </c>
    </row>
    <row r="5505">
      <c r="A5505" s="9" t="n">
        <v>5501</v>
      </c>
      <c r="B5505" s="9" t="inlineStr">
        <is>
          <t>Vanguard_M15</t>
        </is>
      </c>
      <c r="C5505" s="9" t="inlineStr">
        <is>
          <t>Trendline breakout (fractal swing line) + VWAP/S-R distance gate - M15 chart</t>
        </is>
      </c>
      <c r="D5505" s="9" t="inlineStr">
        <is>
          <t>Short</t>
        </is>
      </c>
      <c r="E5505" s="10" t="n">
        <v>45912.53125</v>
      </c>
      <c r="F5505" s="10" t="n">
        <v>45915.48958333334</v>
      </c>
      <c r="G5505" s="11" t="n">
        <v>-1.04</v>
      </c>
      <c r="H5505" s="11">
        <f>H5504+G5505</f>
        <v/>
      </c>
    </row>
    <row r="5506">
      <c r="A5506" s="9" t="n">
        <v>5502</v>
      </c>
      <c r="B5506" s="9" t="inlineStr">
        <is>
          <t>Meridian</t>
        </is>
      </c>
      <c r="C5506" s="9" t="inlineStr">
        <is>
          <t>21/50 MA cross, 250-period confirm filter, VWAP</t>
        </is>
      </c>
      <c r="D5506" s="9" t="inlineStr">
        <is>
          <t>Long</t>
        </is>
      </c>
      <c r="E5506" s="10" t="n">
        <v>45915.5</v>
      </c>
      <c r="F5506" s="10" t="n">
        <v>45915.51388888889</v>
      </c>
      <c r="G5506" s="11" t="n">
        <v>-5.15</v>
      </c>
      <c r="H5506" s="11">
        <f>H5505+G5506</f>
        <v/>
      </c>
    </row>
    <row r="5507">
      <c r="A5507" s="9" t="n">
        <v>5503</v>
      </c>
      <c r="B5507" s="9" t="inlineStr">
        <is>
          <t>Meridian</t>
        </is>
      </c>
      <c r="C5507" s="9" t="inlineStr">
        <is>
          <t>21/50 MA cross, 250-period confirm filter, VWAP</t>
        </is>
      </c>
      <c r="D5507" s="9" t="inlineStr">
        <is>
          <t>Short</t>
        </is>
      </c>
      <c r="E5507" s="10" t="n">
        <v>45915.52777777778</v>
      </c>
      <c r="F5507" s="10" t="n">
        <v>45915.54166666666</v>
      </c>
      <c r="G5507" s="11" t="n">
        <v>-5.41</v>
      </c>
      <c r="H5507" s="11">
        <f>H5506+G5507</f>
        <v/>
      </c>
    </row>
    <row r="5508">
      <c r="A5508" s="9" t="n">
        <v>5504</v>
      </c>
      <c r="B5508" s="9" t="inlineStr">
        <is>
          <t>Meridian</t>
        </is>
      </c>
      <c r="C5508" s="9" t="inlineStr">
        <is>
          <t>21/50 MA cross, 250-period confirm filter, VWAP</t>
        </is>
      </c>
      <c r="D5508" s="9" t="inlineStr">
        <is>
          <t>Long</t>
        </is>
      </c>
      <c r="E5508" s="10" t="n">
        <v>45915.55555555555</v>
      </c>
      <c r="F5508" s="10" t="n">
        <v>45915.57638888889</v>
      </c>
      <c r="G5508" s="11" t="n">
        <v>-5.59</v>
      </c>
      <c r="H5508" s="11">
        <f>H5507+G5508</f>
        <v/>
      </c>
    </row>
    <row r="5509">
      <c r="A5509" s="9" t="n">
        <v>5505</v>
      </c>
      <c r="B5509" s="9" t="inlineStr">
        <is>
          <t>Ratchet</t>
        </is>
      </c>
      <c r="C5509" s="9" t="inlineStr">
        <is>
          <t>Stochastic scalp with give-back trail exit</t>
        </is>
      </c>
      <c r="D5509" s="9" t="inlineStr">
        <is>
          <t>Long</t>
        </is>
      </c>
      <c r="E5509" s="10" t="n">
        <v>45915.61111111111</v>
      </c>
      <c r="F5509" s="10" t="n">
        <v>45915.61458333334</v>
      </c>
      <c r="G5509" s="11" t="n">
        <v>0</v>
      </c>
      <c r="H5509" s="11">
        <f>H5508+G5509</f>
        <v/>
      </c>
    </row>
    <row r="5510">
      <c r="A5510" s="9" t="n">
        <v>5506</v>
      </c>
      <c r="B5510" s="9" t="inlineStr">
        <is>
          <t>Meridian</t>
        </is>
      </c>
      <c r="C5510" s="9" t="inlineStr">
        <is>
          <t>21/50 MA cross, 250-period confirm filter, VWAP</t>
        </is>
      </c>
      <c r="D5510" s="9" t="inlineStr">
        <is>
          <t>Short</t>
        </is>
      </c>
      <c r="E5510" s="10" t="n">
        <v>45915.64583333334</v>
      </c>
      <c r="F5510" s="10" t="n">
        <v>45915.64930555555</v>
      </c>
      <c r="G5510" s="11" t="n">
        <v>-5.63</v>
      </c>
      <c r="H5510" s="11">
        <f>H5509+G5510</f>
        <v/>
      </c>
    </row>
    <row r="5511">
      <c r="A5511" s="9" t="n">
        <v>5507</v>
      </c>
      <c r="B5511" s="9" t="inlineStr">
        <is>
          <t>Ratchet</t>
        </is>
      </c>
      <c r="C5511" s="9" t="inlineStr">
        <is>
          <t>Stochastic scalp with give-back trail exit</t>
        </is>
      </c>
      <c r="D5511" s="9" t="inlineStr">
        <is>
          <t>Long</t>
        </is>
      </c>
      <c r="E5511" s="10" t="n">
        <v>45915.68055555555</v>
      </c>
      <c r="F5511" s="10" t="n">
        <v>45915.70833333334</v>
      </c>
      <c r="G5511" s="11" t="n">
        <v>3.9</v>
      </c>
      <c r="H5511" s="11">
        <f>H5510+G5511</f>
        <v/>
      </c>
    </row>
    <row r="5512">
      <c r="A5512" s="9" t="n">
        <v>5508</v>
      </c>
      <c r="B5512" s="9" t="inlineStr">
        <is>
          <t>Ratchet</t>
        </is>
      </c>
      <c r="C5512" s="9" t="inlineStr">
        <is>
          <t>Stochastic scalp with give-back trail exit</t>
        </is>
      </c>
      <c r="D5512" s="9" t="inlineStr">
        <is>
          <t>Long</t>
        </is>
      </c>
      <c r="E5512" s="10" t="n">
        <v>45915.82638888889</v>
      </c>
      <c r="F5512" s="10" t="n">
        <v>45915.84722222222</v>
      </c>
      <c r="G5512" s="11" t="n">
        <v>0</v>
      </c>
      <c r="H5512" s="11">
        <f>H5511+G5512</f>
        <v/>
      </c>
    </row>
    <row r="5513">
      <c r="A5513" s="9" t="n">
        <v>5509</v>
      </c>
      <c r="B5513" s="9" t="inlineStr">
        <is>
          <t>Ratchet</t>
        </is>
      </c>
      <c r="C5513" s="9" t="inlineStr">
        <is>
          <t>Stochastic scalp with give-back trail exit</t>
        </is>
      </c>
      <c r="D5513" s="9" t="inlineStr">
        <is>
          <t>Long</t>
        </is>
      </c>
      <c r="E5513" s="10" t="n">
        <v>45915.93055555555</v>
      </c>
      <c r="F5513" s="10" t="n">
        <v>45915.95486111111</v>
      </c>
      <c r="G5513" s="11" t="n">
        <v>0.66</v>
      </c>
      <c r="H5513" s="11">
        <f>H5512+G5513</f>
        <v/>
      </c>
    </row>
    <row r="5514">
      <c r="A5514" s="9" t="n">
        <v>5510</v>
      </c>
      <c r="B5514" s="9" t="inlineStr">
        <is>
          <t>Ratchet</t>
        </is>
      </c>
      <c r="C5514" s="9" t="inlineStr">
        <is>
          <t>Stochastic scalp with give-back trail exit</t>
        </is>
      </c>
      <c r="D5514" s="9" t="inlineStr">
        <is>
          <t>Long</t>
        </is>
      </c>
      <c r="E5514" s="10" t="n">
        <v>45915.96180555555</v>
      </c>
      <c r="F5514" s="10" t="n">
        <v>45915.99652777778</v>
      </c>
      <c r="G5514" s="11" t="n">
        <v>-0.99</v>
      </c>
      <c r="H5514" s="11">
        <f>H5513+G5514</f>
        <v/>
      </c>
    </row>
    <row r="5515">
      <c r="A5515" s="9" t="n">
        <v>5511</v>
      </c>
      <c r="B5515" s="9" t="inlineStr">
        <is>
          <t>Aurelius_M5</t>
        </is>
      </c>
      <c r="C5515" s="9" t="inlineStr">
        <is>
          <t>MA alignment (EMA21&gt;EMA50&gt;SMA250&gt;SMMA500 vs EMA2400 trend filter)</t>
        </is>
      </c>
      <c r="D5515" s="9" t="inlineStr">
        <is>
          <t>Long</t>
        </is>
      </c>
      <c r="E5515" s="10" t="n">
        <v>45915.68402777778</v>
      </c>
      <c r="F5515" s="10" t="n">
        <v>45916.04166666666</v>
      </c>
      <c r="G5515" s="11" t="n">
        <v>27.25</v>
      </c>
      <c r="H5515" s="11">
        <f>H5514+G5515</f>
        <v/>
      </c>
    </row>
    <row r="5516">
      <c r="A5516" s="9" t="n">
        <v>5512</v>
      </c>
      <c r="B5516" s="9" t="inlineStr">
        <is>
          <t>Meridian</t>
        </is>
      </c>
      <c r="C5516" s="9" t="inlineStr">
        <is>
          <t>21/50 MA cross, 250-period confirm filter, VWAP</t>
        </is>
      </c>
      <c r="D5516" s="9" t="inlineStr">
        <is>
          <t>Long</t>
        </is>
      </c>
      <c r="E5516" s="10" t="n">
        <v>45915.65625</v>
      </c>
      <c r="F5516" s="10" t="n">
        <v>45916.13194444445</v>
      </c>
      <c r="G5516" s="11" t="n">
        <v>32.8</v>
      </c>
      <c r="H5516" s="11">
        <f>H5515+G5516</f>
        <v/>
      </c>
    </row>
    <row r="5517">
      <c r="A5517" s="9" t="n">
        <v>5513</v>
      </c>
      <c r="B5517" s="9" t="inlineStr">
        <is>
          <t>Ratchet</t>
        </is>
      </c>
      <c r="C5517" s="9" t="inlineStr">
        <is>
          <t>Stochastic scalp with give-back trail exit</t>
        </is>
      </c>
      <c r="D5517" s="9" t="inlineStr">
        <is>
          <t>Long</t>
        </is>
      </c>
      <c r="E5517" s="10" t="n">
        <v>45916.21875</v>
      </c>
      <c r="F5517" s="10" t="n">
        <v>45916.23263888889</v>
      </c>
      <c r="G5517" s="11" t="n">
        <v>-4.47</v>
      </c>
      <c r="H5517" s="11">
        <f>H5516+G5517</f>
        <v/>
      </c>
    </row>
    <row r="5518">
      <c r="A5518" s="9" t="n">
        <v>5514</v>
      </c>
      <c r="B5518" s="9" t="inlineStr">
        <is>
          <t>Meridian</t>
        </is>
      </c>
      <c r="C5518" s="9" t="inlineStr">
        <is>
          <t>21/50 MA cross, 250-period confirm filter, VWAP</t>
        </is>
      </c>
      <c r="D5518" s="9" t="inlineStr">
        <is>
          <t>Long</t>
        </is>
      </c>
      <c r="E5518" s="10" t="n">
        <v>45916.13541666666</v>
      </c>
      <c r="F5518" s="10" t="n">
        <v>45916.23958333334</v>
      </c>
      <c r="G5518" s="11" t="n">
        <v>-3.48</v>
      </c>
      <c r="H5518" s="11">
        <f>H5517+G5518</f>
        <v/>
      </c>
    </row>
    <row r="5519">
      <c r="A5519" s="9" t="n">
        <v>5515</v>
      </c>
      <c r="B5519" s="9" t="inlineStr">
        <is>
          <t>Aurelius_M5</t>
        </is>
      </c>
      <c r="C5519" s="9" t="inlineStr">
        <is>
          <t>MA alignment (EMA21&gt;EMA50&gt;SMA250&gt;SMMA500 vs EMA2400 trend filter)</t>
        </is>
      </c>
      <c r="D5519" s="9" t="inlineStr">
        <is>
          <t>Long</t>
        </is>
      </c>
      <c r="E5519" s="10" t="n">
        <v>45916.17013888889</v>
      </c>
      <c r="F5519" s="10" t="n">
        <v>45916.23958333334</v>
      </c>
      <c r="G5519" s="11" t="n">
        <v>-5.91</v>
      </c>
      <c r="H5519" s="11">
        <f>H5518+G5519</f>
        <v/>
      </c>
    </row>
    <row r="5520">
      <c r="A5520" s="9" t="n">
        <v>5516</v>
      </c>
      <c r="B5520" s="9" t="inlineStr">
        <is>
          <t>Ratchet</t>
        </is>
      </c>
      <c r="C5520" s="9" t="inlineStr">
        <is>
          <t>Stochastic scalp with give-back trail exit</t>
        </is>
      </c>
      <c r="D5520" s="9" t="inlineStr">
        <is>
          <t>Long</t>
        </is>
      </c>
      <c r="E5520" s="10" t="n">
        <v>45916.30208333334</v>
      </c>
      <c r="F5520" s="10" t="n">
        <v>45916.31597222222</v>
      </c>
      <c r="G5520" s="11" t="n">
        <v>-2.33</v>
      </c>
      <c r="H5520" s="11">
        <f>H5519+G5520</f>
        <v/>
      </c>
    </row>
    <row r="5521">
      <c r="A5521" s="9" t="n">
        <v>5517</v>
      </c>
      <c r="B5521" s="9" t="inlineStr">
        <is>
          <t>Ratchet</t>
        </is>
      </c>
      <c r="C5521" s="9" t="inlineStr">
        <is>
          <t>Stochastic scalp with give-back trail exit</t>
        </is>
      </c>
      <c r="D5521" s="9" t="inlineStr">
        <is>
          <t>Long</t>
        </is>
      </c>
      <c r="E5521" s="10" t="n">
        <v>45916.47916666666</v>
      </c>
      <c r="F5521" s="10" t="n">
        <v>45916.51736111111</v>
      </c>
      <c r="G5521" s="11" t="n">
        <v>0.67</v>
      </c>
      <c r="H5521" s="11">
        <f>H5520+G5521</f>
        <v/>
      </c>
    </row>
    <row r="5522">
      <c r="A5522" s="9" t="n">
        <v>5518</v>
      </c>
      <c r="B5522" s="9" t="inlineStr">
        <is>
          <t>Vanguard_M5</t>
        </is>
      </c>
      <c r="C5522" s="9" t="inlineStr">
        <is>
          <t>Trendline breakout (fractal swing line) + VWAP/S-R distance gate</t>
        </is>
      </c>
      <c r="D5522" s="9" t="inlineStr">
        <is>
          <t>Long</t>
        </is>
      </c>
      <c r="E5522" s="10" t="n">
        <v>45915.66666666666</v>
      </c>
      <c r="F5522" s="10" t="n">
        <v>45916.59722222222</v>
      </c>
      <c r="G5522" s="11" t="n">
        <v>40.52</v>
      </c>
      <c r="H5522" s="11">
        <f>H5521+G5522</f>
        <v/>
      </c>
    </row>
    <row r="5523">
      <c r="A5523" s="9" t="n">
        <v>5519</v>
      </c>
      <c r="B5523" s="9" t="inlineStr">
        <is>
          <t>Aurelius_M5</t>
        </is>
      </c>
      <c r="C5523" s="9" t="inlineStr">
        <is>
          <t>MA alignment (EMA21&gt;EMA50&gt;SMA250&gt;SMMA500 vs EMA2400 trend filter)</t>
        </is>
      </c>
      <c r="D5523" s="9" t="inlineStr">
        <is>
          <t>Long</t>
        </is>
      </c>
      <c r="E5523" s="10" t="n">
        <v>45916.38194444445</v>
      </c>
      <c r="F5523" s="10" t="n">
        <v>45916.60416666666</v>
      </c>
      <c r="G5523" s="11" t="n">
        <v>10.39</v>
      </c>
      <c r="H5523" s="11">
        <f>H5522+G5523</f>
        <v/>
      </c>
    </row>
    <row r="5524">
      <c r="A5524" s="9" t="n">
        <v>5520</v>
      </c>
      <c r="B5524" s="9" t="inlineStr">
        <is>
          <t>Vanguard_M15</t>
        </is>
      </c>
      <c r="C5524" s="9" t="inlineStr">
        <is>
          <t>Trendline breakout (fractal swing line) + VWAP/S-R distance gate - M15 chart</t>
        </is>
      </c>
      <c r="D5524" s="9" t="inlineStr">
        <is>
          <t>Long</t>
        </is>
      </c>
      <c r="E5524" s="10" t="n">
        <v>45915.66666666666</v>
      </c>
      <c r="F5524" s="10" t="n">
        <v>45916.63541666666</v>
      </c>
      <c r="G5524" s="11" t="n">
        <v>40.59</v>
      </c>
      <c r="H5524" s="11">
        <f>H5523+G5524</f>
        <v/>
      </c>
    </row>
    <row r="5525">
      <c r="A5525" s="9" t="n">
        <v>5521</v>
      </c>
      <c r="B5525" s="9" t="inlineStr">
        <is>
          <t>Aurelius_M5</t>
        </is>
      </c>
      <c r="C5525" s="9" t="inlineStr">
        <is>
          <t>MA alignment (EMA21&gt;EMA50&gt;SMA250&gt;SMMA500 vs EMA2400 trend filter)</t>
        </is>
      </c>
      <c r="D5525" s="9" t="inlineStr">
        <is>
          <t>Long</t>
        </is>
      </c>
      <c r="E5525" s="10" t="n">
        <v>45916.62152777778</v>
      </c>
      <c r="F5525" s="10" t="n">
        <v>45916.63541666666</v>
      </c>
      <c r="G5525" s="11" t="n">
        <v>-4.81</v>
      </c>
      <c r="H5525" s="11">
        <f>H5524+G5525</f>
        <v/>
      </c>
    </row>
    <row r="5526">
      <c r="A5526" s="9" t="n">
        <v>5522</v>
      </c>
      <c r="B5526" s="9" t="inlineStr">
        <is>
          <t>Meridian</t>
        </is>
      </c>
      <c r="C5526" s="9" t="inlineStr">
        <is>
          <t>21/50 MA cross, 250-period confirm filter, VWAP</t>
        </is>
      </c>
      <c r="D5526" s="9" t="inlineStr">
        <is>
          <t>Long</t>
        </is>
      </c>
      <c r="E5526" s="10" t="n">
        <v>45916.26736111111</v>
      </c>
      <c r="F5526" s="10" t="n">
        <v>45916.65972222222</v>
      </c>
      <c r="G5526" s="11" t="n">
        <v>8.17</v>
      </c>
      <c r="H5526" s="11">
        <f>H5525+G5526</f>
        <v/>
      </c>
    </row>
    <row r="5527">
      <c r="A5527" s="9" t="n">
        <v>5523</v>
      </c>
      <c r="B5527" s="9" t="inlineStr">
        <is>
          <t>Meridian</t>
        </is>
      </c>
      <c r="C5527" s="9" t="inlineStr">
        <is>
          <t>21/50 MA cross, 250-period confirm filter, VWAP</t>
        </is>
      </c>
      <c r="D5527" s="9" t="inlineStr">
        <is>
          <t>Long</t>
        </is>
      </c>
      <c r="E5527" s="10" t="n">
        <v>45916.70486111111</v>
      </c>
      <c r="F5527" s="10" t="n">
        <v>45916.72916666666</v>
      </c>
      <c r="G5527" s="11" t="n">
        <v>-8.119999999999999</v>
      </c>
      <c r="H5527" s="11">
        <f>H5526+G5527</f>
        <v/>
      </c>
    </row>
    <row r="5528">
      <c r="A5528" s="9" t="n">
        <v>5524</v>
      </c>
      <c r="B5528" s="9" t="inlineStr">
        <is>
          <t>Ratchet</t>
        </is>
      </c>
      <c r="C5528" s="9" t="inlineStr">
        <is>
          <t>Stochastic scalp with give-back trail exit</t>
        </is>
      </c>
      <c r="D5528" s="9" t="inlineStr">
        <is>
          <t>Long</t>
        </is>
      </c>
      <c r="E5528" s="10" t="n">
        <v>45916.95486111111</v>
      </c>
      <c r="F5528" s="10" t="n">
        <v>45916.97569444445</v>
      </c>
      <c r="G5528" s="11" t="n">
        <v>2.54</v>
      </c>
      <c r="H5528" s="11">
        <f>H5527+G5528</f>
        <v/>
      </c>
    </row>
    <row r="5529">
      <c r="A5529" s="9" t="n">
        <v>5525</v>
      </c>
      <c r="B5529" s="9" t="inlineStr">
        <is>
          <t>Ratchet</t>
        </is>
      </c>
      <c r="C5529" s="9" t="inlineStr">
        <is>
          <t>Stochastic scalp with give-back trail exit</t>
        </is>
      </c>
      <c r="D5529" s="9" t="inlineStr">
        <is>
          <t>Long</t>
        </is>
      </c>
      <c r="E5529" s="10" t="n">
        <v>45917.06944444445</v>
      </c>
      <c r="F5529" s="10" t="n">
        <v>45917.07291666666</v>
      </c>
      <c r="G5529" s="11" t="n">
        <v>0</v>
      </c>
      <c r="H5529" s="11">
        <f>H5528+G5529</f>
        <v/>
      </c>
    </row>
    <row r="5530">
      <c r="A5530" s="9" t="n">
        <v>5526</v>
      </c>
      <c r="B5530" s="9" t="inlineStr">
        <is>
          <t>Ratchet</t>
        </is>
      </c>
      <c r="C5530" s="9" t="inlineStr">
        <is>
          <t>Stochastic scalp with give-back trail exit</t>
        </is>
      </c>
      <c r="D5530" s="9" t="inlineStr">
        <is>
          <t>Long</t>
        </is>
      </c>
      <c r="E5530" s="10" t="n">
        <v>45917.07986111111</v>
      </c>
      <c r="F5530" s="10" t="n">
        <v>45917.08680555555</v>
      </c>
      <c r="G5530" s="11" t="n">
        <v>0.22</v>
      </c>
      <c r="H5530" s="11">
        <f>H5529+G5530</f>
        <v/>
      </c>
    </row>
    <row r="5531">
      <c r="A5531" s="9" t="n">
        <v>5527</v>
      </c>
      <c r="B5531" s="9" t="inlineStr">
        <is>
          <t>Ratchet</t>
        </is>
      </c>
      <c r="C5531" s="9" t="inlineStr">
        <is>
          <t>Stochastic scalp with give-back trail exit</t>
        </is>
      </c>
      <c r="D5531" s="9" t="inlineStr">
        <is>
          <t>Long</t>
        </is>
      </c>
      <c r="E5531" s="10" t="n">
        <v>45917.13541666666</v>
      </c>
      <c r="F5531" s="10" t="n">
        <v>45917.14236111111</v>
      </c>
      <c r="G5531" s="11" t="n">
        <v>-2.26</v>
      </c>
      <c r="H5531" s="11">
        <f>H5530+G5531</f>
        <v/>
      </c>
    </row>
    <row r="5532">
      <c r="A5532" s="9" t="n">
        <v>5528</v>
      </c>
      <c r="B5532" s="9" t="inlineStr">
        <is>
          <t>Meridian</t>
        </is>
      </c>
      <c r="C5532" s="9" t="inlineStr">
        <is>
          <t>21/50 MA cross, 250-period confirm filter, VWAP</t>
        </is>
      </c>
      <c r="D5532" s="9" t="inlineStr">
        <is>
          <t>Long</t>
        </is>
      </c>
      <c r="E5532" s="10" t="n">
        <v>45916.92013888889</v>
      </c>
      <c r="F5532" s="10" t="n">
        <v>45917.18402777778</v>
      </c>
      <c r="G5532" s="11" t="n">
        <v>-1.12</v>
      </c>
      <c r="H5532" s="11">
        <f>H5531+G5532</f>
        <v/>
      </c>
    </row>
    <row r="5533">
      <c r="A5533" s="9" t="n">
        <v>5529</v>
      </c>
      <c r="B5533" s="9" t="inlineStr">
        <is>
          <t>Aurelius_M15</t>
        </is>
      </c>
      <c r="C5533" s="9" t="inlineStr">
        <is>
          <t>MA alignment (EMA21&gt;EMA50&gt;SMA250&gt;SMMA500 vs EMA2400 trend filter) - M15 chart</t>
        </is>
      </c>
      <c r="D5533" s="9" t="inlineStr">
        <is>
          <t>Long</t>
        </is>
      </c>
      <c r="E5533" s="10" t="n">
        <v>45915.76041666666</v>
      </c>
      <c r="F5533" s="10" t="n">
        <v>45917.21875</v>
      </c>
      <c r="G5533" s="11" t="n">
        <v>16.22</v>
      </c>
      <c r="H5533" s="11">
        <f>H5532+G5533</f>
        <v/>
      </c>
    </row>
    <row r="5534">
      <c r="A5534" s="9" t="n">
        <v>5530</v>
      </c>
      <c r="B5534" s="9" t="inlineStr">
        <is>
          <t>Vanguard_M15</t>
        </is>
      </c>
      <c r="C5534" s="9" t="inlineStr">
        <is>
          <t>Trendline breakout (fractal swing line) + VWAP/S-R distance gate - M15 chart</t>
        </is>
      </c>
      <c r="D5534" s="9" t="inlineStr">
        <is>
          <t>Short</t>
        </is>
      </c>
      <c r="E5534" s="10" t="n">
        <v>45917.19791666666</v>
      </c>
      <c r="F5534" s="10" t="n">
        <v>45917.70833333334</v>
      </c>
      <c r="G5534" s="11" t="n">
        <v>-6.51</v>
      </c>
      <c r="H5534" s="11">
        <f>H5533+G5534</f>
        <v/>
      </c>
    </row>
    <row r="5535">
      <c r="A5535" s="9" t="n">
        <v>5531</v>
      </c>
      <c r="B5535" s="9" t="inlineStr">
        <is>
          <t>Vanguard_M5</t>
        </is>
      </c>
      <c r="C5535" s="9" t="inlineStr">
        <is>
          <t>Trendline breakout (fractal swing line) + VWAP/S-R distance gate</t>
        </is>
      </c>
      <c r="D5535" s="9" t="inlineStr">
        <is>
          <t>Short</t>
        </is>
      </c>
      <c r="E5535" s="10" t="n">
        <v>45917.19097222222</v>
      </c>
      <c r="F5535" s="10" t="n">
        <v>45917.71527777778</v>
      </c>
      <c r="G5535" s="11" t="n">
        <v>-2.59</v>
      </c>
      <c r="H5535" s="11">
        <f>H5534+G5535</f>
        <v/>
      </c>
    </row>
    <row r="5536">
      <c r="A5536" s="9" t="n">
        <v>5532</v>
      </c>
      <c r="B5536" s="9" t="inlineStr">
        <is>
          <t>Vanguard_M5</t>
        </is>
      </c>
      <c r="C5536" s="9" t="inlineStr">
        <is>
          <t>Trendline breakout (fractal swing line) + VWAP/S-R distance gate</t>
        </is>
      </c>
      <c r="D5536" s="9" t="inlineStr">
        <is>
          <t>Long</t>
        </is>
      </c>
      <c r="E5536" s="10" t="n">
        <v>45917.71875</v>
      </c>
      <c r="F5536" s="10" t="n">
        <v>45917.77777777778</v>
      </c>
      <c r="G5536" s="11" t="n">
        <v>0.71</v>
      </c>
      <c r="H5536" s="11">
        <f>H5535+G5536</f>
        <v/>
      </c>
    </row>
    <row r="5537">
      <c r="A5537" s="9" t="n">
        <v>5533</v>
      </c>
      <c r="B5537" s="9" t="inlineStr">
        <is>
          <t>Vanguard_M15</t>
        </is>
      </c>
      <c r="C5537" s="9" t="inlineStr">
        <is>
          <t>Trendline breakout (fractal swing line) + VWAP/S-R distance gate - M15 chart</t>
        </is>
      </c>
      <c r="D5537" s="9" t="inlineStr">
        <is>
          <t>Long</t>
        </is>
      </c>
      <c r="E5537" s="10" t="n">
        <v>45917.71875</v>
      </c>
      <c r="F5537" s="10" t="n">
        <v>45917.8125</v>
      </c>
      <c r="G5537" s="11" t="n">
        <v>1.96</v>
      </c>
      <c r="H5537" s="11">
        <f>H5536+G5537</f>
        <v/>
      </c>
    </row>
    <row r="5538">
      <c r="A5538" s="9" t="n">
        <v>5534</v>
      </c>
      <c r="B5538" s="9" t="inlineStr">
        <is>
          <t>Aurelius_M5</t>
        </is>
      </c>
      <c r="C5538" s="9" t="inlineStr">
        <is>
          <t>MA alignment (EMA21&gt;EMA50&gt;SMA250&gt;SMMA500 vs EMA2400 trend filter)</t>
        </is>
      </c>
      <c r="D5538" s="9" t="inlineStr">
        <is>
          <t>Long</t>
        </is>
      </c>
      <c r="E5538" s="10" t="n">
        <v>45917.87847222222</v>
      </c>
      <c r="F5538" s="10" t="n">
        <v>45917.89583333334</v>
      </c>
      <c r="G5538" s="11" t="n">
        <v>-12.4</v>
      </c>
      <c r="H5538" s="11">
        <f>H5537+G5538</f>
        <v/>
      </c>
    </row>
    <row r="5539">
      <c r="A5539" s="9" t="n">
        <v>5535</v>
      </c>
      <c r="B5539" s="9" t="inlineStr">
        <is>
          <t>Aurelius_M15</t>
        </is>
      </c>
      <c r="C5539" s="9" t="inlineStr">
        <is>
          <t>MA alignment (EMA21&gt;EMA50&gt;SMA250&gt;SMMA500 vs EMA2400 trend filter) - M15 chart</t>
        </is>
      </c>
      <c r="D5539" s="9" t="inlineStr">
        <is>
          <t>Long</t>
        </is>
      </c>
      <c r="E5539" s="10" t="n">
        <v>45917.88541666666</v>
      </c>
      <c r="F5539" s="10" t="n">
        <v>45917.89583333334</v>
      </c>
      <c r="G5539" s="11" t="n">
        <v>-18.44</v>
      </c>
      <c r="H5539" s="11">
        <f>H5538+G5539</f>
        <v/>
      </c>
    </row>
    <row r="5540">
      <c r="A5540" s="9" t="n">
        <v>5536</v>
      </c>
      <c r="B5540" s="9" t="inlineStr">
        <is>
          <t>Meridian</t>
        </is>
      </c>
      <c r="C5540" s="9" t="inlineStr">
        <is>
          <t>21/50 MA cross, 250-period confirm filter, VWAP</t>
        </is>
      </c>
      <c r="D5540" s="9" t="inlineStr">
        <is>
          <t>Short</t>
        </is>
      </c>
      <c r="E5540" s="10" t="n">
        <v>45917.90625</v>
      </c>
      <c r="F5540" s="10" t="n">
        <v>45918.12152777778</v>
      </c>
      <c r="G5540" s="11" t="n">
        <v>-6.47</v>
      </c>
      <c r="H5540" s="11">
        <f>H5539+G5540</f>
        <v/>
      </c>
    </row>
    <row r="5541">
      <c r="A5541" s="9" t="n">
        <v>5537</v>
      </c>
      <c r="B5541" s="9" t="inlineStr">
        <is>
          <t>Meridian</t>
        </is>
      </c>
      <c r="C5541" s="9" t="inlineStr">
        <is>
          <t>21/50 MA cross, 250-period confirm filter, VWAP</t>
        </is>
      </c>
      <c r="D5541" s="9" t="inlineStr">
        <is>
          <t>Short</t>
        </is>
      </c>
      <c r="E5541" s="10" t="n">
        <v>45918.13541666666</v>
      </c>
      <c r="F5541" s="10" t="n">
        <v>45918.46875</v>
      </c>
      <c r="G5541" s="11" t="n">
        <v>8.56</v>
      </c>
      <c r="H5541" s="11">
        <f>H5540+G5541</f>
        <v/>
      </c>
    </row>
    <row r="5542">
      <c r="A5542" s="9" t="n">
        <v>5538</v>
      </c>
      <c r="B5542" s="9" t="inlineStr">
        <is>
          <t>Ratchet</t>
        </is>
      </c>
      <c r="C5542" s="9" t="inlineStr">
        <is>
          <t>Stochastic scalp with give-back trail exit</t>
        </is>
      </c>
      <c r="D5542" s="9" t="inlineStr">
        <is>
          <t>Short</t>
        </is>
      </c>
      <c r="E5542" s="10" t="n">
        <v>45918.70486111111</v>
      </c>
      <c r="F5542" s="10" t="n">
        <v>45918.70833333334</v>
      </c>
      <c r="G5542" s="11" t="n">
        <v>-10.38</v>
      </c>
      <c r="H5542" s="11">
        <f>H5541+G5542</f>
        <v/>
      </c>
    </row>
    <row r="5543">
      <c r="A5543" s="9" t="n">
        <v>5539</v>
      </c>
      <c r="B5543" s="9" t="inlineStr">
        <is>
          <t>Ratchet</t>
        </is>
      </c>
      <c r="C5543" s="9" t="inlineStr">
        <is>
          <t>Stochastic scalp with give-back trail exit</t>
        </is>
      </c>
      <c r="D5543" s="9" t="inlineStr">
        <is>
          <t>Short</t>
        </is>
      </c>
      <c r="E5543" s="10" t="n">
        <v>45918.72916666666</v>
      </c>
      <c r="F5543" s="10" t="n">
        <v>45918.82986111111</v>
      </c>
      <c r="G5543" s="11" t="n">
        <v>-11.47</v>
      </c>
      <c r="H5543" s="11">
        <f>H5542+G5543</f>
        <v/>
      </c>
    </row>
    <row r="5544">
      <c r="A5544" s="9" t="n">
        <v>5540</v>
      </c>
      <c r="B5544" s="9" t="inlineStr">
        <is>
          <t>Vanguard_M5</t>
        </is>
      </c>
      <c r="C5544" s="9" t="inlineStr">
        <is>
          <t>Trendline breakout (fractal swing line) + VWAP/S-R distance gate</t>
        </is>
      </c>
      <c r="D5544" s="9" t="inlineStr">
        <is>
          <t>Long</t>
        </is>
      </c>
      <c r="E5544" s="10" t="n">
        <v>45919.12847222222</v>
      </c>
      <c r="F5544" s="10" t="n">
        <v>45919.13541666666</v>
      </c>
      <c r="G5544" s="11" t="n">
        <v>-5.05</v>
      </c>
      <c r="H5544" s="11">
        <f>H5543+G5544</f>
        <v/>
      </c>
    </row>
    <row r="5545">
      <c r="A5545" s="9" t="n">
        <v>5541</v>
      </c>
      <c r="B5545" s="9" t="inlineStr">
        <is>
          <t>Meridian</t>
        </is>
      </c>
      <c r="C5545" s="9" t="inlineStr">
        <is>
          <t>21/50 MA cross, 250-period confirm filter, VWAP</t>
        </is>
      </c>
      <c r="D5545" s="9" t="inlineStr">
        <is>
          <t>Short</t>
        </is>
      </c>
      <c r="E5545" s="10" t="n">
        <v>45919.04861111111</v>
      </c>
      <c r="F5545" s="10" t="n">
        <v>45919.17013888889</v>
      </c>
      <c r="G5545" s="11" t="n">
        <v>-2.71</v>
      </c>
      <c r="H5545" s="11">
        <f>H5544+G5545</f>
        <v/>
      </c>
    </row>
    <row r="5546">
      <c r="A5546" s="9" t="n">
        <v>5542</v>
      </c>
      <c r="B5546" s="9" t="inlineStr">
        <is>
          <t>Vanguard_M5</t>
        </is>
      </c>
      <c r="C5546" s="9" t="inlineStr">
        <is>
          <t>Trendline breakout (fractal swing line) + VWAP/S-R distance gate</t>
        </is>
      </c>
      <c r="D5546" s="9" t="inlineStr">
        <is>
          <t>Long</t>
        </is>
      </c>
      <c r="E5546" s="10" t="n">
        <v>45919.16319444445</v>
      </c>
      <c r="F5546" s="10" t="n">
        <v>45919.20138888889</v>
      </c>
      <c r="G5546" s="11" t="n">
        <v>-6.7</v>
      </c>
      <c r="H5546" s="11">
        <f>H5545+G5546</f>
        <v/>
      </c>
    </row>
    <row r="5547">
      <c r="A5547" s="9" t="n">
        <v>5543</v>
      </c>
      <c r="B5547" s="9" t="inlineStr">
        <is>
          <t>Meridian</t>
        </is>
      </c>
      <c r="C5547" s="9" t="inlineStr">
        <is>
          <t>21/50 MA cross, 250-period confirm filter, VWAP</t>
        </is>
      </c>
      <c r="D5547" s="9" t="inlineStr">
        <is>
          <t>Short</t>
        </is>
      </c>
      <c r="E5547" s="10" t="n">
        <v>45919.40625</v>
      </c>
      <c r="F5547" s="10" t="n">
        <v>45919.44791666666</v>
      </c>
      <c r="G5547" s="11" t="n">
        <v>-6.97</v>
      </c>
      <c r="H5547" s="11">
        <f>H5546+G5547</f>
        <v/>
      </c>
    </row>
    <row r="5548">
      <c r="A5548" s="9" t="n">
        <v>5544</v>
      </c>
      <c r="B5548" s="9" t="inlineStr">
        <is>
          <t>Meridian</t>
        </is>
      </c>
      <c r="C5548" s="9" t="inlineStr">
        <is>
          <t>21/50 MA cross, 250-period confirm filter, VWAP</t>
        </is>
      </c>
      <c r="D5548" s="9" t="inlineStr">
        <is>
          <t>Long</t>
        </is>
      </c>
      <c r="E5548" s="10" t="n">
        <v>45919.45486111111</v>
      </c>
      <c r="F5548" s="10" t="n">
        <v>45919.60763888889</v>
      </c>
      <c r="G5548" s="11" t="n">
        <v>-3.81</v>
      </c>
      <c r="H5548" s="11">
        <f>H5547+G5548</f>
        <v/>
      </c>
    </row>
    <row r="5549">
      <c r="A5549" s="9" t="n">
        <v>5545</v>
      </c>
      <c r="B5549" s="9" t="inlineStr">
        <is>
          <t>Meridian</t>
        </is>
      </c>
      <c r="C5549" s="9" t="inlineStr">
        <is>
          <t>21/50 MA cross, 250-period confirm filter, VWAP</t>
        </is>
      </c>
      <c r="D5549" s="9" t="inlineStr">
        <is>
          <t>Long</t>
        </is>
      </c>
      <c r="E5549" s="10" t="n">
        <v>45919.70138888889</v>
      </c>
      <c r="F5549" s="10" t="n">
        <v>45919.91666666666</v>
      </c>
      <c r="G5549" s="11" t="n">
        <v>25.38</v>
      </c>
      <c r="H5549" s="11">
        <f>H5548+G5549</f>
        <v/>
      </c>
    </row>
    <row r="5550">
      <c r="A5550" s="9" t="n">
        <v>5546</v>
      </c>
      <c r="B5550" s="9" t="inlineStr">
        <is>
          <t>Ratchet</t>
        </is>
      </c>
      <c r="C5550" s="9" t="inlineStr">
        <is>
          <t>Stochastic scalp with give-back trail exit</t>
        </is>
      </c>
      <c r="D5550" s="9" t="inlineStr">
        <is>
          <t>Long</t>
        </is>
      </c>
      <c r="E5550" s="10" t="n">
        <v>45922.27083333334</v>
      </c>
      <c r="F5550" s="10" t="n">
        <v>45922.29513888889</v>
      </c>
      <c r="G5550" s="11" t="n">
        <v>1.42</v>
      </c>
      <c r="H5550" s="11">
        <f>H5549+G5550</f>
        <v/>
      </c>
    </row>
    <row r="5551">
      <c r="A5551" s="9" t="n">
        <v>5547</v>
      </c>
      <c r="B5551" s="9" t="inlineStr">
        <is>
          <t>Ratchet</t>
        </is>
      </c>
      <c r="C5551" s="9" t="inlineStr">
        <is>
          <t>Stochastic scalp with give-back trail exit</t>
        </is>
      </c>
      <c r="D5551" s="9" t="inlineStr">
        <is>
          <t>Long</t>
        </is>
      </c>
      <c r="E5551" s="10" t="n">
        <v>45922.34027777778</v>
      </c>
      <c r="F5551" s="10" t="n">
        <v>45922.39930555555</v>
      </c>
      <c r="G5551" s="11" t="n">
        <v>15.48</v>
      </c>
      <c r="H5551" s="11">
        <f>H5550+G5551</f>
        <v/>
      </c>
    </row>
    <row r="5552">
      <c r="A5552" s="9" t="n">
        <v>5548</v>
      </c>
      <c r="B5552" s="9" t="inlineStr">
        <is>
          <t>Ratchet</t>
        </is>
      </c>
      <c r="C5552" s="9" t="inlineStr">
        <is>
          <t>Stochastic scalp with give-back trail exit</t>
        </is>
      </c>
      <c r="D5552" s="9" t="inlineStr">
        <is>
          <t>Long</t>
        </is>
      </c>
      <c r="E5552" s="10" t="n">
        <v>45922.54861111111</v>
      </c>
      <c r="F5552" s="10" t="n">
        <v>45922.56597222222</v>
      </c>
      <c r="G5552" s="11" t="n">
        <v>0.97</v>
      </c>
      <c r="H5552" s="11">
        <f>H5551+G5552</f>
        <v/>
      </c>
    </row>
    <row r="5553">
      <c r="A5553" s="9" t="n">
        <v>5549</v>
      </c>
      <c r="B5553" s="9" t="inlineStr">
        <is>
          <t>Ratchet</t>
        </is>
      </c>
      <c r="C5553" s="9" t="inlineStr">
        <is>
          <t>Stochastic scalp with give-back trail exit</t>
        </is>
      </c>
      <c r="D5553" s="9" t="inlineStr">
        <is>
          <t>Long</t>
        </is>
      </c>
      <c r="E5553" s="10" t="n">
        <v>45922.57986111111</v>
      </c>
      <c r="F5553" s="10" t="n">
        <v>45922.61111111111</v>
      </c>
      <c r="G5553" s="11" t="n">
        <v>-3.57</v>
      </c>
      <c r="H5553" s="11">
        <f>H5552+G5553</f>
        <v/>
      </c>
    </row>
    <row r="5554">
      <c r="A5554" s="9" t="n">
        <v>5550</v>
      </c>
      <c r="B5554" s="9" t="inlineStr">
        <is>
          <t>Ratchet</t>
        </is>
      </c>
      <c r="C5554" s="9" t="inlineStr">
        <is>
          <t>Stochastic scalp with give-back trail exit</t>
        </is>
      </c>
      <c r="D5554" s="9" t="inlineStr">
        <is>
          <t>Long</t>
        </is>
      </c>
      <c r="E5554" s="10" t="n">
        <v>45922.68055555555</v>
      </c>
      <c r="F5554" s="10" t="n">
        <v>45922.6875</v>
      </c>
      <c r="G5554" s="11" t="n">
        <v>-6.79</v>
      </c>
      <c r="H5554" s="11">
        <f>H5553+G5554</f>
        <v/>
      </c>
    </row>
    <row r="5555">
      <c r="A5555" s="9" t="n">
        <v>5551</v>
      </c>
      <c r="B5555" s="9" t="inlineStr">
        <is>
          <t>Aurelius_M5</t>
        </is>
      </c>
      <c r="C5555" s="9" t="inlineStr">
        <is>
          <t>MA alignment (EMA21&gt;EMA50&gt;SMA250&gt;SMMA500 vs EMA2400 trend filter)</t>
        </is>
      </c>
      <c r="D5555" s="9" t="inlineStr">
        <is>
          <t>Long</t>
        </is>
      </c>
      <c r="E5555" s="10" t="n">
        <v>45922.20833333334</v>
      </c>
      <c r="F5555" s="10" t="n">
        <v>45922.70138888889</v>
      </c>
      <c r="G5555" s="11" t="n">
        <v>24.84</v>
      </c>
      <c r="H5555" s="11">
        <f>H5554+G5555</f>
        <v/>
      </c>
    </row>
    <row r="5556">
      <c r="A5556" s="9" t="n">
        <v>5552</v>
      </c>
      <c r="B5556" s="9" t="inlineStr">
        <is>
          <t>Meridian</t>
        </is>
      </c>
      <c r="C5556" s="9" t="inlineStr">
        <is>
          <t>21/50 MA cross, 250-period confirm filter, VWAP</t>
        </is>
      </c>
      <c r="D5556" s="9" t="inlineStr">
        <is>
          <t>Long</t>
        </is>
      </c>
      <c r="E5556" s="10" t="n">
        <v>45922.70833333334</v>
      </c>
      <c r="F5556" s="10" t="n">
        <v>45922.71180555555</v>
      </c>
      <c r="G5556" s="11" t="n">
        <v>-4.32</v>
      </c>
      <c r="H5556" s="11">
        <f>H5555+G5556</f>
        <v/>
      </c>
    </row>
    <row r="5557">
      <c r="A5557" s="9" t="n">
        <v>5553</v>
      </c>
      <c r="B5557" s="9" t="inlineStr">
        <is>
          <t>Meridian</t>
        </is>
      </c>
      <c r="C5557" s="9" t="inlineStr">
        <is>
          <t>21/50 MA cross, 250-period confirm filter, VWAP</t>
        </is>
      </c>
      <c r="D5557" s="9" t="inlineStr">
        <is>
          <t>Long</t>
        </is>
      </c>
      <c r="E5557" s="10" t="n">
        <v>45922.71527777778</v>
      </c>
      <c r="F5557" s="10" t="n">
        <v>45922.71875</v>
      </c>
      <c r="G5557" s="11" t="n">
        <v>-2.7</v>
      </c>
      <c r="H5557" s="11">
        <f>H5556+G5557</f>
        <v/>
      </c>
    </row>
    <row r="5558">
      <c r="A5558" s="9" t="n">
        <v>5554</v>
      </c>
      <c r="B5558" s="9" t="inlineStr">
        <is>
          <t>Ratchet</t>
        </is>
      </c>
      <c r="C5558" s="9" t="inlineStr">
        <is>
          <t>Stochastic scalp with give-back trail exit</t>
        </is>
      </c>
      <c r="D5558" s="9" t="inlineStr">
        <is>
          <t>Long</t>
        </is>
      </c>
      <c r="E5558" s="10" t="n">
        <v>45922.75</v>
      </c>
      <c r="F5558" s="10" t="n">
        <v>45922.99652777778</v>
      </c>
      <c r="G5558" s="11" t="n">
        <v>21</v>
      </c>
      <c r="H5558" s="11">
        <f>H5557+G5558</f>
        <v/>
      </c>
    </row>
    <row r="5559">
      <c r="A5559" s="9" t="n">
        <v>5555</v>
      </c>
      <c r="B5559" s="9" t="inlineStr">
        <is>
          <t>Aurelius_M5</t>
        </is>
      </c>
      <c r="C5559" s="9" t="inlineStr">
        <is>
          <t>MA alignment (EMA21&gt;EMA50&gt;SMA250&gt;SMMA500 vs EMA2400 trend filter)</t>
        </is>
      </c>
      <c r="D5559" s="9" t="inlineStr">
        <is>
          <t>Long</t>
        </is>
      </c>
      <c r="E5559" s="10" t="n">
        <v>45922.77430555555</v>
      </c>
      <c r="F5559" s="10" t="n">
        <v>45923.04166666666</v>
      </c>
      <c r="G5559" s="11" t="n">
        <v>14.04</v>
      </c>
      <c r="H5559" s="11">
        <f>H5558+G5559</f>
        <v/>
      </c>
    </row>
    <row r="5560">
      <c r="A5560" s="9" t="n">
        <v>5556</v>
      </c>
      <c r="B5560" s="9" t="inlineStr">
        <is>
          <t>Meridian</t>
        </is>
      </c>
      <c r="C5560" s="9" t="inlineStr">
        <is>
          <t>21/50 MA cross, 250-period confirm filter, VWAP</t>
        </is>
      </c>
      <c r="D5560" s="9" t="inlineStr">
        <is>
          <t>Long</t>
        </is>
      </c>
      <c r="E5560" s="10" t="n">
        <v>45922.74652777778</v>
      </c>
      <c r="F5560" s="10" t="n">
        <v>45923.09027777778</v>
      </c>
      <c r="G5560" s="11" t="n">
        <v>16.29</v>
      </c>
      <c r="H5560" s="11">
        <f>H5559+G5560</f>
        <v/>
      </c>
    </row>
    <row r="5561">
      <c r="A5561" s="9" t="n">
        <v>5557</v>
      </c>
      <c r="B5561" s="9" t="inlineStr">
        <is>
          <t>Ratchet</t>
        </is>
      </c>
      <c r="C5561" s="9" t="inlineStr">
        <is>
          <t>Stochastic scalp with give-back trail exit</t>
        </is>
      </c>
      <c r="D5561" s="9" t="inlineStr">
        <is>
          <t>Long</t>
        </is>
      </c>
      <c r="E5561" s="10" t="n">
        <v>45923.10416666666</v>
      </c>
      <c r="F5561" s="10" t="n">
        <v>45923.11805555555</v>
      </c>
      <c r="G5561" s="11" t="n">
        <v>0.58</v>
      </c>
      <c r="H5561" s="11">
        <f>H5560+G5561</f>
        <v/>
      </c>
    </row>
    <row r="5562">
      <c r="A5562" s="9" t="n">
        <v>5558</v>
      </c>
      <c r="B5562" s="9" t="inlineStr">
        <is>
          <t>Ratchet</t>
        </is>
      </c>
      <c r="C5562" s="9" t="inlineStr">
        <is>
          <t>Stochastic scalp with give-back trail exit</t>
        </is>
      </c>
      <c r="D5562" s="9" t="inlineStr">
        <is>
          <t>Long</t>
        </is>
      </c>
      <c r="E5562" s="10" t="n">
        <v>45923.15277777778</v>
      </c>
      <c r="F5562" s="10" t="n">
        <v>45923.16666666666</v>
      </c>
      <c r="G5562" s="11" t="n">
        <v>-3.12</v>
      </c>
      <c r="H5562" s="11">
        <f>H5561+G5562</f>
        <v/>
      </c>
    </row>
    <row r="5563">
      <c r="A5563" s="9" t="n">
        <v>5559</v>
      </c>
      <c r="B5563" s="9" t="inlineStr">
        <is>
          <t>Meridian</t>
        </is>
      </c>
      <c r="C5563" s="9" t="inlineStr">
        <is>
          <t>21/50 MA cross, 250-period confirm filter, VWAP</t>
        </is>
      </c>
      <c r="D5563" s="9" t="inlineStr">
        <is>
          <t>Long</t>
        </is>
      </c>
      <c r="E5563" s="10" t="n">
        <v>45923.10069444445</v>
      </c>
      <c r="F5563" s="10" t="n">
        <v>45923.21527777778</v>
      </c>
      <c r="G5563" s="11" t="n">
        <v>-5.39</v>
      </c>
      <c r="H5563" s="11">
        <f>H5562+G5563</f>
        <v/>
      </c>
    </row>
    <row r="5564">
      <c r="A5564" s="9" t="n">
        <v>5560</v>
      </c>
      <c r="B5564" s="9" t="inlineStr">
        <is>
          <t>Ratchet</t>
        </is>
      </c>
      <c r="C5564" s="9" t="inlineStr">
        <is>
          <t>Stochastic scalp with give-back trail exit</t>
        </is>
      </c>
      <c r="D5564" s="9" t="inlineStr">
        <is>
          <t>Long</t>
        </is>
      </c>
      <c r="E5564" s="10" t="n">
        <v>45923.35069444445</v>
      </c>
      <c r="F5564" s="10" t="n">
        <v>45923.36805555555</v>
      </c>
      <c r="G5564" s="11" t="n">
        <v>9.93</v>
      </c>
      <c r="H5564" s="11">
        <f>H5563+G5564</f>
        <v/>
      </c>
    </row>
    <row r="5565">
      <c r="A5565" s="9" t="n">
        <v>5561</v>
      </c>
      <c r="B5565" s="9" t="inlineStr">
        <is>
          <t>Aurelius_M5</t>
        </is>
      </c>
      <c r="C5565" s="9" t="inlineStr">
        <is>
          <t>MA alignment (EMA21&gt;EMA50&gt;SMA250&gt;SMMA500 vs EMA2400 trend filter)</t>
        </is>
      </c>
      <c r="D5565" s="9" t="inlineStr">
        <is>
          <t>Long</t>
        </is>
      </c>
      <c r="E5565" s="10" t="n">
        <v>45923.36111111111</v>
      </c>
      <c r="F5565" s="10" t="n">
        <v>45923.42013888889</v>
      </c>
      <c r="G5565" s="11" t="n">
        <v>-5.78</v>
      </c>
      <c r="H5565" s="11">
        <f>H5564+G5565</f>
        <v/>
      </c>
    </row>
    <row r="5566">
      <c r="A5566" s="9" t="n">
        <v>5562</v>
      </c>
      <c r="B5566" s="9" t="inlineStr">
        <is>
          <t>Ratchet</t>
        </is>
      </c>
      <c r="C5566" s="9" t="inlineStr">
        <is>
          <t>Stochastic scalp with give-back trail exit</t>
        </is>
      </c>
      <c r="D5566" s="9" t="inlineStr">
        <is>
          <t>Long</t>
        </is>
      </c>
      <c r="E5566" s="10" t="n">
        <v>45923.58680555555</v>
      </c>
      <c r="F5566" s="10" t="n">
        <v>45923.60416666666</v>
      </c>
      <c r="G5566" s="11" t="n">
        <v>1.48</v>
      </c>
      <c r="H5566" s="11">
        <f>H5565+G5566</f>
        <v/>
      </c>
    </row>
    <row r="5567">
      <c r="A5567" s="9" t="n">
        <v>5563</v>
      </c>
      <c r="B5567" s="9" t="inlineStr">
        <is>
          <t>Ratchet</t>
        </is>
      </c>
      <c r="C5567" s="9" t="inlineStr">
        <is>
          <t>Stochastic scalp with give-back trail exit</t>
        </is>
      </c>
      <c r="D5567" s="9" t="inlineStr">
        <is>
          <t>Long</t>
        </is>
      </c>
      <c r="E5567" s="10" t="n">
        <v>45923.65972222222</v>
      </c>
      <c r="F5567" s="10" t="n">
        <v>45923.67708333334</v>
      </c>
      <c r="G5567" s="11" t="n">
        <v>0.66</v>
      </c>
      <c r="H5567" s="11">
        <f>H5566+G5567</f>
        <v/>
      </c>
    </row>
    <row r="5568">
      <c r="A5568" s="9" t="n">
        <v>5564</v>
      </c>
      <c r="B5568" s="9" t="inlineStr">
        <is>
          <t>Ratchet</t>
        </is>
      </c>
      <c r="C5568" s="9" t="inlineStr">
        <is>
          <t>Stochastic scalp with give-back trail exit</t>
        </is>
      </c>
      <c r="D5568" s="9" t="inlineStr">
        <is>
          <t>Long</t>
        </is>
      </c>
      <c r="E5568" s="10" t="n">
        <v>45923.69097222222</v>
      </c>
      <c r="F5568" s="10" t="n">
        <v>45923.69791666666</v>
      </c>
      <c r="G5568" s="11" t="n">
        <v>-5.64</v>
      </c>
      <c r="H5568" s="11">
        <f>H5567+G5568</f>
        <v/>
      </c>
    </row>
    <row r="5569">
      <c r="A5569" s="9" t="n">
        <v>5565</v>
      </c>
      <c r="B5569" s="9" t="inlineStr">
        <is>
          <t>Aurelius_M5</t>
        </is>
      </c>
      <c r="C5569" s="9" t="inlineStr">
        <is>
          <t>MA alignment (EMA21&gt;EMA50&gt;SMA250&gt;SMMA500 vs EMA2400 trend filter)</t>
        </is>
      </c>
      <c r="D5569" s="9" t="inlineStr">
        <is>
          <t>Long</t>
        </is>
      </c>
      <c r="E5569" s="10" t="n">
        <v>45923.70833333334</v>
      </c>
      <c r="F5569" s="10" t="n">
        <v>45923.71875</v>
      </c>
      <c r="G5569" s="11" t="n">
        <v>-10.19</v>
      </c>
      <c r="H5569" s="11">
        <f>H5568+G5569</f>
        <v/>
      </c>
    </row>
    <row r="5570">
      <c r="A5570" s="9" t="n">
        <v>5566</v>
      </c>
      <c r="B5570" s="9" t="inlineStr">
        <is>
          <t>Meridian</t>
        </is>
      </c>
      <c r="C5570" s="9" t="inlineStr">
        <is>
          <t>21/50 MA cross, 250-period confirm filter, VWAP</t>
        </is>
      </c>
      <c r="D5570" s="9" t="inlineStr">
        <is>
          <t>Long</t>
        </is>
      </c>
      <c r="E5570" s="10" t="n">
        <v>45923.35069444445</v>
      </c>
      <c r="F5570" s="10" t="n">
        <v>45923.72916666666</v>
      </c>
      <c r="G5570" s="11" t="n">
        <v>23.34</v>
      </c>
      <c r="H5570" s="11">
        <f>H5569+G5570</f>
        <v/>
      </c>
    </row>
    <row r="5571">
      <c r="A5571" s="9" t="n">
        <v>5567</v>
      </c>
      <c r="B5571" s="9" t="inlineStr">
        <is>
          <t>Vanguard_M15</t>
        </is>
      </c>
      <c r="C5571" s="9" t="inlineStr">
        <is>
          <t>Trendline breakout (fractal swing line) + VWAP/S-R distance gate - M15 chart</t>
        </is>
      </c>
      <c r="D5571" s="9" t="inlineStr">
        <is>
          <t>Long</t>
        </is>
      </c>
      <c r="E5571" s="10" t="n">
        <v>45919.16666666666</v>
      </c>
      <c r="F5571" s="10" t="n">
        <v>45923.90625</v>
      </c>
      <c r="G5571" s="11" t="n">
        <v>116.51</v>
      </c>
      <c r="H5571" s="11">
        <f>H5570+G5571</f>
        <v/>
      </c>
    </row>
    <row r="5572">
      <c r="A5572" s="9" t="n">
        <v>5568</v>
      </c>
      <c r="B5572" s="9" t="inlineStr">
        <is>
          <t>Vanguard_M5</t>
        </is>
      </c>
      <c r="C5572" s="9" t="inlineStr">
        <is>
          <t>Trendline breakout (fractal swing line) + VWAP/S-R distance gate</t>
        </is>
      </c>
      <c r="D5572" s="9" t="inlineStr">
        <is>
          <t>Long</t>
        </is>
      </c>
      <c r="E5572" s="10" t="n">
        <v>45919.69097222222</v>
      </c>
      <c r="F5572" s="10" t="n">
        <v>45923.90972222222</v>
      </c>
      <c r="G5572" s="11" t="n">
        <v>111.22</v>
      </c>
      <c r="H5572" s="11">
        <f>H5571+G5572</f>
        <v/>
      </c>
    </row>
    <row r="5573">
      <c r="A5573" s="9" t="n">
        <v>5569</v>
      </c>
      <c r="B5573" s="9" t="inlineStr">
        <is>
          <t>Meridian</t>
        </is>
      </c>
      <c r="C5573" s="9" t="inlineStr">
        <is>
          <t>21/50 MA cross, 250-period confirm filter, VWAP</t>
        </is>
      </c>
      <c r="D5573" s="9" t="inlineStr">
        <is>
          <t>Long</t>
        </is>
      </c>
      <c r="E5573" s="10" t="n">
        <v>45923.84375</v>
      </c>
      <c r="F5573" s="10" t="n">
        <v>45923.90972222222</v>
      </c>
      <c r="G5573" s="11" t="n">
        <v>-8.890000000000001</v>
      </c>
      <c r="H5573" s="11">
        <f>H5572+G5573</f>
        <v/>
      </c>
    </row>
    <row r="5574">
      <c r="A5574" s="9" t="n">
        <v>5570</v>
      </c>
      <c r="B5574" s="9" t="inlineStr">
        <is>
          <t>Aurelius_M15</t>
        </is>
      </c>
      <c r="C5574" s="9" t="inlineStr">
        <is>
          <t>MA alignment (EMA21&gt;EMA50&gt;SMA250&gt;SMMA500 vs EMA2400 trend filter) - M15 chart</t>
        </is>
      </c>
      <c r="D5574" s="9" t="inlineStr">
        <is>
          <t>Long</t>
        </is>
      </c>
      <c r="E5574" s="10" t="n">
        <v>45923.36458333334</v>
      </c>
      <c r="F5574" s="10" t="n">
        <v>45923.98958333334</v>
      </c>
      <c r="G5574" s="11" t="n">
        <v>6.48</v>
      </c>
      <c r="H5574" s="11">
        <f>H5573+G5574</f>
        <v/>
      </c>
    </row>
    <row r="5575">
      <c r="A5575" s="9" t="n">
        <v>5571</v>
      </c>
      <c r="B5575" s="9" t="inlineStr">
        <is>
          <t>Ratchet</t>
        </is>
      </c>
      <c r="C5575" s="9" t="inlineStr">
        <is>
          <t>Stochastic scalp with give-back trail exit</t>
        </is>
      </c>
      <c r="D5575" s="9" t="inlineStr">
        <is>
          <t>Long</t>
        </is>
      </c>
      <c r="E5575" s="10" t="n">
        <v>45924.38194444445</v>
      </c>
      <c r="F5575" s="10" t="n">
        <v>45924.39236111111</v>
      </c>
      <c r="G5575" s="11" t="n">
        <v>-4.41</v>
      </c>
      <c r="H5575" s="11">
        <f>H5574+G5575</f>
        <v/>
      </c>
    </row>
    <row r="5576">
      <c r="A5576" s="9" t="n">
        <v>5572</v>
      </c>
      <c r="B5576" s="9" t="inlineStr">
        <is>
          <t>Vanguard_M15</t>
        </is>
      </c>
      <c r="C5576" s="9" t="inlineStr">
        <is>
          <t>Trendline breakout (fractal swing line) + VWAP/S-R distance gate - M15 chart</t>
        </is>
      </c>
      <c r="D5576" s="9" t="inlineStr">
        <is>
          <t>Short</t>
        </is>
      </c>
      <c r="E5576" s="10" t="n">
        <v>45923.91666666666</v>
      </c>
      <c r="F5576" s="10" t="n">
        <v>45924.4375</v>
      </c>
      <c r="G5576" s="11" t="n">
        <v>-20.88</v>
      </c>
      <c r="H5576" s="11">
        <f>H5575+G5576</f>
        <v/>
      </c>
    </row>
    <row r="5577">
      <c r="A5577" s="9" t="n">
        <v>5573</v>
      </c>
      <c r="B5577" s="9" t="inlineStr">
        <is>
          <t>Ratchet</t>
        </is>
      </c>
      <c r="C5577" s="9" t="inlineStr">
        <is>
          <t>Stochastic scalp with give-back trail exit</t>
        </is>
      </c>
      <c r="D5577" s="9" t="inlineStr">
        <is>
          <t>Long</t>
        </is>
      </c>
      <c r="E5577" s="10" t="n">
        <v>45924.42361111111</v>
      </c>
      <c r="F5577" s="10" t="n">
        <v>45924.44791666666</v>
      </c>
      <c r="G5577" s="11" t="n">
        <v>0.84</v>
      </c>
      <c r="H5577" s="11">
        <f>H5576+G5577</f>
        <v/>
      </c>
    </row>
    <row r="5578">
      <c r="A5578" s="9" t="n">
        <v>5574</v>
      </c>
      <c r="B5578" s="9" t="inlineStr">
        <is>
          <t>Ratchet</t>
        </is>
      </c>
      <c r="C5578" s="9" t="inlineStr">
        <is>
          <t>Stochastic scalp with give-back trail exit</t>
        </is>
      </c>
      <c r="D5578" s="9" t="inlineStr">
        <is>
          <t>Long</t>
        </is>
      </c>
      <c r="E5578" s="10" t="n">
        <v>45924.45138888889</v>
      </c>
      <c r="F5578" s="10" t="n">
        <v>45924.46527777778</v>
      </c>
      <c r="G5578" s="11" t="n">
        <v>-4.05</v>
      </c>
      <c r="H5578" s="11">
        <f>H5577+G5578</f>
        <v/>
      </c>
    </row>
    <row r="5579">
      <c r="A5579" s="9" t="n">
        <v>5575</v>
      </c>
      <c r="B5579" s="9" t="inlineStr">
        <is>
          <t>Meridian</t>
        </is>
      </c>
      <c r="C5579" s="9" t="inlineStr">
        <is>
          <t>21/50 MA cross, 250-period confirm filter, VWAP</t>
        </is>
      </c>
      <c r="D5579" s="9" t="inlineStr">
        <is>
          <t>Long</t>
        </is>
      </c>
      <c r="E5579" s="10" t="n">
        <v>45924.67708333334</v>
      </c>
      <c r="F5579" s="10" t="n">
        <v>45924.6875</v>
      </c>
      <c r="G5579" s="11" t="n">
        <v>-7.24</v>
      </c>
      <c r="H5579" s="11">
        <f>H5578+G5579</f>
        <v/>
      </c>
    </row>
    <row r="5580">
      <c r="A5580" s="9" t="n">
        <v>5576</v>
      </c>
      <c r="B5580" s="9" t="inlineStr">
        <is>
          <t>Meridian</t>
        </is>
      </c>
      <c r="C5580" s="9" t="inlineStr">
        <is>
          <t>21/50 MA cross, 250-period confirm filter, VWAP</t>
        </is>
      </c>
      <c r="D5580" s="9" t="inlineStr">
        <is>
          <t>Short</t>
        </is>
      </c>
      <c r="E5580" s="10" t="n">
        <v>45924.69444444445</v>
      </c>
      <c r="F5580" s="10" t="n">
        <v>45925.05555555555</v>
      </c>
      <c r="G5580" s="11" t="n">
        <v>23.7</v>
      </c>
      <c r="H5580" s="11">
        <f>H5579+G5580</f>
        <v/>
      </c>
    </row>
    <row r="5581">
      <c r="A5581" s="9" t="n">
        <v>5577</v>
      </c>
      <c r="B5581" s="9" t="inlineStr">
        <is>
          <t>Meridian</t>
        </is>
      </c>
      <c r="C5581" s="9" t="inlineStr">
        <is>
          <t>21/50 MA cross, 250-period confirm filter, VWAP</t>
        </is>
      </c>
      <c r="D5581" s="9" t="inlineStr">
        <is>
          <t>Short</t>
        </is>
      </c>
      <c r="E5581" s="10" t="n">
        <v>45925.21180555555</v>
      </c>
      <c r="F5581" s="10" t="n">
        <v>45925.23263888889</v>
      </c>
      <c r="G5581" s="11" t="n">
        <v>-8.369999999999999</v>
      </c>
      <c r="H5581" s="11">
        <f>H5580+G5581</f>
        <v/>
      </c>
    </row>
    <row r="5582">
      <c r="A5582" s="9" t="n">
        <v>5578</v>
      </c>
      <c r="B5582" s="9" t="inlineStr">
        <is>
          <t>Vanguard_M5</t>
        </is>
      </c>
      <c r="C5582" s="9" t="inlineStr">
        <is>
          <t>Trendline breakout (fractal swing line) + VWAP/S-R distance gate</t>
        </is>
      </c>
      <c r="D5582" s="9" t="inlineStr">
        <is>
          <t>Short</t>
        </is>
      </c>
      <c r="E5582" s="10" t="n">
        <v>45924.72569444445</v>
      </c>
      <c r="F5582" s="10" t="n">
        <v>45925.54861111111</v>
      </c>
      <c r="G5582" s="11" t="n">
        <v>-1.2</v>
      </c>
      <c r="H5582" s="11">
        <f>H5581+G5582</f>
        <v/>
      </c>
    </row>
    <row r="5583">
      <c r="A5583" s="9" t="n">
        <v>5579</v>
      </c>
      <c r="B5583" s="9" t="inlineStr">
        <is>
          <t>Vanguard_M15</t>
        </is>
      </c>
      <c r="C5583" s="9" t="inlineStr">
        <is>
          <t>Trendline breakout (fractal swing line) + VWAP/S-R distance gate - M15 chart</t>
        </is>
      </c>
      <c r="D5583" s="9" t="inlineStr">
        <is>
          <t>Short</t>
        </is>
      </c>
      <c r="E5583" s="10" t="n">
        <v>45924.73958333334</v>
      </c>
      <c r="F5583" s="10" t="n">
        <v>45925.5625</v>
      </c>
      <c r="G5583" s="11" t="n">
        <v>-1.86</v>
      </c>
      <c r="H5583" s="11">
        <f>H5582+G5583</f>
        <v/>
      </c>
    </row>
    <row r="5584">
      <c r="A5584" s="9" t="n">
        <v>5580</v>
      </c>
      <c r="B5584" s="9" t="inlineStr">
        <is>
          <t>Meridian</t>
        </is>
      </c>
      <c r="C5584" s="9" t="inlineStr">
        <is>
          <t>21/50 MA cross, 250-period confirm filter, VWAP</t>
        </is>
      </c>
      <c r="D5584" s="9" t="inlineStr">
        <is>
          <t>Short</t>
        </is>
      </c>
      <c r="E5584" s="10" t="n">
        <v>45925.65277777778</v>
      </c>
      <c r="F5584" s="10" t="n">
        <v>45925.86458333334</v>
      </c>
      <c r="G5584" s="11" t="n">
        <v>0.72</v>
      </c>
      <c r="H5584" s="11">
        <f>H5583+G5584</f>
        <v/>
      </c>
    </row>
    <row r="5585">
      <c r="A5585" s="9" t="n">
        <v>5581</v>
      </c>
      <c r="B5585" s="9" t="inlineStr">
        <is>
          <t>Vanguard_M5</t>
        </is>
      </c>
      <c r="C5585" s="9" t="inlineStr">
        <is>
          <t>Trendline breakout (fractal swing line) + VWAP/S-R distance gate</t>
        </is>
      </c>
      <c r="D5585" s="9" t="inlineStr">
        <is>
          <t>Long</t>
        </is>
      </c>
      <c r="E5585" s="10" t="n">
        <v>45925.90277777778</v>
      </c>
      <c r="F5585" s="10" t="n">
        <v>45926.09375</v>
      </c>
      <c r="G5585" s="11" t="n">
        <v>-14.22</v>
      </c>
      <c r="H5585" s="11">
        <f>H5584+G5585</f>
        <v/>
      </c>
    </row>
    <row r="5586">
      <c r="A5586" s="9" t="n">
        <v>5582</v>
      </c>
      <c r="B5586" s="9" t="inlineStr">
        <is>
          <t>Meridian</t>
        </is>
      </c>
      <c r="C5586" s="9" t="inlineStr">
        <is>
          <t>21/50 MA cross, 250-period confirm filter, VWAP</t>
        </is>
      </c>
      <c r="D5586" s="9" t="inlineStr">
        <is>
          <t>Short</t>
        </is>
      </c>
      <c r="E5586" s="10" t="n">
        <v>45926.10416666666</v>
      </c>
      <c r="F5586" s="10" t="n">
        <v>45926.16319444445</v>
      </c>
      <c r="G5586" s="11" t="n">
        <v>-6.5</v>
      </c>
      <c r="H5586" s="11">
        <f>H5585+G5586</f>
        <v/>
      </c>
    </row>
    <row r="5587">
      <c r="A5587" s="9" t="n">
        <v>5583</v>
      </c>
      <c r="B5587" s="9" t="inlineStr">
        <is>
          <t>Meridian</t>
        </is>
      </c>
      <c r="C5587" s="9" t="inlineStr">
        <is>
          <t>21/50 MA cross, 250-period confirm filter, VWAP</t>
        </is>
      </c>
      <c r="D5587" s="9" t="inlineStr">
        <is>
          <t>Long</t>
        </is>
      </c>
      <c r="E5587" s="10" t="n">
        <v>45926.17361111111</v>
      </c>
      <c r="F5587" s="10" t="n">
        <v>45926.17708333334</v>
      </c>
      <c r="G5587" s="11" t="n">
        <v>-4.71</v>
      </c>
      <c r="H5587" s="11">
        <f>H5586+G5587</f>
        <v/>
      </c>
    </row>
    <row r="5588">
      <c r="A5588" s="9" t="n">
        <v>5584</v>
      </c>
      <c r="B5588" s="9" t="inlineStr">
        <is>
          <t>Vanguard_M5</t>
        </is>
      </c>
      <c r="C5588" s="9" t="inlineStr">
        <is>
          <t>Trendline breakout (fractal swing line) + VWAP/S-R distance gate</t>
        </is>
      </c>
      <c r="D5588" s="9" t="inlineStr">
        <is>
          <t>Long</t>
        </is>
      </c>
      <c r="E5588" s="10" t="n">
        <v>45926.17013888889</v>
      </c>
      <c r="F5588" s="10" t="n">
        <v>45926.18055555555</v>
      </c>
      <c r="G5588" s="11" t="n">
        <v>-10.77</v>
      </c>
      <c r="H5588" s="11">
        <f>H5587+G5588</f>
        <v/>
      </c>
    </row>
    <row r="5589">
      <c r="A5589" s="9" t="n">
        <v>5585</v>
      </c>
      <c r="B5589" s="9" t="inlineStr">
        <is>
          <t>Meridian</t>
        </is>
      </c>
      <c r="C5589" s="9" t="inlineStr">
        <is>
          <t>21/50 MA cross, 250-period confirm filter, VWAP</t>
        </is>
      </c>
      <c r="D5589" s="9" t="inlineStr">
        <is>
          <t>Long</t>
        </is>
      </c>
      <c r="E5589" s="10" t="n">
        <v>45926.29861111111</v>
      </c>
      <c r="F5589" s="10" t="n">
        <v>45926.375</v>
      </c>
      <c r="G5589" s="11" t="n">
        <v>-5.29</v>
      </c>
      <c r="H5589" s="11">
        <f>H5588+G5589</f>
        <v/>
      </c>
    </row>
    <row r="5590">
      <c r="A5590" s="9" t="n">
        <v>5586</v>
      </c>
      <c r="B5590" s="9" t="inlineStr">
        <is>
          <t>Aurelius_M5</t>
        </is>
      </c>
      <c r="C5590" s="9" t="inlineStr">
        <is>
          <t>MA alignment (EMA21&gt;EMA50&gt;SMA250&gt;SMMA500 vs EMA2400 trend filter)</t>
        </is>
      </c>
      <c r="D5590" s="9" t="inlineStr">
        <is>
          <t>Long</t>
        </is>
      </c>
      <c r="E5590" s="10" t="n">
        <v>45926.38194444445</v>
      </c>
      <c r="F5590" s="10" t="n">
        <v>45926.41319444445</v>
      </c>
      <c r="G5590" s="11" t="n">
        <v>-6.03</v>
      </c>
      <c r="H5590" s="11">
        <f>H5589+G5590</f>
        <v/>
      </c>
    </row>
    <row r="5591">
      <c r="A5591" s="9" t="n">
        <v>5587</v>
      </c>
      <c r="B5591" s="9" t="inlineStr">
        <is>
          <t>Vanguard_M5</t>
        </is>
      </c>
      <c r="C5591" s="9" t="inlineStr">
        <is>
          <t>Trendline breakout (fractal swing line) + VWAP/S-R distance gate</t>
        </is>
      </c>
      <c r="D5591" s="9" t="inlineStr">
        <is>
          <t>Long</t>
        </is>
      </c>
      <c r="E5591" s="10" t="n">
        <v>45926.32986111111</v>
      </c>
      <c r="F5591" s="10" t="n">
        <v>45926.42013888889</v>
      </c>
      <c r="G5591" s="11" t="n">
        <v>-7.5</v>
      </c>
      <c r="H5591" s="11">
        <f>H5590+G5591</f>
        <v/>
      </c>
    </row>
    <row r="5592">
      <c r="A5592" s="9" t="n">
        <v>5588</v>
      </c>
      <c r="B5592" s="9" t="inlineStr">
        <is>
          <t>Ratchet</t>
        </is>
      </c>
      <c r="C5592" s="9" t="inlineStr">
        <is>
          <t>Stochastic scalp with give-back trail exit</t>
        </is>
      </c>
      <c r="D5592" s="9" t="inlineStr">
        <is>
          <t>Long</t>
        </is>
      </c>
      <c r="E5592" s="10" t="n">
        <v>45926.61805555555</v>
      </c>
      <c r="F5592" s="10" t="n">
        <v>45926.62152777778</v>
      </c>
      <c r="G5592" s="11" t="n">
        <v>-3.43</v>
      </c>
      <c r="H5592" s="11">
        <f>H5591+G5592</f>
        <v/>
      </c>
    </row>
    <row r="5593">
      <c r="A5593" s="9" t="n">
        <v>5589</v>
      </c>
      <c r="B5593" s="9" t="inlineStr">
        <is>
          <t>Ratchet</t>
        </is>
      </c>
      <c r="C5593" s="9" t="inlineStr">
        <is>
          <t>Stochastic scalp with give-back trail exit</t>
        </is>
      </c>
      <c r="D5593" s="9" t="inlineStr">
        <is>
          <t>Long</t>
        </is>
      </c>
      <c r="E5593" s="10" t="n">
        <v>45926.63888888889</v>
      </c>
      <c r="F5593" s="10" t="n">
        <v>45926.64583333334</v>
      </c>
      <c r="G5593" s="11" t="n">
        <v>-3.27</v>
      </c>
      <c r="H5593" s="11">
        <f>H5592+G5593</f>
        <v/>
      </c>
    </row>
    <row r="5594">
      <c r="A5594" s="9" t="n">
        <v>5590</v>
      </c>
      <c r="B5594" s="9" t="inlineStr">
        <is>
          <t>Meridian</t>
        </is>
      </c>
      <c r="C5594" s="9" t="inlineStr">
        <is>
          <t>21/50 MA cross, 250-period confirm filter, VWAP</t>
        </is>
      </c>
      <c r="D5594" s="9" t="inlineStr">
        <is>
          <t>Long</t>
        </is>
      </c>
      <c r="E5594" s="10" t="n">
        <v>45926.60763888889</v>
      </c>
      <c r="F5594" s="10" t="n">
        <v>45926.91666666666</v>
      </c>
      <c r="G5594" s="11" t="n">
        <v>27.3</v>
      </c>
      <c r="H5594" s="11">
        <f>H5593+G5594</f>
        <v/>
      </c>
    </row>
    <row r="5595">
      <c r="A5595" s="9" t="n">
        <v>5591</v>
      </c>
      <c r="B5595" s="9" t="inlineStr">
        <is>
          <t>Aurelius_M5</t>
        </is>
      </c>
      <c r="C5595" s="9" t="inlineStr">
        <is>
          <t>MA alignment (EMA21&gt;EMA50&gt;SMA250&gt;SMMA500 vs EMA2400 trend filter)</t>
        </is>
      </c>
      <c r="D5595" s="9" t="inlineStr">
        <is>
          <t>Long</t>
        </is>
      </c>
      <c r="E5595" s="10" t="n">
        <v>45926.65625</v>
      </c>
      <c r="F5595" s="10" t="n">
        <v>45926.92013888889</v>
      </c>
      <c r="G5595" s="11" t="n">
        <v>23.49</v>
      </c>
      <c r="H5595" s="11">
        <f>H5594+G5595</f>
        <v/>
      </c>
    </row>
    <row r="5596">
      <c r="A5596" s="9" t="n">
        <v>5592</v>
      </c>
      <c r="B5596" s="9" t="inlineStr">
        <is>
          <t>Aurelius_M15</t>
        </is>
      </c>
      <c r="C5596" s="9" t="inlineStr">
        <is>
          <t>MA alignment (EMA21&gt;EMA50&gt;SMA250&gt;SMMA500 vs EMA2400 trend filter) - M15 chart</t>
        </is>
      </c>
      <c r="D5596" s="9" t="inlineStr">
        <is>
          <t>Long</t>
        </is>
      </c>
      <c r="E5596" s="10" t="n">
        <v>45926.65625</v>
      </c>
      <c r="F5596" s="10" t="n">
        <v>45926.92708333334</v>
      </c>
      <c r="G5596" s="11" t="n">
        <v>24.53</v>
      </c>
      <c r="H5596" s="11">
        <f>H5595+G5596</f>
        <v/>
      </c>
    </row>
    <row r="5597">
      <c r="A5597" s="9" t="n">
        <v>5593</v>
      </c>
      <c r="B5597" s="9" t="inlineStr">
        <is>
          <t>Ratchet</t>
        </is>
      </c>
      <c r="C5597" s="9" t="inlineStr">
        <is>
          <t>Stochastic scalp with give-back trail exit</t>
        </is>
      </c>
      <c r="D5597" s="9" t="inlineStr">
        <is>
          <t>Long</t>
        </is>
      </c>
      <c r="E5597" s="10" t="n">
        <v>45929.29513888889</v>
      </c>
      <c r="F5597" s="10" t="n">
        <v>45929.31944444445</v>
      </c>
      <c r="G5597" s="11" t="n">
        <v>11.37</v>
      </c>
      <c r="H5597" s="11">
        <f>H5596+G5597</f>
        <v/>
      </c>
    </row>
    <row r="5598">
      <c r="A5598" s="9" t="n">
        <v>5594</v>
      </c>
      <c r="B5598" s="9" t="inlineStr">
        <is>
          <t>Ratchet</t>
        </is>
      </c>
      <c r="C5598" s="9" t="inlineStr">
        <is>
          <t>Stochastic scalp with give-back trail exit</t>
        </is>
      </c>
      <c r="D5598" s="9" t="inlineStr">
        <is>
          <t>Long</t>
        </is>
      </c>
      <c r="E5598" s="10" t="n">
        <v>45929.48611111111</v>
      </c>
      <c r="F5598" s="10" t="n">
        <v>45929.51388888889</v>
      </c>
      <c r="G5598" s="11" t="n">
        <v>1.18</v>
      </c>
      <c r="H5598" s="11">
        <f>H5597+G5598</f>
        <v/>
      </c>
    </row>
    <row r="5599">
      <c r="A5599" s="9" t="n">
        <v>5595</v>
      </c>
      <c r="B5599" s="9" t="inlineStr">
        <is>
          <t>Aurelius_M5</t>
        </is>
      </c>
      <c r="C5599" s="9" t="inlineStr">
        <is>
          <t>MA alignment (EMA21&gt;EMA50&gt;SMA250&gt;SMMA500 vs EMA2400 trend filter)</t>
        </is>
      </c>
      <c r="D5599" s="9" t="inlineStr">
        <is>
          <t>Long</t>
        </is>
      </c>
      <c r="E5599" s="10" t="n">
        <v>45929.20486111111</v>
      </c>
      <c r="F5599" s="10" t="n">
        <v>45929.54861111111</v>
      </c>
      <c r="G5599" s="11" t="n">
        <v>32.55</v>
      </c>
      <c r="H5599" s="11">
        <f>H5598+G5599</f>
        <v/>
      </c>
    </row>
    <row r="5600">
      <c r="A5600" s="9" t="n">
        <v>5596</v>
      </c>
      <c r="B5600" s="9" t="inlineStr">
        <is>
          <t>Ratchet</t>
        </is>
      </c>
      <c r="C5600" s="9" t="inlineStr">
        <is>
          <t>Stochastic scalp with give-back trail exit</t>
        </is>
      </c>
      <c r="D5600" s="9" t="inlineStr">
        <is>
          <t>Long</t>
        </is>
      </c>
      <c r="E5600" s="10" t="n">
        <v>45929.5625</v>
      </c>
      <c r="F5600" s="10" t="n">
        <v>45929.57291666666</v>
      </c>
      <c r="G5600" s="11" t="n">
        <v>0.49</v>
      </c>
      <c r="H5600" s="11">
        <f>H5599+G5600</f>
        <v/>
      </c>
    </row>
    <row r="5601">
      <c r="A5601" s="9" t="n">
        <v>5597</v>
      </c>
      <c r="B5601" s="9" t="inlineStr">
        <is>
          <t>Ratchet</t>
        </is>
      </c>
      <c r="C5601" s="9" t="inlineStr">
        <is>
          <t>Stochastic scalp with give-back trail exit</t>
        </is>
      </c>
      <c r="D5601" s="9" t="inlineStr">
        <is>
          <t>Long</t>
        </is>
      </c>
      <c r="E5601" s="10" t="n">
        <v>45929.6875</v>
      </c>
      <c r="F5601" s="10" t="n">
        <v>45929.69097222222</v>
      </c>
      <c r="G5601" s="11" t="n">
        <v>0</v>
      </c>
      <c r="H5601" s="11">
        <f>H5600+G5601</f>
        <v/>
      </c>
    </row>
    <row r="5602">
      <c r="A5602" s="9" t="n">
        <v>5598</v>
      </c>
      <c r="B5602" s="9" t="inlineStr">
        <is>
          <t>Ratchet</t>
        </is>
      </c>
      <c r="C5602" s="9" t="inlineStr">
        <is>
          <t>Stochastic scalp with give-back trail exit</t>
        </is>
      </c>
      <c r="D5602" s="9" t="inlineStr">
        <is>
          <t>Long</t>
        </is>
      </c>
      <c r="E5602" s="10" t="n">
        <v>45929.71527777778</v>
      </c>
      <c r="F5602" s="10" t="n">
        <v>45929.72222222222</v>
      </c>
      <c r="G5602" s="11" t="n">
        <v>-8.800000000000001</v>
      </c>
      <c r="H5602" s="11">
        <f>H5601+G5602</f>
        <v/>
      </c>
    </row>
    <row r="5603">
      <c r="A5603" s="9" t="n">
        <v>5599</v>
      </c>
      <c r="B5603" s="9" t="inlineStr">
        <is>
          <t>Ratchet</t>
        </is>
      </c>
      <c r="C5603" s="9" t="inlineStr">
        <is>
          <t>Stochastic scalp with give-back trail exit</t>
        </is>
      </c>
      <c r="D5603" s="9" t="inlineStr">
        <is>
          <t>Long</t>
        </is>
      </c>
      <c r="E5603" s="10" t="n">
        <v>45929.80902777778</v>
      </c>
      <c r="F5603" s="10" t="n">
        <v>45929.84027777778</v>
      </c>
      <c r="G5603" s="11" t="n">
        <v>0</v>
      </c>
      <c r="H5603" s="11">
        <f>H5602+G5603</f>
        <v/>
      </c>
    </row>
    <row r="5604">
      <c r="A5604" s="9" t="n">
        <v>5600</v>
      </c>
      <c r="B5604" s="9" t="inlineStr">
        <is>
          <t>Meridian</t>
        </is>
      </c>
      <c r="C5604" s="9" t="inlineStr">
        <is>
          <t>21/50 MA cross, 250-period confirm filter, VWAP</t>
        </is>
      </c>
      <c r="D5604" s="9" t="inlineStr">
        <is>
          <t>Long</t>
        </is>
      </c>
      <c r="E5604" s="10" t="n">
        <v>45929.13888888889</v>
      </c>
      <c r="F5604" s="10" t="n">
        <v>45929.92361111111</v>
      </c>
      <c r="G5604" s="11" t="n">
        <v>48.97</v>
      </c>
      <c r="H5604" s="11">
        <f>H5603+G5604</f>
        <v/>
      </c>
    </row>
    <row r="5605">
      <c r="A5605" s="9" t="n">
        <v>5601</v>
      </c>
      <c r="B5605" s="9" t="inlineStr">
        <is>
          <t>Aurelius_M5</t>
        </is>
      </c>
      <c r="C5605" s="9" t="inlineStr">
        <is>
          <t>MA alignment (EMA21&gt;EMA50&gt;SMA250&gt;SMMA500 vs EMA2400 trend filter)</t>
        </is>
      </c>
      <c r="D5605" s="9" t="inlineStr">
        <is>
          <t>Long</t>
        </is>
      </c>
      <c r="E5605" s="10" t="n">
        <v>45929.68055555555</v>
      </c>
      <c r="F5605" s="10" t="n">
        <v>45929.92361111111</v>
      </c>
      <c r="G5605" s="11" t="n">
        <v>2.98</v>
      </c>
      <c r="H5605" s="11">
        <f>H5604+G5605</f>
        <v/>
      </c>
    </row>
    <row r="5606">
      <c r="A5606" s="9" t="n">
        <v>5602</v>
      </c>
      <c r="B5606" s="9" t="inlineStr">
        <is>
          <t>Ratchet</t>
        </is>
      </c>
      <c r="C5606" s="9" t="inlineStr">
        <is>
          <t>Stochastic scalp with give-back trail exit</t>
        </is>
      </c>
      <c r="D5606" s="9" t="inlineStr">
        <is>
          <t>Long</t>
        </is>
      </c>
      <c r="E5606" s="10" t="n">
        <v>45929.95486111111</v>
      </c>
      <c r="F5606" s="10" t="n">
        <v>45929.99652777778</v>
      </c>
      <c r="G5606" s="11" t="n">
        <v>3.71</v>
      </c>
      <c r="H5606" s="11">
        <f>H5605+G5606</f>
        <v/>
      </c>
    </row>
    <row r="5607">
      <c r="A5607" s="9" t="n">
        <v>5603</v>
      </c>
      <c r="B5607" s="9" t="inlineStr">
        <is>
          <t>Ratchet</t>
        </is>
      </c>
      <c r="C5607" s="9" t="inlineStr">
        <is>
          <t>Stochastic scalp with give-back trail exit</t>
        </is>
      </c>
      <c r="D5607" s="9" t="inlineStr">
        <is>
          <t>Long</t>
        </is>
      </c>
      <c r="E5607" s="10" t="n">
        <v>45930.16666666666</v>
      </c>
      <c r="F5607" s="10" t="n">
        <v>45930.17013888889</v>
      </c>
      <c r="G5607" s="11" t="n">
        <v>0</v>
      </c>
      <c r="H5607" s="11">
        <f>H5606+G5607</f>
        <v/>
      </c>
    </row>
    <row r="5608">
      <c r="A5608" s="9" t="n">
        <v>5604</v>
      </c>
      <c r="B5608" s="9" t="inlineStr">
        <is>
          <t>Ratchet</t>
        </is>
      </c>
      <c r="C5608" s="9" t="inlineStr">
        <is>
          <t>Stochastic scalp with give-back trail exit</t>
        </is>
      </c>
      <c r="D5608" s="9" t="inlineStr">
        <is>
          <t>Long</t>
        </is>
      </c>
      <c r="E5608" s="10" t="n">
        <v>45930.17361111111</v>
      </c>
      <c r="F5608" s="10" t="n">
        <v>45930.18402777778</v>
      </c>
      <c r="G5608" s="11" t="n">
        <v>1.6</v>
      </c>
      <c r="H5608" s="11">
        <f>H5607+G5608</f>
        <v/>
      </c>
    </row>
    <row r="5609">
      <c r="A5609" s="9" t="n">
        <v>5605</v>
      </c>
      <c r="B5609" s="9" t="inlineStr">
        <is>
          <t>Ratchet</t>
        </is>
      </c>
      <c r="C5609" s="9" t="inlineStr">
        <is>
          <t>Stochastic scalp with give-back trail exit</t>
        </is>
      </c>
      <c r="D5609" s="9" t="inlineStr">
        <is>
          <t>Long</t>
        </is>
      </c>
      <c r="E5609" s="10" t="n">
        <v>45930.24305555555</v>
      </c>
      <c r="F5609" s="10" t="n">
        <v>45930.41319444445</v>
      </c>
      <c r="G5609" s="11" t="n">
        <v>6.46</v>
      </c>
      <c r="H5609" s="11">
        <f>H5608+G5609</f>
        <v/>
      </c>
    </row>
    <row r="5610">
      <c r="A5610" s="9" t="n">
        <v>5606</v>
      </c>
      <c r="B5610" s="9" t="inlineStr">
        <is>
          <t>Aurelius_M5</t>
        </is>
      </c>
      <c r="C5610" s="9" t="inlineStr">
        <is>
          <t>MA alignment (EMA21&gt;EMA50&gt;SMA250&gt;SMMA500 vs EMA2400 trend filter)</t>
        </is>
      </c>
      <c r="D5610" s="9" t="inlineStr">
        <is>
          <t>Long</t>
        </is>
      </c>
      <c r="E5610" s="10" t="n">
        <v>45930.13541666666</v>
      </c>
      <c r="F5610" s="10" t="n">
        <v>45930.4375</v>
      </c>
      <c r="G5610" s="11" t="n">
        <v>14.3</v>
      </c>
      <c r="H5610" s="11">
        <f>H5609+G5610</f>
        <v/>
      </c>
    </row>
    <row r="5611">
      <c r="A5611" s="9" t="n">
        <v>5607</v>
      </c>
      <c r="B5611" s="9" t="inlineStr">
        <is>
          <t>Meridian</t>
        </is>
      </c>
      <c r="C5611" s="9" t="inlineStr">
        <is>
          <t>21/50 MA cross, 250-period confirm filter, VWAP</t>
        </is>
      </c>
      <c r="D5611" s="9" t="inlineStr">
        <is>
          <t>Long</t>
        </is>
      </c>
      <c r="E5611" s="10" t="n">
        <v>45929.94791666666</v>
      </c>
      <c r="F5611" s="10" t="n">
        <v>45930.44097222222</v>
      </c>
      <c r="G5611" s="11" t="n">
        <v>22.07</v>
      </c>
      <c r="H5611" s="11">
        <f>H5610+G5611</f>
        <v/>
      </c>
    </row>
    <row r="5612">
      <c r="A5612" s="9" t="n">
        <v>5608</v>
      </c>
      <c r="B5612" s="9" t="inlineStr">
        <is>
          <t>Aurelius_M15</t>
        </is>
      </c>
      <c r="C5612" s="9" t="inlineStr">
        <is>
          <t>MA alignment (EMA21&gt;EMA50&gt;SMA250&gt;SMMA500 vs EMA2400 trend filter) - M15 chart</t>
        </is>
      </c>
      <c r="D5612" s="9" t="inlineStr">
        <is>
          <t>Long</t>
        </is>
      </c>
      <c r="E5612" s="10" t="n">
        <v>45929.13541666666</v>
      </c>
      <c r="F5612" s="10" t="n">
        <v>45930.52083333334</v>
      </c>
      <c r="G5612" s="11" t="n">
        <v>27.37</v>
      </c>
      <c r="H5612" s="11">
        <f>H5611+G5612</f>
        <v/>
      </c>
    </row>
    <row r="5613">
      <c r="A5613" s="9" t="n">
        <v>5609</v>
      </c>
      <c r="B5613" s="9" t="inlineStr">
        <is>
          <t>Ratchet</t>
        </is>
      </c>
      <c r="C5613" s="9" t="inlineStr">
        <is>
          <t>Stochastic scalp with give-back trail exit</t>
        </is>
      </c>
      <c r="D5613" s="9" t="inlineStr">
        <is>
          <t>Long</t>
        </is>
      </c>
      <c r="E5613" s="10" t="n">
        <v>45930.84027777778</v>
      </c>
      <c r="F5613" s="10" t="n">
        <v>45930.85069444445</v>
      </c>
      <c r="G5613" s="11" t="n">
        <v>0</v>
      </c>
      <c r="H5613" s="11">
        <f>H5612+G5613</f>
        <v/>
      </c>
    </row>
    <row r="5614">
      <c r="A5614" s="9" t="n">
        <v>5610</v>
      </c>
      <c r="B5614" s="9" t="inlineStr">
        <is>
          <t>Ratchet</t>
        </is>
      </c>
      <c r="C5614" s="9" t="inlineStr">
        <is>
          <t>Stochastic scalp with give-back trail exit</t>
        </is>
      </c>
      <c r="D5614" s="9" t="inlineStr">
        <is>
          <t>Long</t>
        </is>
      </c>
      <c r="E5614" s="10" t="n">
        <v>45931.15972222222</v>
      </c>
      <c r="F5614" s="10" t="n">
        <v>45931.16319444445</v>
      </c>
      <c r="G5614" s="11" t="n">
        <v>-3.23</v>
      </c>
      <c r="H5614" s="11">
        <f>H5613+G5614</f>
        <v/>
      </c>
    </row>
    <row r="5615">
      <c r="A5615" s="9" t="n">
        <v>5611</v>
      </c>
      <c r="B5615" s="9" t="inlineStr">
        <is>
          <t>Ratchet</t>
        </is>
      </c>
      <c r="C5615" s="9" t="inlineStr">
        <is>
          <t>Stochastic scalp with give-back trail exit</t>
        </is>
      </c>
      <c r="D5615" s="9" t="inlineStr">
        <is>
          <t>Long</t>
        </is>
      </c>
      <c r="E5615" s="10" t="n">
        <v>45931.18402777778</v>
      </c>
      <c r="F5615" s="10" t="n">
        <v>45931.21875</v>
      </c>
      <c r="G5615" s="11" t="n">
        <v>2.64</v>
      </c>
      <c r="H5615" s="11">
        <f>H5614+G5615</f>
        <v/>
      </c>
    </row>
    <row r="5616">
      <c r="A5616" s="9" t="n">
        <v>5612</v>
      </c>
      <c r="B5616" s="9" t="inlineStr">
        <is>
          <t>Ratchet</t>
        </is>
      </c>
      <c r="C5616" s="9" t="inlineStr">
        <is>
          <t>Stochastic scalp with give-back trail exit</t>
        </is>
      </c>
      <c r="D5616" s="9" t="inlineStr">
        <is>
          <t>Long</t>
        </is>
      </c>
      <c r="E5616" s="10" t="n">
        <v>45931.35069444445</v>
      </c>
      <c r="F5616" s="10" t="n">
        <v>45931.35763888889</v>
      </c>
      <c r="G5616" s="11" t="n">
        <v>-4.67</v>
      </c>
      <c r="H5616" s="11">
        <f>H5615+G5616</f>
        <v/>
      </c>
    </row>
    <row r="5617">
      <c r="A5617" s="9" t="n">
        <v>5613</v>
      </c>
      <c r="B5617" s="9" t="inlineStr">
        <is>
          <t>Meridian</t>
        </is>
      </c>
      <c r="C5617" s="9" t="inlineStr">
        <is>
          <t>21/50 MA cross, 250-period confirm filter, VWAP</t>
        </is>
      </c>
      <c r="D5617" s="9" t="inlineStr">
        <is>
          <t>Long</t>
        </is>
      </c>
      <c r="E5617" s="10" t="n">
        <v>45931.33680555555</v>
      </c>
      <c r="F5617" s="10" t="n">
        <v>45931.36458333334</v>
      </c>
      <c r="G5617" s="11" t="n">
        <v>-7.1</v>
      </c>
      <c r="H5617" s="11">
        <f>H5616+G5617</f>
        <v/>
      </c>
    </row>
    <row r="5618">
      <c r="A5618" s="9" t="n">
        <v>5614</v>
      </c>
      <c r="B5618" s="9" t="inlineStr">
        <is>
          <t>Ratchet</t>
        </is>
      </c>
      <c r="C5618" s="9" t="inlineStr">
        <is>
          <t>Stochastic scalp with give-back trail exit</t>
        </is>
      </c>
      <c r="D5618" s="9" t="inlineStr">
        <is>
          <t>Long</t>
        </is>
      </c>
      <c r="E5618" s="10" t="n">
        <v>45931.44097222222</v>
      </c>
      <c r="F5618" s="10" t="n">
        <v>45931.44444444445</v>
      </c>
      <c r="G5618" s="11" t="n">
        <v>0.6899999999999999</v>
      </c>
      <c r="H5618" s="11">
        <f>H5617+G5618</f>
        <v/>
      </c>
    </row>
    <row r="5619">
      <c r="A5619" s="9" t="n">
        <v>5615</v>
      </c>
      <c r="B5619" s="9" t="inlineStr">
        <is>
          <t>Ratchet</t>
        </is>
      </c>
      <c r="C5619" s="9" t="inlineStr">
        <is>
          <t>Stochastic scalp with give-back trail exit</t>
        </is>
      </c>
      <c r="D5619" s="9" t="inlineStr">
        <is>
          <t>Long</t>
        </is>
      </c>
      <c r="E5619" s="10" t="n">
        <v>45931.53472222222</v>
      </c>
      <c r="F5619" s="10" t="n">
        <v>45931.53819444445</v>
      </c>
      <c r="G5619" s="11" t="n">
        <v>0</v>
      </c>
      <c r="H5619" s="11">
        <f>H5618+G5619</f>
        <v/>
      </c>
    </row>
    <row r="5620">
      <c r="A5620" s="9" t="n">
        <v>5616</v>
      </c>
      <c r="B5620" s="9" t="inlineStr">
        <is>
          <t>Aurelius_M15</t>
        </is>
      </c>
      <c r="C5620" s="9" t="inlineStr">
        <is>
          <t>MA alignment (EMA21&gt;EMA50&gt;SMA250&gt;SMMA500 vs EMA2400 trend filter) - M15 chart</t>
        </is>
      </c>
      <c r="D5620" s="9" t="inlineStr">
        <is>
          <t>Long</t>
        </is>
      </c>
      <c r="E5620" s="10" t="n">
        <v>45931.46875</v>
      </c>
      <c r="F5620" s="10" t="n">
        <v>45931.64583333334</v>
      </c>
      <c r="G5620" s="11" t="n">
        <v>-15.33</v>
      </c>
      <c r="H5620" s="11">
        <f>H5619+G5620</f>
        <v/>
      </c>
    </row>
    <row r="5621">
      <c r="A5621" s="9" t="n">
        <v>5617</v>
      </c>
      <c r="B5621" s="9" t="inlineStr">
        <is>
          <t>Meridian</t>
        </is>
      </c>
      <c r="C5621" s="9" t="inlineStr">
        <is>
          <t>21/50 MA cross, 250-period confirm filter, VWAP</t>
        </is>
      </c>
      <c r="D5621" s="9" t="inlineStr">
        <is>
          <t>Long</t>
        </is>
      </c>
      <c r="E5621" s="10" t="n">
        <v>45931.43055555555</v>
      </c>
      <c r="F5621" s="10" t="n">
        <v>45931.65277777778</v>
      </c>
      <c r="G5621" s="11" t="n">
        <v>7.38</v>
      </c>
      <c r="H5621" s="11">
        <f>H5620+G5621</f>
        <v/>
      </c>
    </row>
    <row r="5622">
      <c r="A5622" s="9" t="n">
        <v>5618</v>
      </c>
      <c r="B5622" s="9" t="inlineStr">
        <is>
          <t>Aurelius_M5</t>
        </is>
      </c>
      <c r="C5622" s="9" t="inlineStr">
        <is>
          <t>MA alignment (EMA21&gt;EMA50&gt;SMA250&gt;SMMA500 vs EMA2400 trend filter)</t>
        </is>
      </c>
      <c r="D5622" s="9" t="inlineStr">
        <is>
          <t>Long</t>
        </is>
      </c>
      <c r="E5622" s="10" t="n">
        <v>45931.45486111111</v>
      </c>
      <c r="F5622" s="10" t="n">
        <v>45931.65277777778</v>
      </c>
      <c r="G5622" s="11" t="n">
        <v>-2.26</v>
      </c>
      <c r="H5622" s="11">
        <f>H5621+G5622</f>
        <v/>
      </c>
    </row>
    <row r="5623">
      <c r="A5623" s="9" t="n">
        <v>5619</v>
      </c>
      <c r="B5623" s="9" t="inlineStr">
        <is>
          <t>Vanguard_M15</t>
        </is>
      </c>
      <c r="C5623" s="9" t="inlineStr">
        <is>
          <t>Trendline breakout (fractal swing line) + VWAP/S-R distance gate - M15 chart</t>
        </is>
      </c>
      <c r="D5623" s="9" t="inlineStr">
        <is>
          <t>Long</t>
        </is>
      </c>
      <c r="E5623" s="10" t="n">
        <v>45925.90625</v>
      </c>
      <c r="F5623" s="10" t="n">
        <v>45931.72916666666</v>
      </c>
      <c r="G5623" s="11" t="n">
        <v>121.43</v>
      </c>
      <c r="H5623" s="11">
        <f>H5622+G5623</f>
        <v/>
      </c>
    </row>
    <row r="5624">
      <c r="A5624" s="9" t="n">
        <v>5620</v>
      </c>
      <c r="B5624" s="9" t="inlineStr">
        <is>
          <t>Vanguard_M5</t>
        </is>
      </c>
      <c r="C5624" s="9" t="inlineStr">
        <is>
          <t>Trendline breakout (fractal swing line) + VWAP/S-R distance gate</t>
        </is>
      </c>
      <c r="D5624" s="9" t="inlineStr">
        <is>
          <t>Long</t>
        </is>
      </c>
      <c r="E5624" s="10" t="n">
        <v>45926.44097222222</v>
      </c>
      <c r="F5624" s="10" t="n">
        <v>45931.73611111111</v>
      </c>
      <c r="G5624" s="11" t="n">
        <v>129.83</v>
      </c>
      <c r="H5624" s="11">
        <f>H5623+G5624</f>
        <v/>
      </c>
    </row>
    <row r="5625">
      <c r="A5625" s="9" t="n">
        <v>5621</v>
      </c>
      <c r="B5625" s="9" t="inlineStr">
        <is>
          <t>Aurelius_M5</t>
        </is>
      </c>
      <c r="C5625" s="9" t="inlineStr">
        <is>
          <t>MA alignment (EMA21&gt;EMA50&gt;SMA250&gt;SMMA500 vs EMA2400 trend filter)</t>
        </is>
      </c>
      <c r="D5625" s="9" t="inlineStr">
        <is>
          <t>Long</t>
        </is>
      </c>
      <c r="E5625" s="10" t="n">
        <v>45932.50347222222</v>
      </c>
      <c r="F5625" s="10" t="n">
        <v>45932.71875</v>
      </c>
      <c r="G5625" s="11" t="n">
        <v>-5.69</v>
      </c>
      <c r="H5625" s="11">
        <f>H5624+G5625</f>
        <v/>
      </c>
    </row>
    <row r="5626">
      <c r="A5626" s="9" t="n">
        <v>5622</v>
      </c>
      <c r="B5626" s="9" t="inlineStr">
        <is>
          <t>Meridian</t>
        </is>
      </c>
      <c r="C5626" s="9" t="inlineStr">
        <is>
          <t>21/50 MA cross, 250-period confirm filter, VWAP</t>
        </is>
      </c>
      <c r="D5626" s="9" t="inlineStr">
        <is>
          <t>Short</t>
        </is>
      </c>
      <c r="E5626" s="10" t="n">
        <v>45933.19097222222</v>
      </c>
      <c r="F5626" s="10" t="n">
        <v>45933.19791666666</v>
      </c>
      <c r="G5626" s="11" t="n">
        <v>-7.19</v>
      </c>
      <c r="H5626" s="11">
        <f>H5625+G5626</f>
        <v/>
      </c>
    </row>
    <row r="5627">
      <c r="A5627" s="9" t="n">
        <v>5623</v>
      </c>
      <c r="B5627" s="9" t="inlineStr">
        <is>
          <t>Meridian</t>
        </is>
      </c>
      <c r="C5627" s="9" t="inlineStr">
        <is>
          <t>21/50 MA cross, 250-period confirm filter, VWAP</t>
        </is>
      </c>
      <c r="D5627" s="9" t="inlineStr">
        <is>
          <t>Short</t>
        </is>
      </c>
      <c r="E5627" s="10" t="n">
        <v>45933.22916666666</v>
      </c>
      <c r="F5627" s="10" t="n">
        <v>45933.36458333334</v>
      </c>
      <c r="G5627" s="11" t="n">
        <v>-0.71</v>
      </c>
      <c r="H5627" s="11">
        <f>H5626+G5627</f>
        <v/>
      </c>
    </row>
    <row r="5628">
      <c r="A5628" s="9" t="n">
        <v>5624</v>
      </c>
      <c r="B5628" s="9" t="inlineStr">
        <is>
          <t>Aurelius_M5</t>
        </is>
      </c>
      <c r="C5628" s="9" t="inlineStr">
        <is>
          <t>MA alignment (EMA21&gt;EMA50&gt;SMA250&gt;SMMA500 vs EMA2400 trend filter)</t>
        </is>
      </c>
      <c r="D5628" s="9" t="inlineStr">
        <is>
          <t>Long</t>
        </is>
      </c>
      <c r="E5628" s="10" t="n">
        <v>45933.56944444445</v>
      </c>
      <c r="F5628" s="10" t="n">
        <v>45933.59375</v>
      </c>
      <c r="G5628" s="11" t="n">
        <v>-5.27</v>
      </c>
      <c r="H5628" s="11">
        <f>H5627+G5628</f>
        <v/>
      </c>
    </row>
    <row r="5629">
      <c r="A5629" s="9" t="n">
        <v>5625</v>
      </c>
      <c r="B5629" s="9" t="inlineStr">
        <is>
          <t>Aurelius_M5</t>
        </is>
      </c>
      <c r="C5629" s="9" t="inlineStr">
        <is>
          <t>MA alignment (EMA21&gt;EMA50&gt;SMA250&gt;SMMA500 vs EMA2400 trend filter)</t>
        </is>
      </c>
      <c r="D5629" s="9" t="inlineStr">
        <is>
          <t>Long</t>
        </is>
      </c>
      <c r="E5629" s="10" t="n">
        <v>45933.61805555555</v>
      </c>
      <c r="F5629" s="10" t="n">
        <v>45933.92013888889</v>
      </c>
      <c r="G5629" s="11" t="n">
        <v>24.2</v>
      </c>
      <c r="H5629" s="11">
        <f>H5628+G5629</f>
        <v/>
      </c>
    </row>
    <row r="5630">
      <c r="A5630" s="9" t="n">
        <v>5626</v>
      </c>
      <c r="B5630" s="9" t="inlineStr">
        <is>
          <t>Aurelius_M15</t>
        </is>
      </c>
      <c r="C5630" s="9" t="inlineStr">
        <is>
          <t>MA alignment (EMA21&gt;EMA50&gt;SMA250&gt;SMMA500 vs EMA2400 trend filter) - M15 chart</t>
        </is>
      </c>
      <c r="D5630" s="9" t="inlineStr">
        <is>
          <t>Long</t>
        </is>
      </c>
      <c r="E5630" s="10" t="n">
        <v>45933.65625</v>
      </c>
      <c r="F5630" s="10" t="n">
        <v>45933.92708333334</v>
      </c>
      <c r="G5630" s="11" t="n">
        <v>16.76</v>
      </c>
      <c r="H5630" s="11">
        <f>H5629+G5630</f>
        <v/>
      </c>
    </row>
    <row r="5631">
      <c r="A5631" s="9" t="n">
        <v>5627</v>
      </c>
      <c r="B5631" s="9" t="inlineStr">
        <is>
          <t>Ratchet</t>
        </is>
      </c>
      <c r="C5631" s="9" t="inlineStr">
        <is>
          <t>Stochastic scalp with give-back trail exit</t>
        </is>
      </c>
      <c r="D5631" s="9" t="inlineStr">
        <is>
          <t>Long</t>
        </is>
      </c>
      <c r="E5631" s="10" t="n">
        <v>45936.45486111111</v>
      </c>
      <c r="F5631" s="10" t="n">
        <v>45936.47569444445</v>
      </c>
      <c r="G5631" s="11" t="n">
        <v>2.01</v>
      </c>
      <c r="H5631" s="11">
        <f>H5630+G5631</f>
        <v/>
      </c>
    </row>
    <row r="5632">
      <c r="A5632" s="9" t="n">
        <v>5628</v>
      </c>
      <c r="B5632" s="9" t="inlineStr">
        <is>
          <t>Ratchet</t>
        </is>
      </c>
      <c r="C5632" s="9" t="inlineStr">
        <is>
          <t>Stochastic scalp with give-back trail exit</t>
        </is>
      </c>
      <c r="D5632" s="9" t="inlineStr">
        <is>
          <t>Long</t>
        </is>
      </c>
      <c r="E5632" s="10" t="n">
        <v>45936.50347222222</v>
      </c>
      <c r="F5632" s="10" t="n">
        <v>45936.54513888889</v>
      </c>
      <c r="G5632" s="11" t="n">
        <v>-7.52</v>
      </c>
      <c r="H5632" s="11">
        <f>H5631+G5632</f>
        <v/>
      </c>
    </row>
    <row r="5633">
      <c r="A5633" s="9" t="n">
        <v>5629</v>
      </c>
      <c r="B5633" s="9" t="inlineStr">
        <is>
          <t>Aurelius_M5</t>
        </is>
      </c>
      <c r="C5633" s="9" t="inlineStr">
        <is>
          <t>MA alignment (EMA21&gt;EMA50&gt;SMA250&gt;SMMA500 vs EMA2400 trend filter)</t>
        </is>
      </c>
      <c r="D5633" s="9" t="inlineStr">
        <is>
          <t>Long</t>
        </is>
      </c>
      <c r="E5633" s="10" t="n">
        <v>45936.43402777778</v>
      </c>
      <c r="F5633" s="10" t="n">
        <v>45936.62847222222</v>
      </c>
      <c r="G5633" s="11" t="n">
        <v>5.29</v>
      </c>
      <c r="H5633" s="11">
        <f>H5632+G5633</f>
        <v/>
      </c>
    </row>
    <row r="5634">
      <c r="A5634" s="9" t="n">
        <v>5630</v>
      </c>
      <c r="B5634" s="9" t="inlineStr">
        <is>
          <t>Meridian</t>
        </is>
      </c>
      <c r="C5634" s="9" t="inlineStr">
        <is>
          <t>21/50 MA cross, 250-period confirm filter, VWAP</t>
        </is>
      </c>
      <c r="D5634" s="9" t="inlineStr">
        <is>
          <t>Long</t>
        </is>
      </c>
      <c r="E5634" s="10" t="n">
        <v>45936.63541666666</v>
      </c>
      <c r="F5634" s="10" t="n">
        <v>45936.64236111111</v>
      </c>
      <c r="G5634" s="11" t="n">
        <v>-6.94</v>
      </c>
      <c r="H5634" s="11">
        <f>H5633+G5634</f>
        <v/>
      </c>
    </row>
    <row r="5635">
      <c r="A5635" s="9" t="n">
        <v>5631</v>
      </c>
      <c r="B5635" s="9" t="inlineStr">
        <is>
          <t>Ratchet</t>
        </is>
      </c>
      <c r="C5635" s="9" t="inlineStr">
        <is>
          <t>Stochastic scalp with give-back trail exit</t>
        </is>
      </c>
      <c r="D5635" s="9" t="inlineStr">
        <is>
          <t>Long</t>
        </is>
      </c>
      <c r="E5635" s="10" t="n">
        <v>45936.71180555555</v>
      </c>
      <c r="F5635" s="10" t="n">
        <v>45936.72222222222</v>
      </c>
      <c r="G5635" s="11" t="n">
        <v>0.89</v>
      </c>
      <c r="H5635" s="11">
        <f>H5634+G5635</f>
        <v/>
      </c>
    </row>
    <row r="5636">
      <c r="A5636" s="9" t="n">
        <v>5632</v>
      </c>
      <c r="B5636" s="9" t="inlineStr">
        <is>
          <t>Ratchet</t>
        </is>
      </c>
      <c r="C5636" s="9" t="inlineStr">
        <is>
          <t>Stochastic scalp with give-back trail exit</t>
        </is>
      </c>
      <c r="D5636" s="9" t="inlineStr">
        <is>
          <t>Long</t>
        </is>
      </c>
      <c r="E5636" s="10" t="n">
        <v>45936.72916666666</v>
      </c>
      <c r="F5636" s="10" t="n">
        <v>45936.75694444445</v>
      </c>
      <c r="G5636" s="11" t="n">
        <v>2.92</v>
      </c>
      <c r="H5636" s="11">
        <f>H5635+G5636</f>
        <v/>
      </c>
    </row>
    <row r="5637">
      <c r="A5637" s="9" t="n">
        <v>5633</v>
      </c>
      <c r="B5637" s="9" t="inlineStr">
        <is>
          <t>Ratchet</t>
        </is>
      </c>
      <c r="C5637" s="9" t="inlineStr">
        <is>
          <t>Stochastic scalp with give-back trail exit</t>
        </is>
      </c>
      <c r="D5637" s="9" t="inlineStr">
        <is>
          <t>Long</t>
        </is>
      </c>
      <c r="E5637" s="10" t="n">
        <v>45936.87152777778</v>
      </c>
      <c r="F5637" s="10" t="n">
        <v>45936.87847222222</v>
      </c>
      <c r="G5637" s="11" t="n">
        <v>1.01</v>
      </c>
      <c r="H5637" s="11">
        <f>H5636+G5637</f>
        <v/>
      </c>
    </row>
    <row r="5638">
      <c r="A5638" s="9" t="n">
        <v>5634</v>
      </c>
      <c r="B5638" s="9" t="inlineStr">
        <is>
          <t>Ratchet</t>
        </is>
      </c>
      <c r="C5638" s="9" t="inlineStr">
        <is>
          <t>Stochastic scalp with give-back trail exit</t>
        </is>
      </c>
      <c r="D5638" s="9" t="inlineStr">
        <is>
          <t>Long</t>
        </is>
      </c>
      <c r="E5638" s="10" t="n">
        <v>45936.88541666666</v>
      </c>
      <c r="F5638" s="10" t="n">
        <v>45936.90972222222</v>
      </c>
      <c r="G5638" s="11" t="n">
        <v>0.68</v>
      </c>
      <c r="H5638" s="11">
        <f>H5637+G5638</f>
        <v/>
      </c>
    </row>
    <row r="5639">
      <c r="A5639" s="9" t="n">
        <v>5635</v>
      </c>
      <c r="B5639" s="9" t="inlineStr">
        <is>
          <t>Aurelius_M5</t>
        </is>
      </c>
      <c r="C5639" s="9" t="inlineStr">
        <is>
          <t>MA alignment (EMA21&gt;EMA50&gt;SMA250&gt;SMMA500 vs EMA2400 trend filter)</t>
        </is>
      </c>
      <c r="D5639" s="9" t="inlineStr">
        <is>
          <t>Long</t>
        </is>
      </c>
      <c r="E5639" s="10" t="n">
        <v>45936.72569444445</v>
      </c>
      <c r="F5639" s="10" t="n">
        <v>45937.04166666666</v>
      </c>
      <c r="G5639" s="11" t="n">
        <v>14</v>
      </c>
      <c r="H5639" s="11">
        <f>H5638+G5639</f>
        <v/>
      </c>
    </row>
    <row r="5640">
      <c r="A5640" s="9" t="n">
        <v>5636</v>
      </c>
      <c r="B5640" s="9" t="inlineStr">
        <is>
          <t>Ratchet</t>
        </is>
      </c>
      <c r="C5640" s="9" t="inlineStr">
        <is>
          <t>Stochastic scalp with give-back trail exit</t>
        </is>
      </c>
      <c r="D5640" s="9" t="inlineStr">
        <is>
          <t>Long</t>
        </is>
      </c>
      <c r="E5640" s="10" t="n">
        <v>45937.10763888889</v>
      </c>
      <c r="F5640" s="10" t="n">
        <v>45937.11458333334</v>
      </c>
      <c r="G5640" s="11" t="n">
        <v>0</v>
      </c>
      <c r="H5640" s="11">
        <f>H5639+G5640</f>
        <v/>
      </c>
    </row>
    <row r="5641">
      <c r="A5641" s="9" t="n">
        <v>5637</v>
      </c>
      <c r="B5641" s="9" t="inlineStr">
        <is>
          <t>Ratchet</t>
        </is>
      </c>
      <c r="C5641" s="9" t="inlineStr">
        <is>
          <t>Stochastic scalp with give-back trail exit</t>
        </is>
      </c>
      <c r="D5641" s="9" t="inlineStr">
        <is>
          <t>Long</t>
        </is>
      </c>
      <c r="E5641" s="10" t="n">
        <v>45937.13194444445</v>
      </c>
      <c r="F5641" s="10" t="n">
        <v>45937.14930555555</v>
      </c>
      <c r="G5641" s="11" t="n">
        <v>1.57</v>
      </c>
      <c r="H5641" s="11">
        <f>H5640+G5641</f>
        <v/>
      </c>
    </row>
    <row r="5642">
      <c r="A5642" s="9" t="n">
        <v>5638</v>
      </c>
      <c r="B5642" s="9" t="inlineStr">
        <is>
          <t>Meridian</t>
        </is>
      </c>
      <c r="C5642" s="9" t="inlineStr">
        <is>
          <t>21/50 MA cross, 250-period confirm filter, VWAP</t>
        </is>
      </c>
      <c r="D5642" s="9" t="inlineStr">
        <is>
          <t>Long</t>
        </is>
      </c>
      <c r="E5642" s="10" t="n">
        <v>45936.70486111111</v>
      </c>
      <c r="F5642" s="10" t="n">
        <v>45937.1875</v>
      </c>
      <c r="G5642" s="11" t="n">
        <v>15.65</v>
      </c>
      <c r="H5642" s="11">
        <f>H5641+G5642</f>
        <v/>
      </c>
    </row>
    <row r="5643">
      <c r="A5643" s="9" t="n">
        <v>5639</v>
      </c>
      <c r="B5643" s="9" t="inlineStr">
        <is>
          <t>Ratchet</t>
        </is>
      </c>
      <c r="C5643" s="9" t="inlineStr">
        <is>
          <t>Stochastic scalp with give-back trail exit</t>
        </is>
      </c>
      <c r="D5643" s="9" t="inlineStr">
        <is>
          <t>Long</t>
        </is>
      </c>
      <c r="E5643" s="10" t="n">
        <v>45937.25347222222</v>
      </c>
      <c r="F5643" s="10" t="n">
        <v>45937.26388888889</v>
      </c>
      <c r="G5643" s="11" t="n">
        <v>0.66</v>
      </c>
      <c r="H5643" s="11">
        <f>H5642+G5643</f>
        <v/>
      </c>
    </row>
    <row r="5644">
      <c r="A5644" s="9" t="n">
        <v>5640</v>
      </c>
      <c r="B5644" s="9" t="inlineStr">
        <is>
          <t>Meridian</t>
        </is>
      </c>
      <c r="C5644" s="9" t="inlineStr">
        <is>
          <t>21/50 MA cross, 250-period confirm filter, VWAP</t>
        </is>
      </c>
      <c r="D5644" s="9" t="inlineStr">
        <is>
          <t>Long</t>
        </is>
      </c>
      <c r="E5644" s="10" t="n">
        <v>45937.25347222222</v>
      </c>
      <c r="F5644" s="10" t="n">
        <v>45937.36805555555</v>
      </c>
      <c r="G5644" s="11" t="n">
        <v>-3.54</v>
      </c>
      <c r="H5644" s="11">
        <f>H5643+G5644</f>
        <v/>
      </c>
    </row>
    <row r="5645">
      <c r="A5645" s="9" t="n">
        <v>5641</v>
      </c>
      <c r="B5645" s="9" t="inlineStr">
        <is>
          <t>Ratchet</t>
        </is>
      </c>
      <c r="C5645" s="9" t="inlineStr">
        <is>
          <t>Stochastic scalp with give-back trail exit</t>
        </is>
      </c>
      <c r="D5645" s="9" t="inlineStr">
        <is>
          <t>Long</t>
        </is>
      </c>
      <c r="E5645" s="10" t="n">
        <v>45937.70833333334</v>
      </c>
      <c r="F5645" s="10" t="n">
        <v>45937.71180555555</v>
      </c>
      <c r="G5645" s="11" t="n">
        <v>-8.65</v>
      </c>
      <c r="H5645" s="11">
        <f>H5644+G5645</f>
        <v/>
      </c>
    </row>
    <row r="5646">
      <c r="A5646" s="9" t="n">
        <v>5642</v>
      </c>
      <c r="B5646" s="9" t="inlineStr">
        <is>
          <t>Aurelius_M15</t>
        </is>
      </c>
      <c r="C5646" s="9" t="inlineStr">
        <is>
          <t>MA alignment (EMA21&gt;EMA50&gt;SMA250&gt;SMMA500 vs EMA2400 trend filter) - M15 chart</t>
        </is>
      </c>
      <c r="D5646" s="9" t="inlineStr">
        <is>
          <t>Long</t>
        </is>
      </c>
      <c r="E5646" s="10" t="n">
        <v>45937.75</v>
      </c>
      <c r="F5646" s="10" t="n">
        <v>45937.78125</v>
      </c>
      <c r="G5646" s="11" t="n">
        <v>-19.05</v>
      </c>
      <c r="H5646" s="11">
        <f>H5645+G5646</f>
        <v/>
      </c>
    </row>
    <row r="5647">
      <c r="A5647" s="9" t="n">
        <v>5643</v>
      </c>
      <c r="B5647" s="9" t="inlineStr">
        <is>
          <t>Ratchet</t>
        </is>
      </c>
      <c r="C5647" s="9" t="inlineStr">
        <is>
          <t>Stochastic scalp with give-back trail exit</t>
        </is>
      </c>
      <c r="D5647" s="9" t="inlineStr">
        <is>
          <t>Long</t>
        </is>
      </c>
      <c r="E5647" s="10" t="n">
        <v>45938.40625</v>
      </c>
      <c r="F5647" s="10" t="n">
        <v>45938.41319444445</v>
      </c>
      <c r="G5647" s="11" t="n">
        <v>0</v>
      </c>
      <c r="H5647" s="11">
        <f>H5646+G5647</f>
        <v/>
      </c>
    </row>
    <row r="5648">
      <c r="A5648" s="9" t="n">
        <v>5644</v>
      </c>
      <c r="B5648" s="9" t="inlineStr">
        <is>
          <t>Ratchet</t>
        </is>
      </c>
      <c r="C5648" s="9" t="inlineStr">
        <is>
          <t>Stochastic scalp with give-back trail exit</t>
        </is>
      </c>
      <c r="D5648" s="9" t="inlineStr">
        <is>
          <t>Long</t>
        </is>
      </c>
      <c r="E5648" s="10" t="n">
        <v>45938.44097222222</v>
      </c>
      <c r="F5648" s="10" t="n">
        <v>45938.46527777778</v>
      </c>
      <c r="G5648" s="11" t="n">
        <v>0.5600000000000001</v>
      </c>
      <c r="H5648" s="11">
        <f>H5647+G5648</f>
        <v/>
      </c>
    </row>
    <row r="5649">
      <c r="A5649" s="9" t="n">
        <v>5645</v>
      </c>
      <c r="B5649" s="9" t="inlineStr">
        <is>
          <t>Ratchet</t>
        </is>
      </c>
      <c r="C5649" s="9" t="inlineStr">
        <is>
          <t>Stochastic scalp with give-back trail exit</t>
        </is>
      </c>
      <c r="D5649" s="9" t="inlineStr">
        <is>
          <t>Long</t>
        </is>
      </c>
      <c r="E5649" s="10" t="n">
        <v>45938.67708333334</v>
      </c>
      <c r="F5649" s="10" t="n">
        <v>45938.6875</v>
      </c>
      <c r="G5649" s="11" t="n">
        <v>-8</v>
      </c>
      <c r="H5649" s="11">
        <f>H5648+G5649</f>
        <v/>
      </c>
    </row>
    <row r="5650">
      <c r="A5650" s="9" t="n">
        <v>5646</v>
      </c>
      <c r="B5650" s="9" t="inlineStr">
        <is>
          <t>Meridian</t>
        </is>
      </c>
      <c r="C5650" s="9" t="inlineStr">
        <is>
          <t>21/50 MA cross, 250-period confirm filter, VWAP</t>
        </is>
      </c>
      <c r="D5650" s="9" t="inlineStr">
        <is>
          <t>Long</t>
        </is>
      </c>
      <c r="E5650" s="10" t="n">
        <v>45937.81944444445</v>
      </c>
      <c r="F5650" s="10" t="n">
        <v>45938.70138888889</v>
      </c>
      <c r="G5650" s="11" t="n">
        <v>55.18</v>
      </c>
      <c r="H5650" s="11">
        <f>H5649+G5650</f>
        <v/>
      </c>
    </row>
    <row r="5651">
      <c r="A5651" s="9" t="n">
        <v>5647</v>
      </c>
      <c r="B5651" s="9" t="inlineStr">
        <is>
          <t>Aurelius_M5</t>
        </is>
      </c>
      <c r="C5651" s="9" t="inlineStr">
        <is>
          <t>MA alignment (EMA21&gt;EMA50&gt;SMA250&gt;SMMA500 vs EMA2400 trend filter)</t>
        </is>
      </c>
      <c r="D5651" s="9" t="inlineStr">
        <is>
          <t>Long</t>
        </is>
      </c>
      <c r="E5651" s="10" t="n">
        <v>45938.20833333334</v>
      </c>
      <c r="F5651" s="10" t="n">
        <v>45938.70138888889</v>
      </c>
      <c r="G5651" s="11" t="n">
        <v>33.1</v>
      </c>
      <c r="H5651" s="11">
        <f>H5650+G5651</f>
        <v/>
      </c>
    </row>
    <row r="5652">
      <c r="A5652" s="9" t="n">
        <v>5648</v>
      </c>
      <c r="B5652" s="9" t="inlineStr">
        <is>
          <t>Ratchet</t>
        </is>
      </c>
      <c r="C5652" s="9" t="inlineStr">
        <is>
          <t>Stochastic scalp with give-back trail exit</t>
        </is>
      </c>
      <c r="D5652" s="9" t="inlineStr">
        <is>
          <t>Long</t>
        </is>
      </c>
      <c r="E5652" s="10" t="n">
        <v>45938.72222222222</v>
      </c>
      <c r="F5652" s="10" t="n">
        <v>45938.72916666666</v>
      </c>
      <c r="G5652" s="11" t="n">
        <v>0</v>
      </c>
      <c r="H5652" s="11">
        <f>H5651+G5652</f>
        <v/>
      </c>
    </row>
    <row r="5653">
      <c r="A5653" s="9" t="n">
        <v>5649</v>
      </c>
      <c r="B5653" s="9" t="inlineStr">
        <is>
          <t>Ratchet</t>
        </is>
      </c>
      <c r="C5653" s="9" t="inlineStr">
        <is>
          <t>Stochastic scalp with give-back trail exit</t>
        </is>
      </c>
      <c r="D5653" s="9" t="inlineStr">
        <is>
          <t>Long</t>
        </is>
      </c>
      <c r="E5653" s="10" t="n">
        <v>45938.75347222222</v>
      </c>
      <c r="F5653" s="10" t="n">
        <v>45938.75694444445</v>
      </c>
      <c r="G5653" s="11" t="n">
        <v>-9.130000000000001</v>
      </c>
      <c r="H5653" s="11">
        <f>H5652+G5653</f>
        <v/>
      </c>
    </row>
    <row r="5654">
      <c r="A5654" s="9" t="n">
        <v>5650</v>
      </c>
      <c r="B5654" s="9" t="inlineStr">
        <is>
          <t>Meridian</t>
        </is>
      </c>
      <c r="C5654" s="9" t="inlineStr">
        <is>
          <t>21/50 MA cross, 250-period confirm filter, VWAP</t>
        </is>
      </c>
      <c r="D5654" s="9" t="inlineStr">
        <is>
          <t>Long</t>
        </is>
      </c>
      <c r="E5654" s="10" t="n">
        <v>45938.71180555555</v>
      </c>
      <c r="F5654" s="10" t="n">
        <v>45938.92708333334</v>
      </c>
      <c r="G5654" s="11" t="n">
        <v>-0.3</v>
      </c>
      <c r="H5654" s="11">
        <f>H5653+G5654</f>
        <v/>
      </c>
    </row>
    <row r="5655">
      <c r="A5655" s="9" t="n">
        <v>5651</v>
      </c>
      <c r="B5655" s="9" t="inlineStr">
        <is>
          <t>Aurelius_M5</t>
        </is>
      </c>
      <c r="C5655" s="9" t="inlineStr">
        <is>
          <t>MA alignment (EMA21&gt;EMA50&gt;SMA250&gt;SMMA500 vs EMA2400 trend filter)</t>
        </is>
      </c>
      <c r="D5655" s="9" t="inlineStr">
        <is>
          <t>Long</t>
        </is>
      </c>
      <c r="E5655" s="10" t="n">
        <v>45938.76736111111</v>
      </c>
      <c r="F5655" s="10" t="n">
        <v>45938.92708333334</v>
      </c>
      <c r="G5655" s="11" t="n">
        <v>-3.71</v>
      </c>
      <c r="H5655" s="11">
        <f>H5654+G5655</f>
        <v/>
      </c>
    </row>
    <row r="5656">
      <c r="A5656" s="9" t="n">
        <v>5652</v>
      </c>
      <c r="B5656" s="9" t="inlineStr">
        <is>
          <t>Aurelius_M15</t>
        </is>
      </c>
      <c r="C5656" s="9" t="inlineStr">
        <is>
          <t>MA alignment (EMA21&gt;EMA50&gt;SMA250&gt;SMMA500 vs EMA2400 trend filter) - M15 chart</t>
        </is>
      </c>
      <c r="D5656" s="9" t="inlineStr">
        <is>
          <t>Long</t>
        </is>
      </c>
      <c r="E5656" s="10" t="n">
        <v>45937.88541666666</v>
      </c>
      <c r="F5656" s="10" t="n">
        <v>45939.11458333334</v>
      </c>
      <c r="G5656" s="11" t="n">
        <v>27.83</v>
      </c>
      <c r="H5656" s="11">
        <f>H5655+G5656</f>
        <v/>
      </c>
    </row>
    <row r="5657">
      <c r="A5657" s="9" t="n">
        <v>5653</v>
      </c>
      <c r="B5657" s="9" t="inlineStr">
        <is>
          <t>Vanguard_M5</t>
        </is>
      </c>
      <c r="C5657" s="9" t="inlineStr">
        <is>
          <t>Trendline breakout (fractal swing line) + VWAP/S-R distance gate</t>
        </is>
      </c>
      <c r="D5657" s="9" t="inlineStr">
        <is>
          <t>Short</t>
        </is>
      </c>
      <c r="E5657" s="10" t="n">
        <v>45939.08680555555</v>
      </c>
      <c r="F5657" s="10" t="n">
        <v>45939.1875</v>
      </c>
      <c r="G5657" s="11" t="n">
        <v>-19.16</v>
      </c>
      <c r="H5657" s="11">
        <f>H5656+G5657</f>
        <v/>
      </c>
    </row>
    <row r="5658">
      <c r="A5658" s="9" t="n">
        <v>5654</v>
      </c>
      <c r="B5658" s="9" t="inlineStr">
        <is>
          <t>Vanguard_M15</t>
        </is>
      </c>
      <c r="C5658" s="9" t="inlineStr">
        <is>
          <t>Trendline breakout (fractal swing line) + VWAP/S-R distance gate - M15 chart</t>
        </is>
      </c>
      <c r="D5658" s="9" t="inlineStr">
        <is>
          <t>Short</t>
        </is>
      </c>
      <c r="E5658" s="10" t="n">
        <v>45939.10416666666</v>
      </c>
      <c r="F5658" s="10" t="n">
        <v>45939.3125</v>
      </c>
      <c r="G5658" s="11" t="n">
        <v>-25.75</v>
      </c>
      <c r="H5658" s="11">
        <f>H5657+G5658</f>
        <v/>
      </c>
    </row>
    <row r="5659">
      <c r="A5659" s="9" t="n">
        <v>5655</v>
      </c>
      <c r="B5659" s="9" t="inlineStr">
        <is>
          <t>Ratchet</t>
        </is>
      </c>
      <c r="C5659" s="9" t="inlineStr">
        <is>
          <t>Stochastic scalp with give-back trail exit</t>
        </is>
      </c>
      <c r="D5659" s="9" t="inlineStr">
        <is>
          <t>Long</t>
        </is>
      </c>
      <c r="E5659" s="10" t="n">
        <v>45939.35416666666</v>
      </c>
      <c r="F5659" s="10" t="n">
        <v>45939.35763888889</v>
      </c>
      <c r="G5659" s="11" t="n">
        <v>0.82</v>
      </c>
      <c r="H5659" s="11">
        <f>H5658+G5659</f>
        <v/>
      </c>
    </row>
    <row r="5660">
      <c r="A5660" s="9" t="n">
        <v>5656</v>
      </c>
      <c r="B5660" s="9" t="inlineStr">
        <is>
          <t>Ratchet</t>
        </is>
      </c>
      <c r="C5660" s="9" t="inlineStr">
        <is>
          <t>Stochastic scalp with give-back trail exit</t>
        </is>
      </c>
      <c r="D5660" s="9" t="inlineStr">
        <is>
          <t>Long</t>
        </is>
      </c>
      <c r="E5660" s="10" t="n">
        <v>45939.48263888889</v>
      </c>
      <c r="F5660" s="10" t="n">
        <v>45939.5</v>
      </c>
      <c r="G5660" s="11" t="n">
        <v>0.9</v>
      </c>
      <c r="H5660" s="11">
        <f>H5659+G5660</f>
        <v/>
      </c>
    </row>
    <row r="5661">
      <c r="A5661" s="9" t="n">
        <v>5657</v>
      </c>
      <c r="B5661" s="9" t="inlineStr">
        <is>
          <t>Vanguard_M5</t>
        </is>
      </c>
      <c r="C5661" s="9" t="inlineStr">
        <is>
          <t>Trendline breakout (fractal swing line) + VWAP/S-R distance gate</t>
        </is>
      </c>
      <c r="D5661" s="9" t="inlineStr">
        <is>
          <t>Short</t>
        </is>
      </c>
      <c r="E5661" s="10" t="n">
        <v>45939.20486111111</v>
      </c>
      <c r="F5661" s="10" t="n">
        <v>45939.58333333334</v>
      </c>
      <c r="G5661" s="11" t="n">
        <v>-24.91</v>
      </c>
      <c r="H5661" s="11">
        <f>H5660+G5661</f>
        <v/>
      </c>
    </row>
    <row r="5662">
      <c r="A5662" s="9" t="n">
        <v>5658</v>
      </c>
      <c r="B5662" s="9" t="inlineStr">
        <is>
          <t>Aurelius_M5</t>
        </is>
      </c>
      <c r="C5662" s="9" t="inlineStr">
        <is>
          <t>MA alignment (EMA21&gt;EMA50&gt;SMA250&gt;SMMA500 vs EMA2400 trend filter)</t>
        </is>
      </c>
      <c r="D5662" s="9" t="inlineStr">
        <is>
          <t>Long</t>
        </is>
      </c>
      <c r="E5662" s="10" t="n">
        <v>45939.625</v>
      </c>
      <c r="F5662" s="10" t="n">
        <v>45939.69444444445</v>
      </c>
      <c r="G5662" s="11" t="n">
        <v>-7.23</v>
      </c>
      <c r="H5662" s="11">
        <f>H5661+G5662</f>
        <v/>
      </c>
    </row>
    <row r="5663">
      <c r="A5663" s="9" t="n">
        <v>5659</v>
      </c>
      <c r="B5663" s="9" t="inlineStr">
        <is>
          <t>Meridian</t>
        </is>
      </c>
      <c r="C5663" s="9" t="inlineStr">
        <is>
          <t>21/50 MA cross, 250-period confirm filter, VWAP</t>
        </is>
      </c>
      <c r="D5663" s="9" t="inlineStr">
        <is>
          <t>Long</t>
        </is>
      </c>
      <c r="E5663" s="10" t="n">
        <v>45939.47222222222</v>
      </c>
      <c r="F5663" s="10" t="n">
        <v>45939.69791666666</v>
      </c>
      <c r="G5663" s="11" t="n">
        <v>-8.93</v>
      </c>
      <c r="H5663" s="11">
        <f>H5662+G5663</f>
        <v/>
      </c>
    </row>
    <row r="5664">
      <c r="A5664" s="9" t="n">
        <v>5660</v>
      </c>
      <c r="B5664" s="9" t="inlineStr">
        <is>
          <t>Meridian</t>
        </is>
      </c>
      <c r="C5664" s="9" t="inlineStr">
        <is>
          <t>21/50 MA cross, 250-period confirm filter, VWAP</t>
        </is>
      </c>
      <c r="D5664" s="9" t="inlineStr">
        <is>
          <t>Short</t>
        </is>
      </c>
      <c r="E5664" s="10" t="n">
        <v>45939.70833333334</v>
      </c>
      <c r="F5664" s="10" t="n">
        <v>45940.11111111111</v>
      </c>
      <c r="G5664" s="11" t="n">
        <v>30.12</v>
      </c>
      <c r="H5664" s="11">
        <f>H5663+G5664</f>
        <v/>
      </c>
    </row>
    <row r="5665">
      <c r="A5665" s="9" t="n">
        <v>5661</v>
      </c>
      <c r="B5665" s="9" t="inlineStr">
        <is>
          <t>Meridian</t>
        </is>
      </c>
      <c r="C5665" s="9" t="inlineStr">
        <is>
          <t>21/50 MA cross, 250-period confirm filter, VWAP</t>
        </is>
      </c>
      <c r="D5665" s="9" t="inlineStr">
        <is>
          <t>Short</t>
        </is>
      </c>
      <c r="E5665" s="10" t="n">
        <v>45940.20486111111</v>
      </c>
      <c r="F5665" s="10" t="n">
        <v>45940.23263888889</v>
      </c>
      <c r="G5665" s="11" t="n">
        <v>-7.12</v>
      </c>
      <c r="H5665" s="11">
        <f>H5664+G5665</f>
        <v/>
      </c>
    </row>
    <row r="5666">
      <c r="A5666" s="9" t="n">
        <v>5662</v>
      </c>
      <c r="B5666" s="9" t="inlineStr">
        <is>
          <t>Meridian</t>
        </is>
      </c>
      <c r="C5666" s="9" t="inlineStr">
        <is>
          <t>21/50 MA cross, 250-period confirm filter, VWAP</t>
        </is>
      </c>
      <c r="D5666" s="9" t="inlineStr">
        <is>
          <t>Short</t>
        </is>
      </c>
      <c r="E5666" s="10" t="n">
        <v>45940.25347222222</v>
      </c>
      <c r="F5666" s="10" t="n">
        <v>45940.46180555555</v>
      </c>
      <c r="G5666" s="11" t="n">
        <v>-10.77</v>
      </c>
      <c r="H5666" s="11">
        <f>H5665+G5666</f>
        <v/>
      </c>
    </row>
    <row r="5667">
      <c r="A5667" s="9" t="n">
        <v>5663</v>
      </c>
      <c r="B5667" s="9" t="inlineStr">
        <is>
          <t>Meridian</t>
        </is>
      </c>
      <c r="C5667" s="9" t="inlineStr">
        <is>
          <t>21/50 MA cross, 250-period confirm filter, VWAP</t>
        </is>
      </c>
      <c r="D5667" s="9" t="inlineStr">
        <is>
          <t>Long</t>
        </is>
      </c>
      <c r="E5667" s="10" t="n">
        <v>45940.69097222222</v>
      </c>
      <c r="F5667" s="10" t="n">
        <v>45940.69791666666</v>
      </c>
      <c r="G5667" s="11" t="n">
        <v>-13.66</v>
      </c>
      <c r="H5667" s="11">
        <f>H5666+G5667</f>
        <v/>
      </c>
    </row>
    <row r="5668">
      <c r="A5668" s="9" t="n">
        <v>5664</v>
      </c>
      <c r="B5668" s="9" t="inlineStr">
        <is>
          <t>Meridian</t>
        </is>
      </c>
      <c r="C5668" s="9" t="inlineStr">
        <is>
          <t>21/50 MA cross, 250-period confirm filter, VWAP</t>
        </is>
      </c>
      <c r="D5668" s="9" t="inlineStr">
        <is>
          <t>Long</t>
        </is>
      </c>
      <c r="E5668" s="10" t="n">
        <v>45940.75694444445</v>
      </c>
      <c r="F5668" s="10" t="n">
        <v>45940.79166666666</v>
      </c>
      <c r="G5668" s="11" t="n">
        <v>-18.76</v>
      </c>
      <c r="H5668" s="11">
        <f>H5667+G5668</f>
        <v/>
      </c>
    </row>
    <row r="5669">
      <c r="A5669" s="9" t="n">
        <v>5665</v>
      </c>
      <c r="B5669" s="9" t="inlineStr">
        <is>
          <t>Meridian</t>
        </is>
      </c>
      <c r="C5669" s="9" t="inlineStr">
        <is>
          <t>21/50 MA cross, 250-period confirm filter, VWAP</t>
        </is>
      </c>
      <c r="D5669" s="9" t="inlineStr">
        <is>
          <t>Long</t>
        </is>
      </c>
      <c r="E5669" s="10" t="n">
        <v>45940.89236111111</v>
      </c>
      <c r="F5669" s="10" t="n">
        <v>45940.91666666666</v>
      </c>
      <c r="G5669" s="11" t="n">
        <v>-7.7</v>
      </c>
      <c r="H5669" s="11">
        <f>H5668+G5669</f>
        <v/>
      </c>
    </row>
    <row r="5670">
      <c r="A5670" s="9" t="n">
        <v>5666</v>
      </c>
      <c r="B5670" s="9" t="inlineStr">
        <is>
          <t>Vanguard_M15</t>
        </is>
      </c>
      <c r="C5670" s="9" t="inlineStr">
        <is>
          <t>Trendline breakout (fractal swing line) + VWAP/S-R distance gate - M15 chart</t>
        </is>
      </c>
      <c r="D5670" s="9" t="inlineStr">
        <is>
          <t>Short</t>
        </is>
      </c>
      <c r="E5670" s="10" t="n">
        <v>45939.70833333334</v>
      </c>
      <c r="F5670" s="10" t="n">
        <v>45940.9375</v>
      </c>
      <c r="G5670" s="11" t="n">
        <v>-0.4</v>
      </c>
      <c r="H5670" s="11">
        <f>H5669+G5670</f>
        <v/>
      </c>
    </row>
    <row r="5671">
      <c r="A5671" s="9" t="n">
        <v>5667</v>
      </c>
      <c r="B5671" s="9" t="inlineStr">
        <is>
          <t>Vanguard_M5</t>
        </is>
      </c>
      <c r="C5671" s="9" t="inlineStr">
        <is>
          <t>Trendline breakout (fractal swing line) + VWAP/S-R distance gate</t>
        </is>
      </c>
      <c r="D5671" s="9" t="inlineStr">
        <is>
          <t>Short</t>
        </is>
      </c>
      <c r="E5671" s="10" t="n">
        <v>45939.70486111111</v>
      </c>
      <c r="F5671" s="10" t="n">
        <v>45943.04861111111</v>
      </c>
      <c r="G5671" s="11" t="n">
        <v>-0.01</v>
      </c>
      <c r="H5671" s="11">
        <f>H5670+G5671</f>
        <v/>
      </c>
    </row>
    <row r="5672">
      <c r="A5672" s="9" t="n">
        <v>5668</v>
      </c>
      <c r="B5672" s="9" t="inlineStr">
        <is>
          <t>Ratchet</t>
        </is>
      </c>
      <c r="C5672" s="9" t="inlineStr">
        <is>
          <t>Stochastic scalp with give-back trail exit</t>
        </is>
      </c>
      <c r="D5672" s="9" t="inlineStr">
        <is>
          <t>Long</t>
        </is>
      </c>
      <c r="E5672" s="10" t="n">
        <v>45943.39930555555</v>
      </c>
      <c r="F5672" s="10" t="n">
        <v>45943.42708333334</v>
      </c>
      <c r="G5672" s="11" t="n">
        <v>0</v>
      </c>
      <c r="H5672" s="11">
        <f>H5671+G5672</f>
        <v/>
      </c>
    </row>
    <row r="5673">
      <c r="A5673" s="9" t="n">
        <v>5669</v>
      </c>
      <c r="B5673" s="9" t="inlineStr">
        <is>
          <t>Ratchet</t>
        </is>
      </c>
      <c r="C5673" s="9" t="inlineStr">
        <is>
          <t>Stochastic scalp with give-back trail exit</t>
        </is>
      </c>
      <c r="D5673" s="9" t="inlineStr">
        <is>
          <t>Long</t>
        </is>
      </c>
      <c r="E5673" s="10" t="n">
        <v>45943.45138888889</v>
      </c>
      <c r="F5673" s="10" t="n">
        <v>45943.48263888889</v>
      </c>
      <c r="G5673" s="11" t="n">
        <v>-6.56</v>
      </c>
      <c r="H5673" s="11">
        <f>H5672+G5673</f>
        <v/>
      </c>
    </row>
    <row r="5674">
      <c r="A5674" s="9" t="n">
        <v>5670</v>
      </c>
      <c r="B5674" s="9" t="inlineStr">
        <is>
          <t>Ratchet</t>
        </is>
      </c>
      <c r="C5674" s="9" t="inlineStr">
        <is>
          <t>Stochastic scalp with give-back trail exit</t>
        </is>
      </c>
      <c r="D5674" s="9" t="inlineStr">
        <is>
          <t>Long</t>
        </is>
      </c>
      <c r="E5674" s="10" t="n">
        <v>45943.86111111111</v>
      </c>
      <c r="F5674" s="10" t="n">
        <v>45943.86805555555</v>
      </c>
      <c r="G5674" s="11" t="n">
        <v>-7.62</v>
      </c>
      <c r="H5674" s="11">
        <f>H5673+G5674</f>
        <v/>
      </c>
    </row>
    <row r="5675">
      <c r="A5675" s="9" t="n">
        <v>5671</v>
      </c>
      <c r="B5675" s="9" t="inlineStr">
        <is>
          <t>Aurelius_M5</t>
        </is>
      </c>
      <c r="C5675" s="9" t="inlineStr">
        <is>
          <t>MA alignment (EMA21&gt;EMA50&gt;SMA250&gt;SMMA500 vs EMA2400 trend filter)</t>
        </is>
      </c>
      <c r="D5675" s="9" t="inlineStr">
        <is>
          <t>Long</t>
        </is>
      </c>
      <c r="E5675" s="10" t="n">
        <v>45943.64236111111</v>
      </c>
      <c r="F5675" s="10" t="n">
        <v>45944.04166666666</v>
      </c>
      <c r="G5675" s="11" t="n">
        <v>29.98</v>
      </c>
      <c r="H5675" s="11">
        <f>H5674+G5675</f>
        <v/>
      </c>
    </row>
    <row r="5676">
      <c r="A5676" s="9" t="n">
        <v>5672</v>
      </c>
      <c r="B5676" s="9" t="inlineStr">
        <is>
          <t>Ratchet</t>
        </is>
      </c>
      <c r="C5676" s="9" t="inlineStr">
        <is>
          <t>Stochastic scalp with give-back trail exit</t>
        </is>
      </c>
      <c r="D5676" s="9" t="inlineStr">
        <is>
          <t>Long</t>
        </is>
      </c>
      <c r="E5676" s="10" t="n">
        <v>45944.08680555555</v>
      </c>
      <c r="F5676" s="10" t="n">
        <v>45944.12847222222</v>
      </c>
      <c r="G5676" s="11" t="n">
        <v>4.94</v>
      </c>
      <c r="H5676" s="11">
        <f>H5675+G5676</f>
        <v/>
      </c>
    </row>
    <row r="5677">
      <c r="A5677" s="9" t="n">
        <v>5673</v>
      </c>
      <c r="B5677" s="9" t="inlineStr">
        <is>
          <t>Ratchet</t>
        </is>
      </c>
      <c r="C5677" s="9" t="inlineStr">
        <is>
          <t>Stochastic scalp with give-back trail exit</t>
        </is>
      </c>
      <c r="D5677" s="9" t="inlineStr">
        <is>
          <t>Long</t>
        </is>
      </c>
      <c r="E5677" s="10" t="n">
        <v>45944.15625</v>
      </c>
      <c r="F5677" s="10" t="n">
        <v>45944.17013888889</v>
      </c>
      <c r="G5677" s="11" t="n">
        <v>0.88</v>
      </c>
      <c r="H5677" s="11">
        <f>H5676+G5677</f>
        <v/>
      </c>
    </row>
    <row r="5678">
      <c r="A5678" s="9" t="n">
        <v>5674</v>
      </c>
      <c r="B5678" s="9" t="inlineStr">
        <is>
          <t>Meridian</t>
        </is>
      </c>
      <c r="C5678" s="9" t="inlineStr">
        <is>
          <t>21/50 MA cross, 250-period confirm filter, VWAP</t>
        </is>
      </c>
      <c r="D5678" s="9" t="inlineStr">
        <is>
          <t>Long</t>
        </is>
      </c>
      <c r="E5678" s="10" t="n">
        <v>45944.5</v>
      </c>
      <c r="F5678" s="10" t="n">
        <v>45944.53819444445</v>
      </c>
      <c r="G5678" s="11" t="n">
        <v>-18.52</v>
      </c>
      <c r="H5678" s="11">
        <f>H5677+G5678</f>
        <v/>
      </c>
    </row>
    <row r="5679">
      <c r="A5679" s="9" t="n">
        <v>5675</v>
      </c>
      <c r="B5679" s="9" t="inlineStr">
        <is>
          <t>Meridian</t>
        </is>
      </c>
      <c r="C5679" s="9" t="inlineStr">
        <is>
          <t>21/50 MA cross, 250-period confirm filter, VWAP</t>
        </is>
      </c>
      <c r="D5679" s="9" t="inlineStr">
        <is>
          <t>Long</t>
        </is>
      </c>
      <c r="E5679" s="10" t="n">
        <v>45944.5625</v>
      </c>
      <c r="F5679" s="10" t="n">
        <v>45944.59722222222</v>
      </c>
      <c r="G5679" s="11" t="n">
        <v>-7.88</v>
      </c>
      <c r="H5679" s="11">
        <f>H5678+G5679</f>
        <v/>
      </c>
    </row>
    <row r="5680">
      <c r="A5680" s="9" t="n">
        <v>5676</v>
      </c>
      <c r="B5680" s="9" t="inlineStr">
        <is>
          <t>Meridian</t>
        </is>
      </c>
      <c r="C5680" s="9" t="inlineStr">
        <is>
          <t>21/50 MA cross, 250-period confirm filter, VWAP</t>
        </is>
      </c>
      <c r="D5680" s="9" t="inlineStr">
        <is>
          <t>Long</t>
        </is>
      </c>
      <c r="E5680" s="10" t="n">
        <v>45944.60069444445</v>
      </c>
      <c r="F5680" s="10" t="n">
        <v>45944.60763888889</v>
      </c>
      <c r="G5680" s="11" t="n">
        <v>-6.33</v>
      </c>
      <c r="H5680" s="11">
        <f>H5679+G5680</f>
        <v/>
      </c>
    </row>
    <row r="5681">
      <c r="A5681" s="9" t="n">
        <v>5677</v>
      </c>
      <c r="B5681" s="9" t="inlineStr">
        <is>
          <t>Ratchet</t>
        </is>
      </c>
      <c r="C5681" s="9" t="inlineStr">
        <is>
          <t>Stochastic scalp with give-back trail exit</t>
        </is>
      </c>
      <c r="D5681" s="9" t="inlineStr">
        <is>
          <t>Long</t>
        </is>
      </c>
      <c r="E5681" s="10" t="n">
        <v>45944.77777777778</v>
      </c>
      <c r="F5681" s="10" t="n">
        <v>45944.78472222222</v>
      </c>
      <c r="G5681" s="11" t="n">
        <v>-8.98</v>
      </c>
      <c r="H5681" s="11">
        <f>H5680+G5681</f>
        <v/>
      </c>
    </row>
    <row r="5682">
      <c r="A5682" s="9" t="n">
        <v>5678</v>
      </c>
      <c r="B5682" s="9" t="inlineStr">
        <is>
          <t>Ratchet</t>
        </is>
      </c>
      <c r="C5682" s="9" t="inlineStr">
        <is>
          <t>Stochastic scalp with give-back trail exit</t>
        </is>
      </c>
      <c r="D5682" s="9" t="inlineStr">
        <is>
          <t>Long</t>
        </is>
      </c>
      <c r="E5682" s="10" t="n">
        <v>45944.79513888889</v>
      </c>
      <c r="F5682" s="10" t="n">
        <v>45944.79513888889</v>
      </c>
      <c r="G5682" s="11" t="n">
        <v>-8.67</v>
      </c>
      <c r="H5682" s="11">
        <f>H5681+G5682</f>
        <v/>
      </c>
    </row>
    <row r="5683">
      <c r="A5683" s="9" t="n">
        <v>5679</v>
      </c>
      <c r="B5683" s="9" t="inlineStr">
        <is>
          <t>Ratchet</t>
        </is>
      </c>
      <c r="C5683" s="9" t="inlineStr">
        <is>
          <t>Stochastic scalp with give-back trail exit</t>
        </is>
      </c>
      <c r="D5683" s="9" t="inlineStr">
        <is>
          <t>Long</t>
        </is>
      </c>
      <c r="E5683" s="10" t="n">
        <v>45944.91319444445</v>
      </c>
      <c r="F5683" s="10" t="n">
        <v>45944.94097222222</v>
      </c>
      <c r="G5683" s="11" t="n">
        <v>-5.82</v>
      </c>
      <c r="H5683" s="11">
        <f>H5682+G5683</f>
        <v/>
      </c>
    </row>
    <row r="5684">
      <c r="A5684" s="9" t="n">
        <v>5680</v>
      </c>
      <c r="B5684" s="9" t="inlineStr">
        <is>
          <t>Aurelius_M5</t>
        </is>
      </c>
      <c r="C5684" s="9" t="inlineStr">
        <is>
          <t>MA alignment (EMA21&gt;EMA50&gt;SMA250&gt;SMMA500 vs EMA2400 trend filter)</t>
        </is>
      </c>
      <c r="D5684" s="9" t="inlineStr">
        <is>
          <t>Long</t>
        </is>
      </c>
      <c r="E5684" s="10" t="n">
        <v>45944.80902777778</v>
      </c>
      <c r="F5684" s="10" t="n">
        <v>45945.04166666666</v>
      </c>
      <c r="G5684" s="11" t="n">
        <v>9.380000000000001</v>
      </c>
      <c r="H5684" s="11">
        <f>H5683+G5684</f>
        <v/>
      </c>
    </row>
    <row r="5685">
      <c r="A5685" s="9" t="n">
        <v>5681</v>
      </c>
      <c r="B5685" s="9" t="inlineStr">
        <is>
          <t>Ratchet</t>
        </is>
      </c>
      <c r="C5685" s="9" t="inlineStr">
        <is>
          <t>Stochastic scalp with give-back trail exit</t>
        </is>
      </c>
      <c r="D5685" s="9" t="inlineStr">
        <is>
          <t>Long</t>
        </is>
      </c>
      <c r="E5685" s="10" t="n">
        <v>45945.34722222222</v>
      </c>
      <c r="F5685" s="10" t="n">
        <v>45945.35416666666</v>
      </c>
      <c r="G5685" s="11" t="n">
        <v>0.86</v>
      </c>
      <c r="H5685" s="11">
        <f>H5684+G5685</f>
        <v/>
      </c>
    </row>
    <row r="5686">
      <c r="A5686" s="9" t="n">
        <v>5682</v>
      </c>
      <c r="B5686" s="9" t="inlineStr">
        <is>
          <t>Ratchet</t>
        </is>
      </c>
      <c r="C5686" s="9" t="inlineStr">
        <is>
          <t>Stochastic scalp with give-back trail exit</t>
        </is>
      </c>
      <c r="D5686" s="9" t="inlineStr">
        <is>
          <t>Long</t>
        </is>
      </c>
      <c r="E5686" s="10" t="n">
        <v>45945.38541666666</v>
      </c>
      <c r="F5686" s="10" t="n">
        <v>45945.51041666666</v>
      </c>
      <c r="G5686" s="11" t="n">
        <v>7.67</v>
      </c>
      <c r="H5686" s="11">
        <f>H5685+G5686</f>
        <v/>
      </c>
    </row>
    <row r="5687">
      <c r="A5687" s="9" t="n">
        <v>5683</v>
      </c>
      <c r="B5687" s="9" t="inlineStr">
        <is>
          <t>Aurelius_M5</t>
        </is>
      </c>
      <c r="C5687" s="9" t="inlineStr">
        <is>
          <t>MA alignment (EMA21&gt;EMA50&gt;SMA250&gt;SMMA500 vs EMA2400 trend filter)</t>
        </is>
      </c>
      <c r="D5687" s="9" t="inlineStr">
        <is>
          <t>Long</t>
        </is>
      </c>
      <c r="E5687" s="10" t="n">
        <v>45945.36458333334</v>
      </c>
      <c r="F5687" s="10" t="n">
        <v>45945.51388888889</v>
      </c>
      <c r="G5687" s="11" t="n">
        <v>-11.52</v>
      </c>
      <c r="H5687" s="11">
        <f>H5686+G5687</f>
        <v/>
      </c>
    </row>
    <row r="5688">
      <c r="A5688" s="9" t="n">
        <v>5684</v>
      </c>
      <c r="B5688" s="9" t="inlineStr">
        <is>
          <t>Ratchet</t>
        </is>
      </c>
      <c r="C5688" s="9" t="inlineStr">
        <is>
          <t>Stochastic scalp with give-back trail exit</t>
        </is>
      </c>
      <c r="D5688" s="9" t="inlineStr">
        <is>
          <t>Long</t>
        </is>
      </c>
      <c r="E5688" s="10" t="n">
        <v>45945.58333333334</v>
      </c>
      <c r="F5688" s="10" t="n">
        <v>45945.63194444445</v>
      </c>
      <c r="G5688" s="11" t="n">
        <v>-9.65</v>
      </c>
      <c r="H5688" s="11">
        <f>H5687+G5688</f>
        <v/>
      </c>
    </row>
    <row r="5689">
      <c r="A5689" s="9" t="n">
        <v>5685</v>
      </c>
      <c r="B5689" s="9" t="inlineStr">
        <is>
          <t>Meridian</t>
        </is>
      </c>
      <c r="C5689" s="9" t="inlineStr">
        <is>
          <t>21/50 MA cross, 250-period confirm filter, VWAP</t>
        </is>
      </c>
      <c r="D5689" s="9" t="inlineStr">
        <is>
          <t>Long</t>
        </is>
      </c>
      <c r="E5689" s="10" t="n">
        <v>45944.73611111111</v>
      </c>
      <c r="F5689" s="10" t="n">
        <v>45945.63888888889</v>
      </c>
      <c r="G5689" s="11" t="n">
        <v>56.31</v>
      </c>
      <c r="H5689" s="11">
        <f>H5688+G5689</f>
        <v/>
      </c>
    </row>
    <row r="5690">
      <c r="A5690" s="9" t="n">
        <v>5686</v>
      </c>
      <c r="B5690" s="9" t="inlineStr">
        <is>
          <t>Ratchet</t>
        </is>
      </c>
      <c r="C5690" s="9" t="inlineStr">
        <is>
          <t>Stochastic scalp with give-back trail exit</t>
        </is>
      </c>
      <c r="D5690" s="9" t="inlineStr">
        <is>
          <t>Long</t>
        </is>
      </c>
      <c r="E5690" s="10" t="n">
        <v>45945.72569444445</v>
      </c>
      <c r="F5690" s="10" t="n">
        <v>45945.73263888889</v>
      </c>
      <c r="G5690" s="11" t="n">
        <v>-12.47</v>
      </c>
      <c r="H5690" s="11">
        <f>H5689+G5690</f>
        <v/>
      </c>
    </row>
    <row r="5691">
      <c r="A5691" s="9" t="n">
        <v>5687</v>
      </c>
      <c r="B5691" s="9" t="inlineStr">
        <is>
          <t>Meridian</t>
        </is>
      </c>
      <c r="C5691" s="9" t="inlineStr">
        <is>
          <t>21/50 MA cross, 250-period confirm filter, VWAP</t>
        </is>
      </c>
      <c r="D5691" s="9" t="inlineStr">
        <is>
          <t>Long</t>
        </is>
      </c>
      <c r="E5691" s="10" t="n">
        <v>45945.71875</v>
      </c>
      <c r="F5691" s="10" t="n">
        <v>45945.77083333334</v>
      </c>
      <c r="G5691" s="11" t="n">
        <v>-17.51</v>
      </c>
      <c r="H5691" s="11">
        <f>H5690+G5691</f>
        <v/>
      </c>
    </row>
    <row r="5692">
      <c r="A5692" s="9" t="n">
        <v>5688</v>
      </c>
      <c r="B5692" s="9" t="inlineStr">
        <is>
          <t>Aurelius_M5</t>
        </is>
      </c>
      <c r="C5692" s="9" t="inlineStr">
        <is>
          <t>MA alignment (EMA21&gt;EMA50&gt;SMA250&gt;SMMA500 vs EMA2400 trend filter)</t>
        </is>
      </c>
      <c r="D5692" s="9" t="inlineStr">
        <is>
          <t>Long</t>
        </is>
      </c>
      <c r="E5692" s="10" t="n">
        <v>45945.75</v>
      </c>
      <c r="F5692" s="10" t="n">
        <v>45945.78472222222</v>
      </c>
      <c r="G5692" s="11" t="n">
        <v>-16.67</v>
      </c>
      <c r="H5692" s="11">
        <f>H5691+G5692</f>
        <v/>
      </c>
    </row>
    <row r="5693">
      <c r="A5693" s="9" t="n">
        <v>5689</v>
      </c>
      <c r="B5693" s="9" t="inlineStr">
        <is>
          <t>Vanguard_M5</t>
        </is>
      </c>
      <c r="C5693" s="9" t="inlineStr">
        <is>
          <t>Trendline breakout (fractal swing line) + VWAP/S-R distance gate</t>
        </is>
      </c>
      <c r="D5693" s="9" t="inlineStr">
        <is>
          <t>Long</t>
        </is>
      </c>
      <c r="E5693" s="10" t="n">
        <v>45943.3125</v>
      </c>
      <c r="F5693" s="10" t="n">
        <v>45945.84027777778</v>
      </c>
      <c r="G5693" s="11" t="n">
        <v>128.42</v>
      </c>
      <c r="H5693" s="11">
        <f>H5692+G5693</f>
        <v/>
      </c>
    </row>
    <row r="5694">
      <c r="A5694" s="9" t="n">
        <v>5690</v>
      </c>
      <c r="B5694" s="9" t="inlineStr">
        <is>
          <t>Vanguard_M5</t>
        </is>
      </c>
      <c r="C5694" s="9" t="inlineStr">
        <is>
          <t>Trendline breakout (fractal swing line) + VWAP/S-R distance gate</t>
        </is>
      </c>
      <c r="D5694" s="9" t="inlineStr">
        <is>
          <t>Short</t>
        </is>
      </c>
      <c r="E5694" s="10" t="n">
        <v>45945.84375</v>
      </c>
      <c r="F5694" s="10" t="n">
        <v>45945.92708333334</v>
      </c>
      <c r="G5694" s="11" t="n">
        <v>-24.86</v>
      </c>
      <c r="H5694" s="11">
        <f>H5693+G5694</f>
        <v/>
      </c>
    </row>
    <row r="5695">
      <c r="A5695" s="9" t="n">
        <v>5691</v>
      </c>
      <c r="B5695" s="9" t="inlineStr">
        <is>
          <t>Ratchet</t>
        </is>
      </c>
      <c r="C5695" s="9" t="inlineStr">
        <is>
          <t>Stochastic scalp with give-back trail exit</t>
        </is>
      </c>
      <c r="D5695" s="9" t="inlineStr">
        <is>
          <t>Long</t>
        </is>
      </c>
      <c r="E5695" s="10" t="n">
        <v>45945.89930555555</v>
      </c>
      <c r="F5695" s="10" t="n">
        <v>45945.99652777778</v>
      </c>
      <c r="G5695" s="11" t="n">
        <v>8.029999999999999</v>
      </c>
      <c r="H5695" s="11">
        <f>H5694+G5695</f>
        <v/>
      </c>
    </row>
    <row r="5696">
      <c r="A5696" s="9" t="n">
        <v>5692</v>
      </c>
      <c r="B5696" s="9" t="inlineStr">
        <is>
          <t>Vanguard_M15</t>
        </is>
      </c>
      <c r="C5696" s="9" t="inlineStr">
        <is>
          <t>Trendline breakout (fractal swing line) + VWAP/S-R distance gate - M15 chart</t>
        </is>
      </c>
      <c r="D5696" s="9" t="inlineStr">
        <is>
          <t>Short</t>
        </is>
      </c>
      <c r="E5696" s="10" t="n">
        <v>45945.84375</v>
      </c>
      <c r="F5696" s="10" t="n">
        <v>45946.13541666666</v>
      </c>
      <c r="G5696" s="11" t="n">
        <v>-33.32</v>
      </c>
      <c r="H5696" s="11">
        <f>H5695+G5696</f>
        <v/>
      </c>
    </row>
    <row r="5697">
      <c r="A5697" s="9" t="n">
        <v>5693</v>
      </c>
      <c r="B5697" s="9" t="inlineStr">
        <is>
          <t>Ratchet</t>
        </is>
      </c>
      <c r="C5697" s="9" t="inlineStr">
        <is>
          <t>Stochastic scalp with give-back trail exit</t>
        </is>
      </c>
      <c r="D5697" s="9" t="inlineStr">
        <is>
          <t>Long</t>
        </is>
      </c>
      <c r="E5697" s="10" t="n">
        <v>45946.18055555555</v>
      </c>
      <c r="F5697" s="10" t="n">
        <v>45946.19791666666</v>
      </c>
      <c r="G5697" s="11" t="n">
        <v>2.93</v>
      </c>
      <c r="H5697" s="11">
        <f>H5696+G5697</f>
        <v/>
      </c>
    </row>
    <row r="5698">
      <c r="A5698" s="9" t="n">
        <v>5694</v>
      </c>
      <c r="B5698" s="9" t="inlineStr">
        <is>
          <t>Ratchet</t>
        </is>
      </c>
      <c r="C5698" s="9" t="inlineStr">
        <is>
          <t>Stochastic scalp with give-back trail exit</t>
        </is>
      </c>
      <c r="D5698" s="9" t="inlineStr">
        <is>
          <t>Long</t>
        </is>
      </c>
      <c r="E5698" s="10" t="n">
        <v>45946.24305555555</v>
      </c>
      <c r="F5698" s="10" t="n">
        <v>45946.25</v>
      </c>
      <c r="G5698" s="11" t="n">
        <v>3.01</v>
      </c>
      <c r="H5698" s="11">
        <f>H5697+G5698</f>
        <v/>
      </c>
    </row>
    <row r="5699">
      <c r="A5699" s="9" t="n">
        <v>5695</v>
      </c>
      <c r="B5699" s="9" t="inlineStr">
        <is>
          <t>Ratchet</t>
        </is>
      </c>
      <c r="C5699" s="9" t="inlineStr">
        <is>
          <t>Stochastic scalp with give-back trail exit</t>
        </is>
      </c>
      <c r="D5699" s="9" t="inlineStr">
        <is>
          <t>Long</t>
        </is>
      </c>
      <c r="E5699" s="10" t="n">
        <v>45946.31597222222</v>
      </c>
      <c r="F5699" s="10" t="n">
        <v>45946.31944444445</v>
      </c>
      <c r="G5699" s="11" t="n">
        <v>-5.05</v>
      </c>
      <c r="H5699" s="11">
        <f>H5698+G5699</f>
        <v/>
      </c>
    </row>
    <row r="5700">
      <c r="A5700" s="9" t="n">
        <v>5696</v>
      </c>
      <c r="B5700" s="9" t="inlineStr">
        <is>
          <t>Meridian</t>
        </is>
      </c>
      <c r="C5700" s="9" t="inlineStr">
        <is>
          <t>21/50 MA cross, 250-period confirm filter, VWAP</t>
        </is>
      </c>
      <c r="D5700" s="9" t="inlineStr">
        <is>
          <t>Long</t>
        </is>
      </c>
      <c r="E5700" s="10" t="n">
        <v>45945.88541666666</v>
      </c>
      <c r="F5700" s="10" t="n">
        <v>45946.36111111111</v>
      </c>
      <c r="G5700" s="11" t="n">
        <v>9.58</v>
      </c>
      <c r="H5700" s="11">
        <f>H5699+G5700</f>
        <v/>
      </c>
    </row>
    <row r="5701">
      <c r="A5701" s="9" t="n">
        <v>5697</v>
      </c>
      <c r="B5701" s="9" t="inlineStr">
        <is>
          <t>Vanguard_M5</t>
        </is>
      </c>
      <c r="C5701" s="9" t="inlineStr">
        <is>
          <t>Trendline breakout (fractal swing line) + VWAP/S-R distance gate</t>
        </is>
      </c>
      <c r="D5701" s="9" t="inlineStr">
        <is>
          <t>Short</t>
        </is>
      </c>
      <c r="E5701" s="10" t="n">
        <v>45946.35763888889</v>
      </c>
      <c r="F5701" s="10" t="n">
        <v>45946.42361111111</v>
      </c>
      <c r="G5701" s="11" t="n">
        <v>-20.33</v>
      </c>
      <c r="H5701" s="11">
        <f>H5700+G5701</f>
        <v/>
      </c>
    </row>
    <row r="5702">
      <c r="A5702" s="9" t="n">
        <v>5698</v>
      </c>
      <c r="B5702" s="9" t="inlineStr">
        <is>
          <t>Ratchet</t>
        </is>
      </c>
      <c r="C5702" s="9" t="inlineStr">
        <is>
          <t>Stochastic scalp with give-back trail exit</t>
        </is>
      </c>
      <c r="D5702" s="9" t="inlineStr">
        <is>
          <t>Long</t>
        </is>
      </c>
      <c r="E5702" s="10" t="n">
        <v>45946.45833333334</v>
      </c>
      <c r="F5702" s="10" t="n">
        <v>45946.46180555555</v>
      </c>
      <c r="G5702" s="11" t="n">
        <v>0.71</v>
      </c>
      <c r="H5702" s="11">
        <f>H5701+G5702</f>
        <v/>
      </c>
    </row>
    <row r="5703">
      <c r="A5703" s="9" t="n">
        <v>5699</v>
      </c>
      <c r="B5703" s="9" t="inlineStr">
        <is>
          <t>Ratchet</t>
        </is>
      </c>
      <c r="C5703" s="9" t="inlineStr">
        <is>
          <t>Stochastic scalp with give-back trail exit</t>
        </is>
      </c>
      <c r="D5703" s="9" t="inlineStr">
        <is>
          <t>Long</t>
        </is>
      </c>
      <c r="E5703" s="10" t="n">
        <v>45946.46527777778</v>
      </c>
      <c r="F5703" s="10" t="n">
        <v>45946.47569444445</v>
      </c>
      <c r="G5703" s="11" t="n">
        <v>0</v>
      </c>
      <c r="H5703" s="11">
        <f>H5702+G5703</f>
        <v/>
      </c>
    </row>
    <row r="5704">
      <c r="A5704" s="9" t="n">
        <v>5700</v>
      </c>
      <c r="B5704" s="9" t="inlineStr">
        <is>
          <t>Vanguard_M15</t>
        </is>
      </c>
      <c r="C5704" s="9" t="inlineStr">
        <is>
          <t>Trendline breakout (fractal swing line) + VWAP/S-R distance gate - M15 chart</t>
        </is>
      </c>
      <c r="D5704" s="9" t="inlineStr">
        <is>
          <t>Short</t>
        </is>
      </c>
      <c r="E5704" s="10" t="n">
        <v>45946.36458333334</v>
      </c>
      <c r="F5704" s="10" t="n">
        <v>45946.53125</v>
      </c>
      <c r="G5704" s="11" t="n">
        <v>-24.62</v>
      </c>
      <c r="H5704" s="11">
        <f>H5703+G5704</f>
        <v/>
      </c>
    </row>
    <row r="5705">
      <c r="A5705" s="9" t="n">
        <v>5701</v>
      </c>
      <c r="B5705" s="9" t="inlineStr">
        <is>
          <t>Ratchet</t>
        </is>
      </c>
      <c r="C5705" s="9" t="inlineStr">
        <is>
          <t>Stochastic scalp with give-back trail exit</t>
        </is>
      </c>
      <c r="D5705" s="9" t="inlineStr">
        <is>
          <t>Long</t>
        </is>
      </c>
      <c r="E5705" s="10" t="n">
        <v>45946.56944444445</v>
      </c>
      <c r="F5705" s="10" t="n">
        <v>45946.61805555555</v>
      </c>
      <c r="G5705" s="11" t="n">
        <v>2.56</v>
      </c>
      <c r="H5705" s="11">
        <f>H5704+G5705</f>
        <v/>
      </c>
    </row>
    <row r="5706">
      <c r="A5706" s="9" t="n">
        <v>5702</v>
      </c>
      <c r="B5706" s="9" t="inlineStr">
        <is>
          <t>Aurelius_M5</t>
        </is>
      </c>
      <c r="C5706" s="9" t="inlineStr">
        <is>
          <t>MA alignment (EMA21&gt;EMA50&gt;SMA250&gt;SMMA500 vs EMA2400 trend filter)</t>
        </is>
      </c>
      <c r="D5706" s="9" t="inlineStr">
        <is>
          <t>Long</t>
        </is>
      </c>
      <c r="E5706" s="10" t="n">
        <v>45946.54166666666</v>
      </c>
      <c r="F5706" s="10" t="n">
        <v>45946.65277777778</v>
      </c>
      <c r="G5706" s="11" t="n">
        <v>-10.6</v>
      </c>
      <c r="H5706" s="11">
        <f>H5705+G5706</f>
        <v/>
      </c>
    </row>
    <row r="5707">
      <c r="A5707" s="9" t="n">
        <v>5703</v>
      </c>
      <c r="B5707" s="9" t="inlineStr">
        <is>
          <t>Ratchet</t>
        </is>
      </c>
      <c r="C5707" s="9" t="inlineStr">
        <is>
          <t>Stochastic scalp with give-back trail exit</t>
        </is>
      </c>
      <c r="D5707" s="9" t="inlineStr">
        <is>
          <t>Long</t>
        </is>
      </c>
      <c r="E5707" s="10" t="n">
        <v>45946.70486111111</v>
      </c>
      <c r="F5707" s="10" t="n">
        <v>45946.72569444445</v>
      </c>
      <c r="G5707" s="11" t="n">
        <v>3.62</v>
      </c>
      <c r="H5707" s="11">
        <f>H5706+G5707</f>
        <v/>
      </c>
    </row>
    <row r="5708">
      <c r="A5708" s="9" t="n">
        <v>5704</v>
      </c>
      <c r="B5708" s="9" t="inlineStr">
        <is>
          <t>Ratchet</t>
        </is>
      </c>
      <c r="C5708" s="9" t="inlineStr">
        <is>
          <t>Stochastic scalp with give-back trail exit</t>
        </is>
      </c>
      <c r="D5708" s="9" t="inlineStr">
        <is>
          <t>Long</t>
        </is>
      </c>
      <c r="E5708" s="10" t="n">
        <v>45946.75</v>
      </c>
      <c r="F5708" s="10" t="n">
        <v>45946.81597222222</v>
      </c>
      <c r="G5708" s="11" t="n">
        <v>7.77</v>
      </c>
      <c r="H5708" s="11">
        <f>H5707+G5708</f>
        <v/>
      </c>
    </row>
    <row r="5709">
      <c r="A5709" s="9" t="n">
        <v>5705</v>
      </c>
      <c r="B5709" s="9" t="inlineStr">
        <is>
          <t>Ratchet</t>
        </is>
      </c>
      <c r="C5709" s="9" t="inlineStr">
        <is>
          <t>Stochastic scalp with give-back trail exit</t>
        </is>
      </c>
      <c r="D5709" s="9" t="inlineStr">
        <is>
          <t>Long</t>
        </is>
      </c>
      <c r="E5709" s="10" t="n">
        <v>45946.92708333334</v>
      </c>
      <c r="F5709" s="10" t="n">
        <v>45946.9375</v>
      </c>
      <c r="G5709" s="11" t="n">
        <v>0</v>
      </c>
      <c r="H5709" s="11">
        <f>H5708+G5709</f>
        <v/>
      </c>
    </row>
    <row r="5710">
      <c r="A5710" s="9" t="n">
        <v>5706</v>
      </c>
      <c r="B5710" s="9" t="inlineStr">
        <is>
          <t>Ratchet</t>
        </is>
      </c>
      <c r="C5710" s="9" t="inlineStr">
        <is>
          <t>Stochastic scalp with give-back trail exit</t>
        </is>
      </c>
      <c r="D5710" s="9" t="inlineStr">
        <is>
          <t>Long</t>
        </is>
      </c>
      <c r="E5710" s="10" t="n">
        <v>45946.95138888889</v>
      </c>
      <c r="F5710" s="10" t="n">
        <v>45946.99652777778</v>
      </c>
      <c r="G5710" s="11" t="n">
        <v>32.55</v>
      </c>
      <c r="H5710" s="11">
        <f>H5709+G5710</f>
        <v/>
      </c>
    </row>
    <row r="5711">
      <c r="A5711" s="9" t="n">
        <v>5707</v>
      </c>
      <c r="B5711" s="9" t="inlineStr">
        <is>
          <t>Aurelius_M5</t>
        </is>
      </c>
      <c r="C5711" s="9" t="inlineStr">
        <is>
          <t>MA alignment (EMA21&gt;EMA50&gt;SMA250&gt;SMMA500 vs EMA2400 trend filter)</t>
        </is>
      </c>
      <c r="D5711" s="9" t="inlineStr">
        <is>
          <t>Long</t>
        </is>
      </c>
      <c r="E5711" s="10" t="n">
        <v>45946.67013888889</v>
      </c>
      <c r="F5711" s="10" t="n">
        <v>45947.04166666666</v>
      </c>
      <c r="G5711" s="11" t="n">
        <v>82.94</v>
      </c>
      <c r="H5711" s="11">
        <f>H5710+G5711</f>
        <v/>
      </c>
    </row>
    <row r="5712">
      <c r="A5712" s="9" t="n">
        <v>5708</v>
      </c>
      <c r="B5712" s="9" t="inlineStr">
        <is>
          <t>Ratchet</t>
        </is>
      </c>
      <c r="C5712" s="9" t="inlineStr">
        <is>
          <t>Stochastic scalp with give-back trail exit</t>
        </is>
      </c>
      <c r="D5712" s="9" t="inlineStr">
        <is>
          <t>Long</t>
        </is>
      </c>
      <c r="E5712" s="10" t="n">
        <v>45947.08680555555</v>
      </c>
      <c r="F5712" s="10" t="n">
        <v>45947.09027777778</v>
      </c>
      <c r="G5712" s="11" t="n">
        <v>3.25</v>
      </c>
      <c r="H5712" s="11">
        <f>H5711+G5712</f>
        <v/>
      </c>
    </row>
    <row r="5713">
      <c r="A5713" s="9" t="n">
        <v>5709</v>
      </c>
      <c r="B5713" s="9" t="inlineStr">
        <is>
          <t>Ratchet</t>
        </is>
      </c>
      <c r="C5713" s="9" t="inlineStr">
        <is>
          <t>Stochastic scalp with give-back trail exit</t>
        </is>
      </c>
      <c r="D5713" s="9" t="inlineStr">
        <is>
          <t>Long</t>
        </is>
      </c>
      <c r="E5713" s="10" t="n">
        <v>45947.11111111111</v>
      </c>
      <c r="F5713" s="10" t="n">
        <v>45947.11805555555</v>
      </c>
      <c r="G5713" s="11" t="n">
        <v>2.92</v>
      </c>
      <c r="H5713" s="11">
        <f>H5712+G5713</f>
        <v/>
      </c>
    </row>
    <row r="5714">
      <c r="A5714" s="9" t="n">
        <v>5710</v>
      </c>
      <c r="B5714" s="9" t="inlineStr">
        <is>
          <t>Ratchet</t>
        </is>
      </c>
      <c r="C5714" s="9" t="inlineStr">
        <is>
          <t>Stochastic scalp with give-back trail exit</t>
        </is>
      </c>
      <c r="D5714" s="9" t="inlineStr">
        <is>
          <t>Long</t>
        </is>
      </c>
      <c r="E5714" s="10" t="n">
        <v>45947.16319444445</v>
      </c>
      <c r="F5714" s="10" t="n">
        <v>45947.16666666666</v>
      </c>
      <c r="G5714" s="11" t="n">
        <v>-13.09</v>
      </c>
      <c r="H5714" s="11">
        <f>H5713+G5714</f>
        <v/>
      </c>
    </row>
    <row r="5715">
      <c r="A5715" s="9" t="n">
        <v>5711</v>
      </c>
      <c r="B5715" s="9" t="inlineStr">
        <is>
          <t>Meridian</t>
        </is>
      </c>
      <c r="C5715" s="9" t="inlineStr">
        <is>
          <t>21/50 MA cross, 250-period confirm filter, VWAP</t>
        </is>
      </c>
      <c r="D5715" s="9" t="inlineStr">
        <is>
          <t>Long</t>
        </is>
      </c>
      <c r="E5715" s="10" t="n">
        <v>45946.4375</v>
      </c>
      <c r="F5715" s="10" t="n">
        <v>45947.20138888889</v>
      </c>
      <c r="G5715" s="11" t="n">
        <v>66.48</v>
      </c>
      <c r="H5715" s="11">
        <f>H5714+G5715</f>
        <v/>
      </c>
    </row>
    <row r="5716">
      <c r="A5716" s="9" t="n">
        <v>5712</v>
      </c>
      <c r="B5716" s="9" t="inlineStr">
        <is>
          <t>Ratchet</t>
        </is>
      </c>
      <c r="C5716" s="9" t="inlineStr">
        <is>
          <t>Stochastic scalp with give-back trail exit</t>
        </is>
      </c>
      <c r="D5716" s="9" t="inlineStr">
        <is>
          <t>Long</t>
        </is>
      </c>
      <c r="E5716" s="10" t="n">
        <v>45947.27430555555</v>
      </c>
      <c r="F5716" s="10" t="n">
        <v>45947.30208333334</v>
      </c>
      <c r="G5716" s="11" t="n">
        <v>5.18</v>
      </c>
      <c r="H5716" s="11">
        <f>H5715+G5716</f>
        <v/>
      </c>
    </row>
    <row r="5717">
      <c r="A5717" s="9" t="n">
        <v>5713</v>
      </c>
      <c r="B5717" s="9" t="inlineStr">
        <is>
          <t>Meridian</t>
        </is>
      </c>
      <c r="C5717" s="9" t="inlineStr">
        <is>
          <t>21/50 MA cross, 250-period confirm filter, VWAP</t>
        </is>
      </c>
      <c r="D5717" s="9" t="inlineStr">
        <is>
          <t>Long</t>
        </is>
      </c>
      <c r="E5717" s="10" t="n">
        <v>45947.25694444445</v>
      </c>
      <c r="F5717" s="10" t="n">
        <v>45947.43055555555</v>
      </c>
      <c r="G5717" s="11" t="n">
        <v>-27.93</v>
      </c>
      <c r="H5717" s="11">
        <f>H5716+G5717</f>
        <v/>
      </c>
    </row>
    <row r="5718">
      <c r="A5718" s="9" t="n">
        <v>5714</v>
      </c>
      <c r="B5718" s="9" t="inlineStr">
        <is>
          <t>Aurelius_M5</t>
        </is>
      </c>
      <c r="C5718" s="9" t="inlineStr">
        <is>
          <t>MA alignment (EMA21&gt;EMA50&gt;SMA250&gt;SMMA500 vs EMA2400 trend filter)</t>
        </is>
      </c>
      <c r="D5718" s="9" t="inlineStr">
        <is>
          <t>Long</t>
        </is>
      </c>
      <c r="E5718" s="10" t="n">
        <v>45947.39236111111</v>
      </c>
      <c r="F5718" s="10" t="n">
        <v>45947.43055555555</v>
      </c>
      <c r="G5718" s="11" t="n">
        <v>-18.62</v>
      </c>
      <c r="H5718" s="11">
        <f>H5717+G5718</f>
        <v/>
      </c>
    </row>
    <row r="5719">
      <c r="A5719" s="9" t="n">
        <v>5715</v>
      </c>
      <c r="B5719" s="9" t="inlineStr">
        <is>
          <t>Aurelius_M15</t>
        </is>
      </c>
      <c r="C5719" s="9" t="inlineStr">
        <is>
          <t>MA alignment (EMA21&gt;EMA50&gt;SMA250&gt;SMMA500 vs EMA2400 trend filter) - M15 chart</t>
        </is>
      </c>
      <c r="D5719" s="9" t="inlineStr">
        <is>
          <t>Long</t>
        </is>
      </c>
      <c r="E5719" s="10" t="n">
        <v>45945.67708333334</v>
      </c>
      <c r="F5719" s="10" t="n">
        <v>45947.58333333334</v>
      </c>
      <c r="G5719" s="11" t="n">
        <v>132.15</v>
      </c>
      <c r="H5719" s="11">
        <f>H5718+G5719</f>
        <v/>
      </c>
    </row>
    <row r="5720">
      <c r="A5720" s="9" t="n">
        <v>5716</v>
      </c>
      <c r="B5720" s="9" t="inlineStr">
        <is>
          <t>Meridian</t>
        </is>
      </c>
      <c r="C5720" s="9" t="inlineStr">
        <is>
          <t>21/50 MA cross, 250-period confirm filter, VWAP</t>
        </is>
      </c>
      <c r="D5720" s="9" t="inlineStr">
        <is>
          <t>Short</t>
        </is>
      </c>
      <c r="E5720" s="10" t="n">
        <v>45950.13888888889</v>
      </c>
      <c r="F5720" s="10" t="n">
        <v>45950.17361111111</v>
      </c>
      <c r="G5720" s="11" t="n">
        <v>-19.19</v>
      </c>
      <c r="H5720" s="11">
        <f>H5719+G5720</f>
        <v/>
      </c>
    </row>
    <row r="5721">
      <c r="A5721" s="9" t="n">
        <v>5717</v>
      </c>
      <c r="B5721" s="9" t="inlineStr">
        <is>
          <t>Meridian</t>
        </is>
      </c>
      <c r="C5721" s="9" t="inlineStr">
        <is>
          <t>21/50 MA cross, 250-period confirm filter, VWAP</t>
        </is>
      </c>
      <c r="D5721" s="9" t="inlineStr">
        <is>
          <t>Short</t>
        </is>
      </c>
      <c r="E5721" s="10" t="n">
        <v>45950.37152777778</v>
      </c>
      <c r="F5721" s="10" t="n">
        <v>45950.43055555555</v>
      </c>
      <c r="G5721" s="11" t="n">
        <v>-14.37</v>
      </c>
      <c r="H5721" s="11">
        <f>H5720+G5721</f>
        <v/>
      </c>
    </row>
    <row r="5722">
      <c r="A5722" s="9" t="n">
        <v>5718</v>
      </c>
      <c r="B5722" s="9" t="inlineStr">
        <is>
          <t>Vanguard_M15</t>
        </is>
      </c>
      <c r="C5722" s="9" t="inlineStr">
        <is>
          <t>Trendline breakout (fractal swing line) + VWAP/S-R distance gate - M15 chart</t>
        </is>
      </c>
      <c r="D5722" s="9" t="inlineStr">
        <is>
          <t>Short</t>
        </is>
      </c>
      <c r="E5722" s="10" t="n">
        <v>45947.625</v>
      </c>
      <c r="F5722" s="10" t="n">
        <v>45950.63541666666</v>
      </c>
      <c r="G5722" s="11" t="n">
        <v>-6.65</v>
      </c>
      <c r="H5722" s="11">
        <f>H5721+G5722</f>
        <v/>
      </c>
    </row>
    <row r="5723">
      <c r="A5723" s="9" t="n">
        <v>5719</v>
      </c>
      <c r="B5723" s="9" t="inlineStr">
        <is>
          <t>Vanguard_M5</t>
        </is>
      </c>
      <c r="C5723" s="9" t="inlineStr">
        <is>
          <t>Trendline breakout (fractal swing line) + VWAP/S-R distance gate</t>
        </is>
      </c>
      <c r="D5723" s="9" t="inlineStr">
        <is>
          <t>Short</t>
        </is>
      </c>
      <c r="E5723" s="10" t="n">
        <v>45947.61458333334</v>
      </c>
      <c r="F5723" s="10" t="n">
        <v>45950.64930555555</v>
      </c>
      <c r="G5723" s="11" t="n">
        <v>-10.81</v>
      </c>
      <c r="H5723" s="11">
        <f>H5722+G5723</f>
        <v/>
      </c>
    </row>
    <row r="5724">
      <c r="A5724" s="9" t="n">
        <v>5720</v>
      </c>
      <c r="B5724" s="9" t="inlineStr">
        <is>
          <t>Ratchet</t>
        </is>
      </c>
      <c r="C5724" s="9" t="inlineStr">
        <is>
          <t>Stochastic scalp with give-back trail exit</t>
        </is>
      </c>
      <c r="D5724" s="9" t="inlineStr">
        <is>
          <t>Long</t>
        </is>
      </c>
      <c r="E5724" s="10" t="n">
        <v>45950.87152777778</v>
      </c>
      <c r="F5724" s="10" t="n">
        <v>45950.96527777778</v>
      </c>
      <c r="G5724" s="11" t="n">
        <v>9.109999999999999</v>
      </c>
      <c r="H5724" s="11">
        <f>H5723+G5724</f>
        <v/>
      </c>
    </row>
    <row r="5725">
      <c r="A5725" s="9" t="n">
        <v>5721</v>
      </c>
      <c r="B5725" s="9" t="inlineStr">
        <is>
          <t>Aurelius_M5</t>
        </is>
      </c>
      <c r="C5725" s="9" t="inlineStr">
        <is>
          <t>MA alignment (EMA21&gt;EMA50&gt;SMA250&gt;SMMA500 vs EMA2400 trend filter)</t>
        </is>
      </c>
      <c r="D5725" s="9" t="inlineStr">
        <is>
          <t>Long</t>
        </is>
      </c>
      <c r="E5725" s="10" t="n">
        <v>45950.62847222222</v>
      </c>
      <c r="F5725" s="10" t="n">
        <v>45951.04166666666</v>
      </c>
      <c r="G5725" s="11" t="n">
        <v>80.09999999999999</v>
      </c>
      <c r="H5725" s="11">
        <f>H5724+G5725</f>
        <v/>
      </c>
    </row>
    <row r="5726">
      <c r="A5726" s="9" t="n">
        <v>5722</v>
      </c>
      <c r="B5726" s="9" t="inlineStr">
        <is>
          <t>Ratchet</t>
        </is>
      </c>
      <c r="C5726" s="9" t="inlineStr">
        <is>
          <t>Stochastic scalp with give-back trail exit</t>
        </is>
      </c>
      <c r="D5726" s="9" t="inlineStr">
        <is>
          <t>Long</t>
        </is>
      </c>
      <c r="E5726" s="10" t="n">
        <v>45951.05902777778</v>
      </c>
      <c r="F5726" s="10" t="n">
        <v>45951.06944444445</v>
      </c>
      <c r="G5726" s="11" t="n">
        <v>-14.67</v>
      </c>
      <c r="H5726" s="11">
        <f>H5725+G5726</f>
        <v/>
      </c>
    </row>
    <row r="5727">
      <c r="A5727" s="9" t="n">
        <v>5723</v>
      </c>
      <c r="B5727" s="9" t="inlineStr">
        <is>
          <t>Ratchet</t>
        </is>
      </c>
      <c r="C5727" s="9" t="inlineStr">
        <is>
          <t>Stochastic scalp with give-back trail exit</t>
        </is>
      </c>
      <c r="D5727" s="9" t="inlineStr">
        <is>
          <t>Long</t>
        </is>
      </c>
      <c r="E5727" s="10" t="n">
        <v>45951.07986111111</v>
      </c>
      <c r="F5727" s="10" t="n">
        <v>45951.08680555555</v>
      </c>
      <c r="G5727" s="11" t="n">
        <v>1.08</v>
      </c>
      <c r="H5727" s="11">
        <f>H5726+G5727</f>
        <v/>
      </c>
    </row>
    <row r="5728">
      <c r="A5728" s="9" t="n">
        <v>5724</v>
      </c>
      <c r="B5728" s="9" t="inlineStr">
        <is>
          <t>Aurelius_M5</t>
        </is>
      </c>
      <c r="C5728" s="9" t="inlineStr">
        <is>
          <t>MA alignment (EMA21&gt;EMA50&gt;SMA250&gt;SMMA500 vs EMA2400 trend filter)</t>
        </is>
      </c>
      <c r="D5728" s="9" t="inlineStr">
        <is>
          <t>Long</t>
        </is>
      </c>
      <c r="E5728" s="10" t="n">
        <v>45951.17013888889</v>
      </c>
      <c r="F5728" s="10" t="n">
        <v>45951.18055555555</v>
      </c>
      <c r="G5728" s="11" t="n">
        <v>-13.22</v>
      </c>
      <c r="H5728" s="11">
        <f>H5727+G5728</f>
        <v/>
      </c>
    </row>
    <row r="5729">
      <c r="A5729" s="9" t="n">
        <v>5725</v>
      </c>
      <c r="B5729" s="9" t="inlineStr">
        <is>
          <t>Meridian</t>
        </is>
      </c>
      <c r="C5729" s="9" t="inlineStr">
        <is>
          <t>21/50 MA cross, 250-period confirm filter, VWAP</t>
        </is>
      </c>
      <c r="D5729" s="9" t="inlineStr">
        <is>
          <t>Long</t>
        </is>
      </c>
      <c r="E5729" s="10" t="n">
        <v>45950.46180555555</v>
      </c>
      <c r="F5729" s="10" t="n">
        <v>45951.19097222222</v>
      </c>
      <c r="G5729" s="11" t="n">
        <v>87.90000000000001</v>
      </c>
      <c r="H5729" s="11">
        <f>H5728+G5729</f>
        <v/>
      </c>
    </row>
    <row r="5730">
      <c r="A5730" s="9" t="n">
        <v>5726</v>
      </c>
      <c r="B5730" s="9" t="inlineStr">
        <is>
          <t>Aurelius_M15</t>
        </is>
      </c>
      <c r="C5730" s="9" t="inlineStr">
        <is>
          <t>MA alignment (EMA21&gt;EMA50&gt;SMA250&gt;SMMA500 vs EMA2400 trend filter) - M15 chart</t>
        </is>
      </c>
      <c r="D5730" s="9" t="inlineStr">
        <is>
          <t>Long</t>
        </is>
      </c>
      <c r="E5730" s="10" t="n">
        <v>45950.69791666666</v>
      </c>
      <c r="F5730" s="10" t="n">
        <v>45951.25</v>
      </c>
      <c r="G5730" s="11" t="n">
        <v>30.49</v>
      </c>
      <c r="H5730" s="11">
        <f>H5729+G5730</f>
        <v/>
      </c>
    </row>
    <row r="5731">
      <c r="A5731" s="9" t="n">
        <v>5727</v>
      </c>
      <c r="B5731" s="9" t="inlineStr">
        <is>
          <t>Ratchet</t>
        </is>
      </c>
      <c r="C5731" s="9" t="inlineStr">
        <is>
          <t>Stochastic scalp with give-back trail exit</t>
        </is>
      </c>
      <c r="D5731" s="9" t="inlineStr">
        <is>
          <t>Short</t>
        </is>
      </c>
      <c r="E5731" s="10" t="n">
        <v>45951.71527777778</v>
      </c>
      <c r="F5731" s="10" t="n">
        <v>45951.99305555555</v>
      </c>
      <c r="G5731" s="11" t="n">
        <v>45.16</v>
      </c>
      <c r="H5731" s="11">
        <f>H5730+G5731</f>
        <v/>
      </c>
    </row>
    <row r="5732">
      <c r="A5732" s="9" t="n">
        <v>5728</v>
      </c>
      <c r="B5732" s="9" t="inlineStr">
        <is>
          <t>Meridian</t>
        </is>
      </c>
      <c r="C5732" s="9" t="inlineStr">
        <is>
          <t>21/50 MA cross, 250-period confirm filter, VWAP</t>
        </is>
      </c>
      <c r="D5732" s="9" t="inlineStr">
        <is>
          <t>Short</t>
        </is>
      </c>
      <c r="E5732" s="10" t="n">
        <v>45952.11805555555</v>
      </c>
      <c r="F5732" s="10" t="n">
        <v>45952.23958333334</v>
      </c>
      <c r="G5732" s="11" t="n">
        <v>-1.33</v>
      </c>
      <c r="H5732" s="11">
        <f>H5731+G5732</f>
        <v/>
      </c>
    </row>
    <row r="5733">
      <c r="A5733" s="9" t="n">
        <v>5729</v>
      </c>
      <c r="B5733" s="9" t="inlineStr">
        <is>
          <t>Meridian</t>
        </is>
      </c>
      <c r="C5733" s="9" t="inlineStr">
        <is>
          <t>21/50 MA cross, 250-period confirm filter, VWAP</t>
        </is>
      </c>
      <c r="D5733" s="9" t="inlineStr">
        <is>
          <t>Short</t>
        </is>
      </c>
      <c r="E5733" s="10" t="n">
        <v>45952.46875</v>
      </c>
      <c r="F5733" s="10" t="n">
        <v>45952.47222222222</v>
      </c>
      <c r="G5733" s="11" t="n">
        <v>-25.64</v>
      </c>
      <c r="H5733" s="11">
        <f>H5732+G5733</f>
        <v/>
      </c>
    </row>
    <row r="5734">
      <c r="A5734" s="9" t="n">
        <v>5730</v>
      </c>
      <c r="B5734" s="9" t="inlineStr">
        <is>
          <t>Ratchet</t>
        </is>
      </c>
      <c r="C5734" s="9" t="inlineStr">
        <is>
          <t>Stochastic scalp with give-back trail exit</t>
        </is>
      </c>
      <c r="D5734" s="9" t="inlineStr">
        <is>
          <t>Short</t>
        </is>
      </c>
      <c r="E5734" s="10" t="n">
        <v>45952.47916666666</v>
      </c>
      <c r="F5734" s="10" t="n">
        <v>45952.5</v>
      </c>
      <c r="G5734" s="11" t="n">
        <v>9.630000000000001</v>
      </c>
      <c r="H5734" s="11">
        <f>H5733+G5734</f>
        <v/>
      </c>
    </row>
    <row r="5735">
      <c r="A5735" s="9" t="n">
        <v>5731</v>
      </c>
      <c r="B5735" s="9" t="inlineStr">
        <is>
          <t>Ratchet</t>
        </is>
      </c>
      <c r="C5735" s="9" t="inlineStr">
        <is>
          <t>Stochastic scalp with give-back trail exit</t>
        </is>
      </c>
      <c r="D5735" s="9" t="inlineStr">
        <is>
          <t>Short</t>
        </is>
      </c>
      <c r="E5735" s="10" t="n">
        <v>45952.51388888889</v>
      </c>
      <c r="F5735" s="10" t="n">
        <v>45952.53819444445</v>
      </c>
      <c r="G5735" s="11" t="n">
        <v>3.07</v>
      </c>
      <c r="H5735" s="11">
        <f>H5734+G5735</f>
        <v/>
      </c>
    </row>
    <row r="5736">
      <c r="A5736" s="9" t="n">
        <v>5732</v>
      </c>
      <c r="B5736" s="9" t="inlineStr">
        <is>
          <t>Aurelius_M5</t>
        </is>
      </c>
      <c r="C5736" s="9" t="inlineStr">
        <is>
          <t>MA alignment (EMA21&gt;EMA50&gt;SMA250&gt;SMMA500 vs EMA2400 trend filter)</t>
        </is>
      </c>
      <c r="D5736" s="9" t="inlineStr">
        <is>
          <t>Short</t>
        </is>
      </c>
      <c r="E5736" s="10" t="n">
        <v>45952.48263888889</v>
      </c>
      <c r="F5736" s="10" t="n">
        <v>45952.71180555555</v>
      </c>
      <c r="G5736" s="11" t="n">
        <v>35.11</v>
      </c>
      <c r="H5736" s="11">
        <f>H5735+G5736</f>
        <v/>
      </c>
    </row>
    <row r="5737">
      <c r="A5737" s="9" t="n">
        <v>5733</v>
      </c>
      <c r="B5737" s="9" t="inlineStr">
        <is>
          <t>Meridian</t>
        </is>
      </c>
      <c r="C5737" s="9" t="inlineStr">
        <is>
          <t>21/50 MA cross, 250-period confirm filter, VWAP</t>
        </is>
      </c>
      <c r="D5737" s="9" t="inlineStr">
        <is>
          <t>Short</t>
        </is>
      </c>
      <c r="E5737" s="10" t="n">
        <v>45952.72916666666</v>
      </c>
      <c r="F5737" s="10" t="n">
        <v>45952.84375</v>
      </c>
      <c r="G5737" s="11" t="n">
        <v>0.54</v>
      </c>
      <c r="H5737" s="11">
        <f>H5736+G5737</f>
        <v/>
      </c>
    </row>
    <row r="5738">
      <c r="A5738" s="9" t="n">
        <v>5734</v>
      </c>
      <c r="B5738" s="9" t="inlineStr">
        <is>
          <t>Vanguard_M15</t>
        </is>
      </c>
      <c r="C5738" s="9" t="inlineStr">
        <is>
          <t>Trendline breakout (fractal swing line) + VWAP/S-R distance gate - M15 chart</t>
        </is>
      </c>
      <c r="D5738" s="9" t="inlineStr">
        <is>
          <t>Short</t>
        </is>
      </c>
      <c r="E5738" s="10" t="n">
        <v>45951.63541666666</v>
      </c>
      <c r="F5738" s="10" t="n">
        <v>45952.91666666666</v>
      </c>
      <c r="G5738" s="11" t="n">
        <v>132.5</v>
      </c>
      <c r="H5738" s="11">
        <f>H5737+G5738</f>
        <v/>
      </c>
    </row>
    <row r="5739">
      <c r="A5739" s="9" t="n">
        <v>5735</v>
      </c>
      <c r="B5739" s="9" t="inlineStr">
        <is>
          <t>Vanguard_M5</t>
        </is>
      </c>
      <c r="C5739" s="9" t="inlineStr">
        <is>
          <t>Trendline breakout (fractal swing line) + VWAP/S-R distance gate</t>
        </is>
      </c>
      <c r="D5739" s="9" t="inlineStr">
        <is>
          <t>Short</t>
        </is>
      </c>
      <c r="E5739" s="10" t="n">
        <v>45951.63541666666</v>
      </c>
      <c r="F5739" s="10" t="n">
        <v>45952.91666666666</v>
      </c>
      <c r="G5739" s="11" t="n">
        <v>139.35</v>
      </c>
      <c r="H5739" s="11">
        <f>H5738+G5739</f>
        <v/>
      </c>
    </row>
    <row r="5740">
      <c r="A5740" s="9" t="n">
        <v>5736</v>
      </c>
      <c r="B5740" s="9" t="inlineStr">
        <is>
          <t>Meridian</t>
        </is>
      </c>
      <c r="C5740" s="9" t="inlineStr">
        <is>
          <t>21/50 MA cross, 250-period confirm filter, VWAP</t>
        </is>
      </c>
      <c r="D5740" s="9" t="inlineStr">
        <is>
          <t>Short</t>
        </is>
      </c>
      <c r="E5740" s="10" t="n">
        <v>45953.14583333334</v>
      </c>
      <c r="F5740" s="10" t="n">
        <v>45953.26041666666</v>
      </c>
      <c r="G5740" s="11" t="n">
        <v>-20.02</v>
      </c>
      <c r="H5740" s="11">
        <f>H5739+G5740</f>
        <v/>
      </c>
    </row>
    <row r="5741">
      <c r="A5741" s="9" t="n">
        <v>5737</v>
      </c>
      <c r="B5741" s="9" t="inlineStr">
        <is>
          <t>Meridian</t>
        </is>
      </c>
      <c r="C5741" s="9" t="inlineStr">
        <is>
          <t>21/50 MA cross, 250-period confirm filter, VWAP</t>
        </is>
      </c>
      <c r="D5741" s="9" t="inlineStr">
        <is>
          <t>Long</t>
        </is>
      </c>
      <c r="E5741" s="10" t="n">
        <v>45953.26736111111</v>
      </c>
      <c r="F5741" s="10" t="n">
        <v>45953.30555555555</v>
      </c>
      <c r="G5741" s="11" t="n">
        <v>-14.46</v>
      </c>
      <c r="H5741" s="11">
        <f>H5740+G5741</f>
        <v/>
      </c>
    </row>
    <row r="5742">
      <c r="A5742" s="9" t="n">
        <v>5738</v>
      </c>
      <c r="B5742" s="9" t="inlineStr">
        <is>
          <t>Meridian</t>
        </is>
      </c>
      <c r="C5742" s="9" t="inlineStr">
        <is>
          <t>21/50 MA cross, 250-period confirm filter, VWAP</t>
        </is>
      </c>
      <c r="D5742" s="9" t="inlineStr">
        <is>
          <t>Long</t>
        </is>
      </c>
      <c r="E5742" s="10" t="n">
        <v>45953.65277777778</v>
      </c>
      <c r="F5742" s="10" t="n">
        <v>45953.85416666666</v>
      </c>
      <c r="G5742" s="11" t="n">
        <v>4.58</v>
      </c>
      <c r="H5742" s="11">
        <f>H5741+G5742</f>
        <v/>
      </c>
    </row>
    <row r="5743">
      <c r="A5743" s="9" t="n">
        <v>5739</v>
      </c>
      <c r="B5743" s="9" t="inlineStr">
        <is>
          <t>Meridian</t>
        </is>
      </c>
      <c r="C5743" s="9" t="inlineStr">
        <is>
          <t>21/50 MA cross, 250-period confirm filter, VWAP</t>
        </is>
      </c>
      <c r="D5743" s="9" t="inlineStr">
        <is>
          <t>Long</t>
        </is>
      </c>
      <c r="E5743" s="10" t="n">
        <v>45953.88888888889</v>
      </c>
      <c r="F5743" s="10" t="n">
        <v>45953.93055555555</v>
      </c>
      <c r="G5743" s="11" t="n">
        <v>-8.67</v>
      </c>
      <c r="H5743" s="11">
        <f>H5742+G5743</f>
        <v/>
      </c>
    </row>
    <row r="5744">
      <c r="A5744" s="9" t="n">
        <v>5740</v>
      </c>
      <c r="B5744" s="9" t="inlineStr">
        <is>
          <t>Meridian</t>
        </is>
      </c>
      <c r="C5744" s="9" t="inlineStr">
        <is>
          <t>21/50 MA cross, 250-period confirm filter, VWAP</t>
        </is>
      </c>
      <c r="D5744" s="9" t="inlineStr">
        <is>
          <t>Long</t>
        </is>
      </c>
      <c r="E5744" s="10" t="n">
        <v>45954.14930555555</v>
      </c>
      <c r="F5744" s="10" t="n">
        <v>45954.20138888889</v>
      </c>
      <c r="G5744" s="11" t="n">
        <v>-12.37</v>
      </c>
      <c r="H5744" s="11">
        <f>H5743+G5744</f>
        <v/>
      </c>
    </row>
    <row r="5745">
      <c r="A5745" s="9" t="n">
        <v>5741</v>
      </c>
      <c r="B5745" s="9" t="inlineStr">
        <is>
          <t>Vanguard_M15</t>
        </is>
      </c>
      <c r="C5745" s="9" t="inlineStr">
        <is>
          <t>Trendline breakout (fractal swing line) + VWAP/S-R distance gate - M15 chart</t>
        </is>
      </c>
      <c r="D5745" s="9" t="inlineStr">
        <is>
          <t>Long</t>
        </is>
      </c>
      <c r="E5745" s="10" t="n">
        <v>45952.92708333334</v>
      </c>
      <c r="F5745" s="10" t="n">
        <v>45954.375</v>
      </c>
      <c r="G5745" s="11" t="n">
        <v>-9.76</v>
      </c>
      <c r="H5745" s="11">
        <f>H5744+G5745</f>
        <v/>
      </c>
    </row>
    <row r="5746">
      <c r="A5746" s="9" t="n">
        <v>5742</v>
      </c>
      <c r="B5746" s="9" t="inlineStr">
        <is>
          <t>Vanguard_M5</t>
        </is>
      </c>
      <c r="C5746" s="9" t="inlineStr">
        <is>
          <t>Trendline breakout (fractal swing line) + VWAP/S-R distance gate</t>
        </is>
      </c>
      <c r="D5746" s="9" t="inlineStr">
        <is>
          <t>Long</t>
        </is>
      </c>
      <c r="E5746" s="10" t="n">
        <v>45952.92013888889</v>
      </c>
      <c r="F5746" s="10" t="n">
        <v>45954.38194444445</v>
      </c>
      <c r="G5746" s="11" t="n">
        <v>-2.92</v>
      </c>
      <c r="H5746" s="11">
        <f>H5745+G5746</f>
        <v/>
      </c>
    </row>
    <row r="5747">
      <c r="A5747" s="9" t="n">
        <v>5743</v>
      </c>
      <c r="B5747" s="9" t="inlineStr">
        <is>
          <t>Meridian</t>
        </is>
      </c>
      <c r="C5747" s="9" t="inlineStr">
        <is>
          <t>21/50 MA cross, 250-period confirm filter, VWAP</t>
        </is>
      </c>
      <c r="D5747" s="9" t="inlineStr">
        <is>
          <t>Short</t>
        </is>
      </c>
      <c r="E5747" s="10" t="n">
        <v>45954.21875</v>
      </c>
      <c r="F5747" s="10" t="n">
        <v>45954.66319444445</v>
      </c>
      <c r="G5747" s="11" t="n">
        <v>32.62</v>
      </c>
      <c r="H5747" s="11">
        <f>H5746+G5747</f>
        <v/>
      </c>
    </row>
    <row r="5748">
      <c r="A5748" s="9" t="n">
        <v>5744</v>
      </c>
      <c r="B5748" s="9" t="inlineStr">
        <is>
          <t>Aurelius_M5</t>
        </is>
      </c>
      <c r="C5748" s="9" t="inlineStr">
        <is>
          <t>MA alignment (EMA21&gt;EMA50&gt;SMA250&gt;SMMA500 vs EMA2400 trend filter)</t>
        </is>
      </c>
      <c r="D5748" s="9" t="inlineStr">
        <is>
          <t>Short</t>
        </is>
      </c>
      <c r="E5748" s="10" t="n">
        <v>45954.30902777778</v>
      </c>
      <c r="F5748" s="10" t="n">
        <v>45954.66319444445</v>
      </c>
      <c r="G5748" s="11" t="n">
        <v>24.53</v>
      </c>
      <c r="H5748" s="11">
        <f>H5747+G5748</f>
        <v/>
      </c>
    </row>
    <row r="5749">
      <c r="A5749" s="9" t="n">
        <v>5745</v>
      </c>
      <c r="B5749" s="9" t="inlineStr">
        <is>
          <t>Aurelius_M15</t>
        </is>
      </c>
      <c r="C5749" s="9" t="inlineStr">
        <is>
          <t>MA alignment (EMA21&gt;EMA50&gt;SMA250&gt;SMMA500 vs EMA2400 trend filter) - M15 chart</t>
        </is>
      </c>
      <c r="D5749" s="9" t="inlineStr">
        <is>
          <t>Short</t>
        </is>
      </c>
      <c r="E5749" s="10" t="n">
        <v>45954.38541666666</v>
      </c>
      <c r="F5749" s="10" t="n">
        <v>45954.66666666666</v>
      </c>
      <c r="G5749" s="11" t="n">
        <v>-23.97</v>
      </c>
      <c r="H5749" s="11">
        <f>H5748+G5749</f>
        <v/>
      </c>
    </row>
    <row r="5750">
      <c r="A5750" s="9" t="n">
        <v>5746</v>
      </c>
      <c r="B5750" s="9" t="inlineStr">
        <is>
          <t>Vanguard_M5</t>
        </is>
      </c>
      <c r="C5750" s="9" t="inlineStr">
        <is>
          <t>Trendline breakout (fractal swing line) + VWAP/S-R distance gate</t>
        </is>
      </c>
      <c r="D5750" s="9" t="inlineStr">
        <is>
          <t>Short</t>
        </is>
      </c>
      <c r="E5750" s="10" t="n">
        <v>45957.25694444445</v>
      </c>
      <c r="F5750" s="10" t="n">
        <v>45957.30555555555</v>
      </c>
      <c r="G5750" s="11" t="n">
        <v>-21.03</v>
      </c>
      <c r="H5750" s="11">
        <f>H5749+G5750</f>
        <v/>
      </c>
    </row>
    <row r="5751">
      <c r="A5751" s="9" t="n">
        <v>5747</v>
      </c>
      <c r="B5751" s="9" t="inlineStr">
        <is>
          <t>Ratchet</t>
        </is>
      </c>
      <c r="C5751" s="9" t="inlineStr">
        <is>
          <t>Stochastic scalp with give-back trail exit</t>
        </is>
      </c>
      <c r="D5751" s="9" t="inlineStr">
        <is>
          <t>Short</t>
        </is>
      </c>
      <c r="E5751" s="10" t="n">
        <v>45957.43055555555</v>
      </c>
      <c r="F5751" s="10" t="n">
        <v>45957.70833333334</v>
      </c>
      <c r="G5751" s="11" t="n">
        <v>78.03</v>
      </c>
      <c r="H5751" s="11">
        <f>H5750+G5751</f>
        <v/>
      </c>
    </row>
    <row r="5752">
      <c r="A5752" s="9" t="n">
        <v>5748</v>
      </c>
      <c r="B5752" s="9" t="inlineStr">
        <is>
          <t>Ratchet</t>
        </is>
      </c>
      <c r="C5752" s="9" t="inlineStr">
        <is>
          <t>Stochastic scalp with give-back trail exit</t>
        </is>
      </c>
      <c r="D5752" s="9" t="inlineStr">
        <is>
          <t>Short</t>
        </is>
      </c>
      <c r="E5752" s="10" t="n">
        <v>45957.73611111111</v>
      </c>
      <c r="F5752" s="10" t="n">
        <v>45957.73958333334</v>
      </c>
      <c r="G5752" s="11" t="n">
        <v>1.6</v>
      </c>
      <c r="H5752" s="11">
        <f>H5751+G5752</f>
        <v/>
      </c>
    </row>
    <row r="5753">
      <c r="A5753" s="9" t="n">
        <v>5749</v>
      </c>
      <c r="B5753" s="9" t="inlineStr">
        <is>
          <t>Aurelius_M5</t>
        </is>
      </c>
      <c r="C5753" s="9" t="inlineStr">
        <is>
          <t>MA alignment (EMA21&gt;EMA50&gt;SMA250&gt;SMMA500 vs EMA2400 trend filter)</t>
        </is>
      </c>
      <c r="D5753" s="9" t="inlineStr">
        <is>
          <t>Short</t>
        </is>
      </c>
      <c r="E5753" s="10" t="n">
        <v>45957.64583333334</v>
      </c>
      <c r="F5753" s="10" t="n">
        <v>45957.83680555555</v>
      </c>
      <c r="G5753" s="11" t="n">
        <v>27.38</v>
      </c>
      <c r="H5753" s="11">
        <f>H5752+G5753</f>
        <v/>
      </c>
    </row>
    <row r="5754">
      <c r="A5754" s="9" t="n">
        <v>5750</v>
      </c>
      <c r="B5754" s="9" t="inlineStr">
        <is>
          <t>Meridian</t>
        </is>
      </c>
      <c r="C5754" s="9" t="inlineStr">
        <is>
          <t>21/50 MA cross, 250-period confirm filter, VWAP</t>
        </is>
      </c>
      <c r="D5754" s="9" t="inlineStr">
        <is>
          <t>Short</t>
        </is>
      </c>
      <c r="E5754" s="10" t="n">
        <v>45957.39583333334</v>
      </c>
      <c r="F5754" s="10" t="n">
        <v>45957.85416666666</v>
      </c>
      <c r="G5754" s="11" t="n">
        <v>59.99</v>
      </c>
      <c r="H5754" s="11">
        <f>H5753+G5754</f>
        <v/>
      </c>
    </row>
    <row r="5755">
      <c r="A5755" s="9" t="n">
        <v>5751</v>
      </c>
      <c r="B5755" s="9" t="inlineStr">
        <is>
          <t>Meridian</t>
        </is>
      </c>
      <c r="C5755" s="9" t="inlineStr">
        <is>
          <t>21/50 MA cross, 250-period confirm filter, VWAP</t>
        </is>
      </c>
      <c r="D5755" s="9" t="inlineStr">
        <is>
          <t>Short</t>
        </is>
      </c>
      <c r="E5755" s="10" t="n">
        <v>45957.88541666666</v>
      </c>
      <c r="F5755" s="10" t="n">
        <v>45958.07986111111</v>
      </c>
      <c r="G5755" s="11" t="n">
        <v>1.19</v>
      </c>
      <c r="H5755" s="11">
        <f>H5754+G5755</f>
        <v/>
      </c>
    </row>
    <row r="5756">
      <c r="A5756" s="9" t="n">
        <v>5752</v>
      </c>
      <c r="B5756" s="9" t="inlineStr">
        <is>
          <t>Meridian</t>
        </is>
      </c>
      <c r="C5756" s="9" t="inlineStr">
        <is>
          <t>21/50 MA cross, 250-period confirm filter, VWAP</t>
        </is>
      </c>
      <c r="D5756" s="9" t="inlineStr">
        <is>
          <t>Short</t>
        </is>
      </c>
      <c r="E5756" s="10" t="n">
        <v>45958.09027777778</v>
      </c>
      <c r="F5756" s="10" t="n">
        <v>45958.11458333334</v>
      </c>
      <c r="G5756" s="11" t="n">
        <v>-12.34</v>
      </c>
      <c r="H5756" s="11">
        <f>H5755+G5756</f>
        <v/>
      </c>
    </row>
    <row r="5757">
      <c r="A5757" s="9" t="n">
        <v>5753</v>
      </c>
      <c r="B5757" s="9" t="inlineStr">
        <is>
          <t>Ratchet</t>
        </is>
      </c>
      <c r="C5757" s="9" t="inlineStr">
        <is>
          <t>Stochastic scalp with give-back trail exit</t>
        </is>
      </c>
      <c r="D5757" s="9" t="inlineStr">
        <is>
          <t>Short</t>
        </is>
      </c>
      <c r="E5757" s="10" t="n">
        <v>45958.21527777778</v>
      </c>
      <c r="F5757" s="10" t="n">
        <v>45958.49305555555</v>
      </c>
      <c r="G5757" s="11" t="n">
        <v>81.56</v>
      </c>
      <c r="H5757" s="11">
        <f>H5756+G5757</f>
        <v/>
      </c>
    </row>
    <row r="5758">
      <c r="A5758" s="9" t="n">
        <v>5754</v>
      </c>
      <c r="B5758" s="9" t="inlineStr">
        <is>
          <t>Meridian</t>
        </is>
      </c>
      <c r="C5758" s="9" t="inlineStr">
        <is>
          <t>21/50 MA cross, 250-period confirm filter, VWAP</t>
        </is>
      </c>
      <c r="D5758" s="9" t="inlineStr">
        <is>
          <t>Short</t>
        </is>
      </c>
      <c r="E5758" s="10" t="n">
        <v>45958.20486111111</v>
      </c>
      <c r="F5758" s="10" t="n">
        <v>45958.60069444445</v>
      </c>
      <c r="G5758" s="11" t="n">
        <v>56.62</v>
      </c>
      <c r="H5758" s="11">
        <f>H5757+G5758</f>
        <v/>
      </c>
    </row>
    <row r="5759">
      <c r="A5759" s="9" t="n">
        <v>5755</v>
      </c>
      <c r="B5759" s="9" t="inlineStr">
        <is>
          <t>Meridian</t>
        </is>
      </c>
      <c r="C5759" s="9" t="inlineStr">
        <is>
          <t>21/50 MA cross, 250-period confirm filter, VWAP</t>
        </is>
      </c>
      <c r="D5759" s="9" t="inlineStr">
        <is>
          <t>Short</t>
        </is>
      </c>
      <c r="E5759" s="10" t="n">
        <v>45958.60416666666</v>
      </c>
      <c r="F5759" s="10" t="n">
        <v>45958.64236111111</v>
      </c>
      <c r="G5759" s="11" t="n">
        <v>-8.32</v>
      </c>
      <c r="H5759" s="11">
        <f>H5758+G5759</f>
        <v/>
      </c>
    </row>
    <row r="5760">
      <c r="A5760" s="9" t="n">
        <v>5756</v>
      </c>
      <c r="B5760" s="9" t="inlineStr">
        <is>
          <t>Aurelius_M15</t>
        </is>
      </c>
      <c r="C5760" s="9" t="inlineStr">
        <is>
          <t>MA alignment (EMA21&gt;EMA50&gt;SMA250&gt;SMMA500 vs EMA2400 trend filter) - M15 chart</t>
        </is>
      </c>
      <c r="D5760" s="9" t="inlineStr">
        <is>
          <t>Short</t>
        </is>
      </c>
      <c r="E5760" s="10" t="n">
        <v>45957.13541666666</v>
      </c>
      <c r="F5760" s="10" t="n">
        <v>45958.73958333334</v>
      </c>
      <c r="G5760" s="11" t="n">
        <v>126.54</v>
      </c>
      <c r="H5760" s="11">
        <f>H5759+G5760</f>
        <v/>
      </c>
    </row>
    <row r="5761">
      <c r="A5761" s="9" t="n">
        <v>5757</v>
      </c>
      <c r="B5761" s="9" t="inlineStr">
        <is>
          <t>Vanguard_M5</t>
        </is>
      </c>
      <c r="C5761" s="9" t="inlineStr">
        <is>
          <t>Trendline breakout (fractal swing line) + VWAP/S-R distance gate</t>
        </is>
      </c>
      <c r="D5761" s="9" t="inlineStr">
        <is>
          <t>Short</t>
        </is>
      </c>
      <c r="E5761" s="10" t="n">
        <v>45957.43402777778</v>
      </c>
      <c r="F5761" s="10" t="n">
        <v>45958.73958333334</v>
      </c>
      <c r="G5761" s="11" t="n">
        <v>92.31999999999999</v>
      </c>
      <c r="H5761" s="11">
        <f>H5760+G5761</f>
        <v/>
      </c>
    </row>
    <row r="5762">
      <c r="A5762" s="9" t="n">
        <v>5758</v>
      </c>
      <c r="B5762" s="9" t="inlineStr">
        <is>
          <t>Vanguard_M15</t>
        </is>
      </c>
      <c r="C5762" s="9" t="inlineStr">
        <is>
          <t>Trendline breakout (fractal swing line) + VWAP/S-R distance gate - M15 chart</t>
        </is>
      </c>
      <c r="D5762" s="9" t="inlineStr">
        <is>
          <t>Short</t>
        </is>
      </c>
      <c r="E5762" s="10" t="n">
        <v>45957.4375</v>
      </c>
      <c r="F5762" s="10" t="n">
        <v>45958.73958333334</v>
      </c>
      <c r="G5762" s="11" t="n">
        <v>93.7</v>
      </c>
      <c r="H5762" s="11">
        <f>H5761+G5762</f>
        <v/>
      </c>
    </row>
    <row r="5763">
      <c r="A5763" s="9" t="n">
        <v>5759</v>
      </c>
      <c r="B5763" s="9" t="inlineStr">
        <is>
          <t>Vanguard_M15</t>
        </is>
      </c>
      <c r="C5763" s="9" t="inlineStr">
        <is>
          <t>Trendline breakout (fractal swing line) + VWAP/S-R distance gate - M15 chart</t>
        </is>
      </c>
      <c r="D5763" s="9" t="inlineStr">
        <is>
          <t>Long</t>
        </is>
      </c>
      <c r="E5763" s="10" t="n">
        <v>45958.75</v>
      </c>
      <c r="F5763" s="10" t="n">
        <v>45959</v>
      </c>
      <c r="G5763" s="11" t="n">
        <v>-33.31</v>
      </c>
      <c r="H5763" s="11">
        <f>H5762+G5763</f>
        <v/>
      </c>
    </row>
    <row r="5764">
      <c r="A5764" s="9" t="n">
        <v>5760</v>
      </c>
      <c r="B5764" s="9" t="inlineStr">
        <is>
          <t>Meridian</t>
        </is>
      </c>
      <c r="C5764" s="9" t="inlineStr">
        <is>
          <t>21/50 MA cross, 250-period confirm filter, VWAP</t>
        </is>
      </c>
      <c r="D5764" s="9" t="inlineStr">
        <is>
          <t>Short</t>
        </is>
      </c>
      <c r="E5764" s="10" t="n">
        <v>45958.95486111111</v>
      </c>
      <c r="F5764" s="10" t="n">
        <v>45959</v>
      </c>
      <c r="G5764" s="11" t="n">
        <v>-10.3</v>
      </c>
      <c r="H5764" s="11">
        <f>H5763+G5764</f>
        <v/>
      </c>
    </row>
    <row r="5765">
      <c r="A5765" s="9" t="n">
        <v>5761</v>
      </c>
      <c r="B5765" s="9" t="inlineStr">
        <is>
          <t>Vanguard_M5</t>
        </is>
      </c>
      <c r="C5765" s="9" t="inlineStr">
        <is>
          <t>Trendline breakout (fractal swing line) + VWAP/S-R distance gate</t>
        </is>
      </c>
      <c r="D5765" s="9" t="inlineStr">
        <is>
          <t>Long</t>
        </is>
      </c>
      <c r="E5765" s="10" t="n">
        <v>45958.74305555555</v>
      </c>
      <c r="F5765" s="10" t="n">
        <v>45959.00347222222</v>
      </c>
      <c r="G5765" s="11" t="n">
        <v>-21.67</v>
      </c>
      <c r="H5765" s="11">
        <f>H5764+G5765</f>
        <v/>
      </c>
    </row>
    <row r="5766">
      <c r="A5766" s="9" t="n">
        <v>5762</v>
      </c>
      <c r="B5766" s="9" t="inlineStr">
        <is>
          <t>Meridian</t>
        </is>
      </c>
      <c r="C5766" s="9" t="inlineStr">
        <is>
          <t>21/50 MA cross, 250-period confirm filter, VWAP</t>
        </is>
      </c>
      <c r="D5766" s="9" t="inlineStr">
        <is>
          <t>Long</t>
        </is>
      </c>
      <c r="E5766" s="10" t="n">
        <v>45959.08333333334</v>
      </c>
      <c r="F5766" s="10" t="n">
        <v>45959.19097222222</v>
      </c>
      <c r="G5766" s="11" t="n">
        <v>-15.84</v>
      </c>
      <c r="H5766" s="11">
        <f>H5765+G5766</f>
        <v/>
      </c>
    </row>
    <row r="5767">
      <c r="A5767" s="9" t="n">
        <v>5763</v>
      </c>
      <c r="B5767" s="9" t="inlineStr">
        <is>
          <t>Meridian</t>
        </is>
      </c>
      <c r="C5767" s="9" t="inlineStr">
        <is>
          <t>21/50 MA cross, 250-period confirm filter, VWAP</t>
        </is>
      </c>
      <c r="D5767" s="9" t="inlineStr">
        <is>
          <t>Long</t>
        </is>
      </c>
      <c r="E5767" s="10" t="n">
        <v>45959.34027777778</v>
      </c>
      <c r="F5767" s="10" t="n">
        <v>45959.66319444445</v>
      </c>
      <c r="G5767" s="11" t="n">
        <v>41.86</v>
      </c>
      <c r="H5767" s="11">
        <f>H5766+G5767</f>
        <v/>
      </c>
    </row>
    <row r="5768">
      <c r="A5768" s="9" t="n">
        <v>5764</v>
      </c>
      <c r="B5768" s="9" t="inlineStr">
        <is>
          <t>Meridian</t>
        </is>
      </c>
      <c r="C5768" s="9" t="inlineStr">
        <is>
          <t>21/50 MA cross, 250-period confirm filter, VWAP</t>
        </is>
      </c>
      <c r="D5768" s="9" t="inlineStr">
        <is>
          <t>Long</t>
        </is>
      </c>
      <c r="E5768" s="10" t="n">
        <v>45959.67361111111</v>
      </c>
      <c r="F5768" s="10" t="n">
        <v>45959.69791666666</v>
      </c>
      <c r="G5768" s="11" t="n">
        <v>-10.4</v>
      </c>
      <c r="H5768" s="11">
        <f>H5767+G5768</f>
        <v/>
      </c>
    </row>
    <row r="5769">
      <c r="A5769" s="9" t="n">
        <v>5765</v>
      </c>
      <c r="B5769" s="9" t="inlineStr">
        <is>
          <t>Vanguard_M15</t>
        </is>
      </c>
      <c r="C5769" s="9" t="inlineStr">
        <is>
          <t>Trendline breakout (fractal swing line) + VWAP/S-R distance gate - M15 chart</t>
        </is>
      </c>
      <c r="D5769" s="9" t="inlineStr">
        <is>
          <t>Long</t>
        </is>
      </c>
      <c r="E5769" s="10" t="n">
        <v>45959.02083333334</v>
      </c>
      <c r="F5769" s="10" t="n">
        <v>45959.89583333334</v>
      </c>
      <c r="G5769" s="11" t="n">
        <v>-17.48</v>
      </c>
      <c r="H5769" s="11">
        <f>H5768+G5769</f>
        <v/>
      </c>
    </row>
    <row r="5770">
      <c r="A5770" s="9" t="n">
        <v>5766</v>
      </c>
      <c r="B5770" s="9" t="inlineStr">
        <is>
          <t>Vanguard_M5</t>
        </is>
      </c>
      <c r="C5770" s="9" t="inlineStr">
        <is>
          <t>Trendline breakout (fractal swing line) + VWAP/S-R distance gate</t>
        </is>
      </c>
      <c r="D5770" s="9" t="inlineStr">
        <is>
          <t>Long</t>
        </is>
      </c>
      <c r="E5770" s="10" t="n">
        <v>45959.02083333334</v>
      </c>
      <c r="F5770" s="10" t="n">
        <v>45959.89583333334</v>
      </c>
      <c r="G5770" s="11" t="n">
        <v>-0.04</v>
      </c>
      <c r="H5770" s="11">
        <f>H5769+G5770</f>
        <v/>
      </c>
    </row>
    <row r="5771">
      <c r="A5771" s="9" t="n">
        <v>5767</v>
      </c>
      <c r="B5771" s="9" t="inlineStr">
        <is>
          <t>Ratchet</t>
        </is>
      </c>
      <c r="C5771" s="9" t="inlineStr">
        <is>
          <t>Stochastic scalp with give-back trail exit</t>
        </is>
      </c>
      <c r="D5771" s="9" t="inlineStr">
        <is>
          <t>Short</t>
        </is>
      </c>
      <c r="E5771" s="10" t="n">
        <v>45960.19444444445</v>
      </c>
      <c r="F5771" s="10" t="n">
        <v>45960.22569444445</v>
      </c>
      <c r="G5771" s="11" t="n">
        <v>5.3</v>
      </c>
      <c r="H5771" s="11">
        <f>H5770+G5771</f>
        <v/>
      </c>
    </row>
    <row r="5772">
      <c r="A5772" s="9" t="n">
        <v>5768</v>
      </c>
      <c r="B5772" s="9" t="inlineStr">
        <is>
          <t>Aurelius_M15</t>
        </is>
      </c>
      <c r="C5772" s="9" t="inlineStr">
        <is>
          <t>MA alignment (EMA21&gt;EMA50&gt;SMA250&gt;SMMA500 vs EMA2400 trend filter) - M15 chart</t>
        </is>
      </c>
      <c r="D5772" s="9" t="inlineStr">
        <is>
          <t>Short</t>
        </is>
      </c>
      <c r="E5772" s="10" t="n">
        <v>45960.3125</v>
      </c>
      <c r="F5772" s="10" t="n">
        <v>45960.39583333334</v>
      </c>
      <c r="G5772" s="11" t="n">
        <v>-18.38</v>
      </c>
      <c r="H5772" s="11">
        <f>H5771+G5772</f>
        <v/>
      </c>
    </row>
    <row r="5773">
      <c r="A5773" s="9" t="n">
        <v>5769</v>
      </c>
      <c r="B5773" s="9" t="inlineStr">
        <is>
          <t>Meridian</t>
        </is>
      </c>
      <c r="C5773" s="9" t="inlineStr">
        <is>
          <t>21/50 MA cross, 250-period confirm filter, VWAP</t>
        </is>
      </c>
      <c r="D5773" s="9" t="inlineStr">
        <is>
          <t>Long</t>
        </is>
      </c>
      <c r="E5773" s="10" t="n">
        <v>45960.67013888889</v>
      </c>
      <c r="F5773" s="10" t="n">
        <v>45961.17013888889</v>
      </c>
      <c r="G5773" s="11" t="n">
        <v>15.98</v>
      </c>
      <c r="H5773" s="11">
        <f>H5772+G5773</f>
        <v/>
      </c>
    </row>
    <row r="5774">
      <c r="A5774" s="9" t="n">
        <v>5770</v>
      </c>
      <c r="B5774" s="9" t="inlineStr">
        <is>
          <t>Meridian</t>
        </is>
      </c>
      <c r="C5774" s="9" t="inlineStr">
        <is>
          <t>21/50 MA cross, 250-period confirm filter, VWAP</t>
        </is>
      </c>
      <c r="D5774" s="9" t="inlineStr">
        <is>
          <t>Short</t>
        </is>
      </c>
      <c r="E5774" s="10" t="n">
        <v>45961.47916666666</v>
      </c>
      <c r="F5774" s="10" t="n">
        <v>45961.50347222222</v>
      </c>
      <c r="G5774" s="11" t="n">
        <v>-12.63</v>
      </c>
      <c r="H5774" s="11">
        <f>H5773+G5774</f>
        <v/>
      </c>
    </row>
    <row r="5775">
      <c r="A5775" s="9" t="n">
        <v>5771</v>
      </c>
      <c r="B5775" s="9" t="inlineStr">
        <is>
          <t>Meridian</t>
        </is>
      </c>
      <c r="C5775" s="9" t="inlineStr">
        <is>
          <t>21/50 MA cross, 250-period confirm filter, VWAP</t>
        </is>
      </c>
      <c r="D5775" s="9" t="inlineStr">
        <is>
          <t>Long</t>
        </is>
      </c>
      <c r="E5775" s="10" t="n">
        <v>45961.60069444445</v>
      </c>
      <c r="F5775" s="10" t="n">
        <v>45961.65277777778</v>
      </c>
      <c r="G5775" s="11" t="n">
        <v>-10.53</v>
      </c>
      <c r="H5775" s="11">
        <f>H5774+G5775</f>
        <v/>
      </c>
    </row>
    <row r="5776">
      <c r="A5776" s="9" t="n">
        <v>5772</v>
      </c>
      <c r="B5776" s="9" t="inlineStr">
        <is>
          <t>Meridian</t>
        </is>
      </c>
      <c r="C5776" s="9" t="inlineStr">
        <is>
          <t>21/50 MA cross, 250-period confirm filter, VWAP</t>
        </is>
      </c>
      <c r="D5776" s="9" t="inlineStr">
        <is>
          <t>Short</t>
        </is>
      </c>
      <c r="E5776" s="10" t="n">
        <v>45961.75347222222</v>
      </c>
      <c r="F5776" s="10" t="n">
        <v>45961.91666666666</v>
      </c>
      <c r="G5776" s="11" t="n">
        <v>4.32</v>
      </c>
      <c r="H5776" s="11">
        <f>H5775+G5776</f>
        <v/>
      </c>
    </row>
    <row r="5777">
      <c r="A5777" s="9" t="n">
        <v>5773</v>
      </c>
      <c r="B5777" s="9" t="inlineStr">
        <is>
          <t>Aurelius_M15</t>
        </is>
      </c>
      <c r="C5777" s="9" t="inlineStr">
        <is>
          <t>MA alignment (EMA21&gt;EMA50&gt;SMA250&gt;SMMA500 vs EMA2400 trend filter) - M15 chart</t>
        </is>
      </c>
      <c r="D5777" s="9" t="inlineStr">
        <is>
          <t>Short</t>
        </is>
      </c>
      <c r="E5777" s="10" t="n">
        <v>45964.13541666666</v>
      </c>
      <c r="F5777" s="10" t="n">
        <v>45964.21875</v>
      </c>
      <c r="G5777" s="11" t="n">
        <v>-21.42</v>
      </c>
      <c r="H5777" s="11">
        <f>H5776+G5777</f>
        <v/>
      </c>
    </row>
    <row r="5778">
      <c r="A5778" s="9" t="n">
        <v>5774</v>
      </c>
      <c r="B5778" s="9" t="inlineStr">
        <is>
          <t>Vanguard_M15</t>
        </is>
      </c>
      <c r="C5778" s="9" t="inlineStr">
        <is>
          <t>Trendline breakout (fractal swing line) + VWAP/S-R distance gate - M15 chart</t>
        </is>
      </c>
      <c r="D5778" s="9" t="inlineStr">
        <is>
          <t>Short</t>
        </is>
      </c>
      <c r="E5778" s="10" t="n">
        <v>45961.6875</v>
      </c>
      <c r="F5778" s="10" t="n">
        <v>45964.40625</v>
      </c>
      <c r="G5778" s="11" t="n">
        <v>-9.859999999999999</v>
      </c>
      <c r="H5778" s="11">
        <f>H5777+G5778</f>
        <v/>
      </c>
    </row>
    <row r="5779">
      <c r="A5779" s="9" t="n">
        <v>5775</v>
      </c>
      <c r="B5779" s="9" t="inlineStr">
        <is>
          <t>Vanguard_M5</t>
        </is>
      </c>
      <c r="C5779" s="9" t="inlineStr">
        <is>
          <t>Trendline breakout (fractal swing line) + VWAP/S-R distance gate</t>
        </is>
      </c>
      <c r="D5779" s="9" t="inlineStr">
        <is>
          <t>Short</t>
        </is>
      </c>
      <c r="E5779" s="10" t="n">
        <v>45961.66319444445</v>
      </c>
      <c r="F5779" s="10" t="n">
        <v>45964.41319444445</v>
      </c>
      <c r="G5779" s="11" t="n">
        <v>-10.63</v>
      </c>
      <c r="H5779" s="11">
        <f>H5778+G5779</f>
        <v/>
      </c>
    </row>
    <row r="5780">
      <c r="A5780" s="9" t="n">
        <v>5776</v>
      </c>
      <c r="B5780" s="9" t="inlineStr">
        <is>
          <t>Vanguard_M5</t>
        </is>
      </c>
      <c r="C5780" s="9" t="inlineStr">
        <is>
          <t>Trendline breakout (fractal swing line) + VWAP/S-R distance gate</t>
        </is>
      </c>
      <c r="D5780" s="9" t="inlineStr">
        <is>
          <t>Long</t>
        </is>
      </c>
      <c r="E5780" s="10" t="n">
        <v>45964.41666666666</v>
      </c>
      <c r="F5780" s="10" t="n">
        <v>45964.47569444445</v>
      </c>
      <c r="G5780" s="11" t="n">
        <v>-15.82</v>
      </c>
      <c r="H5780" s="11">
        <f>H5779+G5780</f>
        <v/>
      </c>
    </row>
    <row r="5781">
      <c r="A5781" s="9" t="n">
        <v>5777</v>
      </c>
      <c r="B5781" s="9" t="inlineStr">
        <is>
          <t>Vanguard_M15</t>
        </is>
      </c>
      <c r="C5781" s="9" t="inlineStr">
        <is>
          <t>Trendline breakout (fractal swing line) + VWAP/S-R distance gate - M15 chart</t>
        </is>
      </c>
      <c r="D5781" s="9" t="inlineStr">
        <is>
          <t>Long</t>
        </is>
      </c>
      <c r="E5781" s="10" t="n">
        <v>45964.41666666666</v>
      </c>
      <c r="F5781" s="10" t="n">
        <v>45964.47916666666</v>
      </c>
      <c r="G5781" s="11" t="n">
        <v>-22.88</v>
      </c>
      <c r="H5781" s="11">
        <f>H5780+G5781</f>
        <v/>
      </c>
    </row>
    <row r="5782">
      <c r="A5782" s="9" t="n">
        <v>5778</v>
      </c>
      <c r="B5782" s="9" t="inlineStr">
        <is>
          <t>Meridian</t>
        </is>
      </c>
      <c r="C5782" s="9" t="inlineStr">
        <is>
          <t>21/50 MA cross, 250-period confirm filter, VWAP</t>
        </is>
      </c>
      <c r="D5782" s="9" t="inlineStr">
        <is>
          <t>Short</t>
        </is>
      </c>
      <c r="E5782" s="10" t="n">
        <v>45964.48958333334</v>
      </c>
      <c r="F5782" s="10" t="n">
        <v>45964.60416666666</v>
      </c>
      <c r="G5782" s="11" t="n">
        <v>-12.77</v>
      </c>
      <c r="H5782" s="11">
        <f>H5781+G5782</f>
        <v/>
      </c>
    </row>
    <row r="5783">
      <c r="A5783" s="9" t="n">
        <v>5779</v>
      </c>
      <c r="B5783" s="9" t="inlineStr">
        <is>
          <t>Meridian</t>
        </is>
      </c>
      <c r="C5783" s="9" t="inlineStr">
        <is>
          <t>21/50 MA cross, 250-period confirm filter, VWAP</t>
        </is>
      </c>
      <c r="D5783" s="9" t="inlineStr">
        <is>
          <t>Long</t>
        </is>
      </c>
      <c r="E5783" s="10" t="n">
        <v>45964.62152777778</v>
      </c>
      <c r="F5783" s="10" t="n">
        <v>45964.6875</v>
      </c>
      <c r="G5783" s="11" t="n">
        <v>-9.1</v>
      </c>
      <c r="H5783" s="11">
        <f>H5782+G5783</f>
        <v/>
      </c>
    </row>
    <row r="5784">
      <c r="A5784" s="9" t="n">
        <v>5780</v>
      </c>
      <c r="B5784" s="9" t="inlineStr">
        <is>
          <t>Vanguard_M5</t>
        </is>
      </c>
      <c r="C5784" s="9" t="inlineStr">
        <is>
          <t>Trendline breakout (fractal swing line) + VWAP/S-R distance gate</t>
        </is>
      </c>
      <c r="D5784" s="9" t="inlineStr">
        <is>
          <t>Long</t>
        </is>
      </c>
      <c r="E5784" s="10" t="n">
        <v>45964.70138888889</v>
      </c>
      <c r="F5784" s="10" t="n">
        <v>45964.76041666666</v>
      </c>
      <c r="G5784" s="11" t="n">
        <v>-21.44</v>
      </c>
      <c r="H5784" s="11">
        <f>H5783+G5784</f>
        <v/>
      </c>
    </row>
    <row r="5785">
      <c r="A5785" s="9" t="n">
        <v>5781</v>
      </c>
      <c r="B5785" s="9" t="inlineStr">
        <is>
          <t>Vanguard_M15</t>
        </is>
      </c>
      <c r="C5785" s="9" t="inlineStr">
        <is>
          <t>Trendline breakout (fractal swing line) + VWAP/S-R distance gate - M15 chart</t>
        </is>
      </c>
      <c r="D5785" s="9" t="inlineStr">
        <is>
          <t>Long</t>
        </is>
      </c>
      <c r="E5785" s="10" t="n">
        <v>45964.70833333334</v>
      </c>
      <c r="F5785" s="10" t="n">
        <v>45964.76041666666</v>
      </c>
      <c r="G5785" s="11" t="n">
        <v>-24.26</v>
      </c>
      <c r="H5785" s="11">
        <f>H5784+G5785</f>
        <v/>
      </c>
    </row>
    <row r="5786">
      <c r="A5786" s="9" t="n">
        <v>5782</v>
      </c>
      <c r="B5786" s="9" t="inlineStr">
        <is>
          <t>Meridian</t>
        </is>
      </c>
      <c r="C5786" s="9" t="inlineStr">
        <is>
          <t>21/50 MA cross, 250-period confirm filter, VWAP</t>
        </is>
      </c>
      <c r="D5786" s="9" t="inlineStr">
        <is>
          <t>Short</t>
        </is>
      </c>
      <c r="E5786" s="10" t="n">
        <v>45964.76388888889</v>
      </c>
      <c r="F5786" s="10" t="n">
        <v>45964.9375</v>
      </c>
      <c r="G5786" s="11" t="n">
        <v>-11.9</v>
      </c>
      <c r="H5786" s="11">
        <f>H5785+G5786</f>
        <v/>
      </c>
    </row>
    <row r="5787">
      <c r="A5787" s="9" t="n">
        <v>5783</v>
      </c>
      <c r="B5787" s="9" t="inlineStr">
        <is>
          <t>Ratchet</t>
        </is>
      </c>
      <c r="C5787" s="9" t="inlineStr">
        <is>
          <t>Stochastic scalp with give-back trail exit</t>
        </is>
      </c>
      <c r="D5787" s="9" t="inlineStr">
        <is>
          <t>Short</t>
        </is>
      </c>
      <c r="E5787" s="10" t="n">
        <v>45965.07638888889</v>
      </c>
      <c r="F5787" s="10" t="n">
        <v>45965.08680555555</v>
      </c>
      <c r="G5787" s="11" t="n">
        <v>1.34</v>
      </c>
      <c r="H5787" s="11">
        <f>H5786+G5787</f>
        <v/>
      </c>
    </row>
    <row r="5788">
      <c r="A5788" s="9" t="n">
        <v>5784</v>
      </c>
      <c r="B5788" s="9" t="inlineStr">
        <is>
          <t>Meridian</t>
        </is>
      </c>
      <c r="C5788" s="9" t="inlineStr">
        <is>
          <t>21/50 MA cross, 250-period confirm filter, VWAP</t>
        </is>
      </c>
      <c r="D5788" s="9" t="inlineStr">
        <is>
          <t>Short</t>
        </is>
      </c>
      <c r="E5788" s="10" t="n">
        <v>45964.97916666666</v>
      </c>
      <c r="F5788" s="10" t="n">
        <v>45965.27430555555</v>
      </c>
      <c r="G5788" s="11" t="n">
        <v>10.27</v>
      </c>
      <c r="H5788" s="11">
        <f>H5787+G5788</f>
        <v/>
      </c>
    </row>
    <row r="5789">
      <c r="A5789" s="9" t="n">
        <v>5785</v>
      </c>
      <c r="B5789" s="9" t="inlineStr">
        <is>
          <t>Aurelius_M5</t>
        </is>
      </c>
      <c r="C5789" s="9" t="inlineStr">
        <is>
          <t>MA alignment (EMA21&gt;EMA50&gt;SMA250&gt;SMMA500 vs EMA2400 trend filter)</t>
        </is>
      </c>
      <c r="D5789" s="9" t="inlineStr">
        <is>
          <t>Short</t>
        </is>
      </c>
      <c r="E5789" s="10" t="n">
        <v>45965.31944444445</v>
      </c>
      <c r="F5789" s="10" t="n">
        <v>45965.38541666666</v>
      </c>
      <c r="G5789" s="11" t="n">
        <v>-10.42</v>
      </c>
      <c r="H5789" s="11">
        <f>H5788+G5789</f>
        <v/>
      </c>
    </row>
    <row r="5790">
      <c r="A5790" s="9" t="n">
        <v>5786</v>
      </c>
      <c r="B5790" s="9" t="inlineStr">
        <is>
          <t>Ratchet</t>
        </is>
      </c>
      <c r="C5790" s="9" t="inlineStr">
        <is>
          <t>Stochastic scalp with give-back trail exit</t>
        </is>
      </c>
      <c r="D5790" s="9" t="inlineStr">
        <is>
          <t>Short</t>
        </is>
      </c>
      <c r="E5790" s="10" t="n">
        <v>45965.625</v>
      </c>
      <c r="F5790" s="10" t="n">
        <v>45965.62847222222</v>
      </c>
      <c r="G5790" s="11" t="n">
        <v>-6.57</v>
      </c>
      <c r="H5790" s="11">
        <f>H5789+G5790</f>
        <v/>
      </c>
    </row>
    <row r="5791">
      <c r="A5791" s="9" t="n">
        <v>5787</v>
      </c>
      <c r="B5791" s="9" t="inlineStr">
        <is>
          <t>Ratchet</t>
        </is>
      </c>
      <c r="C5791" s="9" t="inlineStr">
        <is>
          <t>Stochastic scalp with give-back trail exit</t>
        </is>
      </c>
      <c r="D5791" s="9" t="inlineStr">
        <is>
          <t>Short</t>
        </is>
      </c>
      <c r="E5791" s="10" t="n">
        <v>45965.94097222222</v>
      </c>
      <c r="F5791" s="10" t="n">
        <v>45965.96180555555</v>
      </c>
      <c r="G5791" s="11" t="n">
        <v>-0</v>
      </c>
      <c r="H5791" s="11">
        <f>H5790+G5791</f>
        <v/>
      </c>
    </row>
    <row r="5792">
      <c r="A5792" s="9" t="n">
        <v>5788</v>
      </c>
      <c r="B5792" s="9" t="inlineStr">
        <is>
          <t>Aurelius_M5</t>
        </is>
      </c>
      <c r="C5792" s="9" t="inlineStr">
        <is>
          <t>MA alignment (EMA21&gt;EMA50&gt;SMA250&gt;SMMA500 vs EMA2400 trend filter)</t>
        </is>
      </c>
      <c r="D5792" s="9" t="inlineStr">
        <is>
          <t>Short</t>
        </is>
      </c>
      <c r="E5792" s="10" t="n">
        <v>45965.64930555555</v>
      </c>
      <c r="F5792" s="10" t="n">
        <v>45966.04166666666</v>
      </c>
      <c r="G5792" s="11" t="n">
        <v>47.81</v>
      </c>
      <c r="H5792" s="11">
        <f>H5791+G5792</f>
        <v/>
      </c>
    </row>
    <row r="5793">
      <c r="A5793" s="9" t="n">
        <v>5789</v>
      </c>
      <c r="B5793" s="9" t="inlineStr">
        <is>
          <t>Aurelius_M15</t>
        </is>
      </c>
      <c r="C5793" s="9" t="inlineStr">
        <is>
          <t>MA alignment (EMA21&gt;EMA50&gt;SMA250&gt;SMMA500 vs EMA2400 trend filter) - M15 chart</t>
        </is>
      </c>
      <c r="D5793" s="9" t="inlineStr">
        <is>
          <t>Short</t>
        </is>
      </c>
      <c r="E5793" s="10" t="n">
        <v>45965.67708333334</v>
      </c>
      <c r="F5793" s="10" t="n">
        <v>45966.27083333334</v>
      </c>
      <c r="G5793" s="11" t="n">
        <v>12.09</v>
      </c>
      <c r="H5793" s="11">
        <f>H5792+G5793</f>
        <v/>
      </c>
    </row>
    <row r="5794">
      <c r="A5794" s="9" t="n">
        <v>5790</v>
      </c>
      <c r="B5794" s="9" t="inlineStr">
        <is>
          <t>Meridian</t>
        </is>
      </c>
      <c r="C5794" s="9" t="inlineStr">
        <is>
          <t>21/50 MA cross, 250-period confirm filter, VWAP</t>
        </is>
      </c>
      <c r="D5794" s="9" t="inlineStr">
        <is>
          <t>Long</t>
        </is>
      </c>
      <c r="E5794" s="10" t="n">
        <v>45966.63541666666</v>
      </c>
      <c r="F5794" s="10" t="n">
        <v>45967.04166666666</v>
      </c>
      <c r="G5794" s="11" t="n">
        <v>-0.44</v>
      </c>
      <c r="H5794" s="11">
        <f>H5793+G5794</f>
        <v/>
      </c>
    </row>
    <row r="5795">
      <c r="A5795" s="9" t="n">
        <v>5791</v>
      </c>
      <c r="B5795" s="9" t="inlineStr">
        <is>
          <t>Vanguard_M15</t>
        </is>
      </c>
      <c r="C5795" s="9" t="inlineStr">
        <is>
          <t>Trendline breakout (fractal swing line) + VWAP/S-R distance gate - M15 chart</t>
        </is>
      </c>
      <c r="D5795" s="9" t="inlineStr">
        <is>
          <t>Long</t>
        </is>
      </c>
      <c r="E5795" s="10" t="n">
        <v>45966.28125</v>
      </c>
      <c r="F5795" s="10" t="n">
        <v>45967.125</v>
      </c>
      <c r="G5795" s="11" t="n">
        <v>-1.24</v>
      </c>
      <c r="H5795" s="11">
        <f>H5794+G5795</f>
        <v/>
      </c>
    </row>
    <row r="5796">
      <c r="A5796" s="9" t="n">
        <v>5792</v>
      </c>
      <c r="B5796" s="9" t="inlineStr">
        <is>
          <t>Vanguard_M5</t>
        </is>
      </c>
      <c r="C5796" s="9" t="inlineStr">
        <is>
          <t>Trendline breakout (fractal swing line) + VWAP/S-R distance gate</t>
        </is>
      </c>
      <c r="D5796" s="9" t="inlineStr">
        <is>
          <t>Long</t>
        </is>
      </c>
      <c r="E5796" s="10" t="n">
        <v>45966.27430555555</v>
      </c>
      <c r="F5796" s="10" t="n">
        <v>45967.12847222222</v>
      </c>
      <c r="G5796" s="11" t="n">
        <v>-1.05</v>
      </c>
      <c r="H5796" s="11">
        <f>H5795+G5796</f>
        <v/>
      </c>
    </row>
    <row r="5797">
      <c r="A5797" s="9" t="n">
        <v>5793</v>
      </c>
      <c r="B5797" s="9" t="inlineStr">
        <is>
          <t>Ratchet</t>
        </is>
      </c>
      <c r="C5797" s="9" t="inlineStr">
        <is>
          <t>Stochastic scalp with give-back trail exit</t>
        </is>
      </c>
      <c r="D5797" s="9" t="inlineStr">
        <is>
          <t>Long</t>
        </is>
      </c>
      <c r="E5797" s="10" t="n">
        <v>45967.48958333334</v>
      </c>
      <c r="F5797" s="10" t="n">
        <v>45967.5</v>
      </c>
      <c r="G5797" s="11" t="n">
        <v>-4.7</v>
      </c>
      <c r="H5797" s="11">
        <f>H5796+G5797</f>
        <v/>
      </c>
    </row>
    <row r="5798">
      <c r="A5798" s="9" t="n">
        <v>5794</v>
      </c>
      <c r="B5798" s="9" t="inlineStr">
        <is>
          <t>Aurelius_M5</t>
        </is>
      </c>
      <c r="C5798" s="9" t="inlineStr">
        <is>
          <t>MA alignment (EMA21&gt;EMA50&gt;SMA250&gt;SMMA500 vs EMA2400 trend filter)</t>
        </is>
      </c>
      <c r="D5798" s="9" t="inlineStr">
        <is>
          <t>Long</t>
        </is>
      </c>
      <c r="E5798" s="10" t="n">
        <v>45967.5625</v>
      </c>
      <c r="F5798" s="10" t="n">
        <v>45967.61805555555</v>
      </c>
      <c r="G5798" s="11" t="n">
        <v>-1.99</v>
      </c>
      <c r="H5798" s="11">
        <f>H5797+G5798</f>
        <v/>
      </c>
    </row>
    <row r="5799">
      <c r="A5799" s="9" t="n">
        <v>5795</v>
      </c>
      <c r="B5799" s="9" t="inlineStr">
        <is>
          <t>Ratchet</t>
        </is>
      </c>
      <c r="C5799" s="9" t="inlineStr">
        <is>
          <t>Stochastic scalp with give-back trail exit</t>
        </is>
      </c>
      <c r="D5799" s="9" t="inlineStr">
        <is>
          <t>Long</t>
        </is>
      </c>
      <c r="E5799" s="10" t="n">
        <v>45967.63888888889</v>
      </c>
      <c r="F5799" s="10" t="n">
        <v>45967.65277777778</v>
      </c>
      <c r="G5799" s="11" t="n">
        <v>0</v>
      </c>
      <c r="H5799" s="11">
        <f>H5798+G5799</f>
        <v/>
      </c>
    </row>
    <row r="5800">
      <c r="A5800" s="9" t="n">
        <v>5796</v>
      </c>
      <c r="B5800" s="9" t="inlineStr">
        <is>
          <t>Aurelius_M5</t>
        </is>
      </c>
      <c r="C5800" s="9" t="inlineStr">
        <is>
          <t>MA alignment (EMA21&gt;EMA50&gt;SMA250&gt;SMMA500 vs EMA2400 trend filter)</t>
        </is>
      </c>
      <c r="D5800" s="9" t="inlineStr">
        <is>
          <t>Long</t>
        </is>
      </c>
      <c r="E5800" s="10" t="n">
        <v>45967.63541666666</v>
      </c>
      <c r="F5800" s="10" t="n">
        <v>45967.67708333334</v>
      </c>
      <c r="G5800" s="11" t="n">
        <v>-8.529999999999999</v>
      </c>
      <c r="H5800" s="11">
        <f>H5799+G5800</f>
        <v/>
      </c>
    </row>
    <row r="5801">
      <c r="A5801" s="9" t="n">
        <v>5797</v>
      </c>
      <c r="B5801" s="9" t="inlineStr">
        <is>
          <t>Meridian</t>
        </is>
      </c>
      <c r="C5801" s="9" t="inlineStr">
        <is>
          <t>21/50 MA cross, 250-period confirm filter, VWAP</t>
        </is>
      </c>
      <c r="D5801" s="9" t="inlineStr">
        <is>
          <t>Long</t>
        </is>
      </c>
      <c r="E5801" s="10" t="n">
        <v>45967.19097222222</v>
      </c>
      <c r="F5801" s="10" t="n">
        <v>45967.68402777778</v>
      </c>
      <c r="G5801" s="11" t="n">
        <v>11.21</v>
      </c>
      <c r="H5801" s="11">
        <f>H5800+G5801</f>
        <v/>
      </c>
    </row>
    <row r="5802">
      <c r="A5802" s="9" t="n">
        <v>5798</v>
      </c>
      <c r="B5802" s="9" t="inlineStr">
        <is>
          <t>Vanguard_M5</t>
        </is>
      </c>
      <c r="C5802" s="9" t="inlineStr">
        <is>
          <t>Trendline breakout (fractal swing line) + VWAP/S-R distance gate</t>
        </is>
      </c>
      <c r="D5802" s="9" t="inlineStr">
        <is>
          <t>Long</t>
        </is>
      </c>
      <c r="E5802" s="10" t="n">
        <v>45967.17013888889</v>
      </c>
      <c r="F5802" s="10" t="n">
        <v>45967.70833333334</v>
      </c>
      <c r="G5802" s="11" t="n">
        <v>2.27</v>
      </c>
      <c r="H5802" s="11">
        <f>H5801+G5802</f>
        <v/>
      </c>
    </row>
    <row r="5803">
      <c r="A5803" s="9" t="n">
        <v>5799</v>
      </c>
      <c r="B5803" s="9" t="inlineStr">
        <is>
          <t>Meridian</t>
        </is>
      </c>
      <c r="C5803" s="9" t="inlineStr">
        <is>
          <t>21/50 MA cross, 250-period confirm filter, VWAP</t>
        </is>
      </c>
      <c r="D5803" s="9" t="inlineStr">
        <is>
          <t>Long</t>
        </is>
      </c>
      <c r="E5803" s="10" t="n">
        <v>45967.89236111111</v>
      </c>
      <c r="F5803" s="10" t="n">
        <v>45967.90972222222</v>
      </c>
      <c r="G5803" s="11" t="n">
        <v>-9.49</v>
      </c>
      <c r="H5803" s="11">
        <f>H5802+G5803</f>
        <v/>
      </c>
    </row>
    <row r="5804">
      <c r="A5804" s="9" t="n">
        <v>5800</v>
      </c>
      <c r="B5804" s="9" t="inlineStr">
        <is>
          <t>Meridian</t>
        </is>
      </c>
      <c r="C5804" s="9" t="inlineStr">
        <is>
          <t>21/50 MA cross, 250-period confirm filter, VWAP</t>
        </is>
      </c>
      <c r="D5804" s="9" t="inlineStr">
        <is>
          <t>Short</t>
        </is>
      </c>
      <c r="E5804" s="10" t="n">
        <v>45967.92361111111</v>
      </c>
      <c r="F5804" s="10" t="n">
        <v>45968.08333333334</v>
      </c>
      <c r="G5804" s="11" t="n">
        <v>-2.53</v>
      </c>
      <c r="H5804" s="11">
        <f>H5803+G5804</f>
        <v/>
      </c>
    </row>
    <row r="5805">
      <c r="A5805" s="9" t="n">
        <v>5801</v>
      </c>
      <c r="B5805" s="9" t="inlineStr">
        <is>
          <t>Vanguard_M5</t>
        </is>
      </c>
      <c r="C5805" s="9" t="inlineStr">
        <is>
          <t>Trendline breakout (fractal swing line) + VWAP/S-R distance gate</t>
        </is>
      </c>
      <c r="D5805" s="9" t="inlineStr">
        <is>
          <t>Short</t>
        </is>
      </c>
      <c r="E5805" s="10" t="n">
        <v>45967.71180555555</v>
      </c>
      <c r="F5805" s="10" t="n">
        <v>45968.13541666666</v>
      </c>
      <c r="G5805" s="11" t="n">
        <v>-21.96</v>
      </c>
      <c r="H5805" s="11">
        <f>H5804+G5805</f>
        <v/>
      </c>
    </row>
    <row r="5806">
      <c r="A5806" s="9" t="n">
        <v>5802</v>
      </c>
      <c r="B5806" s="9" t="inlineStr">
        <is>
          <t>Vanguard_M15</t>
        </is>
      </c>
      <c r="C5806" s="9" t="inlineStr">
        <is>
          <t>Trendline breakout (fractal swing line) + VWAP/S-R distance gate - M15 chart</t>
        </is>
      </c>
      <c r="D5806" s="9" t="inlineStr">
        <is>
          <t>Short</t>
        </is>
      </c>
      <c r="E5806" s="10" t="n">
        <v>45967.71875</v>
      </c>
      <c r="F5806" s="10" t="n">
        <v>45968.36458333334</v>
      </c>
      <c r="G5806" s="11" t="n">
        <v>-23.34</v>
      </c>
      <c r="H5806" s="11">
        <f>H5805+G5806</f>
        <v/>
      </c>
    </row>
    <row r="5807">
      <c r="A5807" s="9" t="n">
        <v>5803</v>
      </c>
      <c r="B5807" s="9" t="inlineStr">
        <is>
          <t>Aurelius_M5</t>
        </is>
      </c>
      <c r="C5807" s="9" t="inlineStr">
        <is>
          <t>MA alignment (EMA21&gt;EMA50&gt;SMA250&gt;SMMA500 vs EMA2400 trend filter)</t>
        </is>
      </c>
      <c r="D5807" s="9" t="inlineStr">
        <is>
          <t>Long</t>
        </is>
      </c>
      <c r="E5807" s="10" t="n">
        <v>45968.37152777778</v>
      </c>
      <c r="F5807" s="10" t="n">
        <v>45968.39583333334</v>
      </c>
      <c r="G5807" s="11" t="n">
        <v>-3.56</v>
      </c>
      <c r="H5807" s="11">
        <f>H5806+G5807</f>
        <v/>
      </c>
    </row>
    <row r="5808">
      <c r="A5808" s="9" t="n">
        <v>5804</v>
      </c>
      <c r="B5808" s="9" t="inlineStr">
        <is>
          <t>Ratchet</t>
        </is>
      </c>
      <c r="C5808" s="9" t="inlineStr">
        <is>
          <t>Stochastic scalp with give-back trail exit</t>
        </is>
      </c>
      <c r="D5808" s="9" t="inlineStr">
        <is>
          <t>Long</t>
        </is>
      </c>
      <c r="E5808" s="10" t="n">
        <v>45968.38194444445</v>
      </c>
      <c r="F5808" s="10" t="n">
        <v>45968.42708333334</v>
      </c>
      <c r="G5808" s="11" t="n">
        <v>0</v>
      </c>
      <c r="H5808" s="11">
        <f>H5807+G5808</f>
        <v/>
      </c>
    </row>
    <row r="5809">
      <c r="A5809" s="9" t="n">
        <v>5805</v>
      </c>
      <c r="B5809" s="9" t="inlineStr">
        <is>
          <t>Ratchet</t>
        </is>
      </c>
      <c r="C5809" s="9" t="inlineStr">
        <is>
          <t>Stochastic scalp with give-back trail exit</t>
        </is>
      </c>
      <c r="D5809" s="9" t="inlineStr">
        <is>
          <t>Long</t>
        </is>
      </c>
      <c r="E5809" s="10" t="n">
        <v>45968.44444444445</v>
      </c>
      <c r="F5809" s="10" t="n">
        <v>45968.46180555555</v>
      </c>
      <c r="G5809" s="11" t="n">
        <v>0.62</v>
      </c>
      <c r="H5809" s="11">
        <f>H5808+G5809</f>
        <v/>
      </c>
    </row>
    <row r="5810">
      <c r="A5810" s="9" t="n">
        <v>5806</v>
      </c>
      <c r="B5810" s="9" t="inlineStr">
        <is>
          <t>Aurelius_M5</t>
        </is>
      </c>
      <c r="C5810" s="9" t="inlineStr">
        <is>
          <t>MA alignment (EMA21&gt;EMA50&gt;SMA250&gt;SMMA500 vs EMA2400 trend filter)</t>
        </is>
      </c>
      <c r="D5810" s="9" t="inlineStr">
        <is>
          <t>Long</t>
        </is>
      </c>
      <c r="E5810" s="10" t="n">
        <v>45968.79166666666</v>
      </c>
      <c r="F5810" s="10" t="n">
        <v>45968.79513888889</v>
      </c>
      <c r="G5810" s="11" t="n">
        <v>-3.11</v>
      </c>
      <c r="H5810" s="11">
        <f>H5809+G5810</f>
        <v/>
      </c>
    </row>
    <row r="5811">
      <c r="A5811" s="9" t="n">
        <v>5807</v>
      </c>
      <c r="B5811" s="9" t="inlineStr">
        <is>
          <t>Aurelius_M5</t>
        </is>
      </c>
      <c r="C5811" s="9" t="inlineStr">
        <is>
          <t>MA alignment (EMA21&gt;EMA50&gt;SMA250&gt;SMMA500 vs EMA2400 trend filter)</t>
        </is>
      </c>
      <c r="D5811" s="9" t="inlineStr">
        <is>
          <t>Long</t>
        </is>
      </c>
      <c r="E5811" s="10" t="n">
        <v>45968.83333333334</v>
      </c>
      <c r="F5811" s="10" t="n">
        <v>45968.84027777778</v>
      </c>
      <c r="G5811" s="11" t="n">
        <v>-0.63</v>
      </c>
      <c r="H5811" s="11">
        <f>H5810+G5811</f>
        <v/>
      </c>
    </row>
    <row r="5812">
      <c r="A5812" s="9" t="n">
        <v>5808</v>
      </c>
      <c r="B5812" s="9" t="inlineStr">
        <is>
          <t>Ratchet</t>
        </is>
      </c>
      <c r="C5812" s="9" t="inlineStr">
        <is>
          <t>Stochastic scalp with give-back trail exit</t>
        </is>
      </c>
      <c r="D5812" s="9" t="inlineStr">
        <is>
          <t>Long</t>
        </is>
      </c>
      <c r="E5812" s="10" t="n">
        <v>45971.125</v>
      </c>
      <c r="F5812" s="10" t="n">
        <v>45971.40277777778</v>
      </c>
      <c r="G5812" s="11" t="n">
        <v>54.08</v>
      </c>
      <c r="H5812" s="11">
        <f>H5811+G5812</f>
        <v/>
      </c>
    </row>
    <row r="5813">
      <c r="A5813" s="9" t="n">
        <v>5809</v>
      </c>
      <c r="B5813" s="9" t="inlineStr">
        <is>
          <t>Ratchet</t>
        </is>
      </c>
      <c r="C5813" s="9" t="inlineStr">
        <is>
          <t>Stochastic scalp with give-back trail exit</t>
        </is>
      </c>
      <c r="D5813" s="9" t="inlineStr">
        <is>
          <t>Long</t>
        </is>
      </c>
      <c r="E5813" s="10" t="n">
        <v>45971.45833333334</v>
      </c>
      <c r="F5813" s="10" t="n">
        <v>45971.46527777778</v>
      </c>
      <c r="G5813" s="11" t="n">
        <v>-6.61</v>
      </c>
      <c r="H5813" s="11">
        <f>H5812+G5813</f>
        <v/>
      </c>
    </row>
    <row r="5814">
      <c r="A5814" s="9" t="n">
        <v>5810</v>
      </c>
      <c r="B5814" s="9" t="inlineStr">
        <is>
          <t>Ratchet</t>
        </is>
      </c>
      <c r="C5814" s="9" t="inlineStr">
        <is>
          <t>Stochastic scalp with give-back trail exit</t>
        </is>
      </c>
      <c r="D5814" s="9" t="inlineStr">
        <is>
          <t>Long</t>
        </is>
      </c>
      <c r="E5814" s="10" t="n">
        <v>45971.54513888889</v>
      </c>
      <c r="F5814" s="10" t="n">
        <v>45971.54861111111</v>
      </c>
      <c r="G5814" s="11" t="n">
        <v>-5.54</v>
      </c>
      <c r="H5814" s="11">
        <f>H5813+G5814</f>
        <v/>
      </c>
    </row>
    <row r="5815">
      <c r="A5815" s="9" t="n">
        <v>5811</v>
      </c>
      <c r="B5815" s="9" t="inlineStr">
        <is>
          <t>Aurelius_M5</t>
        </is>
      </c>
      <c r="C5815" s="9" t="inlineStr">
        <is>
          <t>MA alignment (EMA21&gt;EMA50&gt;SMA250&gt;SMMA500 vs EMA2400 trend filter)</t>
        </is>
      </c>
      <c r="D5815" s="9" t="inlineStr">
        <is>
          <t>Long</t>
        </is>
      </c>
      <c r="E5815" s="10" t="n">
        <v>45971.58680555555</v>
      </c>
      <c r="F5815" s="10" t="n">
        <v>45971.6875</v>
      </c>
      <c r="G5815" s="11" t="n">
        <v>0.83</v>
      </c>
      <c r="H5815" s="11">
        <f>H5814+G5815</f>
        <v/>
      </c>
    </row>
    <row r="5816">
      <c r="A5816" s="9" t="n">
        <v>5812</v>
      </c>
      <c r="B5816" s="9" t="inlineStr">
        <is>
          <t>Meridian</t>
        </is>
      </c>
      <c r="C5816" s="9" t="inlineStr">
        <is>
          <t>21/50 MA cross, 250-period confirm filter, VWAP</t>
        </is>
      </c>
      <c r="D5816" s="9" t="inlineStr">
        <is>
          <t>Long</t>
        </is>
      </c>
      <c r="E5816" s="10" t="n">
        <v>45971.04861111111</v>
      </c>
      <c r="F5816" s="10" t="n">
        <v>45971.70486111111</v>
      </c>
      <c r="G5816" s="11" t="n">
        <v>74</v>
      </c>
      <c r="H5816" s="11">
        <f>H5815+G5816</f>
        <v/>
      </c>
    </row>
    <row r="5817">
      <c r="A5817" s="9" t="n">
        <v>5813</v>
      </c>
      <c r="B5817" s="9" t="inlineStr">
        <is>
          <t>Meridian</t>
        </is>
      </c>
      <c r="C5817" s="9" t="inlineStr">
        <is>
          <t>21/50 MA cross, 250-period confirm filter, VWAP</t>
        </is>
      </c>
      <c r="D5817" s="9" t="inlineStr">
        <is>
          <t>Long</t>
        </is>
      </c>
      <c r="E5817" s="10" t="n">
        <v>45971.71527777778</v>
      </c>
      <c r="F5817" s="10" t="n">
        <v>45971.74305555555</v>
      </c>
      <c r="G5817" s="11" t="n">
        <v>-11.01</v>
      </c>
      <c r="H5817" s="11">
        <f>H5816+G5817</f>
        <v/>
      </c>
    </row>
    <row r="5818">
      <c r="A5818" s="9" t="n">
        <v>5814</v>
      </c>
      <c r="B5818" s="9" t="inlineStr">
        <is>
          <t>Ratchet</t>
        </is>
      </c>
      <c r="C5818" s="9" t="inlineStr">
        <is>
          <t>Stochastic scalp with give-back trail exit</t>
        </is>
      </c>
      <c r="D5818" s="9" t="inlineStr">
        <is>
          <t>Long</t>
        </is>
      </c>
      <c r="E5818" s="10" t="n">
        <v>45971.82986111111</v>
      </c>
      <c r="F5818" s="10" t="n">
        <v>45971.99652777778</v>
      </c>
      <c r="G5818" s="11" t="n">
        <v>16.55</v>
      </c>
      <c r="H5818" s="11">
        <f>H5817+G5818</f>
        <v/>
      </c>
    </row>
    <row r="5819">
      <c r="A5819" s="9" t="n">
        <v>5815</v>
      </c>
      <c r="B5819" s="9" t="inlineStr">
        <is>
          <t>Ratchet</t>
        </is>
      </c>
      <c r="C5819" s="9" t="inlineStr">
        <is>
          <t>Stochastic scalp with give-back trail exit</t>
        </is>
      </c>
      <c r="D5819" s="9" t="inlineStr">
        <is>
          <t>Long</t>
        </is>
      </c>
      <c r="E5819" s="10" t="n">
        <v>45972.08333333334</v>
      </c>
      <c r="F5819" s="10" t="n">
        <v>45972.31597222222</v>
      </c>
      <c r="G5819" s="11" t="n">
        <v>8.35</v>
      </c>
      <c r="H5819" s="11">
        <f>H5818+G5819</f>
        <v/>
      </c>
    </row>
    <row r="5820">
      <c r="A5820" s="9" t="n">
        <v>5816</v>
      </c>
      <c r="B5820" s="9" t="inlineStr">
        <is>
          <t>Meridian</t>
        </is>
      </c>
      <c r="C5820" s="9" t="inlineStr">
        <is>
          <t>21/50 MA cross, 250-period confirm filter, VWAP</t>
        </is>
      </c>
      <c r="D5820" s="9" t="inlineStr">
        <is>
          <t>Long</t>
        </is>
      </c>
      <c r="E5820" s="10" t="n">
        <v>45971.76388888889</v>
      </c>
      <c r="F5820" s="10" t="n">
        <v>45972.33680555555</v>
      </c>
      <c r="G5820" s="11" t="n">
        <v>37.3</v>
      </c>
      <c r="H5820" s="11">
        <f>H5819+G5820</f>
        <v/>
      </c>
    </row>
    <row r="5821">
      <c r="A5821" s="9" t="n">
        <v>5817</v>
      </c>
      <c r="B5821" s="9" t="inlineStr">
        <is>
          <t>Aurelius_M5</t>
        </is>
      </c>
      <c r="C5821" s="9" t="inlineStr">
        <is>
          <t>MA alignment (EMA21&gt;EMA50&gt;SMA250&gt;SMMA500 vs EMA2400 trend filter)</t>
        </is>
      </c>
      <c r="D5821" s="9" t="inlineStr">
        <is>
          <t>Long</t>
        </is>
      </c>
      <c r="E5821" s="10" t="n">
        <v>45972.5625</v>
      </c>
      <c r="F5821" s="10" t="n">
        <v>45972.61805555555</v>
      </c>
      <c r="G5821" s="11" t="n">
        <v>-7.29</v>
      </c>
      <c r="H5821" s="11">
        <f>H5820+G5821</f>
        <v/>
      </c>
    </row>
    <row r="5822">
      <c r="A5822" s="9" t="n">
        <v>5818</v>
      </c>
      <c r="B5822" s="9" t="inlineStr">
        <is>
          <t>Meridian</t>
        </is>
      </c>
      <c r="C5822" s="9" t="inlineStr">
        <is>
          <t>21/50 MA cross, 250-period confirm filter, VWAP</t>
        </is>
      </c>
      <c r="D5822" s="9" t="inlineStr">
        <is>
          <t>Long</t>
        </is>
      </c>
      <c r="E5822" s="10" t="n">
        <v>45972.46180555555</v>
      </c>
      <c r="F5822" s="10" t="n">
        <v>45972.62847222222</v>
      </c>
      <c r="G5822" s="11" t="n">
        <v>-6.57</v>
      </c>
      <c r="H5822" s="11">
        <f>H5821+G5822</f>
        <v/>
      </c>
    </row>
    <row r="5823">
      <c r="A5823" s="9" t="n">
        <v>5819</v>
      </c>
      <c r="B5823" s="9" t="inlineStr">
        <is>
          <t>Ratchet</t>
        </is>
      </c>
      <c r="C5823" s="9" t="inlineStr">
        <is>
          <t>Stochastic scalp with give-back trail exit</t>
        </is>
      </c>
      <c r="D5823" s="9" t="inlineStr">
        <is>
          <t>Long</t>
        </is>
      </c>
      <c r="E5823" s="10" t="n">
        <v>45972.65277777778</v>
      </c>
      <c r="F5823" s="10" t="n">
        <v>45972.66666666666</v>
      </c>
      <c r="G5823" s="11" t="n">
        <v>-5.83</v>
      </c>
      <c r="H5823" s="11">
        <f>H5822+G5823</f>
        <v/>
      </c>
    </row>
    <row r="5824">
      <c r="A5824" s="9" t="n">
        <v>5820</v>
      </c>
      <c r="B5824" s="9" t="inlineStr">
        <is>
          <t>Meridian</t>
        </is>
      </c>
      <c r="C5824" s="9" t="inlineStr">
        <is>
          <t>21/50 MA cross, 250-period confirm filter, VWAP</t>
        </is>
      </c>
      <c r="D5824" s="9" t="inlineStr">
        <is>
          <t>Long</t>
        </is>
      </c>
      <c r="E5824" s="10" t="n">
        <v>45972.64236111111</v>
      </c>
      <c r="F5824" s="10" t="n">
        <v>45972.68055555555</v>
      </c>
      <c r="G5824" s="11" t="n">
        <v>-7.69</v>
      </c>
      <c r="H5824" s="11">
        <f>H5823+G5824</f>
        <v/>
      </c>
    </row>
    <row r="5825">
      <c r="A5825" s="9" t="n">
        <v>5821</v>
      </c>
      <c r="B5825" s="9" t="inlineStr">
        <is>
          <t>Aurelius_M15</t>
        </is>
      </c>
      <c r="C5825" s="9" t="inlineStr">
        <is>
          <t>MA alignment (EMA21&gt;EMA50&gt;SMA250&gt;SMMA500 vs EMA2400 trend filter) - M15 chart</t>
        </is>
      </c>
      <c r="D5825" s="9" t="inlineStr">
        <is>
          <t>Long</t>
        </is>
      </c>
      <c r="E5825" s="10" t="n">
        <v>45971.14583333334</v>
      </c>
      <c r="F5825" s="10" t="n">
        <v>45972.76041666666</v>
      </c>
      <c r="G5825" s="11" t="n">
        <v>65.39</v>
      </c>
      <c r="H5825" s="11">
        <f>H5824+G5825</f>
        <v/>
      </c>
    </row>
    <row r="5826">
      <c r="A5826" s="9" t="n">
        <v>5822</v>
      </c>
      <c r="B5826" s="9" t="inlineStr">
        <is>
          <t>Vanguard_M5</t>
        </is>
      </c>
      <c r="C5826" s="9" t="inlineStr">
        <is>
          <t>Trendline breakout (fractal swing line) + VWAP/S-R distance gate</t>
        </is>
      </c>
      <c r="D5826" s="9" t="inlineStr">
        <is>
          <t>Long</t>
        </is>
      </c>
      <c r="E5826" s="10" t="n">
        <v>45973.08680555555</v>
      </c>
      <c r="F5826" s="10" t="n">
        <v>45973.12152777778</v>
      </c>
      <c r="G5826" s="11" t="n">
        <v>-11.72</v>
      </c>
      <c r="H5826" s="11">
        <f>H5825+G5826</f>
        <v/>
      </c>
    </row>
    <row r="5827">
      <c r="A5827" s="9" t="n">
        <v>5823</v>
      </c>
      <c r="B5827" s="9" t="inlineStr">
        <is>
          <t>Aurelius_M5</t>
        </is>
      </c>
      <c r="C5827" s="9" t="inlineStr">
        <is>
          <t>MA alignment (EMA21&gt;EMA50&gt;SMA250&gt;SMMA500 vs EMA2400 trend filter)</t>
        </is>
      </c>
      <c r="D5827" s="9" t="inlineStr">
        <is>
          <t>Long</t>
        </is>
      </c>
      <c r="E5827" s="10" t="n">
        <v>45973.15625</v>
      </c>
      <c r="F5827" s="10" t="n">
        <v>45973.19444444445</v>
      </c>
      <c r="G5827" s="11" t="n">
        <v>-10.01</v>
      </c>
      <c r="H5827" s="11">
        <f>H5826+G5827</f>
        <v/>
      </c>
    </row>
    <row r="5828">
      <c r="A5828" s="9" t="n">
        <v>5824</v>
      </c>
      <c r="B5828" s="9" t="inlineStr">
        <is>
          <t>Aurelius_M15</t>
        </is>
      </c>
      <c r="C5828" s="9" t="inlineStr">
        <is>
          <t>MA alignment (EMA21&gt;EMA50&gt;SMA250&gt;SMMA500 vs EMA2400 trend filter) - M15 chart</t>
        </is>
      </c>
      <c r="D5828" s="9" t="inlineStr">
        <is>
          <t>Long</t>
        </is>
      </c>
      <c r="E5828" s="10" t="n">
        <v>45973.13541666666</v>
      </c>
      <c r="F5828" s="10" t="n">
        <v>45973.19791666666</v>
      </c>
      <c r="G5828" s="11" t="n">
        <v>-14.79</v>
      </c>
      <c r="H5828" s="11">
        <f>H5827+G5828</f>
        <v/>
      </c>
    </row>
    <row r="5829">
      <c r="A5829" s="9" t="n">
        <v>5825</v>
      </c>
      <c r="B5829" s="9" t="inlineStr">
        <is>
          <t>Meridian</t>
        </is>
      </c>
      <c r="C5829" s="9" t="inlineStr">
        <is>
          <t>21/50 MA cross, 250-period confirm filter, VWAP</t>
        </is>
      </c>
      <c r="D5829" s="9" t="inlineStr">
        <is>
          <t>Short</t>
        </is>
      </c>
      <c r="E5829" s="10" t="n">
        <v>45973.19791666666</v>
      </c>
      <c r="F5829" s="10" t="n">
        <v>45973.38888888889</v>
      </c>
      <c r="G5829" s="11" t="n">
        <v>1.35</v>
      </c>
      <c r="H5829" s="11">
        <f>H5828+G5829</f>
        <v/>
      </c>
    </row>
    <row r="5830">
      <c r="A5830" s="9" t="n">
        <v>5826</v>
      </c>
      <c r="B5830" s="9" t="inlineStr">
        <is>
          <t>MSG</t>
        </is>
      </c>
      <c r="C5830" s="9" t="inlineStr">
        <is>
          <t>Session-range breakout + Fibonacci retracement-zone entry</t>
        </is>
      </c>
      <c r="D5830" s="9" t="inlineStr">
        <is>
          <t>Short</t>
        </is>
      </c>
      <c r="E5830" s="10" t="n">
        <v>45973.52847222222</v>
      </c>
      <c r="F5830" s="10" t="n">
        <v>45973.54027777778</v>
      </c>
      <c r="G5830" s="11" t="n">
        <v>-5.65</v>
      </c>
      <c r="H5830" s="11">
        <f>H5829+G5830</f>
        <v/>
      </c>
    </row>
    <row r="5831">
      <c r="A5831" s="9" t="n">
        <v>5827</v>
      </c>
      <c r="B5831" s="9" t="inlineStr">
        <is>
          <t>Vanguard_M5</t>
        </is>
      </c>
      <c r="C5831" s="9" t="inlineStr">
        <is>
          <t>Trendline breakout (fractal swing line) + VWAP/S-R distance gate</t>
        </is>
      </c>
      <c r="D5831" s="9" t="inlineStr">
        <is>
          <t>Short</t>
        </is>
      </c>
      <c r="E5831" s="10" t="n">
        <v>45973.20486111111</v>
      </c>
      <c r="F5831" s="10" t="n">
        <v>45973.60069444445</v>
      </c>
      <c r="G5831" s="11" t="n">
        <v>-15.31</v>
      </c>
      <c r="H5831" s="11">
        <f>H5830+G5831</f>
        <v/>
      </c>
    </row>
    <row r="5832">
      <c r="A5832" s="9" t="n">
        <v>5828</v>
      </c>
      <c r="B5832" s="9" t="inlineStr">
        <is>
          <t>Ratchet</t>
        </is>
      </c>
      <c r="C5832" s="9" t="inlineStr">
        <is>
          <t>Stochastic scalp with give-back trail exit</t>
        </is>
      </c>
      <c r="D5832" s="9" t="inlineStr">
        <is>
          <t>Long</t>
        </is>
      </c>
      <c r="E5832" s="10" t="n">
        <v>45973.67361111111</v>
      </c>
      <c r="F5832" s="10" t="n">
        <v>45973.6875</v>
      </c>
      <c r="G5832" s="11" t="n">
        <v>-8.470000000000001</v>
      </c>
      <c r="H5832" s="11">
        <f>H5831+G5832</f>
        <v/>
      </c>
    </row>
    <row r="5833">
      <c r="A5833" s="9" t="n">
        <v>5829</v>
      </c>
      <c r="B5833" s="9" t="inlineStr">
        <is>
          <t>Ratchet</t>
        </is>
      </c>
      <c r="C5833" s="9" t="inlineStr">
        <is>
          <t>Stochastic scalp with give-back trail exit</t>
        </is>
      </c>
      <c r="D5833" s="9" t="inlineStr">
        <is>
          <t>Long</t>
        </is>
      </c>
      <c r="E5833" s="10" t="n">
        <v>45973.69791666666</v>
      </c>
      <c r="F5833" s="10" t="n">
        <v>45973.70486111111</v>
      </c>
      <c r="G5833" s="11" t="n">
        <v>0.88</v>
      </c>
      <c r="H5833" s="11">
        <f>H5832+G5833</f>
        <v/>
      </c>
    </row>
    <row r="5834">
      <c r="A5834" s="9" t="n">
        <v>5830</v>
      </c>
      <c r="B5834" s="9" t="inlineStr">
        <is>
          <t>Vanguard_M15</t>
        </is>
      </c>
      <c r="C5834" s="9" t="inlineStr">
        <is>
          <t>Trendline breakout (fractal swing line) + VWAP/S-R distance gate - M15 chart</t>
        </is>
      </c>
      <c r="D5834" s="9" t="inlineStr">
        <is>
          <t>Short</t>
        </is>
      </c>
      <c r="E5834" s="10" t="n">
        <v>45973.21875</v>
      </c>
      <c r="F5834" s="10" t="n">
        <v>45973.70833333334</v>
      </c>
      <c r="G5834" s="11" t="n">
        <v>-19.21</v>
      </c>
      <c r="H5834" s="11">
        <f>H5833+G5834</f>
        <v/>
      </c>
    </row>
    <row r="5835">
      <c r="A5835" s="9" t="n">
        <v>5831</v>
      </c>
      <c r="B5835" s="9" t="inlineStr">
        <is>
          <t>Aurelius_M5</t>
        </is>
      </c>
      <c r="C5835" s="9" t="inlineStr">
        <is>
          <t>MA alignment (EMA21&gt;EMA50&gt;SMA250&gt;SMMA500 vs EMA2400 trend filter)</t>
        </is>
      </c>
      <c r="D5835" s="9" t="inlineStr">
        <is>
          <t>Long</t>
        </is>
      </c>
      <c r="E5835" s="10" t="n">
        <v>45973.55902777778</v>
      </c>
      <c r="F5835" s="10" t="n">
        <v>45974.04166666666</v>
      </c>
      <c r="G5835" s="11" t="n">
        <v>70.45</v>
      </c>
      <c r="H5835" s="11">
        <f>H5834+G5835</f>
        <v/>
      </c>
    </row>
    <row r="5836">
      <c r="A5836" s="9" t="n">
        <v>5832</v>
      </c>
      <c r="B5836" s="9" t="inlineStr">
        <is>
          <t>Meridian</t>
        </is>
      </c>
      <c r="C5836" s="9" t="inlineStr">
        <is>
          <t>21/50 MA cross, 250-period confirm filter, VWAP</t>
        </is>
      </c>
      <c r="D5836" s="9" t="inlineStr">
        <is>
          <t>Long</t>
        </is>
      </c>
      <c r="E5836" s="10" t="n">
        <v>45974.11111111111</v>
      </c>
      <c r="F5836" s="10" t="n">
        <v>45974.12847222222</v>
      </c>
      <c r="G5836" s="11" t="n">
        <v>-10.58</v>
      </c>
      <c r="H5836" s="11">
        <f>H5835+G5836</f>
        <v/>
      </c>
    </row>
    <row r="5837">
      <c r="A5837" s="9" t="n">
        <v>5833</v>
      </c>
      <c r="B5837" s="9" t="inlineStr">
        <is>
          <t>Ratchet</t>
        </is>
      </c>
      <c r="C5837" s="9" t="inlineStr">
        <is>
          <t>Stochastic scalp with give-back trail exit</t>
        </is>
      </c>
      <c r="D5837" s="9" t="inlineStr">
        <is>
          <t>Long</t>
        </is>
      </c>
      <c r="E5837" s="10" t="n">
        <v>45974.27083333334</v>
      </c>
      <c r="F5837" s="10" t="n">
        <v>45974.30902777778</v>
      </c>
      <c r="G5837" s="11" t="n">
        <v>2.31</v>
      </c>
      <c r="H5837" s="11">
        <f>H5836+G5837</f>
        <v/>
      </c>
    </row>
    <row r="5838">
      <c r="A5838" s="9" t="n">
        <v>5834</v>
      </c>
      <c r="B5838" s="9" t="inlineStr">
        <is>
          <t>Ratchet</t>
        </is>
      </c>
      <c r="C5838" s="9" t="inlineStr">
        <is>
          <t>Stochastic scalp with give-back trail exit</t>
        </is>
      </c>
      <c r="D5838" s="9" t="inlineStr">
        <is>
          <t>Long</t>
        </is>
      </c>
      <c r="E5838" s="10" t="n">
        <v>45974.31944444445</v>
      </c>
      <c r="F5838" s="10" t="n">
        <v>45974.33333333334</v>
      </c>
      <c r="G5838" s="11" t="n">
        <v>-7.52</v>
      </c>
      <c r="H5838" s="11">
        <f>H5837+G5838</f>
        <v/>
      </c>
    </row>
    <row r="5839">
      <c r="A5839" s="9" t="n">
        <v>5835</v>
      </c>
      <c r="B5839" s="9" t="inlineStr">
        <is>
          <t>Ratchet</t>
        </is>
      </c>
      <c r="C5839" s="9" t="inlineStr">
        <is>
          <t>Stochastic scalp with give-back trail exit</t>
        </is>
      </c>
      <c r="D5839" s="9" t="inlineStr">
        <is>
          <t>Long</t>
        </is>
      </c>
      <c r="E5839" s="10" t="n">
        <v>45974.5</v>
      </c>
      <c r="F5839" s="10" t="n">
        <v>45974.51736111111</v>
      </c>
      <c r="G5839" s="11" t="n">
        <v>1.53</v>
      </c>
      <c r="H5839" s="11">
        <f>H5838+G5839</f>
        <v/>
      </c>
    </row>
    <row r="5840">
      <c r="A5840" s="9" t="n">
        <v>5836</v>
      </c>
      <c r="B5840" s="9" t="inlineStr">
        <is>
          <t>Vanguard_M15</t>
        </is>
      </c>
      <c r="C5840" s="9" t="inlineStr">
        <is>
          <t>Trendline breakout (fractal swing line) + VWAP/S-R distance gate - M15 chart</t>
        </is>
      </c>
      <c r="D5840" s="9" t="inlineStr">
        <is>
          <t>Long</t>
        </is>
      </c>
      <c r="E5840" s="10" t="n">
        <v>45973.71875</v>
      </c>
      <c r="F5840" s="10" t="n">
        <v>45974.55208333334</v>
      </c>
      <c r="G5840" s="11" t="n">
        <v>61.08</v>
      </c>
      <c r="H5840" s="11">
        <f>H5839+G5840</f>
        <v/>
      </c>
    </row>
    <row r="5841">
      <c r="A5841" s="9" t="n">
        <v>5837</v>
      </c>
      <c r="B5841" s="9" t="inlineStr">
        <is>
          <t>Ratchet</t>
        </is>
      </c>
      <c r="C5841" s="9" t="inlineStr">
        <is>
          <t>Stochastic scalp with give-back trail exit</t>
        </is>
      </c>
      <c r="D5841" s="9" t="inlineStr">
        <is>
          <t>Long</t>
        </is>
      </c>
      <c r="E5841" s="10" t="n">
        <v>45974.59375</v>
      </c>
      <c r="F5841" s="10" t="n">
        <v>45974.60069444445</v>
      </c>
      <c r="G5841" s="11" t="n">
        <v>0</v>
      </c>
      <c r="H5841" s="11">
        <f>H5840+G5841</f>
        <v/>
      </c>
    </row>
    <row r="5842">
      <c r="A5842" s="9" t="n">
        <v>5838</v>
      </c>
      <c r="B5842" s="9" t="inlineStr">
        <is>
          <t>Aurelius_M5</t>
        </is>
      </c>
      <c r="C5842" s="9" t="inlineStr">
        <is>
          <t>MA alignment (EMA21&gt;EMA50&gt;SMA250&gt;SMMA500 vs EMA2400 trend filter)</t>
        </is>
      </c>
      <c r="D5842" s="9" t="inlineStr">
        <is>
          <t>Long</t>
        </is>
      </c>
      <c r="E5842" s="10" t="n">
        <v>45974.64236111111</v>
      </c>
      <c r="F5842" s="10" t="n">
        <v>45974.64583333334</v>
      </c>
      <c r="G5842" s="11" t="n">
        <v>-12.97</v>
      </c>
      <c r="H5842" s="11">
        <f>H5841+G5842</f>
        <v/>
      </c>
    </row>
    <row r="5843">
      <c r="A5843" s="9" t="n">
        <v>5839</v>
      </c>
      <c r="B5843" s="9" t="inlineStr">
        <is>
          <t>MSG</t>
        </is>
      </c>
      <c r="C5843" s="9" t="inlineStr">
        <is>
          <t>Session-range breakout + Fibonacci retracement-zone entry</t>
        </is>
      </c>
      <c r="D5843" s="9" t="inlineStr">
        <is>
          <t>Long</t>
        </is>
      </c>
      <c r="E5843" s="10" t="n">
        <v>45974.64861111111</v>
      </c>
      <c r="F5843" s="10" t="n">
        <v>45974.67222222222</v>
      </c>
      <c r="G5843" s="11" t="n">
        <v>-24.77</v>
      </c>
      <c r="H5843" s="11">
        <f>H5842+G5843</f>
        <v/>
      </c>
    </row>
    <row r="5844">
      <c r="A5844" s="9" t="n">
        <v>5840</v>
      </c>
      <c r="B5844" s="9" t="inlineStr">
        <is>
          <t>Meridian</t>
        </is>
      </c>
      <c r="C5844" s="9" t="inlineStr">
        <is>
          <t>21/50 MA cross, 250-period confirm filter, VWAP</t>
        </is>
      </c>
      <c r="D5844" s="9" t="inlineStr">
        <is>
          <t>Long</t>
        </is>
      </c>
      <c r="E5844" s="10" t="n">
        <v>45974.22222222222</v>
      </c>
      <c r="F5844" s="10" t="n">
        <v>45974.67361111111</v>
      </c>
      <c r="G5844" s="11" t="n">
        <v>13.63</v>
      </c>
      <c r="H5844" s="11">
        <f>H5843+G5844</f>
        <v/>
      </c>
    </row>
    <row r="5845">
      <c r="A5845" s="9" t="n">
        <v>5841</v>
      </c>
      <c r="B5845" s="9" t="inlineStr">
        <is>
          <t>Aurelius_M15</t>
        </is>
      </c>
      <c r="C5845" s="9" t="inlineStr">
        <is>
          <t>MA alignment (EMA21&gt;EMA50&gt;SMA250&gt;SMMA500 vs EMA2400 trend filter) - M15 chart</t>
        </is>
      </c>
      <c r="D5845" s="9" t="inlineStr">
        <is>
          <t>Long</t>
        </is>
      </c>
      <c r="E5845" s="10" t="n">
        <v>45973.64583333334</v>
      </c>
      <c r="F5845" s="10" t="n">
        <v>45974.8125</v>
      </c>
      <c r="G5845" s="11" t="n">
        <v>75.11</v>
      </c>
      <c r="H5845" s="11">
        <f>H5844+G5845</f>
        <v/>
      </c>
    </row>
    <row r="5846">
      <c r="A5846" s="9" t="n">
        <v>5842</v>
      </c>
      <c r="B5846" s="9" t="inlineStr">
        <is>
          <t>Ratchet</t>
        </is>
      </c>
      <c r="C5846" s="9" t="inlineStr">
        <is>
          <t>Stochastic scalp with give-back trail exit</t>
        </is>
      </c>
      <c r="D5846" s="9" t="inlineStr">
        <is>
          <t>Long</t>
        </is>
      </c>
      <c r="E5846" s="10" t="n">
        <v>45975.22916666666</v>
      </c>
      <c r="F5846" s="10" t="n">
        <v>45975.24305555555</v>
      </c>
      <c r="G5846" s="11" t="n">
        <v>-7.23</v>
      </c>
      <c r="H5846" s="11">
        <f>H5845+G5846</f>
        <v/>
      </c>
    </row>
    <row r="5847">
      <c r="A5847" s="9" t="n">
        <v>5843</v>
      </c>
      <c r="B5847" s="9" t="inlineStr">
        <is>
          <t>Vanguard_M5</t>
        </is>
      </c>
      <c r="C5847" s="9" t="inlineStr">
        <is>
          <t>Trendline breakout (fractal swing line) + VWAP/S-R distance gate</t>
        </is>
      </c>
      <c r="D5847" s="9" t="inlineStr">
        <is>
          <t>Long</t>
        </is>
      </c>
      <c r="E5847" s="10" t="n">
        <v>45973.71527777778</v>
      </c>
      <c r="F5847" s="10" t="n">
        <v>45975.52083333334</v>
      </c>
      <c r="G5847" s="11" t="n">
        <v>17.55</v>
      </c>
      <c r="H5847" s="11">
        <f>H5846+G5847</f>
        <v/>
      </c>
    </row>
    <row r="5848">
      <c r="A5848" s="9" t="n">
        <v>5844</v>
      </c>
      <c r="B5848" s="9" t="inlineStr">
        <is>
          <t>Ratchet</t>
        </is>
      </c>
      <c r="C5848" s="9" t="inlineStr">
        <is>
          <t>Stochastic scalp with give-back trail exit</t>
        </is>
      </c>
      <c r="D5848" s="9" t="inlineStr">
        <is>
          <t>Short</t>
        </is>
      </c>
      <c r="E5848" s="10" t="n">
        <v>45975.65625</v>
      </c>
      <c r="F5848" s="10" t="n">
        <v>45975.66319444445</v>
      </c>
      <c r="G5848" s="11" t="n">
        <v>-0</v>
      </c>
      <c r="H5848" s="11">
        <f>H5847+G5848</f>
        <v/>
      </c>
    </row>
    <row r="5849">
      <c r="A5849" s="9" t="n">
        <v>5845</v>
      </c>
      <c r="B5849" s="9" t="inlineStr">
        <is>
          <t>Meridian</t>
        </is>
      </c>
      <c r="C5849" s="9" t="inlineStr">
        <is>
          <t>21/50 MA cross, 250-period confirm filter, VWAP</t>
        </is>
      </c>
      <c r="D5849" s="9" t="inlineStr">
        <is>
          <t>Short</t>
        </is>
      </c>
      <c r="E5849" s="10" t="n">
        <v>45975.32986111111</v>
      </c>
      <c r="F5849" s="10" t="n">
        <v>45975.79166666666</v>
      </c>
      <c r="G5849" s="11" t="n">
        <v>86.7</v>
      </c>
      <c r="H5849" s="11">
        <f>H5848+G5849</f>
        <v/>
      </c>
    </row>
    <row r="5850">
      <c r="A5850" s="9" t="n">
        <v>5846</v>
      </c>
      <c r="B5850" s="9" t="inlineStr">
        <is>
          <t>Meridian</t>
        </is>
      </c>
      <c r="C5850" s="9" t="inlineStr">
        <is>
          <t>21/50 MA cross, 250-period confirm filter, VWAP</t>
        </is>
      </c>
      <c r="D5850" s="9" t="inlineStr">
        <is>
          <t>Short</t>
        </is>
      </c>
      <c r="E5850" s="10" t="n">
        <v>45978.10763888889</v>
      </c>
      <c r="F5850" s="10" t="n">
        <v>45978.14930555555</v>
      </c>
      <c r="G5850" s="11" t="n">
        <v>-11.76</v>
      </c>
      <c r="H5850" s="11">
        <f>H5849+G5850</f>
        <v/>
      </c>
    </row>
    <row r="5851">
      <c r="A5851" s="9" t="n">
        <v>5847</v>
      </c>
      <c r="B5851" s="9" t="inlineStr">
        <is>
          <t>Ratchet</t>
        </is>
      </c>
      <c r="C5851" s="9" t="inlineStr">
        <is>
          <t>Stochastic scalp with give-back trail exit</t>
        </is>
      </c>
      <c r="D5851" s="9" t="inlineStr">
        <is>
          <t>Short</t>
        </is>
      </c>
      <c r="E5851" s="10" t="n">
        <v>45978.18402777778</v>
      </c>
      <c r="F5851" s="10" t="n">
        <v>45978.21875</v>
      </c>
      <c r="G5851" s="11" t="n">
        <v>2.51</v>
      </c>
      <c r="H5851" s="11">
        <f>H5850+G5851</f>
        <v/>
      </c>
    </row>
    <row r="5852">
      <c r="A5852" s="9" t="n">
        <v>5848</v>
      </c>
      <c r="B5852" s="9" t="inlineStr">
        <is>
          <t>Ratchet</t>
        </is>
      </c>
      <c r="C5852" s="9" t="inlineStr">
        <is>
          <t>Stochastic scalp with give-back trail exit</t>
        </is>
      </c>
      <c r="D5852" s="9" t="inlineStr">
        <is>
          <t>Short</t>
        </is>
      </c>
      <c r="E5852" s="10" t="n">
        <v>45978.22222222222</v>
      </c>
      <c r="F5852" s="10" t="n">
        <v>45978.22569444445</v>
      </c>
      <c r="G5852" s="11" t="n">
        <v>-0</v>
      </c>
      <c r="H5852" s="11">
        <f>H5851+G5852</f>
        <v/>
      </c>
    </row>
    <row r="5853">
      <c r="A5853" s="9" t="n">
        <v>5849</v>
      </c>
      <c r="B5853" s="9" t="inlineStr">
        <is>
          <t>Aurelius_M5</t>
        </is>
      </c>
      <c r="C5853" s="9" t="inlineStr">
        <is>
          <t>MA alignment (EMA21&gt;EMA50&gt;SMA250&gt;SMMA500 vs EMA2400 trend filter)</t>
        </is>
      </c>
      <c r="D5853" s="9" t="inlineStr">
        <is>
          <t>Short</t>
        </is>
      </c>
      <c r="E5853" s="10" t="n">
        <v>45978.22222222222</v>
      </c>
      <c r="F5853" s="10" t="n">
        <v>45978.40972222222</v>
      </c>
      <c r="G5853" s="11" t="n">
        <v>-6.14</v>
      </c>
      <c r="H5853" s="11">
        <f>H5852+G5853</f>
        <v/>
      </c>
    </row>
    <row r="5854">
      <c r="A5854" s="9" t="n">
        <v>5850</v>
      </c>
      <c r="B5854" s="9" t="inlineStr">
        <is>
          <t>Meridian</t>
        </is>
      </c>
      <c r="C5854" s="9" t="inlineStr">
        <is>
          <t>21/50 MA cross, 250-period confirm filter, VWAP</t>
        </is>
      </c>
      <c r="D5854" s="9" t="inlineStr">
        <is>
          <t>Short</t>
        </is>
      </c>
      <c r="E5854" s="10" t="n">
        <v>45978.18402777778</v>
      </c>
      <c r="F5854" s="10" t="n">
        <v>45978.41319444445</v>
      </c>
      <c r="G5854" s="11" t="n">
        <v>0.47</v>
      </c>
      <c r="H5854" s="11">
        <f>H5853+G5854</f>
        <v/>
      </c>
    </row>
    <row r="5855">
      <c r="A5855" s="9" t="n">
        <v>5851</v>
      </c>
      <c r="B5855" s="9" t="inlineStr">
        <is>
          <t>Meridian</t>
        </is>
      </c>
      <c r="C5855" s="9" t="inlineStr">
        <is>
          <t>21/50 MA cross, 250-period confirm filter, VWAP</t>
        </is>
      </c>
      <c r="D5855" s="9" t="inlineStr">
        <is>
          <t>Short</t>
        </is>
      </c>
      <c r="E5855" s="10" t="n">
        <v>45978.54513888889</v>
      </c>
      <c r="F5855" s="10" t="n">
        <v>45978.56597222222</v>
      </c>
      <c r="G5855" s="11" t="n">
        <v>-12.69</v>
      </c>
      <c r="H5855" s="11">
        <f>H5854+G5855</f>
        <v/>
      </c>
    </row>
    <row r="5856">
      <c r="A5856" s="9" t="n">
        <v>5852</v>
      </c>
      <c r="B5856" s="9" t="inlineStr">
        <is>
          <t>MSG</t>
        </is>
      </c>
      <c r="C5856" s="9" t="inlineStr">
        <is>
          <t>Session-range breakout + Fibonacci retracement-zone entry</t>
        </is>
      </c>
      <c r="D5856" s="9" t="inlineStr">
        <is>
          <t>Short</t>
        </is>
      </c>
      <c r="E5856" s="10" t="n">
        <v>45978.57083333333</v>
      </c>
      <c r="F5856" s="10" t="n">
        <v>45978.62708333333</v>
      </c>
      <c r="G5856" s="11" t="n">
        <v>-24.15</v>
      </c>
      <c r="H5856" s="11">
        <f>H5855+G5856</f>
        <v/>
      </c>
    </row>
    <row r="5857">
      <c r="A5857" s="9" t="n">
        <v>5853</v>
      </c>
      <c r="B5857" s="9" t="inlineStr">
        <is>
          <t>Ratchet</t>
        </is>
      </c>
      <c r="C5857" s="9" t="inlineStr">
        <is>
          <t>Stochastic scalp with give-back trail exit</t>
        </is>
      </c>
      <c r="D5857" s="9" t="inlineStr">
        <is>
          <t>Short</t>
        </is>
      </c>
      <c r="E5857" s="10" t="n">
        <v>45978.67013888889</v>
      </c>
      <c r="F5857" s="10" t="n">
        <v>45978.69097222222</v>
      </c>
      <c r="G5857" s="11" t="n">
        <v>-11.42</v>
      </c>
      <c r="H5857" s="11">
        <f>H5856+G5857</f>
        <v/>
      </c>
    </row>
    <row r="5858">
      <c r="A5858" s="9" t="n">
        <v>5854</v>
      </c>
      <c r="B5858" s="9" t="inlineStr">
        <is>
          <t>Aurelius_M5</t>
        </is>
      </c>
      <c r="C5858" s="9" t="inlineStr">
        <is>
          <t>MA alignment (EMA21&gt;EMA50&gt;SMA250&gt;SMMA500 vs EMA2400 trend filter)</t>
        </is>
      </c>
      <c r="D5858" s="9" t="inlineStr">
        <is>
          <t>Short</t>
        </is>
      </c>
      <c r="E5858" s="10" t="n">
        <v>45978.68402777778</v>
      </c>
      <c r="F5858" s="10" t="n">
        <v>45978.69097222222</v>
      </c>
      <c r="G5858" s="11" t="n">
        <v>-14.74</v>
      </c>
      <c r="H5858" s="11">
        <f>H5857+G5858</f>
        <v/>
      </c>
    </row>
    <row r="5859">
      <c r="A5859" s="9" t="n">
        <v>5855</v>
      </c>
      <c r="B5859" s="9" t="inlineStr">
        <is>
          <t>Meridian</t>
        </is>
      </c>
      <c r="C5859" s="9" t="inlineStr">
        <is>
          <t>21/50 MA cross, 250-period confirm filter, VWAP</t>
        </is>
      </c>
      <c r="D5859" s="9" t="inlineStr">
        <is>
          <t>Short</t>
        </is>
      </c>
      <c r="E5859" s="10" t="n">
        <v>45978.65625</v>
      </c>
      <c r="F5859" s="10" t="n">
        <v>45978.81597222222</v>
      </c>
      <c r="G5859" s="11" t="n">
        <v>-10.52</v>
      </c>
      <c r="H5859" s="11">
        <f>H5858+G5859</f>
        <v/>
      </c>
    </row>
    <row r="5860">
      <c r="A5860" s="9" t="n">
        <v>5856</v>
      </c>
      <c r="B5860" s="9" t="inlineStr">
        <is>
          <t>Aurelius_M5</t>
        </is>
      </c>
      <c r="C5860" s="9" t="inlineStr">
        <is>
          <t>MA alignment (EMA21&gt;EMA50&gt;SMA250&gt;SMMA500 vs EMA2400 trend filter)</t>
        </is>
      </c>
      <c r="D5860" s="9" t="inlineStr">
        <is>
          <t>Short</t>
        </is>
      </c>
      <c r="E5860" s="10" t="n">
        <v>45978.71180555555</v>
      </c>
      <c r="F5860" s="10" t="n">
        <v>45978.81597222222</v>
      </c>
      <c r="G5860" s="11" t="n">
        <v>-8.83</v>
      </c>
      <c r="H5860" s="11">
        <f>H5859+G5860</f>
        <v/>
      </c>
    </row>
    <row r="5861">
      <c r="A5861" s="9" t="n">
        <v>5857</v>
      </c>
      <c r="B5861" s="9" t="inlineStr">
        <is>
          <t>Ratchet</t>
        </is>
      </c>
      <c r="C5861" s="9" t="inlineStr">
        <is>
          <t>Stochastic scalp with give-back trail exit</t>
        </is>
      </c>
      <c r="D5861" s="9" t="inlineStr">
        <is>
          <t>Short</t>
        </is>
      </c>
      <c r="E5861" s="10" t="n">
        <v>45979.25</v>
      </c>
      <c r="F5861" s="10" t="n">
        <v>45979.26736111111</v>
      </c>
      <c r="G5861" s="11" t="n">
        <v>1.72</v>
      </c>
      <c r="H5861" s="11">
        <f>H5860+G5861</f>
        <v/>
      </c>
    </row>
    <row r="5862">
      <c r="A5862" s="9" t="n">
        <v>5858</v>
      </c>
      <c r="B5862" s="9" t="inlineStr">
        <is>
          <t>Ratchet</t>
        </is>
      </c>
      <c r="C5862" s="9" t="inlineStr">
        <is>
          <t>Stochastic scalp with give-back trail exit</t>
        </is>
      </c>
      <c r="D5862" s="9" t="inlineStr">
        <is>
          <t>Short</t>
        </is>
      </c>
      <c r="E5862" s="10" t="n">
        <v>45979.28472222222</v>
      </c>
      <c r="F5862" s="10" t="n">
        <v>45979.30555555555</v>
      </c>
      <c r="G5862" s="11" t="n">
        <v>-9.029999999999999</v>
      </c>
      <c r="H5862" s="11">
        <f>H5861+G5862</f>
        <v/>
      </c>
    </row>
    <row r="5863">
      <c r="A5863" s="9" t="n">
        <v>5859</v>
      </c>
      <c r="B5863" s="9" t="inlineStr">
        <is>
          <t>Ratchet</t>
        </is>
      </c>
      <c r="C5863" s="9" t="inlineStr">
        <is>
          <t>Stochastic scalp with give-back trail exit</t>
        </is>
      </c>
      <c r="D5863" s="9" t="inlineStr">
        <is>
          <t>Short</t>
        </is>
      </c>
      <c r="E5863" s="10" t="n">
        <v>45979.34722222222</v>
      </c>
      <c r="F5863" s="10" t="n">
        <v>45979.38541666666</v>
      </c>
      <c r="G5863" s="11" t="n">
        <v>1.29</v>
      </c>
      <c r="H5863" s="11">
        <f>H5862+G5863</f>
        <v/>
      </c>
    </row>
    <row r="5864">
      <c r="A5864" s="9" t="n">
        <v>5860</v>
      </c>
      <c r="B5864" s="9" t="inlineStr">
        <is>
          <t>Meridian</t>
        </is>
      </c>
      <c r="C5864" s="9" t="inlineStr">
        <is>
          <t>21/50 MA cross, 250-period confirm filter, VWAP</t>
        </is>
      </c>
      <c r="D5864" s="9" t="inlineStr">
        <is>
          <t>Short</t>
        </is>
      </c>
      <c r="E5864" s="10" t="n">
        <v>45978.86805555555</v>
      </c>
      <c r="F5864" s="10" t="n">
        <v>45979.4375</v>
      </c>
      <c r="G5864" s="11" t="n">
        <v>47.23</v>
      </c>
      <c r="H5864" s="11">
        <f>H5863+G5864</f>
        <v/>
      </c>
    </row>
    <row r="5865">
      <c r="A5865" s="9" t="n">
        <v>5861</v>
      </c>
      <c r="B5865" s="9" t="inlineStr">
        <is>
          <t>Aurelius_M5</t>
        </is>
      </c>
      <c r="C5865" s="9" t="inlineStr">
        <is>
          <t>MA alignment (EMA21&gt;EMA50&gt;SMA250&gt;SMMA500 vs EMA2400 trend filter)</t>
        </is>
      </c>
      <c r="D5865" s="9" t="inlineStr">
        <is>
          <t>Short</t>
        </is>
      </c>
      <c r="E5865" s="10" t="n">
        <v>45979.15625</v>
      </c>
      <c r="F5865" s="10" t="n">
        <v>45979.4375</v>
      </c>
      <c r="G5865" s="11" t="n">
        <v>10.59</v>
      </c>
      <c r="H5865" s="11">
        <f>H5864+G5865</f>
        <v/>
      </c>
    </row>
    <row r="5866">
      <c r="A5866" s="9" t="n">
        <v>5862</v>
      </c>
      <c r="B5866" s="9" t="inlineStr">
        <is>
          <t>Aurelius_M15</t>
        </is>
      </c>
      <c r="C5866" s="9" t="inlineStr">
        <is>
          <t>MA alignment (EMA21&gt;EMA50&gt;SMA250&gt;SMMA500 vs EMA2400 trend filter) - M15 chart</t>
        </is>
      </c>
      <c r="D5866" s="9" t="inlineStr">
        <is>
          <t>Short</t>
        </is>
      </c>
      <c r="E5866" s="10" t="n">
        <v>45978.69791666666</v>
      </c>
      <c r="F5866" s="10" t="n">
        <v>45979.52083333334</v>
      </c>
      <c r="G5866" s="11" t="n">
        <v>35.55</v>
      </c>
      <c r="H5866" s="11">
        <f>H5865+G5866</f>
        <v/>
      </c>
    </row>
    <row r="5867">
      <c r="A5867" s="9" t="n">
        <v>5863</v>
      </c>
      <c r="B5867" s="9" t="inlineStr">
        <is>
          <t>Vanguard_M15</t>
        </is>
      </c>
      <c r="C5867" s="9" t="inlineStr">
        <is>
          <t>Trendline breakout (fractal swing line) + VWAP/S-R distance gate - M15 chart</t>
        </is>
      </c>
      <c r="D5867" s="9" t="inlineStr">
        <is>
          <t>Short</t>
        </is>
      </c>
      <c r="E5867" s="10" t="n">
        <v>45978.76041666666</v>
      </c>
      <c r="F5867" s="10" t="n">
        <v>45979.64583333334</v>
      </c>
      <c r="G5867" s="11" t="n">
        <v>-1.79</v>
      </c>
      <c r="H5867" s="11">
        <f>H5866+G5867</f>
        <v/>
      </c>
    </row>
    <row r="5868">
      <c r="A5868" s="9" t="n">
        <v>5864</v>
      </c>
      <c r="B5868" s="9" t="inlineStr">
        <is>
          <t>Vanguard_M5</t>
        </is>
      </c>
      <c r="C5868" s="9" t="inlineStr">
        <is>
          <t>Trendline breakout (fractal swing line) + VWAP/S-R distance gate</t>
        </is>
      </c>
      <c r="D5868" s="9" t="inlineStr">
        <is>
          <t>Short</t>
        </is>
      </c>
      <c r="E5868" s="10" t="n">
        <v>45975.52430555555</v>
      </c>
      <c r="F5868" s="10" t="n">
        <v>45979.66666666666</v>
      </c>
      <c r="G5868" s="11" t="n">
        <v>87.18000000000001</v>
      </c>
      <c r="H5868" s="11">
        <f>H5867+G5868</f>
        <v/>
      </c>
    </row>
    <row r="5869">
      <c r="A5869" s="9" t="n">
        <v>5865</v>
      </c>
      <c r="B5869" s="9" t="inlineStr">
        <is>
          <t>Vanguard_M5</t>
        </is>
      </c>
      <c r="C5869" s="9" t="inlineStr">
        <is>
          <t>Trendline breakout (fractal swing line) + VWAP/S-R distance gate</t>
        </is>
      </c>
      <c r="D5869" s="9" t="inlineStr">
        <is>
          <t>Long</t>
        </is>
      </c>
      <c r="E5869" s="10" t="n">
        <v>45979.67013888889</v>
      </c>
      <c r="F5869" s="10" t="n">
        <v>45979.74305555555</v>
      </c>
      <c r="G5869" s="11" t="n">
        <v>-25.26</v>
      </c>
      <c r="H5869" s="11">
        <f>H5868+G5869</f>
        <v/>
      </c>
    </row>
    <row r="5870">
      <c r="A5870" s="9" t="n">
        <v>5866</v>
      </c>
      <c r="B5870" s="9" t="inlineStr">
        <is>
          <t>Vanguard_M15</t>
        </is>
      </c>
      <c r="C5870" s="9" t="inlineStr">
        <is>
          <t>Trendline breakout (fractal swing line) + VWAP/S-R distance gate - M15 chart</t>
        </is>
      </c>
      <c r="D5870" s="9" t="inlineStr">
        <is>
          <t>Long</t>
        </is>
      </c>
      <c r="E5870" s="10" t="n">
        <v>45979.67708333334</v>
      </c>
      <c r="F5870" s="10" t="n">
        <v>45979.75</v>
      </c>
      <c r="G5870" s="11" t="n">
        <v>-29.43</v>
      </c>
      <c r="H5870" s="11">
        <f>H5869+G5870</f>
        <v/>
      </c>
    </row>
    <row r="5871">
      <c r="A5871" s="9" t="n">
        <v>5867</v>
      </c>
      <c r="B5871" s="9" t="inlineStr">
        <is>
          <t>Meridian</t>
        </is>
      </c>
      <c r="C5871" s="9" t="inlineStr">
        <is>
          <t>21/50 MA cross, 250-period confirm filter, VWAP</t>
        </is>
      </c>
      <c r="D5871" s="9" t="inlineStr">
        <is>
          <t>Long</t>
        </is>
      </c>
      <c r="E5871" s="10" t="n">
        <v>45980.05555555555</v>
      </c>
      <c r="F5871" s="10" t="n">
        <v>45980.12847222222</v>
      </c>
      <c r="G5871" s="11" t="n">
        <v>-7.87</v>
      </c>
      <c r="H5871" s="11">
        <f>H5870+G5871</f>
        <v/>
      </c>
    </row>
    <row r="5872">
      <c r="A5872" s="9" t="n">
        <v>5868</v>
      </c>
      <c r="B5872" s="9" t="inlineStr">
        <is>
          <t>Ratchet</t>
        </is>
      </c>
      <c r="C5872" s="9" t="inlineStr">
        <is>
          <t>Stochastic scalp with give-back trail exit</t>
        </is>
      </c>
      <c r="D5872" s="9" t="inlineStr">
        <is>
          <t>Long</t>
        </is>
      </c>
      <c r="E5872" s="10" t="n">
        <v>45980.32638888889</v>
      </c>
      <c r="F5872" s="10" t="n">
        <v>45980.33333333334</v>
      </c>
      <c r="G5872" s="11" t="n">
        <v>0</v>
      </c>
      <c r="H5872" s="11">
        <f>H5871+G5872</f>
        <v/>
      </c>
    </row>
    <row r="5873">
      <c r="A5873" s="9" t="n">
        <v>5869</v>
      </c>
      <c r="B5873" s="9" t="inlineStr">
        <is>
          <t>Ratchet</t>
        </is>
      </c>
      <c r="C5873" s="9" t="inlineStr">
        <is>
          <t>Stochastic scalp with give-back trail exit</t>
        </is>
      </c>
      <c r="D5873" s="9" t="inlineStr">
        <is>
          <t>Long</t>
        </is>
      </c>
      <c r="E5873" s="10" t="n">
        <v>45980.35763888889</v>
      </c>
      <c r="F5873" s="10" t="n">
        <v>45980.37847222222</v>
      </c>
      <c r="G5873" s="11" t="n">
        <v>-8.48</v>
      </c>
      <c r="H5873" s="11">
        <f>H5872+G5873</f>
        <v/>
      </c>
    </row>
    <row r="5874">
      <c r="A5874" s="9" t="n">
        <v>5870</v>
      </c>
      <c r="B5874" s="9" t="inlineStr">
        <is>
          <t>Ratchet</t>
        </is>
      </c>
      <c r="C5874" s="9" t="inlineStr">
        <is>
          <t>Stochastic scalp with give-back trail exit</t>
        </is>
      </c>
      <c r="D5874" s="9" t="inlineStr">
        <is>
          <t>Long</t>
        </is>
      </c>
      <c r="E5874" s="10" t="n">
        <v>45980.54861111111</v>
      </c>
      <c r="F5874" s="10" t="n">
        <v>45980.56944444445</v>
      </c>
      <c r="G5874" s="11" t="n">
        <v>2.44</v>
      </c>
      <c r="H5874" s="11">
        <f>H5873+G5874</f>
        <v/>
      </c>
    </row>
    <row r="5875">
      <c r="A5875" s="9" t="n">
        <v>5871</v>
      </c>
      <c r="B5875" s="9" t="inlineStr">
        <is>
          <t>Ratchet</t>
        </is>
      </c>
      <c r="C5875" s="9" t="inlineStr">
        <is>
          <t>Stochastic scalp with give-back trail exit</t>
        </is>
      </c>
      <c r="D5875" s="9" t="inlineStr">
        <is>
          <t>Long</t>
        </is>
      </c>
      <c r="E5875" s="10" t="n">
        <v>45980.60416666666</v>
      </c>
      <c r="F5875" s="10" t="n">
        <v>45980.61111111111</v>
      </c>
      <c r="G5875" s="11" t="n">
        <v>0</v>
      </c>
      <c r="H5875" s="11">
        <f>H5874+G5875</f>
        <v/>
      </c>
    </row>
    <row r="5876">
      <c r="A5876" s="9" t="n">
        <v>5872</v>
      </c>
      <c r="B5876" s="9" t="inlineStr">
        <is>
          <t>Ratchet</t>
        </is>
      </c>
      <c r="C5876" s="9" t="inlineStr">
        <is>
          <t>Stochastic scalp with give-back trail exit</t>
        </is>
      </c>
      <c r="D5876" s="9" t="inlineStr">
        <is>
          <t>Long</t>
        </is>
      </c>
      <c r="E5876" s="10" t="n">
        <v>45980.69444444445</v>
      </c>
      <c r="F5876" s="10" t="n">
        <v>45980.72569444445</v>
      </c>
      <c r="G5876" s="11" t="n">
        <v>4.43</v>
      </c>
      <c r="H5876" s="11">
        <f>H5875+G5876</f>
        <v/>
      </c>
    </row>
    <row r="5877">
      <c r="A5877" s="9" t="n">
        <v>5873</v>
      </c>
      <c r="B5877" s="9" t="inlineStr">
        <is>
          <t>Vanguard_M15</t>
        </is>
      </c>
      <c r="C5877" s="9" t="inlineStr">
        <is>
          <t>Trendline breakout (fractal swing line) + VWAP/S-R distance gate - M15 chart</t>
        </is>
      </c>
      <c r="D5877" s="9" t="inlineStr">
        <is>
          <t>Long</t>
        </is>
      </c>
      <c r="E5877" s="10" t="n">
        <v>45979.79166666666</v>
      </c>
      <c r="F5877" s="10" t="n">
        <v>45980.73958333334</v>
      </c>
      <c r="G5877" s="11" t="n">
        <v>29.7</v>
      </c>
      <c r="H5877" s="11">
        <f>H5876+G5877</f>
        <v/>
      </c>
    </row>
    <row r="5878">
      <c r="A5878" s="9" t="n">
        <v>5874</v>
      </c>
      <c r="B5878" s="9" t="inlineStr">
        <is>
          <t>Vanguard_M5</t>
        </is>
      </c>
      <c r="C5878" s="9" t="inlineStr">
        <is>
          <t>Trendline breakout (fractal swing line) + VWAP/S-R distance gate</t>
        </is>
      </c>
      <c r="D5878" s="9" t="inlineStr">
        <is>
          <t>Long</t>
        </is>
      </c>
      <c r="E5878" s="10" t="n">
        <v>45979.77083333334</v>
      </c>
      <c r="F5878" s="10" t="n">
        <v>45980.74305555555</v>
      </c>
      <c r="G5878" s="11" t="n">
        <v>26.96</v>
      </c>
      <c r="H5878" s="11">
        <f>H5877+G5878</f>
        <v/>
      </c>
    </row>
    <row r="5879">
      <c r="A5879" s="9" t="n">
        <v>5875</v>
      </c>
      <c r="B5879" s="9" t="inlineStr">
        <is>
          <t>Aurelius_M5</t>
        </is>
      </c>
      <c r="C5879" s="9" t="inlineStr">
        <is>
          <t>MA alignment (EMA21&gt;EMA50&gt;SMA250&gt;SMMA500 vs EMA2400 trend filter)</t>
        </is>
      </c>
      <c r="D5879" s="9" t="inlineStr">
        <is>
          <t>Long</t>
        </is>
      </c>
      <c r="E5879" s="10" t="n">
        <v>45980.72916666666</v>
      </c>
      <c r="F5879" s="10" t="n">
        <v>45980.74305555555</v>
      </c>
      <c r="G5879" s="11" t="n">
        <v>-16.14</v>
      </c>
      <c r="H5879" s="11">
        <f>H5878+G5879</f>
        <v/>
      </c>
    </row>
    <row r="5880">
      <c r="A5880" s="9" t="n">
        <v>5876</v>
      </c>
      <c r="B5880" s="9" t="inlineStr">
        <is>
          <t>Meridian</t>
        </is>
      </c>
      <c r="C5880" s="9" t="inlineStr">
        <is>
          <t>21/50 MA cross, 250-period confirm filter, VWAP</t>
        </is>
      </c>
      <c r="D5880" s="9" t="inlineStr">
        <is>
          <t>Long</t>
        </is>
      </c>
      <c r="E5880" s="10" t="n">
        <v>45980.20833333334</v>
      </c>
      <c r="F5880" s="10" t="n">
        <v>45980.75347222222</v>
      </c>
      <c r="G5880" s="11" t="n">
        <v>15.25</v>
      </c>
      <c r="H5880" s="11">
        <f>H5879+G5880</f>
        <v/>
      </c>
    </row>
    <row r="5881">
      <c r="A5881" s="9" t="n">
        <v>5877</v>
      </c>
      <c r="B5881" s="9" t="inlineStr">
        <is>
          <t>Ratchet</t>
        </is>
      </c>
      <c r="C5881" s="9" t="inlineStr">
        <is>
          <t>Stochastic scalp with give-back trail exit</t>
        </is>
      </c>
      <c r="D5881" s="9" t="inlineStr">
        <is>
          <t>Long</t>
        </is>
      </c>
      <c r="E5881" s="10" t="n">
        <v>45981.125</v>
      </c>
      <c r="F5881" s="10" t="n">
        <v>45981.12847222222</v>
      </c>
      <c r="G5881" s="11" t="n">
        <v>0.91</v>
      </c>
      <c r="H5881" s="11">
        <f>H5880+G5881</f>
        <v/>
      </c>
    </row>
    <row r="5882">
      <c r="A5882" s="9" t="n">
        <v>5878</v>
      </c>
      <c r="B5882" s="9" t="inlineStr">
        <is>
          <t>Meridian</t>
        </is>
      </c>
      <c r="C5882" s="9" t="inlineStr">
        <is>
          <t>21/50 MA cross, 250-period confirm filter, VWAP</t>
        </is>
      </c>
      <c r="D5882" s="9" t="inlineStr">
        <is>
          <t>Long</t>
        </is>
      </c>
      <c r="E5882" s="10" t="n">
        <v>45981.05555555555</v>
      </c>
      <c r="F5882" s="10" t="n">
        <v>45981.16666666666</v>
      </c>
      <c r="G5882" s="11" t="n">
        <v>-11.97</v>
      </c>
      <c r="H5882" s="11">
        <f>H5881+G5882</f>
        <v/>
      </c>
    </row>
    <row r="5883">
      <c r="A5883" s="9" t="n">
        <v>5879</v>
      </c>
      <c r="B5883" s="9" t="inlineStr">
        <is>
          <t>Meridian</t>
        </is>
      </c>
      <c r="C5883" s="9" t="inlineStr">
        <is>
          <t>21/50 MA cross, 250-period confirm filter, VWAP</t>
        </is>
      </c>
      <c r="D5883" s="9" t="inlineStr">
        <is>
          <t>Short</t>
        </is>
      </c>
      <c r="E5883" s="10" t="n">
        <v>45981.17361111111</v>
      </c>
      <c r="F5883" s="10" t="n">
        <v>45981.21180555555</v>
      </c>
      <c r="G5883" s="11" t="n">
        <v>-15.3</v>
      </c>
      <c r="H5883" s="11">
        <f>H5882+G5883</f>
        <v/>
      </c>
    </row>
    <row r="5884">
      <c r="A5884" s="9" t="n">
        <v>5880</v>
      </c>
      <c r="B5884" s="9" t="inlineStr">
        <is>
          <t>Ratchet</t>
        </is>
      </c>
      <c r="C5884" s="9" t="inlineStr">
        <is>
          <t>Stochastic scalp with give-back trail exit</t>
        </is>
      </c>
      <c r="D5884" s="9" t="inlineStr">
        <is>
          <t>Short</t>
        </is>
      </c>
      <c r="E5884" s="10" t="n">
        <v>45981.54166666666</v>
      </c>
      <c r="F5884" s="10" t="n">
        <v>45981.54513888889</v>
      </c>
      <c r="G5884" s="11" t="n">
        <v>1.36</v>
      </c>
      <c r="H5884" s="11">
        <f>H5883+G5884</f>
        <v/>
      </c>
    </row>
    <row r="5885">
      <c r="A5885" s="9" t="n">
        <v>5881</v>
      </c>
      <c r="B5885" s="9" t="inlineStr">
        <is>
          <t>Vanguard_M5</t>
        </is>
      </c>
      <c r="C5885" s="9" t="inlineStr">
        <is>
          <t>Trendline breakout (fractal swing line) + VWAP/S-R distance gate</t>
        </is>
      </c>
      <c r="D5885" s="9" t="inlineStr">
        <is>
          <t>Short</t>
        </is>
      </c>
      <c r="E5885" s="10" t="n">
        <v>45980.74652777778</v>
      </c>
      <c r="F5885" s="10" t="n">
        <v>45981.64930555555</v>
      </c>
      <c r="G5885" s="11" t="n">
        <v>-1.03</v>
      </c>
      <c r="H5885" s="11">
        <f>H5884+G5885</f>
        <v/>
      </c>
    </row>
    <row r="5886">
      <c r="A5886" s="9" t="n">
        <v>5882</v>
      </c>
      <c r="B5886" s="9" t="inlineStr">
        <is>
          <t>Aurelius_M5</t>
        </is>
      </c>
      <c r="C5886" s="9" t="inlineStr">
        <is>
          <t>MA alignment (EMA21&gt;EMA50&gt;SMA250&gt;SMMA500 vs EMA2400 trend filter)</t>
        </is>
      </c>
      <c r="D5886" s="9" t="inlineStr">
        <is>
          <t>Short</t>
        </is>
      </c>
      <c r="E5886" s="10" t="n">
        <v>45981.79513888889</v>
      </c>
      <c r="F5886" s="10" t="n">
        <v>45981.88541666666</v>
      </c>
      <c r="G5886" s="11" t="n">
        <v>-22.8</v>
      </c>
      <c r="H5886" s="11">
        <f>H5885+G5886</f>
        <v/>
      </c>
    </row>
    <row r="5887">
      <c r="A5887" s="9" t="n">
        <v>5883</v>
      </c>
      <c r="B5887" s="9" t="inlineStr">
        <is>
          <t>Meridian</t>
        </is>
      </c>
      <c r="C5887" s="9" t="inlineStr">
        <is>
          <t>21/50 MA cross, 250-period confirm filter, VWAP</t>
        </is>
      </c>
      <c r="D5887" s="9" t="inlineStr">
        <is>
          <t>Short</t>
        </is>
      </c>
      <c r="E5887" s="10" t="n">
        <v>45981.77083333334</v>
      </c>
      <c r="F5887" s="10" t="n">
        <v>45981.89930555555</v>
      </c>
      <c r="G5887" s="11" t="n">
        <v>-16.43</v>
      </c>
      <c r="H5887" s="11">
        <f>H5886+G5887</f>
        <v/>
      </c>
    </row>
    <row r="5888">
      <c r="A5888" s="9" t="n">
        <v>5884</v>
      </c>
      <c r="B5888" s="9" t="inlineStr">
        <is>
          <t>Ratchet</t>
        </is>
      </c>
      <c r="C5888" s="9" t="inlineStr">
        <is>
          <t>Stochastic scalp with give-back trail exit</t>
        </is>
      </c>
      <c r="D5888" s="9" t="inlineStr">
        <is>
          <t>Short</t>
        </is>
      </c>
      <c r="E5888" s="10" t="n">
        <v>45982.15277777778</v>
      </c>
      <c r="F5888" s="10" t="n">
        <v>45982.15972222222</v>
      </c>
      <c r="G5888" s="11" t="n">
        <v>-8.02</v>
      </c>
      <c r="H5888" s="11">
        <f>H5887+G5888</f>
        <v/>
      </c>
    </row>
    <row r="5889">
      <c r="A5889" s="9" t="n">
        <v>5885</v>
      </c>
      <c r="B5889" s="9" t="inlineStr">
        <is>
          <t>Meridian</t>
        </is>
      </c>
      <c r="C5889" s="9" t="inlineStr">
        <is>
          <t>21/50 MA cross, 250-period confirm filter, VWAP</t>
        </is>
      </c>
      <c r="D5889" s="9" t="inlineStr">
        <is>
          <t>Short</t>
        </is>
      </c>
      <c r="E5889" s="10" t="n">
        <v>45982.12847222222</v>
      </c>
      <c r="F5889" s="10" t="n">
        <v>45982.1875</v>
      </c>
      <c r="G5889" s="11" t="n">
        <v>-12.61</v>
      </c>
      <c r="H5889" s="11">
        <f>H5888+G5889</f>
        <v/>
      </c>
    </row>
    <row r="5890">
      <c r="A5890" s="9" t="n">
        <v>5886</v>
      </c>
      <c r="B5890" s="9" t="inlineStr">
        <is>
          <t>Ratchet</t>
        </is>
      </c>
      <c r="C5890" s="9" t="inlineStr">
        <is>
          <t>Stochastic scalp with give-back trail exit</t>
        </is>
      </c>
      <c r="D5890" s="9" t="inlineStr">
        <is>
          <t>Short</t>
        </is>
      </c>
      <c r="E5890" s="10" t="n">
        <v>45982.28125</v>
      </c>
      <c r="F5890" s="10" t="n">
        <v>45982.32986111111</v>
      </c>
      <c r="G5890" s="11" t="n">
        <v>2.65</v>
      </c>
      <c r="H5890" s="11">
        <f>H5889+G5890</f>
        <v/>
      </c>
    </row>
    <row r="5891">
      <c r="A5891" s="9" t="n">
        <v>5887</v>
      </c>
      <c r="B5891" s="9" t="inlineStr">
        <is>
          <t>Aurelius_M5</t>
        </is>
      </c>
      <c r="C5891" s="9" t="inlineStr">
        <is>
          <t>MA alignment (EMA21&gt;EMA50&gt;SMA250&gt;SMMA500 vs EMA2400 trend filter)</t>
        </is>
      </c>
      <c r="D5891" s="9" t="inlineStr">
        <is>
          <t>Short</t>
        </is>
      </c>
      <c r="E5891" s="10" t="n">
        <v>45982.21527777778</v>
      </c>
      <c r="F5891" s="10" t="n">
        <v>45982.47569444445</v>
      </c>
      <c r="G5891" s="11" t="n">
        <v>-4.75</v>
      </c>
      <c r="H5891" s="11">
        <f>H5890+G5891</f>
        <v/>
      </c>
    </row>
    <row r="5892">
      <c r="A5892" s="9" t="n">
        <v>5888</v>
      </c>
      <c r="B5892" s="9" t="inlineStr">
        <is>
          <t>Meridian</t>
        </is>
      </c>
      <c r="C5892" s="9" t="inlineStr">
        <is>
          <t>21/50 MA cross, 250-period confirm filter, VWAP</t>
        </is>
      </c>
      <c r="D5892" s="9" t="inlineStr">
        <is>
          <t>Short</t>
        </is>
      </c>
      <c r="E5892" s="10" t="n">
        <v>45982.52083333334</v>
      </c>
      <c r="F5892" s="10" t="n">
        <v>45982.59722222222</v>
      </c>
      <c r="G5892" s="11" t="n">
        <v>-17.04</v>
      </c>
      <c r="H5892" s="11">
        <f>H5891+G5892</f>
        <v/>
      </c>
    </row>
    <row r="5893">
      <c r="A5893" s="9" t="n">
        <v>5889</v>
      </c>
      <c r="B5893" s="9" t="inlineStr">
        <is>
          <t>Vanguard_M5</t>
        </is>
      </c>
      <c r="C5893" s="9" t="inlineStr">
        <is>
          <t>Trendline breakout (fractal swing line) + VWAP/S-R distance gate</t>
        </is>
      </c>
      <c r="D5893" s="9" t="inlineStr">
        <is>
          <t>Short</t>
        </is>
      </c>
      <c r="E5893" s="10" t="n">
        <v>45982.28472222222</v>
      </c>
      <c r="F5893" s="10" t="n">
        <v>45982.61458333334</v>
      </c>
      <c r="G5893" s="11" t="n">
        <v>-18.69</v>
      </c>
      <c r="H5893" s="11">
        <f>H5892+G5893</f>
        <v/>
      </c>
    </row>
    <row r="5894">
      <c r="A5894" s="9" t="n">
        <v>5890</v>
      </c>
      <c r="B5894" s="9" t="inlineStr">
        <is>
          <t>Vanguard_M15</t>
        </is>
      </c>
      <c r="C5894" s="9" t="inlineStr">
        <is>
          <t>Trendline breakout (fractal swing line) + VWAP/S-R distance gate - M15 chart</t>
        </is>
      </c>
      <c r="D5894" s="9" t="inlineStr">
        <is>
          <t>Short</t>
        </is>
      </c>
      <c r="E5894" s="10" t="n">
        <v>45982.32291666666</v>
      </c>
      <c r="F5894" s="10" t="n">
        <v>45982.65625</v>
      </c>
      <c r="G5894" s="11" t="n">
        <v>-25.15</v>
      </c>
      <c r="H5894" s="11">
        <f>H5893+G5894</f>
        <v/>
      </c>
    </row>
    <row r="5895">
      <c r="A5895" s="9" t="n">
        <v>5891</v>
      </c>
      <c r="B5895" s="9" t="inlineStr">
        <is>
          <t>Meridian</t>
        </is>
      </c>
      <c r="C5895" s="9" t="inlineStr">
        <is>
          <t>21/50 MA cross, 250-period confirm filter, VWAP</t>
        </is>
      </c>
      <c r="D5895" s="9" t="inlineStr">
        <is>
          <t>Long</t>
        </is>
      </c>
      <c r="E5895" s="10" t="n">
        <v>45982.61111111111</v>
      </c>
      <c r="F5895" s="10" t="n">
        <v>45982.91666666666</v>
      </c>
      <c r="G5895" s="11" t="n">
        <v>24.71</v>
      </c>
      <c r="H5895" s="11">
        <f>H5894+G5895</f>
        <v/>
      </c>
    </row>
    <row r="5896">
      <c r="A5896" s="9" t="n">
        <v>5892</v>
      </c>
      <c r="B5896" s="9" t="inlineStr">
        <is>
          <t>Vanguard_M5</t>
        </is>
      </c>
      <c r="C5896" s="9" t="inlineStr">
        <is>
          <t>Trendline breakout (fractal swing line) + VWAP/S-R distance gate</t>
        </is>
      </c>
      <c r="D5896" s="9" t="inlineStr">
        <is>
          <t>Long</t>
        </is>
      </c>
      <c r="E5896" s="10" t="n">
        <v>45982.78125</v>
      </c>
      <c r="F5896" s="10" t="n">
        <v>45982.95138888889</v>
      </c>
      <c r="G5896" s="11" t="n">
        <v>-24.08</v>
      </c>
      <c r="H5896" s="11">
        <f>H5895+G5896</f>
        <v/>
      </c>
    </row>
    <row r="5897">
      <c r="A5897" s="9" t="n">
        <v>5893</v>
      </c>
      <c r="B5897" s="9" t="inlineStr">
        <is>
          <t>Vanguard_M5</t>
        </is>
      </c>
      <c r="C5897" s="9" t="inlineStr">
        <is>
          <t>Trendline breakout (fractal swing line) + VWAP/S-R distance gate</t>
        </is>
      </c>
      <c r="D5897" s="9" t="inlineStr">
        <is>
          <t>Long</t>
        </is>
      </c>
      <c r="E5897" s="10" t="n">
        <v>45985.05208333334</v>
      </c>
      <c r="F5897" s="10" t="n">
        <v>45985.13194444445</v>
      </c>
      <c r="G5897" s="11" t="n">
        <v>-20.14</v>
      </c>
      <c r="H5897" s="11">
        <f>H5896+G5897</f>
        <v/>
      </c>
    </row>
    <row r="5898">
      <c r="A5898" s="9" t="n">
        <v>5894</v>
      </c>
      <c r="B5898" s="9" t="inlineStr">
        <is>
          <t>Vanguard_M15</t>
        </is>
      </c>
      <c r="C5898" s="9" t="inlineStr">
        <is>
          <t>Trendline breakout (fractal swing line) + VWAP/S-R distance gate - M15 chart</t>
        </is>
      </c>
      <c r="D5898" s="9" t="inlineStr">
        <is>
          <t>Long</t>
        </is>
      </c>
      <c r="E5898" s="10" t="n">
        <v>45982.78125</v>
      </c>
      <c r="F5898" s="10" t="n">
        <v>45985.15625</v>
      </c>
      <c r="G5898" s="11" t="n">
        <v>-30.83</v>
      </c>
      <c r="H5898" s="11">
        <f>H5897+G5898</f>
        <v/>
      </c>
    </row>
    <row r="5899">
      <c r="A5899" s="9" t="n">
        <v>5895</v>
      </c>
      <c r="B5899" s="9" t="inlineStr">
        <is>
          <t>Ratchet</t>
        </is>
      </c>
      <c r="C5899" s="9" t="inlineStr">
        <is>
          <t>Stochastic scalp with give-back trail exit</t>
        </is>
      </c>
      <c r="D5899" s="9" t="inlineStr">
        <is>
          <t>Short</t>
        </is>
      </c>
      <c r="E5899" s="10" t="n">
        <v>45985.13888888889</v>
      </c>
      <c r="F5899" s="10" t="n">
        <v>45985.19097222222</v>
      </c>
      <c r="G5899" s="11" t="n">
        <v>2.77</v>
      </c>
      <c r="H5899" s="11">
        <f>H5898+G5899</f>
        <v/>
      </c>
    </row>
    <row r="5900">
      <c r="A5900" s="9" t="n">
        <v>5896</v>
      </c>
      <c r="B5900" s="9" t="inlineStr">
        <is>
          <t>Ratchet</t>
        </is>
      </c>
      <c r="C5900" s="9" t="inlineStr">
        <is>
          <t>Stochastic scalp with give-back trail exit</t>
        </is>
      </c>
      <c r="D5900" s="9" t="inlineStr">
        <is>
          <t>Short</t>
        </is>
      </c>
      <c r="E5900" s="10" t="n">
        <v>45985.22222222222</v>
      </c>
      <c r="F5900" s="10" t="n">
        <v>45985.22916666666</v>
      </c>
      <c r="G5900" s="11" t="n">
        <v>-5.89</v>
      </c>
      <c r="H5900" s="11">
        <f>H5899+G5900</f>
        <v/>
      </c>
    </row>
    <row r="5901">
      <c r="A5901" s="9" t="n">
        <v>5897</v>
      </c>
      <c r="B5901" s="9" t="inlineStr">
        <is>
          <t>Ratchet</t>
        </is>
      </c>
      <c r="C5901" s="9" t="inlineStr">
        <is>
          <t>Stochastic scalp with give-back trail exit</t>
        </is>
      </c>
      <c r="D5901" s="9" t="inlineStr">
        <is>
          <t>Short</t>
        </is>
      </c>
      <c r="E5901" s="10" t="n">
        <v>45985.30555555555</v>
      </c>
      <c r="F5901" s="10" t="n">
        <v>45985.32638888889</v>
      </c>
      <c r="G5901" s="11" t="n">
        <v>0.8100000000000001</v>
      </c>
      <c r="H5901" s="11">
        <f>H5900+G5901</f>
        <v/>
      </c>
    </row>
    <row r="5902">
      <c r="A5902" s="9" t="n">
        <v>5898</v>
      </c>
      <c r="B5902" s="9" t="inlineStr">
        <is>
          <t>Aurelius_M5</t>
        </is>
      </c>
      <c r="C5902" s="9" t="inlineStr">
        <is>
          <t>MA alignment (EMA21&gt;EMA50&gt;SMA250&gt;SMMA500 vs EMA2400 trend filter)</t>
        </is>
      </c>
      <c r="D5902" s="9" t="inlineStr">
        <is>
          <t>Short</t>
        </is>
      </c>
      <c r="E5902" s="10" t="n">
        <v>45985.26736111111</v>
      </c>
      <c r="F5902" s="10" t="n">
        <v>45985.36805555555</v>
      </c>
      <c r="G5902" s="11" t="n">
        <v>-5.64</v>
      </c>
      <c r="H5902" s="11">
        <f>H5901+G5902</f>
        <v/>
      </c>
    </row>
    <row r="5903">
      <c r="A5903" s="9" t="n">
        <v>5899</v>
      </c>
      <c r="B5903" s="9" t="inlineStr">
        <is>
          <t>MSG</t>
        </is>
      </c>
      <c r="C5903" s="9" t="inlineStr">
        <is>
          <t>Session-range breakout + Fibonacci retracement-zone entry</t>
        </is>
      </c>
      <c r="D5903" s="9" t="inlineStr">
        <is>
          <t>Long</t>
        </is>
      </c>
      <c r="E5903" s="10" t="n">
        <v>45985.5375</v>
      </c>
      <c r="F5903" s="10" t="n">
        <v>45985.6125</v>
      </c>
      <c r="G5903" s="11" t="n">
        <v>27.82</v>
      </c>
      <c r="H5903" s="11">
        <f>H5902+G5903</f>
        <v/>
      </c>
    </row>
    <row r="5904">
      <c r="A5904" s="9" t="n">
        <v>5900</v>
      </c>
      <c r="B5904" s="9" t="inlineStr">
        <is>
          <t>Ratchet</t>
        </is>
      </c>
      <c r="C5904" s="9" t="inlineStr">
        <is>
          <t>Stochastic scalp with give-back trail exit</t>
        </is>
      </c>
      <c r="D5904" s="9" t="inlineStr">
        <is>
          <t>Long</t>
        </is>
      </c>
      <c r="E5904" s="10" t="n">
        <v>45985.64583333334</v>
      </c>
      <c r="F5904" s="10" t="n">
        <v>45985.64930555555</v>
      </c>
      <c r="G5904" s="11" t="n">
        <v>0.92</v>
      </c>
      <c r="H5904" s="11">
        <f>H5903+G5904</f>
        <v/>
      </c>
    </row>
    <row r="5905">
      <c r="A5905" s="9" t="n">
        <v>5901</v>
      </c>
      <c r="B5905" s="9" t="inlineStr">
        <is>
          <t>Ratchet</t>
        </is>
      </c>
      <c r="C5905" s="9" t="inlineStr">
        <is>
          <t>Stochastic scalp with give-back trail exit</t>
        </is>
      </c>
      <c r="D5905" s="9" t="inlineStr">
        <is>
          <t>Long</t>
        </is>
      </c>
      <c r="E5905" s="10" t="n">
        <v>45986.27083333334</v>
      </c>
      <c r="F5905" s="10" t="n">
        <v>45986.27777777778</v>
      </c>
      <c r="G5905" s="11" t="n">
        <v>0</v>
      </c>
      <c r="H5905" s="11">
        <f>H5904+G5905</f>
        <v/>
      </c>
    </row>
    <row r="5906">
      <c r="A5906" s="9" t="n">
        <v>5902</v>
      </c>
      <c r="B5906" s="9" t="inlineStr">
        <is>
          <t>Aurelius_M5</t>
        </is>
      </c>
      <c r="C5906" s="9" t="inlineStr">
        <is>
          <t>MA alignment (EMA21&gt;EMA50&gt;SMA250&gt;SMMA500 vs EMA2400 trend filter)</t>
        </is>
      </c>
      <c r="D5906" s="9" t="inlineStr">
        <is>
          <t>Long</t>
        </is>
      </c>
      <c r="E5906" s="10" t="n">
        <v>45986.14930555555</v>
      </c>
      <c r="F5906" s="10" t="n">
        <v>45986.39583333334</v>
      </c>
      <c r="G5906" s="11" t="n">
        <v>6.22</v>
      </c>
      <c r="H5906" s="11">
        <f>H5905+G5906</f>
        <v/>
      </c>
    </row>
    <row r="5907">
      <c r="A5907" s="9" t="n">
        <v>5903</v>
      </c>
      <c r="B5907" s="9" t="inlineStr">
        <is>
          <t>Meridian</t>
        </is>
      </c>
      <c r="C5907" s="9" t="inlineStr">
        <is>
          <t>21/50 MA cross, 250-period confirm filter, VWAP</t>
        </is>
      </c>
      <c r="D5907" s="9" t="inlineStr">
        <is>
          <t>Short</t>
        </is>
      </c>
      <c r="E5907" s="10" t="n">
        <v>45986.61458333334</v>
      </c>
      <c r="F5907" s="10" t="n">
        <v>45986.61805555555</v>
      </c>
      <c r="G5907" s="11" t="n">
        <v>-11.26</v>
      </c>
      <c r="H5907" s="11">
        <f>H5906+G5907</f>
        <v/>
      </c>
    </row>
    <row r="5908">
      <c r="A5908" s="9" t="n">
        <v>5904</v>
      </c>
      <c r="B5908" s="9" t="inlineStr">
        <is>
          <t>Ratchet</t>
        </is>
      </c>
      <c r="C5908" s="9" t="inlineStr">
        <is>
          <t>Stochastic scalp with give-back trail exit</t>
        </is>
      </c>
      <c r="D5908" s="9" t="inlineStr">
        <is>
          <t>Long</t>
        </is>
      </c>
      <c r="E5908" s="10" t="n">
        <v>45986.64583333334</v>
      </c>
      <c r="F5908" s="10" t="n">
        <v>45986.67013888889</v>
      </c>
      <c r="G5908" s="11" t="n">
        <v>1.93</v>
      </c>
      <c r="H5908" s="11">
        <f>H5907+G5908</f>
        <v/>
      </c>
    </row>
    <row r="5909">
      <c r="A5909" s="9" t="n">
        <v>5905</v>
      </c>
      <c r="B5909" s="9" t="inlineStr">
        <is>
          <t>Meridian</t>
        </is>
      </c>
      <c r="C5909" s="9" t="inlineStr">
        <is>
          <t>21/50 MA cross, 250-period confirm filter, VWAP</t>
        </is>
      </c>
      <c r="D5909" s="9" t="inlineStr">
        <is>
          <t>Short</t>
        </is>
      </c>
      <c r="E5909" s="10" t="n">
        <v>45986.70138888889</v>
      </c>
      <c r="F5909" s="10" t="n">
        <v>45986.71527777778</v>
      </c>
      <c r="G5909" s="11" t="n">
        <v>-16.95</v>
      </c>
      <c r="H5909" s="11">
        <f>H5908+G5909</f>
        <v/>
      </c>
    </row>
    <row r="5910">
      <c r="A5910" s="9" t="n">
        <v>5906</v>
      </c>
      <c r="B5910" s="9" t="inlineStr">
        <is>
          <t>Ratchet</t>
        </is>
      </c>
      <c r="C5910" s="9" t="inlineStr">
        <is>
          <t>Stochastic scalp with give-back trail exit</t>
        </is>
      </c>
      <c r="D5910" s="9" t="inlineStr">
        <is>
          <t>Long</t>
        </is>
      </c>
      <c r="E5910" s="10" t="n">
        <v>45986.84027777778</v>
      </c>
      <c r="F5910" s="10" t="n">
        <v>45986.85763888889</v>
      </c>
      <c r="G5910" s="11" t="n">
        <v>-10.95</v>
      </c>
      <c r="H5910" s="11">
        <f>H5909+G5910</f>
        <v/>
      </c>
    </row>
    <row r="5911">
      <c r="A5911" s="9" t="n">
        <v>5907</v>
      </c>
      <c r="B5911" s="9" t="inlineStr">
        <is>
          <t>Vanguard_M15</t>
        </is>
      </c>
      <c r="C5911" s="9" t="inlineStr">
        <is>
          <t>Trendline breakout (fractal swing line) + VWAP/S-R distance gate - M15 chart</t>
        </is>
      </c>
      <c r="D5911" s="9" t="inlineStr">
        <is>
          <t>Long</t>
        </is>
      </c>
      <c r="E5911" s="10" t="n">
        <v>45985.78125</v>
      </c>
      <c r="F5911" s="10" t="n">
        <v>45986.86458333334</v>
      </c>
      <c r="G5911" s="11" t="n">
        <v>36.4</v>
      </c>
      <c r="H5911" s="11">
        <f>H5910+G5911</f>
        <v/>
      </c>
    </row>
    <row r="5912">
      <c r="A5912" s="9" t="n">
        <v>5908</v>
      </c>
      <c r="B5912" s="9" t="inlineStr">
        <is>
          <t>Vanguard_M5</t>
        </is>
      </c>
      <c r="C5912" s="9" t="inlineStr">
        <is>
          <t>Trendline breakout (fractal swing line) + VWAP/S-R distance gate</t>
        </is>
      </c>
      <c r="D5912" s="9" t="inlineStr">
        <is>
          <t>Long</t>
        </is>
      </c>
      <c r="E5912" s="10" t="n">
        <v>45985.77430555555</v>
      </c>
      <c r="F5912" s="10" t="n">
        <v>45986.87152777778</v>
      </c>
      <c r="G5912" s="11" t="n">
        <v>37.96</v>
      </c>
      <c r="H5912" s="11">
        <f>H5911+G5912</f>
        <v/>
      </c>
    </row>
    <row r="5913">
      <c r="A5913" s="9" t="n">
        <v>5909</v>
      </c>
      <c r="B5913" s="9" t="inlineStr">
        <is>
          <t>Meridian</t>
        </is>
      </c>
      <c r="C5913" s="9" t="inlineStr">
        <is>
          <t>21/50 MA cross, 250-period confirm filter, VWAP</t>
        </is>
      </c>
      <c r="D5913" s="9" t="inlineStr">
        <is>
          <t>Short</t>
        </is>
      </c>
      <c r="E5913" s="10" t="n">
        <v>45986.89583333334</v>
      </c>
      <c r="F5913" s="10" t="n">
        <v>45987.09722222222</v>
      </c>
      <c r="G5913" s="11" t="n">
        <v>-8.779999999999999</v>
      </c>
      <c r="H5913" s="11">
        <f>H5912+G5913</f>
        <v/>
      </c>
    </row>
    <row r="5914">
      <c r="A5914" s="9" t="n">
        <v>5910</v>
      </c>
      <c r="B5914" s="9" t="inlineStr">
        <is>
          <t>Vanguard_M15</t>
        </is>
      </c>
      <c r="C5914" s="9" t="inlineStr">
        <is>
          <t>Trendline breakout (fractal swing line) + VWAP/S-R distance gate - M15 chart</t>
        </is>
      </c>
      <c r="D5914" s="9" t="inlineStr">
        <is>
          <t>Short</t>
        </is>
      </c>
      <c r="E5914" s="10" t="n">
        <v>45986.875</v>
      </c>
      <c r="F5914" s="10" t="n">
        <v>45987.17708333334</v>
      </c>
      <c r="G5914" s="11" t="n">
        <v>-28.3</v>
      </c>
      <c r="H5914" s="11">
        <f>H5913+G5914</f>
        <v/>
      </c>
    </row>
    <row r="5915">
      <c r="A5915" s="9" t="n">
        <v>5911</v>
      </c>
      <c r="B5915" s="9" t="inlineStr">
        <is>
          <t>Vanguard_M5</t>
        </is>
      </c>
      <c r="C5915" s="9" t="inlineStr">
        <is>
          <t>Trendline breakout (fractal swing line) + VWAP/S-R distance gate</t>
        </is>
      </c>
      <c r="D5915" s="9" t="inlineStr">
        <is>
          <t>Short</t>
        </is>
      </c>
      <c r="E5915" s="10" t="n">
        <v>45986.875</v>
      </c>
      <c r="F5915" s="10" t="n">
        <v>45987.17708333334</v>
      </c>
      <c r="G5915" s="11" t="n">
        <v>-20.23</v>
      </c>
      <c r="H5915" s="11">
        <f>H5914+G5915</f>
        <v/>
      </c>
    </row>
    <row r="5916">
      <c r="A5916" s="9" t="n">
        <v>5912</v>
      </c>
      <c r="B5916" s="9" t="inlineStr">
        <is>
          <t>Ratchet</t>
        </is>
      </c>
      <c r="C5916" s="9" t="inlineStr">
        <is>
          <t>Stochastic scalp with give-back trail exit</t>
        </is>
      </c>
      <c r="D5916" s="9" t="inlineStr">
        <is>
          <t>Long</t>
        </is>
      </c>
      <c r="E5916" s="10" t="n">
        <v>45987.29513888889</v>
      </c>
      <c r="F5916" s="10" t="n">
        <v>45987.3125</v>
      </c>
      <c r="G5916" s="11" t="n">
        <v>1.24</v>
      </c>
      <c r="H5916" s="11">
        <f>H5915+G5916</f>
        <v/>
      </c>
    </row>
    <row r="5917">
      <c r="A5917" s="9" t="n">
        <v>5913</v>
      </c>
      <c r="B5917" s="9" t="inlineStr">
        <is>
          <t>Aurelius_M5</t>
        </is>
      </c>
      <c r="C5917" s="9" t="inlineStr">
        <is>
          <t>MA alignment (EMA21&gt;EMA50&gt;SMA250&gt;SMMA500 vs EMA2400 trend filter)</t>
        </is>
      </c>
      <c r="D5917" s="9" t="inlineStr">
        <is>
          <t>Long</t>
        </is>
      </c>
      <c r="E5917" s="10" t="n">
        <v>45987.13888888889</v>
      </c>
      <c r="F5917" s="10" t="n">
        <v>45987.36805555555</v>
      </c>
      <c r="G5917" s="11" t="n">
        <v>6.41</v>
      </c>
      <c r="H5917" s="11">
        <f>H5916+G5917</f>
        <v/>
      </c>
    </row>
    <row r="5918">
      <c r="A5918" s="9" t="n">
        <v>5914</v>
      </c>
      <c r="B5918" s="9" t="inlineStr">
        <is>
          <t>Meridian</t>
        </is>
      </c>
      <c r="C5918" s="9" t="inlineStr">
        <is>
          <t>21/50 MA cross, 250-period confirm filter, VWAP</t>
        </is>
      </c>
      <c r="D5918" s="9" t="inlineStr">
        <is>
          <t>Long</t>
        </is>
      </c>
      <c r="E5918" s="10" t="n">
        <v>45987.42708333334</v>
      </c>
      <c r="F5918" s="10" t="n">
        <v>45987.44444444445</v>
      </c>
      <c r="G5918" s="11" t="n">
        <v>-9.029999999999999</v>
      </c>
      <c r="H5918" s="11">
        <f>H5917+G5918</f>
        <v/>
      </c>
    </row>
    <row r="5919">
      <c r="A5919" s="9" t="n">
        <v>5915</v>
      </c>
      <c r="B5919" s="9" t="inlineStr">
        <is>
          <t>Ratchet</t>
        </is>
      </c>
      <c r="C5919" s="9" t="inlineStr">
        <is>
          <t>Stochastic scalp with give-back trail exit</t>
        </is>
      </c>
      <c r="D5919" s="9" t="inlineStr">
        <is>
          <t>Long</t>
        </is>
      </c>
      <c r="E5919" s="10" t="n">
        <v>45987.48611111111</v>
      </c>
      <c r="F5919" s="10" t="n">
        <v>45987.56944444445</v>
      </c>
      <c r="G5919" s="11" t="n">
        <v>9.07</v>
      </c>
      <c r="H5919" s="11">
        <f>H5918+G5919</f>
        <v/>
      </c>
    </row>
    <row r="5920">
      <c r="A5920" s="9" t="n">
        <v>5916</v>
      </c>
      <c r="B5920" s="9" t="inlineStr">
        <is>
          <t>Aurelius_M5</t>
        </is>
      </c>
      <c r="C5920" s="9" t="inlineStr">
        <is>
          <t>MA alignment (EMA21&gt;EMA50&gt;SMA250&gt;SMMA500 vs EMA2400 trend filter)</t>
        </is>
      </c>
      <c r="D5920" s="9" t="inlineStr">
        <is>
          <t>Long</t>
        </is>
      </c>
      <c r="E5920" s="10" t="n">
        <v>45987.56597222222</v>
      </c>
      <c r="F5920" s="10" t="n">
        <v>45987.60069444445</v>
      </c>
      <c r="G5920" s="11" t="n">
        <v>-8.49</v>
      </c>
      <c r="H5920" s="11">
        <f>H5919+G5920</f>
        <v/>
      </c>
    </row>
    <row r="5921">
      <c r="A5921" s="9" t="n">
        <v>5917</v>
      </c>
      <c r="B5921" s="9" t="inlineStr">
        <is>
          <t>MSG</t>
        </is>
      </c>
      <c r="C5921" s="9" t="inlineStr">
        <is>
          <t>Session-range breakout + Fibonacci retracement-zone entry</t>
        </is>
      </c>
      <c r="D5921" s="9" t="inlineStr">
        <is>
          <t>Long</t>
        </is>
      </c>
      <c r="E5921" s="10" t="n">
        <v>45987.61180555556</v>
      </c>
      <c r="F5921" s="10" t="n">
        <v>45987.61458333334</v>
      </c>
      <c r="G5921" s="11" t="n">
        <v>-11.57</v>
      </c>
      <c r="H5921" s="11">
        <f>H5920+G5921</f>
        <v/>
      </c>
    </row>
    <row r="5922">
      <c r="A5922" s="9" t="n">
        <v>5918</v>
      </c>
      <c r="B5922" s="9" t="inlineStr">
        <is>
          <t>Ratchet</t>
        </is>
      </c>
      <c r="C5922" s="9" t="inlineStr">
        <is>
          <t>Stochastic scalp with give-back trail exit</t>
        </is>
      </c>
      <c r="D5922" s="9" t="inlineStr">
        <is>
          <t>Long</t>
        </is>
      </c>
      <c r="E5922" s="10" t="n">
        <v>45987.82986111111</v>
      </c>
      <c r="F5922" s="10" t="n">
        <v>45987.84722222222</v>
      </c>
      <c r="G5922" s="11" t="n">
        <v>0.73</v>
      </c>
      <c r="H5922" s="11">
        <f>H5921+G5922</f>
        <v/>
      </c>
    </row>
    <row r="5923">
      <c r="A5923" s="9" t="n">
        <v>5919</v>
      </c>
      <c r="B5923" s="9" t="inlineStr">
        <is>
          <t>Meridian</t>
        </is>
      </c>
      <c r="C5923" s="9" t="inlineStr">
        <is>
          <t>21/50 MA cross, 250-period confirm filter, VWAP</t>
        </is>
      </c>
      <c r="D5923" s="9" t="inlineStr">
        <is>
          <t>Long</t>
        </is>
      </c>
      <c r="E5923" s="10" t="n">
        <v>45987.75347222222</v>
      </c>
      <c r="F5923" s="10" t="n">
        <v>45987.97916666666</v>
      </c>
      <c r="G5923" s="11" t="n">
        <v>-0.2</v>
      </c>
      <c r="H5923" s="11">
        <f>H5922+G5923</f>
        <v/>
      </c>
    </row>
    <row r="5924">
      <c r="A5924" s="9" t="n">
        <v>5920</v>
      </c>
      <c r="B5924" s="9" t="inlineStr">
        <is>
          <t>Meridian</t>
        </is>
      </c>
      <c r="C5924" s="9" t="inlineStr">
        <is>
          <t>21/50 MA cross, 250-period confirm filter, VWAP</t>
        </is>
      </c>
      <c r="D5924" s="9" t="inlineStr">
        <is>
          <t>Long</t>
        </is>
      </c>
      <c r="E5924" s="10" t="n">
        <v>45987.98263888889</v>
      </c>
      <c r="F5924" s="10" t="n">
        <v>45988.12847222222</v>
      </c>
      <c r="G5924" s="11" t="n">
        <v>-2.89</v>
      </c>
      <c r="H5924" s="11">
        <f>H5923+G5924</f>
        <v/>
      </c>
    </row>
    <row r="5925">
      <c r="A5925" s="9" t="n">
        <v>5921</v>
      </c>
      <c r="B5925" s="9" t="inlineStr">
        <is>
          <t>Vanguard_M5</t>
        </is>
      </c>
      <c r="C5925" s="9" t="inlineStr">
        <is>
          <t>Trendline breakout (fractal swing line) + VWAP/S-R distance gate</t>
        </is>
      </c>
      <c r="D5925" s="9" t="inlineStr">
        <is>
          <t>Short</t>
        </is>
      </c>
      <c r="E5925" s="10" t="n">
        <v>45988.20486111111</v>
      </c>
      <c r="F5925" s="10" t="n">
        <v>45988.38194444445</v>
      </c>
      <c r="G5925" s="11" t="n">
        <v>-14.1</v>
      </c>
      <c r="H5925" s="11">
        <f>H5924+G5925</f>
        <v/>
      </c>
    </row>
    <row r="5926">
      <c r="A5926" s="9" t="n">
        <v>5922</v>
      </c>
      <c r="B5926" s="9" t="inlineStr">
        <is>
          <t>Vanguard_M15</t>
        </is>
      </c>
      <c r="C5926" s="9" t="inlineStr">
        <is>
          <t>Trendline breakout (fractal swing line) + VWAP/S-R distance gate - M15 chart</t>
        </is>
      </c>
      <c r="D5926" s="9" t="inlineStr">
        <is>
          <t>Short</t>
        </is>
      </c>
      <c r="E5926" s="10" t="n">
        <v>45988.20833333334</v>
      </c>
      <c r="F5926" s="10" t="n">
        <v>45988.38541666666</v>
      </c>
      <c r="G5926" s="11" t="n">
        <v>-16.53</v>
      </c>
      <c r="H5926" s="11">
        <f>H5925+G5926</f>
        <v/>
      </c>
    </row>
    <row r="5927">
      <c r="A5927" s="9" t="n">
        <v>5923</v>
      </c>
      <c r="B5927" s="9" t="inlineStr">
        <is>
          <t>Meridian</t>
        </is>
      </c>
      <c r="C5927" s="9" t="inlineStr">
        <is>
          <t>21/50 MA cross, 250-period confirm filter, VWAP</t>
        </is>
      </c>
      <c r="D5927" s="9" t="inlineStr">
        <is>
          <t>Short</t>
        </is>
      </c>
      <c r="E5927" s="10" t="n">
        <v>45988.52083333334</v>
      </c>
      <c r="F5927" s="10" t="n">
        <v>45988.5625</v>
      </c>
      <c r="G5927" s="11" t="n">
        <v>-7.83</v>
      </c>
      <c r="H5927" s="11">
        <f>H5926+G5927</f>
        <v/>
      </c>
    </row>
    <row r="5928">
      <c r="A5928" s="9" t="n">
        <v>5924</v>
      </c>
      <c r="B5928" s="9" t="inlineStr">
        <is>
          <t>Meridian</t>
        </is>
      </c>
      <c r="C5928" s="9" t="inlineStr">
        <is>
          <t>21/50 MA cross, 250-period confirm filter, VWAP</t>
        </is>
      </c>
      <c r="D5928" s="9" t="inlineStr">
        <is>
          <t>Short</t>
        </is>
      </c>
      <c r="E5928" s="10" t="n">
        <v>45988.625</v>
      </c>
      <c r="F5928" s="10" t="n">
        <v>45988.68055555555</v>
      </c>
      <c r="G5928" s="11" t="n">
        <v>-5.81</v>
      </c>
      <c r="H5928" s="11">
        <f>H5927+G5928</f>
        <v/>
      </c>
    </row>
    <row r="5929">
      <c r="A5929" s="9" t="n">
        <v>5925</v>
      </c>
      <c r="B5929" s="9" t="inlineStr">
        <is>
          <t>Meridian</t>
        </is>
      </c>
      <c r="C5929" s="9" t="inlineStr">
        <is>
          <t>21/50 MA cross, 250-period confirm filter, VWAP</t>
        </is>
      </c>
      <c r="D5929" s="9" t="inlineStr">
        <is>
          <t>Short</t>
        </is>
      </c>
      <c r="E5929" s="10" t="n">
        <v>45988.70486111111</v>
      </c>
      <c r="F5929" s="10" t="n">
        <v>45988.72222222222</v>
      </c>
      <c r="G5929" s="11" t="n">
        <v>-5.49</v>
      </c>
      <c r="H5929" s="11">
        <f>H5928+G5929</f>
        <v/>
      </c>
    </row>
    <row r="5930">
      <c r="A5930" s="9" t="n">
        <v>5926</v>
      </c>
      <c r="B5930" s="9" t="inlineStr">
        <is>
          <t>Meridian</t>
        </is>
      </c>
      <c r="C5930" s="9" t="inlineStr">
        <is>
          <t>21/50 MA cross, 250-period confirm filter, VWAP</t>
        </is>
      </c>
      <c r="D5930" s="9" t="inlineStr">
        <is>
          <t>Short</t>
        </is>
      </c>
      <c r="E5930" s="10" t="n">
        <v>45988.76736111111</v>
      </c>
      <c r="F5930" s="10" t="n">
        <v>45988.82638888889</v>
      </c>
      <c r="G5930" s="11" t="n">
        <v>-5.87</v>
      </c>
      <c r="H5930" s="11">
        <f>H5929+G5930</f>
        <v/>
      </c>
    </row>
    <row r="5931">
      <c r="A5931" s="9" t="n">
        <v>5927</v>
      </c>
      <c r="B5931" s="9" t="inlineStr">
        <is>
          <t>Vanguard_M5</t>
        </is>
      </c>
      <c r="C5931" s="9" t="inlineStr">
        <is>
          <t>Trendline breakout (fractal swing line) + VWAP/S-R distance gate</t>
        </is>
      </c>
      <c r="D5931" s="9" t="inlineStr">
        <is>
          <t>Short</t>
        </is>
      </c>
      <c r="E5931" s="10" t="n">
        <v>45988.47222222222</v>
      </c>
      <c r="F5931" s="10" t="n">
        <v>45989.08333333334</v>
      </c>
      <c r="G5931" s="11" t="n">
        <v>-13.79</v>
      </c>
      <c r="H5931" s="11">
        <f>H5930+G5931</f>
        <v/>
      </c>
    </row>
    <row r="5932">
      <c r="A5932" s="9" t="n">
        <v>5928</v>
      </c>
      <c r="B5932" s="9" t="inlineStr">
        <is>
          <t>Vanguard_M15</t>
        </is>
      </c>
      <c r="C5932" s="9" t="inlineStr">
        <is>
          <t>Trendline breakout (fractal swing line) + VWAP/S-R distance gate - M15 chart</t>
        </is>
      </c>
      <c r="D5932" s="9" t="inlineStr">
        <is>
          <t>Short</t>
        </is>
      </c>
      <c r="E5932" s="10" t="n">
        <v>45988.52083333334</v>
      </c>
      <c r="F5932" s="10" t="n">
        <v>45989.08333333334</v>
      </c>
      <c r="G5932" s="11" t="n">
        <v>-15.31</v>
      </c>
      <c r="H5932" s="11">
        <f>H5931+G5932</f>
        <v/>
      </c>
    </row>
    <row r="5933">
      <c r="A5933" s="9" t="n">
        <v>5929</v>
      </c>
      <c r="B5933" s="9" t="inlineStr">
        <is>
          <t>Ratchet</t>
        </is>
      </c>
      <c r="C5933" s="9" t="inlineStr">
        <is>
          <t>Stochastic scalp with give-back trail exit</t>
        </is>
      </c>
      <c r="D5933" s="9" t="inlineStr">
        <is>
          <t>Long</t>
        </is>
      </c>
      <c r="E5933" s="10" t="n">
        <v>45989.20833333334</v>
      </c>
      <c r="F5933" s="10" t="n">
        <v>45989.21180555555</v>
      </c>
      <c r="G5933" s="11" t="n">
        <v>0.49</v>
      </c>
      <c r="H5933" s="11">
        <f>H5932+G5933</f>
        <v/>
      </c>
    </row>
    <row r="5934">
      <c r="A5934" s="9" t="n">
        <v>5930</v>
      </c>
      <c r="B5934" s="9" t="inlineStr">
        <is>
          <t>Aurelius_M15</t>
        </is>
      </c>
      <c r="C5934" s="9" t="inlineStr">
        <is>
          <t>MA alignment (EMA21&gt;EMA50&gt;SMA250&gt;SMMA500 vs EMA2400 trend filter) - M15 chart</t>
        </is>
      </c>
      <c r="D5934" s="9" t="inlineStr">
        <is>
          <t>Long</t>
        </is>
      </c>
      <c r="E5934" s="10" t="n">
        <v>45989.13541666666</v>
      </c>
      <c r="F5934" s="10" t="n">
        <v>45989.29166666666</v>
      </c>
      <c r="G5934" s="11" t="n">
        <v>-11.23</v>
      </c>
      <c r="H5934" s="11">
        <f>H5933+G5934</f>
        <v/>
      </c>
    </row>
    <row r="5935">
      <c r="A5935" s="9" t="n">
        <v>5931</v>
      </c>
      <c r="B5935" s="9" t="inlineStr">
        <is>
          <t>Vanguard_M15</t>
        </is>
      </c>
      <c r="C5935" s="9" t="inlineStr">
        <is>
          <t>Trendline breakout (fractal swing line) + VWAP/S-R distance gate - M15 chart</t>
        </is>
      </c>
      <c r="D5935" s="9" t="inlineStr">
        <is>
          <t>Long</t>
        </is>
      </c>
      <c r="E5935" s="10" t="n">
        <v>45989.09375</v>
      </c>
      <c r="F5935" s="10" t="n">
        <v>45989.41666666666</v>
      </c>
      <c r="G5935" s="11" t="n">
        <v>-9.43</v>
      </c>
      <c r="H5935" s="11">
        <f>H5934+G5935</f>
        <v/>
      </c>
    </row>
    <row r="5936">
      <c r="A5936" s="9" t="n">
        <v>5932</v>
      </c>
      <c r="B5936" s="9" t="inlineStr">
        <is>
          <t>Vanguard_M5</t>
        </is>
      </c>
      <c r="C5936" s="9" t="inlineStr">
        <is>
          <t>Trendline breakout (fractal swing line) + VWAP/S-R distance gate</t>
        </is>
      </c>
      <c r="D5936" s="9" t="inlineStr">
        <is>
          <t>Long</t>
        </is>
      </c>
      <c r="E5936" s="10" t="n">
        <v>45989.08680555555</v>
      </c>
      <c r="F5936" s="10" t="n">
        <v>45989.42361111111</v>
      </c>
      <c r="G5936" s="11" t="n">
        <v>-5.51</v>
      </c>
      <c r="H5936" s="11">
        <f>H5935+G5936</f>
        <v/>
      </c>
    </row>
    <row r="5937">
      <c r="A5937" s="9" t="n">
        <v>5933</v>
      </c>
      <c r="B5937" s="9" t="inlineStr">
        <is>
          <t>Ratchet</t>
        </is>
      </c>
      <c r="C5937" s="9" t="inlineStr">
        <is>
          <t>Stochastic scalp with give-back trail exit</t>
        </is>
      </c>
      <c r="D5937" s="9" t="inlineStr">
        <is>
          <t>Long</t>
        </is>
      </c>
      <c r="E5937" s="10" t="n">
        <v>45989.80555555555</v>
      </c>
      <c r="F5937" s="10" t="n">
        <v>45992.04166666666</v>
      </c>
      <c r="G5937" s="11" t="n">
        <v>13.91</v>
      </c>
      <c r="H5937" s="11">
        <f>H5936+G5937</f>
        <v/>
      </c>
    </row>
    <row r="5938">
      <c r="A5938" s="9" t="n">
        <v>5934</v>
      </c>
      <c r="B5938" s="9" t="inlineStr">
        <is>
          <t>Ratchet</t>
        </is>
      </c>
      <c r="C5938" s="9" t="inlineStr">
        <is>
          <t>Stochastic scalp with give-back trail exit</t>
        </is>
      </c>
      <c r="D5938" s="9" t="inlineStr">
        <is>
          <t>Long</t>
        </is>
      </c>
      <c r="E5938" s="10" t="n">
        <v>45992.0625</v>
      </c>
      <c r="F5938" s="10" t="n">
        <v>45992.07986111111</v>
      </c>
      <c r="G5938" s="11" t="n">
        <v>0</v>
      </c>
      <c r="H5938" s="11">
        <f>H5937+G5938</f>
        <v/>
      </c>
    </row>
    <row r="5939">
      <c r="A5939" s="9" t="n">
        <v>5935</v>
      </c>
      <c r="B5939" s="9" t="inlineStr">
        <is>
          <t>Aurelius_M5</t>
        </is>
      </c>
      <c r="C5939" s="9" t="inlineStr">
        <is>
          <t>MA alignment (EMA21&gt;EMA50&gt;SMA250&gt;SMMA500 vs EMA2400 trend filter)</t>
        </is>
      </c>
      <c r="D5939" s="9" t="inlineStr">
        <is>
          <t>Long</t>
        </is>
      </c>
      <c r="E5939" s="10" t="n">
        <v>45989.66666666666</v>
      </c>
      <c r="F5939" s="10" t="n">
        <v>45992.31597222222</v>
      </c>
      <c r="G5939" s="11" t="n">
        <v>44.39</v>
      </c>
      <c r="H5939" s="11">
        <f>H5938+G5939</f>
        <v/>
      </c>
    </row>
    <row r="5940">
      <c r="A5940" s="9" t="n">
        <v>5936</v>
      </c>
      <c r="B5940" s="9" t="inlineStr">
        <is>
          <t>Ratchet</t>
        </is>
      </c>
      <c r="C5940" s="9" t="inlineStr">
        <is>
          <t>Stochastic scalp with give-back trail exit</t>
        </is>
      </c>
      <c r="D5940" s="9" t="inlineStr">
        <is>
          <t>Long</t>
        </is>
      </c>
      <c r="E5940" s="10" t="n">
        <v>45992.40277777778</v>
      </c>
      <c r="F5940" s="10" t="n">
        <v>45992.4375</v>
      </c>
      <c r="G5940" s="11" t="n">
        <v>3.25</v>
      </c>
      <c r="H5940" s="11">
        <f>H5939+G5940</f>
        <v/>
      </c>
    </row>
    <row r="5941">
      <c r="A5941" s="9" t="n">
        <v>5937</v>
      </c>
      <c r="B5941" s="9" t="inlineStr">
        <is>
          <t>Ratchet</t>
        </is>
      </c>
      <c r="C5941" s="9" t="inlineStr">
        <is>
          <t>Stochastic scalp with give-back trail exit</t>
        </is>
      </c>
      <c r="D5941" s="9" t="inlineStr">
        <is>
          <t>Long</t>
        </is>
      </c>
      <c r="E5941" s="10" t="n">
        <v>45992.54513888889</v>
      </c>
      <c r="F5941" s="10" t="n">
        <v>45992.55555555555</v>
      </c>
      <c r="G5941" s="11" t="n">
        <v>-7.27</v>
      </c>
      <c r="H5941" s="11">
        <f>H5940+G5941</f>
        <v/>
      </c>
    </row>
    <row r="5942">
      <c r="A5942" s="9" t="n">
        <v>5938</v>
      </c>
      <c r="B5942" s="9" t="inlineStr">
        <is>
          <t>MSG</t>
        </is>
      </c>
      <c r="C5942" s="9" t="inlineStr">
        <is>
          <t>Session-range breakout + Fibonacci retracement-zone entry</t>
        </is>
      </c>
      <c r="D5942" s="9" t="inlineStr">
        <is>
          <t>Long</t>
        </is>
      </c>
      <c r="E5942" s="10" t="n">
        <v>45992.62222222222</v>
      </c>
      <c r="F5942" s="10" t="n">
        <v>45992.65138888889</v>
      </c>
      <c r="G5942" s="11" t="n">
        <v>36.36</v>
      </c>
      <c r="H5942" s="11">
        <f>H5941+G5942</f>
        <v/>
      </c>
    </row>
    <row r="5943">
      <c r="A5943" s="9" t="n">
        <v>5939</v>
      </c>
      <c r="B5943" s="9" t="inlineStr">
        <is>
          <t>Aurelius_M5</t>
        </is>
      </c>
      <c r="C5943" s="9" t="inlineStr">
        <is>
          <t>MA alignment (EMA21&gt;EMA50&gt;SMA250&gt;SMMA500 vs EMA2400 trend filter)</t>
        </is>
      </c>
      <c r="D5943" s="9" t="inlineStr">
        <is>
          <t>Long</t>
        </is>
      </c>
      <c r="E5943" s="10" t="n">
        <v>45992.62847222222</v>
      </c>
      <c r="F5943" s="10" t="n">
        <v>45992.67013888889</v>
      </c>
      <c r="G5943" s="11" t="n">
        <v>-10.58</v>
      </c>
      <c r="H5943" s="11">
        <f>H5942+G5943</f>
        <v/>
      </c>
    </row>
    <row r="5944">
      <c r="A5944" s="9" t="n">
        <v>5940</v>
      </c>
      <c r="B5944" s="9" t="inlineStr">
        <is>
          <t>Meridian</t>
        </is>
      </c>
      <c r="C5944" s="9" t="inlineStr">
        <is>
          <t>21/50 MA cross, 250-period confirm filter, VWAP</t>
        </is>
      </c>
      <c r="D5944" s="9" t="inlineStr">
        <is>
          <t>Long</t>
        </is>
      </c>
      <c r="E5944" s="10" t="n">
        <v>45992.38194444445</v>
      </c>
      <c r="F5944" s="10" t="n">
        <v>45992.68402777778</v>
      </c>
      <c r="G5944" s="11" t="n">
        <v>6.26</v>
      </c>
      <c r="H5944" s="11">
        <f>H5943+G5944</f>
        <v/>
      </c>
    </row>
    <row r="5945">
      <c r="A5945" s="9" t="n">
        <v>5941</v>
      </c>
      <c r="B5945" s="9" t="inlineStr">
        <is>
          <t>Meridian</t>
        </is>
      </c>
      <c r="C5945" s="9" t="inlineStr">
        <is>
          <t>21/50 MA cross, 250-period confirm filter, VWAP</t>
        </is>
      </c>
      <c r="D5945" s="9" t="inlineStr">
        <is>
          <t>Long</t>
        </is>
      </c>
      <c r="E5945" s="10" t="n">
        <v>45992.875</v>
      </c>
      <c r="F5945" s="10" t="n">
        <v>45992.91319444445</v>
      </c>
      <c r="G5945" s="11" t="n">
        <v>-8.48</v>
      </c>
      <c r="H5945" s="11">
        <f>H5944+G5945</f>
        <v/>
      </c>
    </row>
    <row r="5946">
      <c r="A5946" s="9" t="n">
        <v>5942</v>
      </c>
      <c r="B5946" s="9" t="inlineStr">
        <is>
          <t>Meridian</t>
        </is>
      </c>
      <c r="C5946" s="9" t="inlineStr">
        <is>
          <t>21/50 MA cross, 250-period confirm filter, VWAP</t>
        </is>
      </c>
      <c r="D5946" s="9" t="inlineStr">
        <is>
          <t>Long</t>
        </is>
      </c>
      <c r="E5946" s="10" t="n">
        <v>45992.94444444445</v>
      </c>
      <c r="F5946" s="10" t="n">
        <v>45992.98611111111</v>
      </c>
      <c r="G5946" s="11" t="n">
        <v>-6.48</v>
      </c>
      <c r="H5946" s="11">
        <f>H5945+G5946</f>
        <v/>
      </c>
    </row>
    <row r="5947">
      <c r="A5947" s="9" t="n">
        <v>5943</v>
      </c>
      <c r="B5947" s="9" t="inlineStr">
        <is>
          <t>Aurelius_M15</t>
        </is>
      </c>
      <c r="C5947" s="9" t="inlineStr">
        <is>
          <t>MA alignment (EMA21&gt;EMA50&gt;SMA250&gt;SMMA500 vs EMA2400 trend filter) - M15 chart</t>
        </is>
      </c>
      <c r="D5947" s="9" t="inlineStr">
        <is>
          <t>Long</t>
        </is>
      </c>
      <c r="E5947" s="10" t="n">
        <v>45989.69791666666</v>
      </c>
      <c r="F5947" s="10" t="n">
        <v>45993.04166666666</v>
      </c>
      <c r="G5947" s="11" t="n">
        <v>32.98</v>
      </c>
      <c r="H5947" s="11">
        <f>H5946+G5947</f>
        <v/>
      </c>
    </row>
    <row r="5948">
      <c r="A5948" s="9" t="n">
        <v>5944</v>
      </c>
      <c r="B5948" s="9" t="inlineStr">
        <is>
          <t>Meridian</t>
        </is>
      </c>
      <c r="C5948" s="9" t="inlineStr">
        <is>
          <t>21/50 MA cross, 250-period confirm filter, VWAP</t>
        </is>
      </c>
      <c r="D5948" s="9" t="inlineStr">
        <is>
          <t>Short</t>
        </is>
      </c>
      <c r="E5948" s="10" t="n">
        <v>45993.35069444445</v>
      </c>
      <c r="F5948" s="10" t="n">
        <v>45993.61111111111</v>
      </c>
      <c r="G5948" s="11" t="n">
        <v>6.4</v>
      </c>
      <c r="H5948" s="11">
        <f>H5947+G5948</f>
        <v/>
      </c>
    </row>
    <row r="5949">
      <c r="A5949" s="9" t="n">
        <v>5945</v>
      </c>
      <c r="B5949" s="9" t="inlineStr">
        <is>
          <t>Meridian</t>
        </is>
      </c>
      <c r="C5949" s="9" t="inlineStr">
        <is>
          <t>21/50 MA cross, 250-period confirm filter, VWAP</t>
        </is>
      </c>
      <c r="D5949" s="9" t="inlineStr">
        <is>
          <t>Short</t>
        </is>
      </c>
      <c r="E5949" s="10" t="n">
        <v>45993.73263888889</v>
      </c>
      <c r="F5949" s="10" t="n">
        <v>45993.89583333334</v>
      </c>
      <c r="G5949" s="11" t="n">
        <v>-16.28</v>
      </c>
      <c r="H5949" s="11">
        <f>H5948+G5949</f>
        <v/>
      </c>
    </row>
    <row r="5950">
      <c r="A5950" s="9" t="n">
        <v>5946</v>
      </c>
      <c r="B5950" s="9" t="inlineStr">
        <is>
          <t>Vanguard_M15</t>
        </is>
      </c>
      <c r="C5950" s="9" t="inlineStr">
        <is>
          <t>Trendline breakout (fractal swing line) + VWAP/S-R distance gate - M15 chart</t>
        </is>
      </c>
      <c r="D5950" s="9" t="inlineStr">
        <is>
          <t>Short</t>
        </is>
      </c>
      <c r="E5950" s="10" t="n">
        <v>45993.11458333334</v>
      </c>
      <c r="F5950" s="10" t="n">
        <v>45994.13541666666</v>
      </c>
      <c r="G5950" s="11" t="n">
        <v>11.36</v>
      </c>
      <c r="H5950" s="11">
        <f>H5949+G5950</f>
        <v/>
      </c>
    </row>
    <row r="5951">
      <c r="A5951" s="9" t="n">
        <v>5947</v>
      </c>
      <c r="B5951" s="9" t="inlineStr">
        <is>
          <t>Vanguard_M5</t>
        </is>
      </c>
      <c r="C5951" s="9" t="inlineStr">
        <is>
          <t>Trendline breakout (fractal swing line) + VWAP/S-R distance gate</t>
        </is>
      </c>
      <c r="D5951" s="9" t="inlineStr">
        <is>
          <t>Long</t>
        </is>
      </c>
      <c r="E5951" s="10" t="n">
        <v>45994.13194444445</v>
      </c>
      <c r="F5951" s="10" t="n">
        <v>45994.32291666666</v>
      </c>
      <c r="G5951" s="11" t="n">
        <v>-15.05</v>
      </c>
      <c r="H5951" s="11">
        <f>H5950+G5951</f>
        <v/>
      </c>
    </row>
    <row r="5952">
      <c r="A5952" s="9" t="n">
        <v>5948</v>
      </c>
      <c r="B5952" s="9" t="inlineStr">
        <is>
          <t>Vanguard_M15</t>
        </is>
      </c>
      <c r="C5952" s="9" t="inlineStr">
        <is>
          <t>Trendline breakout (fractal swing line) + VWAP/S-R distance gate - M15 chart</t>
        </is>
      </c>
      <c r="D5952" s="9" t="inlineStr">
        <is>
          <t>Long</t>
        </is>
      </c>
      <c r="E5952" s="10" t="n">
        <v>45994.14583333334</v>
      </c>
      <c r="F5952" s="10" t="n">
        <v>45994.45833333334</v>
      </c>
      <c r="G5952" s="11" t="n">
        <v>-19.53</v>
      </c>
      <c r="H5952" s="11">
        <f>H5951+G5952</f>
        <v/>
      </c>
    </row>
    <row r="5953">
      <c r="A5953" s="9" t="n">
        <v>5949</v>
      </c>
      <c r="B5953" s="9" t="inlineStr">
        <is>
          <t>MSG</t>
        </is>
      </c>
      <c r="C5953" s="9" t="inlineStr">
        <is>
          <t>Session-range breakout + Fibonacci retracement-zone entry</t>
        </is>
      </c>
      <c r="D5953" s="9" t="inlineStr">
        <is>
          <t>Short</t>
        </is>
      </c>
      <c r="E5953" s="10" t="n">
        <v>45994.52083333334</v>
      </c>
      <c r="F5953" s="10" t="n">
        <v>45994.55416666667</v>
      </c>
      <c r="G5953" s="11" t="n">
        <v>3.34</v>
      </c>
      <c r="H5953" s="11">
        <f>H5952+G5953</f>
        <v/>
      </c>
    </row>
    <row r="5954">
      <c r="A5954" s="9" t="n">
        <v>5950</v>
      </c>
      <c r="B5954" s="9" t="inlineStr">
        <is>
          <t>Vanguard_M5</t>
        </is>
      </c>
      <c r="C5954" s="9" t="inlineStr">
        <is>
          <t>Trendline breakout (fractal swing line) + VWAP/S-R distance gate</t>
        </is>
      </c>
      <c r="D5954" s="9" t="inlineStr">
        <is>
          <t>Long</t>
        </is>
      </c>
      <c r="E5954" s="10" t="n">
        <v>45994.66319444445</v>
      </c>
      <c r="F5954" s="10" t="n">
        <v>45994.67013888889</v>
      </c>
      <c r="G5954" s="11" t="n">
        <v>-17.06</v>
      </c>
      <c r="H5954" s="11">
        <f>H5953+G5954</f>
        <v/>
      </c>
    </row>
    <row r="5955">
      <c r="A5955" s="9" t="n">
        <v>5951</v>
      </c>
      <c r="B5955" s="9" t="inlineStr">
        <is>
          <t>Vanguard_M15</t>
        </is>
      </c>
      <c r="C5955" s="9" t="inlineStr">
        <is>
          <t>Trendline breakout (fractal swing line) + VWAP/S-R distance gate - M15 chart</t>
        </is>
      </c>
      <c r="D5955" s="9" t="inlineStr">
        <is>
          <t>Long</t>
        </is>
      </c>
      <c r="E5955" s="10" t="n">
        <v>45994.66666666666</v>
      </c>
      <c r="F5955" s="10" t="n">
        <v>45994.69791666666</v>
      </c>
      <c r="G5955" s="11" t="n">
        <v>-19.94</v>
      </c>
      <c r="H5955" s="11">
        <f>H5954+G5955</f>
        <v/>
      </c>
    </row>
    <row r="5956">
      <c r="A5956" s="9" t="n">
        <v>5952</v>
      </c>
      <c r="B5956" s="9" t="inlineStr">
        <is>
          <t>Vanguard_M5</t>
        </is>
      </c>
      <c r="C5956" s="9" t="inlineStr">
        <is>
          <t>Trendline breakout (fractal swing line) + VWAP/S-R distance gate</t>
        </is>
      </c>
      <c r="D5956" s="9" t="inlineStr">
        <is>
          <t>Long</t>
        </is>
      </c>
      <c r="E5956" s="10" t="n">
        <v>45994.69097222222</v>
      </c>
      <c r="F5956" s="10" t="n">
        <v>45994.70138888889</v>
      </c>
      <c r="G5956" s="11" t="n">
        <v>-25.16</v>
      </c>
      <c r="H5956" s="11">
        <f>H5955+G5956</f>
        <v/>
      </c>
    </row>
    <row r="5957">
      <c r="A5957" s="9" t="n">
        <v>5953</v>
      </c>
      <c r="B5957" s="9" t="inlineStr">
        <is>
          <t>Aurelius_M15</t>
        </is>
      </c>
      <c r="C5957" s="9" t="inlineStr">
        <is>
          <t>MA alignment (EMA21&gt;EMA50&gt;SMA250&gt;SMMA500 vs EMA2400 trend filter) - M15 chart</t>
        </is>
      </c>
      <c r="D5957" s="9" t="inlineStr">
        <is>
          <t>Long</t>
        </is>
      </c>
      <c r="E5957" s="10" t="n">
        <v>45994.6875</v>
      </c>
      <c r="F5957" s="10" t="n">
        <v>45994.78125</v>
      </c>
      <c r="G5957" s="11" t="n">
        <v>-19.69</v>
      </c>
      <c r="H5957" s="11">
        <f>H5956+G5957</f>
        <v/>
      </c>
    </row>
    <row r="5958">
      <c r="A5958" s="9" t="n">
        <v>5954</v>
      </c>
      <c r="B5958" s="9" t="inlineStr">
        <is>
          <t>Vanguard_M15</t>
        </is>
      </c>
      <c r="C5958" s="9" t="inlineStr">
        <is>
          <t>Trendline breakout (fractal swing line) + VWAP/S-R distance gate - M15 chart</t>
        </is>
      </c>
      <c r="D5958" s="9" t="inlineStr">
        <is>
          <t>Long</t>
        </is>
      </c>
      <c r="E5958" s="10" t="n">
        <v>45994.73958333334</v>
      </c>
      <c r="F5958" s="10" t="n">
        <v>45994.78125</v>
      </c>
      <c r="G5958" s="11" t="n">
        <v>-28.67</v>
      </c>
      <c r="H5958" s="11">
        <f>H5957+G5958</f>
        <v/>
      </c>
    </row>
    <row r="5959">
      <c r="A5959" s="9" t="n">
        <v>5955</v>
      </c>
      <c r="B5959" s="9" t="inlineStr">
        <is>
          <t>Aurelius_M5</t>
        </is>
      </c>
      <c r="C5959" s="9" t="inlineStr">
        <is>
          <t>MA alignment (EMA21&gt;EMA50&gt;SMA250&gt;SMMA500 vs EMA2400 trend filter)</t>
        </is>
      </c>
      <c r="D5959" s="9" t="inlineStr">
        <is>
          <t>Long</t>
        </is>
      </c>
      <c r="E5959" s="10" t="n">
        <v>45994.72569444445</v>
      </c>
      <c r="F5959" s="10" t="n">
        <v>45994.78819444445</v>
      </c>
      <c r="G5959" s="11" t="n">
        <v>-18.5</v>
      </c>
      <c r="H5959" s="11">
        <f>H5958+G5959</f>
        <v/>
      </c>
    </row>
    <row r="5960">
      <c r="A5960" s="9" t="n">
        <v>5956</v>
      </c>
      <c r="B5960" s="9" t="inlineStr">
        <is>
          <t>Vanguard_M5</t>
        </is>
      </c>
      <c r="C5960" s="9" t="inlineStr">
        <is>
          <t>Trendline breakout (fractal swing line) + VWAP/S-R distance gate</t>
        </is>
      </c>
      <c r="D5960" s="9" t="inlineStr">
        <is>
          <t>Long</t>
        </is>
      </c>
      <c r="E5960" s="10" t="n">
        <v>45994.73263888889</v>
      </c>
      <c r="F5960" s="10" t="n">
        <v>45994.78819444445</v>
      </c>
      <c r="G5960" s="11" t="n">
        <v>-28.74</v>
      </c>
      <c r="H5960" s="11">
        <f>H5959+G5960</f>
        <v/>
      </c>
    </row>
    <row r="5961">
      <c r="A5961" s="9" t="n">
        <v>5957</v>
      </c>
      <c r="B5961" s="9" t="inlineStr">
        <is>
          <t>Meridian</t>
        </is>
      </c>
      <c r="C5961" s="9" t="inlineStr">
        <is>
          <t>21/50 MA cross, 250-period confirm filter, VWAP</t>
        </is>
      </c>
      <c r="D5961" s="9" t="inlineStr">
        <is>
          <t>Short</t>
        </is>
      </c>
      <c r="E5961" s="10" t="n">
        <v>45994.79166666666</v>
      </c>
      <c r="F5961" s="10" t="n">
        <v>45995.10416666666</v>
      </c>
      <c r="G5961" s="11" t="n">
        <v>-11.03</v>
      </c>
      <c r="H5961" s="11">
        <f>H5960+G5961</f>
        <v/>
      </c>
    </row>
    <row r="5962">
      <c r="A5962" s="9" t="n">
        <v>5958</v>
      </c>
      <c r="B5962" s="9" t="inlineStr">
        <is>
          <t>Meridian</t>
        </is>
      </c>
      <c r="C5962" s="9" t="inlineStr">
        <is>
          <t>21/50 MA cross, 250-period confirm filter, VWAP</t>
        </is>
      </c>
      <c r="D5962" s="9" t="inlineStr">
        <is>
          <t>Short</t>
        </is>
      </c>
      <c r="E5962" s="10" t="n">
        <v>45995.18055555555</v>
      </c>
      <c r="F5962" s="10" t="n">
        <v>45995.49305555555</v>
      </c>
      <c r="G5962" s="11" t="n">
        <v>5.4</v>
      </c>
      <c r="H5962" s="11">
        <f>H5961+G5962</f>
        <v/>
      </c>
    </row>
    <row r="5963">
      <c r="A5963" s="9" t="n">
        <v>5959</v>
      </c>
      <c r="B5963" s="9" t="inlineStr">
        <is>
          <t>MSG</t>
        </is>
      </c>
      <c r="C5963" s="9" t="inlineStr">
        <is>
          <t>Session-range breakout + Fibonacci retracement-zone entry</t>
        </is>
      </c>
      <c r="D5963" s="9" t="inlineStr">
        <is>
          <t>Long</t>
        </is>
      </c>
      <c r="E5963" s="10" t="n">
        <v>45995.5875</v>
      </c>
      <c r="F5963" s="10" t="n">
        <v>45995.60347222222</v>
      </c>
      <c r="G5963" s="11" t="n">
        <v>5.91</v>
      </c>
      <c r="H5963" s="11">
        <f>H5962+G5963</f>
        <v/>
      </c>
    </row>
    <row r="5964">
      <c r="A5964" s="9" t="n">
        <v>5960</v>
      </c>
      <c r="B5964" s="9" t="inlineStr">
        <is>
          <t>Meridian</t>
        </is>
      </c>
      <c r="C5964" s="9" t="inlineStr">
        <is>
          <t>21/50 MA cross, 250-period confirm filter, VWAP</t>
        </is>
      </c>
      <c r="D5964" s="9" t="inlineStr">
        <is>
          <t>Short</t>
        </is>
      </c>
      <c r="E5964" s="10" t="n">
        <v>45995.61805555555</v>
      </c>
      <c r="F5964" s="10" t="n">
        <v>45995.66666666666</v>
      </c>
      <c r="G5964" s="11" t="n">
        <v>-8.210000000000001</v>
      </c>
      <c r="H5964" s="11">
        <f>H5963+G5964</f>
        <v/>
      </c>
    </row>
    <row r="5965">
      <c r="A5965" s="9" t="n">
        <v>5961</v>
      </c>
      <c r="B5965" s="9" t="inlineStr">
        <is>
          <t>Meridian</t>
        </is>
      </c>
      <c r="C5965" s="9" t="inlineStr">
        <is>
          <t>21/50 MA cross, 250-period confirm filter, VWAP</t>
        </is>
      </c>
      <c r="D5965" s="9" t="inlineStr">
        <is>
          <t>Long</t>
        </is>
      </c>
      <c r="E5965" s="10" t="n">
        <v>45995.67708333334</v>
      </c>
      <c r="F5965" s="10" t="n">
        <v>45995.69444444445</v>
      </c>
      <c r="G5965" s="11" t="n">
        <v>-10.96</v>
      </c>
      <c r="H5965" s="11">
        <f>H5964+G5965</f>
        <v/>
      </c>
    </row>
    <row r="5966">
      <c r="A5966" s="9" t="n">
        <v>5962</v>
      </c>
      <c r="B5966" s="9" t="inlineStr">
        <is>
          <t>Meridian</t>
        </is>
      </c>
      <c r="C5966" s="9" t="inlineStr">
        <is>
          <t>21/50 MA cross, 250-period confirm filter, VWAP</t>
        </is>
      </c>
      <c r="D5966" s="9" t="inlineStr">
        <is>
          <t>Long</t>
        </is>
      </c>
      <c r="E5966" s="10" t="n">
        <v>45995.98611111111</v>
      </c>
      <c r="F5966" s="10" t="n">
        <v>45996.05902777778</v>
      </c>
      <c r="G5966" s="11" t="n">
        <v>-1.25</v>
      </c>
      <c r="H5966" s="11">
        <f>H5965+G5966</f>
        <v/>
      </c>
    </row>
    <row r="5967">
      <c r="A5967" s="9" t="n">
        <v>5963</v>
      </c>
      <c r="B5967" s="9" t="inlineStr">
        <is>
          <t>Ratchet</t>
        </is>
      </c>
      <c r="C5967" s="9" t="inlineStr">
        <is>
          <t>Stochastic scalp with give-back trail exit</t>
        </is>
      </c>
      <c r="D5967" s="9" t="inlineStr">
        <is>
          <t>Long</t>
        </is>
      </c>
      <c r="E5967" s="10" t="n">
        <v>45996.30902777778</v>
      </c>
      <c r="F5967" s="10" t="n">
        <v>45996.45138888889</v>
      </c>
      <c r="G5967" s="11" t="n">
        <v>4.04</v>
      </c>
      <c r="H5967" s="11">
        <f>H5966+G5967</f>
        <v/>
      </c>
    </row>
    <row r="5968">
      <c r="A5968" s="9" t="n">
        <v>5964</v>
      </c>
      <c r="B5968" s="9" t="inlineStr">
        <is>
          <t>Ratchet</t>
        </is>
      </c>
      <c r="C5968" s="9" t="inlineStr">
        <is>
          <t>Stochastic scalp with give-back trail exit</t>
        </is>
      </c>
      <c r="D5968" s="9" t="inlineStr">
        <is>
          <t>Long</t>
        </is>
      </c>
      <c r="E5968" s="10" t="n">
        <v>45996.50694444445</v>
      </c>
      <c r="F5968" s="10" t="n">
        <v>45996.51736111111</v>
      </c>
      <c r="G5968" s="11" t="n">
        <v>0.49</v>
      </c>
      <c r="H5968" s="11">
        <f>H5967+G5968</f>
        <v/>
      </c>
    </row>
    <row r="5969">
      <c r="A5969" s="9" t="n">
        <v>5965</v>
      </c>
      <c r="B5969" s="9" t="inlineStr">
        <is>
          <t>Ratchet</t>
        </is>
      </c>
      <c r="C5969" s="9" t="inlineStr">
        <is>
          <t>Stochastic scalp with give-back trail exit</t>
        </is>
      </c>
      <c r="D5969" s="9" t="inlineStr">
        <is>
          <t>Long</t>
        </is>
      </c>
      <c r="E5969" s="10" t="n">
        <v>45996.62152777778</v>
      </c>
      <c r="F5969" s="10" t="n">
        <v>45996.625</v>
      </c>
      <c r="G5969" s="11" t="n">
        <v>0.5600000000000001</v>
      </c>
      <c r="H5969" s="11">
        <f>H5968+G5969</f>
        <v/>
      </c>
    </row>
    <row r="5970">
      <c r="A5970" s="9" t="n">
        <v>5966</v>
      </c>
      <c r="B5970" s="9" t="inlineStr">
        <is>
          <t>Aurelius_M5</t>
        </is>
      </c>
      <c r="C5970" s="9" t="inlineStr">
        <is>
          <t>MA alignment (EMA21&gt;EMA50&gt;SMA250&gt;SMMA500 vs EMA2400 trend filter)</t>
        </is>
      </c>
      <c r="D5970" s="9" t="inlineStr">
        <is>
          <t>Long</t>
        </is>
      </c>
      <c r="E5970" s="10" t="n">
        <v>45996.625</v>
      </c>
      <c r="F5970" s="10" t="n">
        <v>45996.62847222222</v>
      </c>
      <c r="G5970" s="11" t="n">
        <v>-6.29</v>
      </c>
      <c r="H5970" s="11">
        <f>H5969+G5970</f>
        <v/>
      </c>
    </row>
    <row r="5971">
      <c r="A5971" s="9" t="n">
        <v>5967</v>
      </c>
      <c r="B5971" s="9" t="inlineStr">
        <is>
          <t>MSG</t>
        </is>
      </c>
      <c r="C5971" s="9" t="inlineStr">
        <is>
          <t>Session-range breakout + Fibonacci retracement-zone entry</t>
        </is>
      </c>
      <c r="D5971" s="9" t="inlineStr">
        <is>
          <t>Long</t>
        </is>
      </c>
      <c r="E5971" s="10" t="n">
        <v>45996.62986111111</v>
      </c>
      <c r="F5971" s="10" t="n">
        <v>45996.63541666666</v>
      </c>
      <c r="G5971" s="11" t="n">
        <v>13.68</v>
      </c>
      <c r="H5971" s="11">
        <f>H5970+G5971</f>
        <v/>
      </c>
    </row>
    <row r="5972">
      <c r="A5972" s="9" t="n">
        <v>5968</v>
      </c>
      <c r="B5972" s="9" t="inlineStr">
        <is>
          <t>Vanguard_M15</t>
        </is>
      </c>
      <c r="C5972" s="9" t="inlineStr">
        <is>
          <t>Trendline breakout (fractal swing line) + VWAP/S-R distance gate - M15 chart</t>
        </is>
      </c>
      <c r="D5972" s="9" t="inlineStr">
        <is>
          <t>Long</t>
        </is>
      </c>
      <c r="E5972" s="10" t="n">
        <v>45996.26041666666</v>
      </c>
      <c r="F5972" s="10" t="n">
        <v>45996.75</v>
      </c>
      <c r="G5972" s="11" t="n">
        <v>-10.24</v>
      </c>
      <c r="H5972" s="11">
        <f>H5971+G5972</f>
        <v/>
      </c>
    </row>
    <row r="5973">
      <c r="A5973" s="9" t="n">
        <v>5969</v>
      </c>
      <c r="B5973" s="9" t="inlineStr">
        <is>
          <t>Aurelius_M15</t>
        </is>
      </c>
      <c r="C5973" s="9" t="inlineStr">
        <is>
          <t>MA alignment (EMA21&gt;EMA50&gt;SMA250&gt;SMMA500 vs EMA2400 trend filter) - M15 chart</t>
        </is>
      </c>
      <c r="D5973" s="9" t="inlineStr">
        <is>
          <t>Long</t>
        </is>
      </c>
      <c r="E5973" s="10" t="n">
        <v>45996.63541666666</v>
      </c>
      <c r="F5973" s="10" t="n">
        <v>45996.75</v>
      </c>
      <c r="G5973" s="11" t="n">
        <v>-12.02</v>
      </c>
      <c r="H5973" s="11">
        <f>H5972+G5973</f>
        <v/>
      </c>
    </row>
    <row r="5974">
      <c r="A5974" s="9" t="n">
        <v>5970</v>
      </c>
      <c r="B5974" s="9" t="inlineStr">
        <is>
          <t>Vanguard_M5</t>
        </is>
      </c>
      <c r="C5974" s="9" t="inlineStr">
        <is>
          <t>Trendline breakout (fractal swing line) + VWAP/S-R distance gate</t>
        </is>
      </c>
      <c r="D5974" s="9" t="inlineStr">
        <is>
          <t>Long</t>
        </is>
      </c>
      <c r="E5974" s="10" t="n">
        <v>45996.24652777778</v>
      </c>
      <c r="F5974" s="10" t="n">
        <v>45996.75694444445</v>
      </c>
      <c r="G5974" s="11" t="n">
        <v>-6.97</v>
      </c>
      <c r="H5974" s="11">
        <f>H5973+G5974</f>
        <v/>
      </c>
    </row>
    <row r="5975">
      <c r="A5975" s="9" t="n">
        <v>5971</v>
      </c>
      <c r="B5975" s="9" t="inlineStr">
        <is>
          <t>Aurelius_M5</t>
        </is>
      </c>
      <c r="C5975" s="9" t="inlineStr">
        <is>
          <t>MA alignment (EMA21&gt;EMA50&gt;SMA250&gt;SMMA500 vs EMA2400 trend filter)</t>
        </is>
      </c>
      <c r="D5975" s="9" t="inlineStr">
        <is>
          <t>Long</t>
        </is>
      </c>
      <c r="E5975" s="10" t="n">
        <v>45996.64583333334</v>
      </c>
      <c r="F5975" s="10" t="n">
        <v>45996.75694444445</v>
      </c>
      <c r="G5975" s="11" t="n">
        <v>-8.58</v>
      </c>
      <c r="H5975" s="11">
        <f>H5974+G5975</f>
        <v/>
      </c>
    </row>
    <row r="5976">
      <c r="A5976" s="9" t="n">
        <v>5972</v>
      </c>
      <c r="B5976" s="9" t="inlineStr">
        <is>
          <t>Meridian</t>
        </is>
      </c>
      <c r="C5976" s="9" t="inlineStr">
        <is>
          <t>21/50 MA cross, 250-period confirm filter, VWAP</t>
        </is>
      </c>
      <c r="D5976" s="9" t="inlineStr">
        <is>
          <t>Long</t>
        </is>
      </c>
      <c r="E5976" s="10" t="n">
        <v>45996.23958333334</v>
      </c>
      <c r="F5976" s="10" t="n">
        <v>45996.76041666666</v>
      </c>
      <c r="G5976" s="11" t="n">
        <v>-6.99</v>
      </c>
      <c r="H5976" s="11">
        <f>H5975+G5976</f>
        <v/>
      </c>
    </row>
    <row r="5977">
      <c r="A5977" s="9" t="n">
        <v>5973</v>
      </c>
      <c r="B5977" s="9" t="inlineStr">
        <is>
          <t>Meridian</t>
        </is>
      </c>
      <c r="C5977" s="9" t="inlineStr">
        <is>
          <t>21/50 MA cross, 250-period confirm filter, VWAP</t>
        </is>
      </c>
      <c r="D5977" s="9" t="inlineStr">
        <is>
          <t>Short</t>
        </is>
      </c>
      <c r="E5977" s="10" t="n">
        <v>45996.76736111111</v>
      </c>
      <c r="F5977" s="10" t="n">
        <v>45996.91666666666</v>
      </c>
      <c r="G5977" s="11" t="n">
        <v>1.51</v>
      </c>
      <c r="H5977" s="11">
        <f>H5976+G5977</f>
        <v/>
      </c>
    </row>
    <row r="5978">
      <c r="A5978" s="9" t="n">
        <v>5974</v>
      </c>
      <c r="B5978" s="9" t="inlineStr">
        <is>
          <t>Vanguard_M5</t>
        </is>
      </c>
      <c r="C5978" s="9" t="inlineStr">
        <is>
          <t>Trendline breakout (fractal swing line) + VWAP/S-R distance gate</t>
        </is>
      </c>
      <c r="D5978" s="9" t="inlineStr">
        <is>
          <t>Short</t>
        </is>
      </c>
      <c r="E5978" s="10" t="n">
        <v>45996.76041666666</v>
      </c>
      <c r="F5978" s="10" t="n">
        <v>45996.97222222222</v>
      </c>
      <c r="G5978" s="11" t="n">
        <v>6.1</v>
      </c>
      <c r="H5978" s="11">
        <f>H5977+G5978</f>
        <v/>
      </c>
    </row>
    <row r="5979">
      <c r="A5979" s="9" t="n">
        <v>5975</v>
      </c>
      <c r="B5979" s="9" t="inlineStr">
        <is>
          <t>Meridian</t>
        </is>
      </c>
      <c r="C5979" s="9" t="inlineStr">
        <is>
          <t>21/50 MA cross, 250-period confirm filter, VWAP</t>
        </is>
      </c>
      <c r="D5979" s="9" t="inlineStr">
        <is>
          <t>Short</t>
        </is>
      </c>
      <c r="E5979" s="10" t="n">
        <v>45999.16666666666</v>
      </c>
      <c r="F5979" s="10" t="n">
        <v>45999.20138888889</v>
      </c>
      <c r="G5979" s="11" t="n">
        <v>-9.81</v>
      </c>
      <c r="H5979" s="11">
        <f>H5978+G5979</f>
        <v/>
      </c>
    </row>
    <row r="5980">
      <c r="A5980" s="9" t="n">
        <v>5976</v>
      </c>
      <c r="B5980" s="9" t="inlineStr">
        <is>
          <t>MSG</t>
        </is>
      </c>
      <c r="C5980" s="9" t="inlineStr">
        <is>
          <t>Session-range breakout + Fibonacci retracement-zone entry</t>
        </is>
      </c>
      <c r="D5980" s="9" t="inlineStr">
        <is>
          <t>Short</t>
        </is>
      </c>
      <c r="E5980" s="10" t="n">
        <v>45999.5625</v>
      </c>
      <c r="F5980" s="10" t="n">
        <v>45999.56666666667</v>
      </c>
      <c r="G5980" s="11" t="n">
        <v>-10.98</v>
      </c>
      <c r="H5980" s="11">
        <f>H5979+G5980</f>
        <v/>
      </c>
    </row>
    <row r="5981">
      <c r="A5981" s="9" t="n">
        <v>5977</v>
      </c>
      <c r="B5981" s="9" t="inlineStr">
        <is>
          <t>Vanguard_M15</t>
        </is>
      </c>
      <c r="C5981" s="9" t="inlineStr">
        <is>
          <t>Trendline breakout (fractal swing line) + VWAP/S-R distance gate - M15 chart</t>
        </is>
      </c>
      <c r="D5981" s="9" t="inlineStr">
        <is>
          <t>Short</t>
        </is>
      </c>
      <c r="E5981" s="10" t="n">
        <v>45996.76041666666</v>
      </c>
      <c r="F5981" s="10" t="n">
        <v>45999.58333333334</v>
      </c>
      <c r="G5981" s="11" t="n">
        <v>-8.859999999999999</v>
      </c>
      <c r="H5981" s="11">
        <f>H5980+G5981</f>
        <v/>
      </c>
    </row>
    <row r="5982">
      <c r="A5982" s="9" t="n">
        <v>5978</v>
      </c>
      <c r="B5982" s="9" t="inlineStr">
        <is>
          <t>Meridian</t>
        </is>
      </c>
      <c r="C5982" s="9" t="inlineStr">
        <is>
          <t>21/50 MA cross, 250-period confirm filter, VWAP</t>
        </is>
      </c>
      <c r="D5982" s="9" t="inlineStr">
        <is>
          <t>Short</t>
        </is>
      </c>
      <c r="E5982" s="10" t="n">
        <v>45999.44097222222</v>
      </c>
      <c r="F5982" s="10" t="n">
        <v>45999.59375</v>
      </c>
      <c r="G5982" s="11" t="n">
        <v>-6.01</v>
      </c>
      <c r="H5982" s="11">
        <f>H5981+G5982</f>
        <v/>
      </c>
    </row>
    <row r="5983">
      <c r="A5983" s="9" t="n">
        <v>5979</v>
      </c>
      <c r="B5983" s="9" t="inlineStr">
        <is>
          <t>Aurelius_M5</t>
        </is>
      </c>
      <c r="C5983" s="9" t="inlineStr">
        <is>
          <t>MA alignment (EMA21&gt;EMA50&gt;SMA250&gt;SMMA500 vs EMA2400 trend filter)</t>
        </is>
      </c>
      <c r="D5983" s="9" t="inlineStr">
        <is>
          <t>Short</t>
        </is>
      </c>
      <c r="E5983" s="10" t="n">
        <v>45999.71180555555</v>
      </c>
      <c r="F5983" s="10" t="n">
        <v>45999.72569444445</v>
      </c>
      <c r="G5983" s="11" t="n">
        <v>-4.14</v>
      </c>
      <c r="H5983" s="11">
        <f>H5982+G5983</f>
        <v/>
      </c>
    </row>
    <row r="5984">
      <c r="A5984" s="9" t="n">
        <v>5980</v>
      </c>
      <c r="B5984" s="9" t="inlineStr">
        <is>
          <t>Ratchet</t>
        </is>
      </c>
      <c r="C5984" s="9" t="inlineStr">
        <is>
          <t>Stochastic scalp with give-back trail exit</t>
        </is>
      </c>
      <c r="D5984" s="9" t="inlineStr">
        <is>
          <t>Short</t>
        </is>
      </c>
      <c r="E5984" s="10" t="n">
        <v>45999.91319444445</v>
      </c>
      <c r="F5984" s="10" t="n">
        <v>45999.92361111111</v>
      </c>
      <c r="G5984" s="11" t="n">
        <v>-4.79</v>
      </c>
      <c r="H5984" s="11">
        <f>H5983+G5984</f>
        <v/>
      </c>
    </row>
    <row r="5985">
      <c r="A5985" s="9" t="n">
        <v>5981</v>
      </c>
      <c r="B5985" s="9" t="inlineStr">
        <is>
          <t>Meridian</t>
        </is>
      </c>
      <c r="C5985" s="9" t="inlineStr">
        <is>
          <t>21/50 MA cross, 250-period confirm filter, VWAP</t>
        </is>
      </c>
      <c r="D5985" s="9" t="inlineStr">
        <is>
          <t>Short</t>
        </is>
      </c>
      <c r="E5985" s="10" t="n">
        <v>45999.64583333334</v>
      </c>
      <c r="F5985" s="10" t="n">
        <v>45999.96875</v>
      </c>
      <c r="G5985" s="11" t="n">
        <v>11.19</v>
      </c>
      <c r="H5985" s="11">
        <f>H5984+G5985</f>
        <v/>
      </c>
    </row>
    <row r="5986">
      <c r="A5986" s="9" t="n">
        <v>5982</v>
      </c>
      <c r="B5986" s="9" t="inlineStr">
        <is>
          <t>Meridian</t>
        </is>
      </c>
      <c r="C5986" s="9" t="inlineStr">
        <is>
          <t>21/50 MA cross, 250-period confirm filter, VWAP</t>
        </is>
      </c>
      <c r="D5986" s="9" t="inlineStr">
        <is>
          <t>Short</t>
        </is>
      </c>
      <c r="E5986" s="10" t="n">
        <v>45999.98958333334</v>
      </c>
      <c r="F5986" s="10" t="n">
        <v>46000.05208333334</v>
      </c>
      <c r="G5986" s="11" t="n">
        <v>-1.13</v>
      </c>
      <c r="H5986" s="11">
        <f>H5985+G5986</f>
        <v/>
      </c>
    </row>
    <row r="5987">
      <c r="A5987" s="9" t="n">
        <v>5983</v>
      </c>
      <c r="B5987" s="9" t="inlineStr">
        <is>
          <t>Meridian</t>
        </is>
      </c>
      <c r="C5987" s="9" t="inlineStr">
        <is>
          <t>21/50 MA cross, 250-period confirm filter, VWAP</t>
        </is>
      </c>
      <c r="D5987" s="9" t="inlineStr">
        <is>
          <t>Short</t>
        </is>
      </c>
      <c r="E5987" s="10" t="n">
        <v>46000.19444444445</v>
      </c>
      <c r="F5987" s="10" t="n">
        <v>46000.21875</v>
      </c>
      <c r="G5987" s="11" t="n">
        <v>-6.45</v>
      </c>
      <c r="H5987" s="11">
        <f>H5986+G5987</f>
        <v/>
      </c>
    </row>
    <row r="5988">
      <c r="A5988" s="9" t="n">
        <v>5984</v>
      </c>
      <c r="B5988" s="9" t="inlineStr">
        <is>
          <t>Ratchet</t>
        </is>
      </c>
      <c r="C5988" s="9" t="inlineStr">
        <is>
          <t>Stochastic scalp with give-back trail exit</t>
        </is>
      </c>
      <c r="D5988" s="9" t="inlineStr">
        <is>
          <t>Short</t>
        </is>
      </c>
      <c r="E5988" s="10" t="n">
        <v>46000.40972222222</v>
      </c>
      <c r="F5988" s="10" t="n">
        <v>46000.41666666666</v>
      </c>
      <c r="G5988" s="11" t="n">
        <v>-4.53</v>
      </c>
      <c r="H5988" s="11">
        <f>H5987+G5988</f>
        <v/>
      </c>
    </row>
    <row r="5989">
      <c r="A5989" s="9" t="n">
        <v>5985</v>
      </c>
      <c r="B5989" s="9" t="inlineStr">
        <is>
          <t>Meridian</t>
        </is>
      </c>
      <c r="C5989" s="9" t="inlineStr">
        <is>
          <t>21/50 MA cross, 250-period confirm filter, VWAP</t>
        </is>
      </c>
      <c r="D5989" s="9" t="inlineStr">
        <is>
          <t>Short</t>
        </is>
      </c>
      <c r="E5989" s="10" t="n">
        <v>46000.28472222222</v>
      </c>
      <c r="F5989" s="10" t="n">
        <v>46000.44791666666</v>
      </c>
      <c r="G5989" s="11" t="n">
        <v>-2.42</v>
      </c>
      <c r="H5989" s="11">
        <f>H5988+G5989</f>
        <v/>
      </c>
    </row>
    <row r="5990">
      <c r="A5990" s="9" t="n">
        <v>5986</v>
      </c>
      <c r="B5990" s="9" t="inlineStr">
        <is>
          <t>Meridian</t>
        </is>
      </c>
      <c r="C5990" s="9" t="inlineStr">
        <is>
          <t>21/50 MA cross, 250-period confirm filter, VWAP</t>
        </is>
      </c>
      <c r="D5990" s="9" t="inlineStr">
        <is>
          <t>Short</t>
        </is>
      </c>
      <c r="E5990" s="10" t="n">
        <v>46000.67708333334</v>
      </c>
      <c r="F5990" s="10" t="n">
        <v>46000.6875</v>
      </c>
      <c r="G5990" s="11" t="n">
        <v>-9.789999999999999</v>
      </c>
      <c r="H5990" s="11">
        <f>H5989+G5990</f>
        <v/>
      </c>
    </row>
    <row r="5991">
      <c r="A5991" s="9" t="n">
        <v>5987</v>
      </c>
      <c r="B5991" s="9" t="inlineStr">
        <is>
          <t>Meridian</t>
        </is>
      </c>
      <c r="C5991" s="9" t="inlineStr">
        <is>
          <t>21/50 MA cross, 250-period confirm filter, VWAP</t>
        </is>
      </c>
      <c r="D5991" s="9" t="inlineStr">
        <is>
          <t>Long</t>
        </is>
      </c>
      <c r="E5991" s="10" t="n">
        <v>46000.70486111111</v>
      </c>
      <c r="F5991" s="10" t="n">
        <v>46000.71180555555</v>
      </c>
      <c r="G5991" s="11" t="n">
        <v>-12.6</v>
      </c>
      <c r="H5991" s="11">
        <f>H5990+G5991</f>
        <v/>
      </c>
    </row>
    <row r="5992">
      <c r="A5992" s="9" t="n">
        <v>5988</v>
      </c>
      <c r="B5992" s="9" t="inlineStr">
        <is>
          <t>Ratchet</t>
        </is>
      </c>
      <c r="C5992" s="9" t="inlineStr">
        <is>
          <t>Stochastic scalp with give-back trail exit</t>
        </is>
      </c>
      <c r="D5992" s="9" t="inlineStr">
        <is>
          <t>Long</t>
        </is>
      </c>
      <c r="E5992" s="10" t="n">
        <v>46001.06597222222</v>
      </c>
      <c r="F5992" s="10" t="n">
        <v>46001.07638888889</v>
      </c>
      <c r="G5992" s="11" t="n">
        <v>0.28</v>
      </c>
      <c r="H5992" s="11">
        <f>H5991+G5992</f>
        <v/>
      </c>
    </row>
    <row r="5993">
      <c r="A5993" s="9" t="n">
        <v>5989</v>
      </c>
      <c r="B5993" s="9" t="inlineStr">
        <is>
          <t>Meridian</t>
        </is>
      </c>
      <c r="C5993" s="9" t="inlineStr">
        <is>
          <t>21/50 MA cross, 250-period confirm filter, VWAP</t>
        </is>
      </c>
      <c r="D5993" s="9" t="inlineStr">
        <is>
          <t>Long</t>
        </is>
      </c>
      <c r="E5993" s="10" t="n">
        <v>46000.72916666666</v>
      </c>
      <c r="F5993" s="10" t="n">
        <v>46001.10416666666</v>
      </c>
      <c r="G5993" s="11" t="n">
        <v>2.67</v>
      </c>
      <c r="H5993" s="11">
        <f>H5992+G5993</f>
        <v/>
      </c>
    </row>
    <row r="5994">
      <c r="A5994" s="9" t="n">
        <v>5990</v>
      </c>
      <c r="B5994" s="9" t="inlineStr">
        <is>
          <t>Meridian</t>
        </is>
      </c>
      <c r="C5994" s="9" t="inlineStr">
        <is>
          <t>21/50 MA cross, 250-period confirm filter, VWAP</t>
        </is>
      </c>
      <c r="D5994" s="9" t="inlineStr">
        <is>
          <t>Long</t>
        </is>
      </c>
      <c r="E5994" s="10" t="n">
        <v>46001.13541666666</v>
      </c>
      <c r="F5994" s="10" t="n">
        <v>46001.21875</v>
      </c>
      <c r="G5994" s="11" t="n">
        <v>-5.57</v>
      </c>
      <c r="H5994" s="11">
        <f>H5993+G5994</f>
        <v/>
      </c>
    </row>
    <row r="5995">
      <c r="A5995" s="9" t="n">
        <v>5991</v>
      </c>
      <c r="B5995" s="9" t="inlineStr">
        <is>
          <t>Aurelius_M15</t>
        </is>
      </c>
      <c r="C5995" s="9" t="inlineStr">
        <is>
          <t>MA alignment (EMA21&gt;EMA50&gt;SMA250&gt;SMMA500 vs EMA2400 trend filter) - M15 chart</t>
        </is>
      </c>
      <c r="D5995" s="9" t="inlineStr">
        <is>
          <t>Long</t>
        </is>
      </c>
      <c r="E5995" s="10" t="n">
        <v>46001.14583333334</v>
      </c>
      <c r="F5995" s="10" t="n">
        <v>46001.23958333334</v>
      </c>
      <c r="G5995" s="11" t="n">
        <v>-11.03</v>
      </c>
      <c r="H5995" s="11">
        <f>H5994+G5995</f>
        <v/>
      </c>
    </row>
    <row r="5996">
      <c r="A5996" s="9" t="n">
        <v>5992</v>
      </c>
      <c r="B5996" s="9" t="inlineStr">
        <is>
          <t>MSG</t>
        </is>
      </c>
      <c r="C5996" s="9" t="inlineStr">
        <is>
          <t>Session-range breakout + Fibonacci retracement-zone entry</t>
        </is>
      </c>
      <c r="D5996" s="9" t="inlineStr">
        <is>
          <t>Short</t>
        </is>
      </c>
      <c r="E5996" s="10" t="n">
        <v>46001.58541666667</v>
      </c>
      <c r="F5996" s="10" t="n">
        <v>46001.62986111111</v>
      </c>
      <c r="G5996" s="11" t="n">
        <v>4.68</v>
      </c>
      <c r="H5996" s="11">
        <f>H5995+G5996</f>
        <v/>
      </c>
    </row>
    <row r="5997">
      <c r="A5997" s="9" t="n">
        <v>5993</v>
      </c>
      <c r="B5997" s="9" t="inlineStr">
        <is>
          <t>Meridian</t>
        </is>
      </c>
      <c r="C5997" s="9" t="inlineStr">
        <is>
          <t>21/50 MA cross, 250-period confirm filter, VWAP</t>
        </is>
      </c>
      <c r="D5997" s="9" t="inlineStr">
        <is>
          <t>Short</t>
        </is>
      </c>
      <c r="E5997" s="10" t="n">
        <v>46001.71527777778</v>
      </c>
      <c r="F5997" s="10" t="n">
        <v>46001.78125</v>
      </c>
      <c r="G5997" s="11" t="n">
        <v>-5.04</v>
      </c>
      <c r="H5997" s="11">
        <f>H5996+G5997</f>
        <v/>
      </c>
    </row>
    <row r="5998">
      <c r="A5998" s="9" t="n">
        <v>5994</v>
      </c>
      <c r="B5998" s="9" t="inlineStr">
        <is>
          <t>Meridian</t>
        </is>
      </c>
      <c r="C5998" s="9" t="inlineStr">
        <is>
          <t>21/50 MA cross, 250-period confirm filter, VWAP</t>
        </is>
      </c>
      <c r="D5998" s="9" t="inlineStr">
        <is>
          <t>Short</t>
        </is>
      </c>
      <c r="E5998" s="10" t="n">
        <v>46001.86111111111</v>
      </c>
      <c r="F5998" s="10" t="n">
        <v>46001.875</v>
      </c>
      <c r="G5998" s="11" t="n">
        <v>-6.85</v>
      </c>
      <c r="H5998" s="11">
        <f>H5997+G5998</f>
        <v/>
      </c>
    </row>
    <row r="5999">
      <c r="A5999" s="9" t="n">
        <v>5995</v>
      </c>
      <c r="B5999" s="9" t="inlineStr">
        <is>
          <t>Meridian</t>
        </is>
      </c>
      <c r="C5999" s="9" t="inlineStr">
        <is>
          <t>21/50 MA cross, 250-period confirm filter, VWAP</t>
        </is>
      </c>
      <c r="D5999" s="9" t="inlineStr">
        <is>
          <t>Long</t>
        </is>
      </c>
      <c r="E5999" s="10" t="n">
        <v>46001.88194444445</v>
      </c>
      <c r="F5999" s="10" t="n">
        <v>46001.89236111111</v>
      </c>
      <c r="G5999" s="11" t="n">
        <v>-11.61</v>
      </c>
      <c r="H5999" s="11">
        <f>H5998+G5999</f>
        <v/>
      </c>
    </row>
    <row r="6000">
      <c r="A6000" s="9" t="n">
        <v>5996</v>
      </c>
      <c r="B6000" s="9" t="inlineStr">
        <is>
          <t>Vanguard_M5</t>
        </is>
      </c>
      <c r="C6000" s="9" t="inlineStr">
        <is>
          <t>Trendline breakout (fractal swing line) + VWAP/S-R distance gate</t>
        </is>
      </c>
      <c r="D6000" s="9" t="inlineStr">
        <is>
          <t>Long</t>
        </is>
      </c>
      <c r="E6000" s="10" t="n">
        <v>46001.88194444445</v>
      </c>
      <c r="F6000" s="10" t="n">
        <v>46001.89236111111</v>
      </c>
      <c r="G6000" s="11" t="n">
        <v>-18.58</v>
      </c>
      <c r="H6000" s="11">
        <f>H5999+G6000</f>
        <v/>
      </c>
    </row>
    <row r="6001">
      <c r="A6001" s="9" t="n">
        <v>5997</v>
      </c>
      <c r="B6001" s="9" t="inlineStr">
        <is>
          <t>Vanguard_M15</t>
        </is>
      </c>
      <c r="C6001" s="9" t="inlineStr">
        <is>
          <t>Trendline breakout (fractal swing line) + VWAP/S-R distance gate - M15 chart</t>
        </is>
      </c>
      <c r="D6001" s="9" t="inlineStr">
        <is>
          <t>Short</t>
        </is>
      </c>
      <c r="E6001" s="10" t="n">
        <v>46001.90625</v>
      </c>
      <c r="F6001" s="10" t="n">
        <v>46001.90625</v>
      </c>
      <c r="G6001" s="11" t="n">
        <v>-28.35</v>
      </c>
      <c r="H6001" s="11">
        <f>H6000+G6001</f>
        <v/>
      </c>
    </row>
    <row r="6002">
      <c r="A6002" s="9" t="n">
        <v>5998</v>
      </c>
      <c r="B6002" s="9" t="inlineStr">
        <is>
          <t>Vanguard_M5</t>
        </is>
      </c>
      <c r="C6002" s="9" t="inlineStr">
        <is>
          <t>Trendline breakout (fractal swing line) + VWAP/S-R distance gate</t>
        </is>
      </c>
      <c r="D6002" s="9" t="inlineStr">
        <is>
          <t>Short</t>
        </is>
      </c>
      <c r="E6002" s="10" t="n">
        <v>46001.90625</v>
      </c>
      <c r="F6002" s="10" t="n">
        <v>46001.91319444445</v>
      </c>
      <c r="G6002" s="11" t="n">
        <v>-28.97</v>
      </c>
      <c r="H6002" s="11">
        <f>H6001+G6002</f>
        <v/>
      </c>
    </row>
    <row r="6003">
      <c r="A6003" s="9" t="n">
        <v>5999</v>
      </c>
      <c r="B6003" s="9" t="inlineStr">
        <is>
          <t>Ratchet</t>
        </is>
      </c>
      <c r="C6003" s="9" t="inlineStr">
        <is>
          <t>Stochastic scalp with give-back trail exit</t>
        </is>
      </c>
      <c r="D6003" s="9" t="inlineStr">
        <is>
          <t>Long</t>
        </is>
      </c>
      <c r="E6003" s="10" t="n">
        <v>46001.94097222222</v>
      </c>
      <c r="F6003" s="10" t="n">
        <v>46001.99652777778</v>
      </c>
      <c r="G6003" s="11" t="n">
        <v>-6.14</v>
      </c>
      <c r="H6003" s="11">
        <f>H6002+G6003</f>
        <v/>
      </c>
    </row>
    <row r="6004">
      <c r="A6004" s="9" t="n">
        <v>6000</v>
      </c>
      <c r="B6004" s="9" t="inlineStr">
        <is>
          <t>Aurelius_M5</t>
        </is>
      </c>
      <c r="C6004" s="9" t="inlineStr">
        <is>
          <t>MA alignment (EMA21&gt;EMA50&gt;SMA250&gt;SMMA500 vs EMA2400 trend filter)</t>
        </is>
      </c>
      <c r="D6004" s="9" t="inlineStr">
        <is>
          <t>Long</t>
        </is>
      </c>
      <c r="E6004" s="10" t="n">
        <v>46001.92708333334</v>
      </c>
      <c r="F6004" s="10" t="n">
        <v>46002.04166666666</v>
      </c>
      <c r="G6004" s="11" t="n">
        <v>-6.64</v>
      </c>
      <c r="H6004" s="11">
        <f>H6003+G6004</f>
        <v/>
      </c>
    </row>
    <row r="6005">
      <c r="A6005" s="9" t="n">
        <v>6001</v>
      </c>
      <c r="B6005" s="9" t="inlineStr">
        <is>
          <t>Ratchet</t>
        </is>
      </c>
      <c r="C6005" s="9" t="inlineStr">
        <is>
          <t>Stochastic scalp with give-back trail exit</t>
        </is>
      </c>
      <c r="D6005" s="9" t="inlineStr">
        <is>
          <t>Long</t>
        </is>
      </c>
      <c r="E6005" s="10" t="n">
        <v>46002.07291666666</v>
      </c>
      <c r="F6005" s="10" t="n">
        <v>46002.14583333334</v>
      </c>
      <c r="G6005" s="11" t="n">
        <v>4.81</v>
      </c>
      <c r="H6005" s="11">
        <f>H6004+G6005</f>
        <v/>
      </c>
    </row>
    <row r="6006">
      <c r="A6006" s="9" t="n">
        <v>6002</v>
      </c>
      <c r="B6006" s="9" t="inlineStr">
        <is>
          <t>Aurelius_M15</t>
        </is>
      </c>
      <c r="C6006" s="9" t="inlineStr">
        <is>
          <t>MA alignment (EMA21&gt;EMA50&gt;SMA250&gt;SMMA500 vs EMA2400 trend filter) - M15 chart</t>
        </is>
      </c>
      <c r="D6006" s="9" t="inlineStr">
        <is>
          <t>Long</t>
        </is>
      </c>
      <c r="E6006" s="10" t="n">
        <v>46001.95833333334</v>
      </c>
      <c r="F6006" s="10" t="n">
        <v>46002.25</v>
      </c>
      <c r="G6006" s="11" t="n">
        <v>-13.1</v>
      </c>
      <c r="H6006" s="11">
        <f>H6005+G6006</f>
        <v/>
      </c>
    </row>
    <row r="6007">
      <c r="A6007" s="9" t="n">
        <v>6003</v>
      </c>
      <c r="B6007" s="9" t="inlineStr">
        <is>
          <t>MSG</t>
        </is>
      </c>
      <c r="C6007" s="9" t="inlineStr">
        <is>
          <t>Session-range breakout + Fibonacci retracement-zone entry</t>
        </is>
      </c>
      <c r="D6007" s="9" t="inlineStr">
        <is>
          <t>Long</t>
        </is>
      </c>
      <c r="E6007" s="10" t="n">
        <v>46002.51597222222</v>
      </c>
      <c r="F6007" s="10" t="n">
        <v>46002.52083333334</v>
      </c>
      <c r="G6007" s="11" t="n">
        <v>-9.789999999999999</v>
      </c>
      <c r="H6007" s="11">
        <f>H6006+G6007</f>
        <v/>
      </c>
    </row>
    <row r="6008">
      <c r="A6008" s="9" t="n">
        <v>6004</v>
      </c>
      <c r="B6008" s="9" t="inlineStr">
        <is>
          <t>Meridian</t>
        </is>
      </c>
      <c r="C6008" s="9" t="inlineStr">
        <is>
          <t>21/50 MA cross, 250-period confirm filter, VWAP</t>
        </is>
      </c>
      <c r="D6008" s="9" t="inlineStr">
        <is>
          <t>Short</t>
        </is>
      </c>
      <c r="E6008" s="10" t="n">
        <v>46002.56944444445</v>
      </c>
      <c r="F6008" s="10" t="n">
        <v>46002.60416666666</v>
      </c>
      <c r="G6008" s="11" t="n">
        <v>-6.71</v>
      </c>
      <c r="H6008" s="11">
        <f>H6007+G6008</f>
        <v/>
      </c>
    </row>
    <row r="6009">
      <c r="A6009" s="9" t="n">
        <v>6005</v>
      </c>
      <c r="B6009" s="9" t="inlineStr">
        <is>
          <t>Meridian</t>
        </is>
      </c>
      <c r="C6009" s="9" t="inlineStr">
        <is>
          <t>21/50 MA cross, 250-period confirm filter, VWAP</t>
        </is>
      </c>
      <c r="D6009" s="9" t="inlineStr">
        <is>
          <t>Short</t>
        </is>
      </c>
      <c r="E6009" s="10" t="n">
        <v>46002.63541666666</v>
      </c>
      <c r="F6009" s="10" t="n">
        <v>46002.65277777778</v>
      </c>
      <c r="G6009" s="11" t="n">
        <v>-7.59</v>
      </c>
      <c r="H6009" s="11">
        <f>H6008+G6009</f>
        <v/>
      </c>
    </row>
    <row r="6010">
      <c r="A6010" s="9" t="n">
        <v>6006</v>
      </c>
      <c r="B6010" s="9" t="inlineStr">
        <is>
          <t>Ratchet</t>
        </is>
      </c>
      <c r="C6010" s="9" t="inlineStr">
        <is>
          <t>Stochastic scalp with give-back trail exit</t>
        </is>
      </c>
      <c r="D6010" s="9" t="inlineStr">
        <is>
          <t>Long</t>
        </is>
      </c>
      <c r="E6010" s="10" t="n">
        <v>46002.6875</v>
      </c>
      <c r="F6010" s="10" t="n">
        <v>46002.69791666666</v>
      </c>
      <c r="G6010" s="11" t="n">
        <v>3.75</v>
      </c>
      <c r="H6010" s="11">
        <f>H6009+G6010</f>
        <v/>
      </c>
    </row>
    <row r="6011">
      <c r="A6011" s="9" t="n">
        <v>6007</v>
      </c>
      <c r="B6011" s="9" t="inlineStr">
        <is>
          <t>Ratchet</t>
        </is>
      </c>
      <c r="C6011" s="9" t="inlineStr">
        <is>
          <t>Stochastic scalp with give-back trail exit</t>
        </is>
      </c>
      <c r="D6011" s="9" t="inlineStr">
        <is>
          <t>Long</t>
        </is>
      </c>
      <c r="E6011" s="10" t="n">
        <v>46002.71875</v>
      </c>
      <c r="F6011" s="10" t="n">
        <v>46002.72569444445</v>
      </c>
      <c r="G6011" s="11" t="n">
        <v>0</v>
      </c>
      <c r="H6011" s="11">
        <f>H6010+G6011</f>
        <v/>
      </c>
    </row>
    <row r="6012">
      <c r="A6012" s="9" t="n">
        <v>6008</v>
      </c>
      <c r="B6012" s="9" t="inlineStr">
        <is>
          <t>Aurelius_M5</t>
        </is>
      </c>
      <c r="C6012" s="9" t="inlineStr">
        <is>
          <t>MA alignment (EMA21&gt;EMA50&gt;SMA250&gt;SMMA500 vs EMA2400 trend filter)</t>
        </is>
      </c>
      <c r="D6012" s="9" t="inlineStr">
        <is>
          <t>Long</t>
        </is>
      </c>
      <c r="E6012" s="10" t="n">
        <v>46002.6875</v>
      </c>
      <c r="F6012" s="10" t="n">
        <v>46003.04166666666</v>
      </c>
      <c r="G6012" s="11" t="n">
        <v>48.42</v>
      </c>
      <c r="H6012" s="11">
        <f>H6011+G6012</f>
        <v/>
      </c>
    </row>
    <row r="6013">
      <c r="A6013" s="9" t="n">
        <v>6009</v>
      </c>
      <c r="B6013" s="9" t="inlineStr">
        <is>
          <t>Meridian</t>
        </is>
      </c>
      <c r="C6013" s="9" t="inlineStr">
        <is>
          <t>21/50 MA cross, 250-period confirm filter, VWAP</t>
        </is>
      </c>
      <c r="D6013" s="9" t="inlineStr">
        <is>
          <t>Long</t>
        </is>
      </c>
      <c r="E6013" s="10" t="n">
        <v>46002.65972222222</v>
      </c>
      <c r="F6013" s="10" t="n">
        <v>46003.13194444445</v>
      </c>
      <c r="G6013" s="11" t="n">
        <v>46.8</v>
      </c>
      <c r="H6013" s="11">
        <f>H6012+G6013</f>
        <v/>
      </c>
    </row>
    <row r="6014">
      <c r="A6014" s="9" t="n">
        <v>6010</v>
      </c>
      <c r="B6014" s="9" t="inlineStr">
        <is>
          <t>Ratchet</t>
        </is>
      </c>
      <c r="C6014" s="9" t="inlineStr">
        <is>
          <t>Stochastic scalp with give-back trail exit</t>
        </is>
      </c>
      <c r="D6014" s="9" t="inlineStr">
        <is>
          <t>Long</t>
        </is>
      </c>
      <c r="E6014" s="10" t="n">
        <v>46003.32638888889</v>
      </c>
      <c r="F6014" s="10" t="n">
        <v>46003.45833333334</v>
      </c>
      <c r="G6014" s="11" t="n">
        <v>29.56</v>
      </c>
      <c r="H6014" s="11">
        <f>H6013+G6014</f>
        <v/>
      </c>
    </row>
    <row r="6015">
      <c r="A6015" s="9" t="n">
        <v>6011</v>
      </c>
      <c r="B6015" s="9" t="inlineStr">
        <is>
          <t>Ratchet</t>
        </is>
      </c>
      <c r="C6015" s="9" t="inlineStr">
        <is>
          <t>Stochastic scalp with give-back trail exit</t>
        </is>
      </c>
      <c r="D6015" s="9" t="inlineStr">
        <is>
          <t>Long</t>
        </is>
      </c>
      <c r="E6015" s="10" t="n">
        <v>46003.59722222222</v>
      </c>
      <c r="F6015" s="10" t="n">
        <v>46003.61111111111</v>
      </c>
      <c r="G6015" s="11" t="n">
        <v>-6.33</v>
      </c>
      <c r="H6015" s="11">
        <f>H6014+G6015</f>
        <v/>
      </c>
    </row>
    <row r="6016">
      <c r="A6016" s="9" t="n">
        <v>6012</v>
      </c>
      <c r="B6016" s="9" t="inlineStr">
        <is>
          <t>Ratchet</t>
        </is>
      </c>
      <c r="C6016" s="9" t="inlineStr">
        <is>
          <t>Stochastic scalp with give-back trail exit</t>
        </is>
      </c>
      <c r="D6016" s="9" t="inlineStr">
        <is>
          <t>Long</t>
        </is>
      </c>
      <c r="E6016" s="10" t="n">
        <v>46003.63888888889</v>
      </c>
      <c r="F6016" s="10" t="n">
        <v>46003.65625</v>
      </c>
      <c r="G6016" s="11" t="n">
        <v>1.77</v>
      </c>
      <c r="H6016" s="11">
        <f>H6015+G6016</f>
        <v/>
      </c>
    </row>
    <row r="6017">
      <c r="A6017" s="9" t="n">
        <v>6013</v>
      </c>
      <c r="B6017" s="9" t="inlineStr">
        <is>
          <t>Ratchet</t>
        </is>
      </c>
      <c r="C6017" s="9" t="inlineStr">
        <is>
          <t>Stochastic scalp with give-back trail exit</t>
        </is>
      </c>
      <c r="D6017" s="9" t="inlineStr">
        <is>
          <t>Long</t>
        </is>
      </c>
      <c r="E6017" s="10" t="n">
        <v>46003.67708333334</v>
      </c>
      <c r="F6017" s="10" t="n">
        <v>46003.69097222222</v>
      </c>
      <c r="G6017" s="11" t="n">
        <v>-8.83</v>
      </c>
      <c r="H6017" s="11">
        <f>H6016+G6017</f>
        <v/>
      </c>
    </row>
    <row r="6018">
      <c r="A6018" s="9" t="n">
        <v>6014</v>
      </c>
      <c r="B6018" s="9" t="inlineStr">
        <is>
          <t>Meridian</t>
        </is>
      </c>
      <c r="C6018" s="9" t="inlineStr">
        <is>
          <t>21/50 MA cross, 250-period confirm filter, VWAP</t>
        </is>
      </c>
      <c r="D6018" s="9" t="inlineStr">
        <is>
          <t>Long</t>
        </is>
      </c>
      <c r="E6018" s="10" t="n">
        <v>46003.32291666666</v>
      </c>
      <c r="F6018" s="10" t="n">
        <v>46003.73263888889</v>
      </c>
      <c r="G6018" s="11" t="n">
        <v>26.96</v>
      </c>
      <c r="H6018" s="11">
        <f>H6017+G6018</f>
        <v/>
      </c>
    </row>
    <row r="6019">
      <c r="A6019" s="9" t="n">
        <v>6015</v>
      </c>
      <c r="B6019" s="9" t="inlineStr">
        <is>
          <t>Aurelius_M5</t>
        </is>
      </c>
      <c r="C6019" s="9" t="inlineStr">
        <is>
          <t>MA alignment (EMA21&gt;EMA50&gt;SMA250&gt;SMMA500 vs EMA2400 trend filter)</t>
        </is>
      </c>
      <c r="D6019" s="9" t="inlineStr">
        <is>
          <t>Long</t>
        </is>
      </c>
      <c r="E6019" s="10" t="n">
        <v>46003.34027777778</v>
      </c>
      <c r="F6019" s="10" t="n">
        <v>46003.73263888889</v>
      </c>
      <c r="G6019" s="11" t="n">
        <v>26.26</v>
      </c>
      <c r="H6019" s="11">
        <f>H6018+G6019</f>
        <v/>
      </c>
    </row>
    <row r="6020">
      <c r="A6020" s="9" t="n">
        <v>6016</v>
      </c>
      <c r="B6020" s="9" t="inlineStr">
        <is>
          <t>Vanguard_M5</t>
        </is>
      </c>
      <c r="C6020" s="9" t="inlineStr">
        <is>
          <t>Trendline breakout (fractal swing line) + VWAP/S-R distance gate</t>
        </is>
      </c>
      <c r="D6020" s="9" t="inlineStr">
        <is>
          <t>Long</t>
        </is>
      </c>
      <c r="E6020" s="10" t="n">
        <v>46001.91666666666</v>
      </c>
      <c r="F6020" s="10" t="n">
        <v>46003.75</v>
      </c>
      <c r="G6020" s="11" t="n">
        <v>60.88</v>
      </c>
      <c r="H6020" s="11">
        <f>H6019+G6020</f>
        <v/>
      </c>
    </row>
    <row r="6021">
      <c r="A6021" s="9" t="n">
        <v>6017</v>
      </c>
      <c r="B6021" s="9" t="inlineStr">
        <is>
          <t>Vanguard_M15</t>
        </is>
      </c>
      <c r="C6021" s="9" t="inlineStr">
        <is>
          <t>Trendline breakout (fractal swing line) + VWAP/S-R distance gate - M15 chart</t>
        </is>
      </c>
      <c r="D6021" s="9" t="inlineStr">
        <is>
          <t>Long</t>
        </is>
      </c>
      <c r="E6021" s="10" t="n">
        <v>46001.91666666666</v>
      </c>
      <c r="F6021" s="10" t="n">
        <v>46003.77083333334</v>
      </c>
      <c r="G6021" s="11" t="n">
        <v>57.37</v>
      </c>
      <c r="H6021" s="11">
        <f>H6020+G6021</f>
        <v/>
      </c>
    </row>
    <row r="6022">
      <c r="A6022" s="9" t="n">
        <v>6018</v>
      </c>
      <c r="B6022" s="9" t="inlineStr">
        <is>
          <t>Aurelius_M15</t>
        </is>
      </c>
      <c r="C6022" s="9" t="inlineStr">
        <is>
          <t>MA alignment (EMA21&gt;EMA50&gt;SMA250&gt;SMMA500 vs EMA2400 trend filter) - M15 chart</t>
        </is>
      </c>
      <c r="D6022" s="9" t="inlineStr">
        <is>
          <t>Long</t>
        </is>
      </c>
      <c r="E6022" s="10" t="n">
        <v>46002.73958333334</v>
      </c>
      <c r="F6022" s="10" t="n">
        <v>46003.82291666666</v>
      </c>
      <c r="G6022" s="11" t="n">
        <v>38.6</v>
      </c>
      <c r="H6022" s="11">
        <f>H6021+G6022</f>
        <v/>
      </c>
    </row>
    <row r="6023">
      <c r="A6023" s="9" t="n">
        <v>6019</v>
      </c>
      <c r="B6023" s="9" t="inlineStr">
        <is>
          <t>Ratchet</t>
        </is>
      </c>
      <c r="C6023" s="9" t="inlineStr">
        <is>
          <t>Stochastic scalp with give-back trail exit</t>
        </is>
      </c>
      <c r="D6023" s="9" t="inlineStr">
        <is>
          <t>Long</t>
        </is>
      </c>
      <c r="E6023" s="10" t="n">
        <v>46006.12152777778</v>
      </c>
      <c r="F6023" s="10" t="n">
        <v>46006.125</v>
      </c>
      <c r="G6023" s="11" t="n">
        <v>0</v>
      </c>
      <c r="H6023" s="11">
        <f>H6022+G6023</f>
        <v/>
      </c>
    </row>
    <row r="6024">
      <c r="A6024" s="9" t="n">
        <v>6020</v>
      </c>
      <c r="B6024" s="9" t="inlineStr">
        <is>
          <t>Vanguard_M15</t>
        </is>
      </c>
      <c r="C6024" s="9" t="inlineStr">
        <is>
          <t>Trendline breakout (fractal swing line) + VWAP/S-R distance gate - M15 chart</t>
        </is>
      </c>
      <c r="D6024" s="9" t="inlineStr">
        <is>
          <t>Short</t>
        </is>
      </c>
      <c r="E6024" s="10" t="n">
        <v>46003.78125</v>
      </c>
      <c r="F6024" s="10" t="n">
        <v>46006.14583333334</v>
      </c>
      <c r="G6024" s="11" t="n">
        <v>-49.01</v>
      </c>
      <c r="H6024" s="11">
        <f>H6023+G6024</f>
        <v/>
      </c>
    </row>
    <row r="6025">
      <c r="A6025" s="9" t="n">
        <v>6021</v>
      </c>
      <c r="B6025" s="9" t="inlineStr">
        <is>
          <t>Vanguard_M5</t>
        </is>
      </c>
      <c r="C6025" s="9" t="inlineStr">
        <is>
          <t>Trendline breakout (fractal swing line) + VWAP/S-R distance gate</t>
        </is>
      </c>
      <c r="D6025" s="9" t="inlineStr">
        <is>
          <t>Short</t>
        </is>
      </c>
      <c r="E6025" s="10" t="n">
        <v>46003.75347222222</v>
      </c>
      <c r="F6025" s="10" t="n">
        <v>46006.15277777778</v>
      </c>
      <c r="G6025" s="11" t="n">
        <v>-46.36</v>
      </c>
      <c r="H6025" s="11">
        <f>H6024+G6025</f>
        <v/>
      </c>
    </row>
    <row r="6026">
      <c r="A6026" s="9" t="n">
        <v>6022</v>
      </c>
      <c r="B6026" s="9" t="inlineStr">
        <is>
          <t>Ratchet</t>
        </is>
      </c>
      <c r="C6026" s="9" t="inlineStr">
        <is>
          <t>Stochastic scalp with give-back trail exit</t>
        </is>
      </c>
      <c r="D6026" s="9" t="inlineStr">
        <is>
          <t>Long</t>
        </is>
      </c>
      <c r="E6026" s="10" t="n">
        <v>46006.14583333334</v>
      </c>
      <c r="F6026" s="10" t="n">
        <v>46006.22222222222</v>
      </c>
      <c r="G6026" s="11" t="n">
        <v>4.25</v>
      </c>
      <c r="H6026" s="11">
        <f>H6025+G6026</f>
        <v/>
      </c>
    </row>
    <row r="6027">
      <c r="A6027" s="9" t="n">
        <v>6023</v>
      </c>
      <c r="B6027" s="9" t="inlineStr">
        <is>
          <t>Ratchet</t>
        </is>
      </c>
      <c r="C6027" s="9" t="inlineStr">
        <is>
          <t>Stochastic scalp with give-back trail exit</t>
        </is>
      </c>
      <c r="D6027" s="9" t="inlineStr">
        <is>
          <t>Long</t>
        </is>
      </c>
      <c r="E6027" s="10" t="n">
        <v>46006.38194444445</v>
      </c>
      <c r="F6027" s="10" t="n">
        <v>46006.38888888889</v>
      </c>
      <c r="G6027" s="11" t="n">
        <v>0</v>
      </c>
      <c r="H6027" s="11">
        <f>H6026+G6027</f>
        <v/>
      </c>
    </row>
    <row r="6028">
      <c r="A6028" s="9" t="n">
        <v>6024</v>
      </c>
      <c r="B6028" s="9" t="inlineStr">
        <is>
          <t>Aurelius_M5</t>
        </is>
      </c>
      <c r="C6028" s="9" t="inlineStr">
        <is>
          <t>MA alignment (EMA21&gt;EMA50&gt;SMA250&gt;SMMA500 vs EMA2400 trend filter)</t>
        </is>
      </c>
      <c r="D6028" s="9" t="inlineStr">
        <is>
          <t>Long</t>
        </is>
      </c>
      <c r="E6028" s="10" t="n">
        <v>46006.12847222222</v>
      </c>
      <c r="F6028" s="10" t="n">
        <v>46006.54861111111</v>
      </c>
      <c r="G6028" s="11" t="n">
        <v>23.98</v>
      </c>
      <c r="H6028" s="11">
        <f>H6027+G6028</f>
        <v/>
      </c>
    </row>
    <row r="6029">
      <c r="A6029" s="9" t="n">
        <v>6025</v>
      </c>
      <c r="B6029" s="9" t="inlineStr">
        <is>
          <t>Ratchet</t>
        </is>
      </c>
      <c r="C6029" s="9" t="inlineStr">
        <is>
          <t>Stochastic scalp with give-back trail exit</t>
        </is>
      </c>
      <c r="D6029" s="9" t="inlineStr">
        <is>
          <t>Long</t>
        </is>
      </c>
      <c r="E6029" s="10" t="n">
        <v>46006.58333333334</v>
      </c>
      <c r="F6029" s="10" t="n">
        <v>46006.58680555555</v>
      </c>
      <c r="G6029" s="11" t="n">
        <v>0.42</v>
      </c>
      <c r="H6029" s="11">
        <f>H6028+G6029</f>
        <v/>
      </c>
    </row>
    <row r="6030">
      <c r="A6030" s="9" t="n">
        <v>6026</v>
      </c>
      <c r="B6030" s="9" t="inlineStr">
        <is>
          <t>Meridian</t>
        </is>
      </c>
      <c r="C6030" s="9" t="inlineStr">
        <is>
          <t>21/50 MA cross, 250-period confirm filter, VWAP</t>
        </is>
      </c>
      <c r="D6030" s="9" t="inlineStr">
        <is>
          <t>Long</t>
        </is>
      </c>
      <c r="E6030" s="10" t="n">
        <v>46006.58333333334</v>
      </c>
      <c r="F6030" s="10" t="n">
        <v>46006.62847222222</v>
      </c>
      <c r="G6030" s="11" t="n">
        <v>-6.21</v>
      </c>
      <c r="H6030" s="11">
        <f>H6029+G6030</f>
        <v/>
      </c>
    </row>
    <row r="6031">
      <c r="A6031" s="9" t="n">
        <v>6027</v>
      </c>
      <c r="B6031" s="9" t="inlineStr">
        <is>
          <t>Meridian</t>
        </is>
      </c>
      <c r="C6031" s="9" t="inlineStr">
        <is>
          <t>21/50 MA cross, 250-period confirm filter, VWAP</t>
        </is>
      </c>
      <c r="D6031" s="9" t="inlineStr">
        <is>
          <t>Short</t>
        </is>
      </c>
      <c r="E6031" s="10" t="n">
        <v>46007.13194444445</v>
      </c>
      <c r="F6031" s="10" t="n">
        <v>46007.14583333334</v>
      </c>
      <c r="G6031" s="11" t="n">
        <v>-7.11</v>
      </c>
      <c r="H6031" s="11">
        <f>H6030+G6031</f>
        <v/>
      </c>
    </row>
    <row r="6032">
      <c r="A6032" s="9" t="n">
        <v>6028</v>
      </c>
      <c r="B6032" s="9" t="inlineStr">
        <is>
          <t>MSG</t>
        </is>
      </c>
      <c r="C6032" s="9" t="inlineStr">
        <is>
          <t>Session-range breakout + Fibonacci retracement-zone entry</t>
        </is>
      </c>
      <c r="D6032" s="9" t="inlineStr">
        <is>
          <t>Short</t>
        </is>
      </c>
      <c r="E6032" s="10" t="n">
        <v>46007.58819444444</v>
      </c>
      <c r="F6032" s="10" t="n">
        <v>46007.58888888889</v>
      </c>
      <c r="G6032" s="11" t="n">
        <v>-8.02</v>
      </c>
      <c r="H6032" s="11">
        <f>H6031+G6032</f>
        <v/>
      </c>
    </row>
    <row r="6033">
      <c r="A6033" s="9" t="n">
        <v>6029</v>
      </c>
      <c r="B6033" s="9" t="inlineStr">
        <is>
          <t>Vanguard_M5</t>
        </is>
      </c>
      <c r="C6033" s="9" t="inlineStr">
        <is>
          <t>Trendline breakout (fractal swing line) + VWAP/S-R distance gate</t>
        </is>
      </c>
      <c r="D6033" s="9" t="inlineStr">
        <is>
          <t>Short</t>
        </is>
      </c>
      <c r="E6033" s="10" t="n">
        <v>46006.77430555555</v>
      </c>
      <c r="F6033" s="10" t="n">
        <v>46007.59722222222</v>
      </c>
      <c r="G6033" s="11" t="n">
        <v>-0.83</v>
      </c>
      <c r="H6033" s="11">
        <f>H6032+G6033</f>
        <v/>
      </c>
    </row>
    <row r="6034">
      <c r="A6034" s="9" t="n">
        <v>6030</v>
      </c>
      <c r="B6034" s="9" t="inlineStr">
        <is>
          <t>Meridian</t>
        </is>
      </c>
      <c r="C6034" s="9" t="inlineStr">
        <is>
          <t>21/50 MA cross, 250-period confirm filter, VWAP</t>
        </is>
      </c>
      <c r="D6034" s="9" t="inlineStr">
        <is>
          <t>Short</t>
        </is>
      </c>
      <c r="E6034" s="10" t="n">
        <v>46007.20486111111</v>
      </c>
      <c r="F6034" s="10" t="n">
        <v>46007.60069444445</v>
      </c>
      <c r="G6034" s="11" t="n">
        <v>1.53</v>
      </c>
      <c r="H6034" s="11">
        <f>H6033+G6034</f>
        <v/>
      </c>
    </row>
    <row r="6035">
      <c r="A6035" s="9" t="n">
        <v>6031</v>
      </c>
      <c r="B6035" s="9" t="inlineStr">
        <is>
          <t>Vanguard_M15</t>
        </is>
      </c>
      <c r="C6035" s="9" t="inlineStr">
        <is>
          <t>Trendline breakout (fractal swing line) + VWAP/S-R distance gate - M15 chart</t>
        </is>
      </c>
      <c r="D6035" s="9" t="inlineStr">
        <is>
          <t>Short</t>
        </is>
      </c>
      <c r="E6035" s="10" t="n">
        <v>46007.13541666666</v>
      </c>
      <c r="F6035" s="10" t="n">
        <v>46007.61458333334</v>
      </c>
      <c r="G6035" s="11" t="n">
        <v>9.44</v>
      </c>
      <c r="H6035" s="11">
        <f>H6034+G6035</f>
        <v/>
      </c>
    </row>
    <row r="6036">
      <c r="A6036" s="9" t="n">
        <v>6032</v>
      </c>
      <c r="B6036" s="9" t="inlineStr">
        <is>
          <t>Meridian</t>
        </is>
      </c>
      <c r="C6036" s="9" t="inlineStr">
        <is>
          <t>21/50 MA cross, 250-period confirm filter, VWAP</t>
        </is>
      </c>
      <c r="D6036" s="9" t="inlineStr">
        <is>
          <t>Long</t>
        </is>
      </c>
      <c r="E6036" s="10" t="n">
        <v>46007.90972222222</v>
      </c>
      <c r="F6036" s="10" t="n">
        <v>46007.96180555555</v>
      </c>
      <c r="G6036" s="11" t="n">
        <v>-10.39</v>
      </c>
      <c r="H6036" s="11">
        <f>H6035+G6036</f>
        <v/>
      </c>
    </row>
    <row r="6037">
      <c r="A6037" s="9" t="n">
        <v>6033</v>
      </c>
      <c r="B6037" s="9" t="inlineStr">
        <is>
          <t>Meridian</t>
        </is>
      </c>
      <c r="C6037" s="9" t="inlineStr">
        <is>
          <t>21/50 MA cross, 250-period confirm filter, VWAP</t>
        </is>
      </c>
      <c r="D6037" s="9" t="inlineStr">
        <is>
          <t>Long</t>
        </is>
      </c>
      <c r="E6037" s="10" t="n">
        <v>46008.08680555555</v>
      </c>
      <c r="F6037" s="10" t="n">
        <v>46008.40625</v>
      </c>
      <c r="G6037" s="11" t="n">
        <v>5.41</v>
      </c>
      <c r="H6037" s="11">
        <f>H6036+G6037</f>
        <v/>
      </c>
    </row>
    <row r="6038">
      <c r="A6038" s="9" t="n">
        <v>6034</v>
      </c>
      <c r="B6038" s="9" t="inlineStr">
        <is>
          <t>Aurelius_M15</t>
        </is>
      </c>
      <c r="C6038" s="9" t="inlineStr">
        <is>
          <t>MA alignment (EMA21&gt;EMA50&gt;SMA250&gt;SMMA500 vs EMA2400 trend filter) - M15 chart</t>
        </is>
      </c>
      <c r="D6038" s="9" t="inlineStr">
        <is>
          <t>Long</t>
        </is>
      </c>
      <c r="E6038" s="10" t="n">
        <v>46008.13541666666</v>
      </c>
      <c r="F6038" s="10" t="n">
        <v>46008.5625</v>
      </c>
      <c r="G6038" s="11" t="n">
        <v>0.18</v>
      </c>
      <c r="H6038" s="11">
        <f>H6037+G6038</f>
        <v/>
      </c>
    </row>
    <row r="6039">
      <c r="A6039" s="9" t="n">
        <v>6035</v>
      </c>
      <c r="B6039" s="9" t="inlineStr">
        <is>
          <t>Aurelius_M5</t>
        </is>
      </c>
      <c r="C6039" s="9" t="inlineStr">
        <is>
          <t>MA alignment (EMA21&gt;EMA50&gt;SMA250&gt;SMMA500 vs EMA2400 trend filter)</t>
        </is>
      </c>
      <c r="D6039" s="9" t="inlineStr">
        <is>
          <t>Long</t>
        </is>
      </c>
      <c r="E6039" s="10" t="n">
        <v>46008.64930555555</v>
      </c>
      <c r="F6039" s="10" t="n">
        <v>46008.67708333334</v>
      </c>
      <c r="G6039" s="11" t="n">
        <v>-9.42</v>
      </c>
      <c r="H6039" s="11">
        <f>H6038+G6039</f>
        <v/>
      </c>
    </row>
    <row r="6040">
      <c r="A6040" s="9" t="n">
        <v>6036</v>
      </c>
      <c r="B6040" s="9" t="inlineStr">
        <is>
          <t>Aurelius_M15</t>
        </is>
      </c>
      <c r="C6040" s="9" t="inlineStr">
        <is>
          <t>MA alignment (EMA21&gt;EMA50&gt;SMA250&gt;SMMA500 vs EMA2400 trend filter) - M15 chart</t>
        </is>
      </c>
      <c r="D6040" s="9" t="inlineStr">
        <is>
          <t>Long</t>
        </is>
      </c>
      <c r="E6040" s="10" t="n">
        <v>46008.66666666666</v>
      </c>
      <c r="F6040" s="10" t="n">
        <v>46008.67708333334</v>
      </c>
      <c r="G6040" s="11" t="n">
        <v>-16.93</v>
      </c>
      <c r="H6040" s="11">
        <f>H6039+G6040</f>
        <v/>
      </c>
    </row>
    <row r="6041">
      <c r="A6041" s="9" t="n">
        <v>6037</v>
      </c>
      <c r="B6041" s="9" t="inlineStr">
        <is>
          <t>MSG</t>
        </is>
      </c>
      <c r="C6041" s="9" t="inlineStr">
        <is>
          <t>Session-range breakout + Fibonacci retracement-zone entry</t>
        </is>
      </c>
      <c r="D6041" s="9" t="inlineStr">
        <is>
          <t>Long</t>
        </is>
      </c>
      <c r="E6041" s="10" t="n">
        <v>46008.67777777778</v>
      </c>
      <c r="F6041" s="10" t="n">
        <v>46008.70069444444</v>
      </c>
      <c r="G6041" s="11" t="n">
        <v>38.06</v>
      </c>
      <c r="H6041" s="11">
        <f>H6040+G6041</f>
        <v/>
      </c>
    </row>
    <row r="6042">
      <c r="A6042" s="9" t="n">
        <v>6038</v>
      </c>
      <c r="B6042" s="9" t="inlineStr">
        <is>
          <t>Ratchet</t>
        </is>
      </c>
      <c r="C6042" s="9" t="inlineStr">
        <is>
          <t>Stochastic scalp with give-back trail exit</t>
        </is>
      </c>
      <c r="D6042" s="9" t="inlineStr">
        <is>
          <t>Long</t>
        </is>
      </c>
      <c r="E6042" s="10" t="n">
        <v>46008.84027777778</v>
      </c>
      <c r="F6042" s="10" t="n">
        <v>46008.85763888889</v>
      </c>
      <c r="G6042" s="11" t="n">
        <v>-7.56</v>
      </c>
      <c r="H6042" s="11">
        <f>H6041+G6042</f>
        <v/>
      </c>
    </row>
    <row r="6043">
      <c r="A6043" s="9" t="n">
        <v>6039</v>
      </c>
      <c r="B6043" s="9" t="inlineStr">
        <is>
          <t>Ratchet</t>
        </is>
      </c>
      <c r="C6043" s="9" t="inlineStr">
        <is>
          <t>Stochastic scalp with give-back trail exit</t>
        </is>
      </c>
      <c r="D6043" s="9" t="inlineStr">
        <is>
          <t>Long</t>
        </is>
      </c>
      <c r="E6043" s="10" t="n">
        <v>46008.9375</v>
      </c>
      <c r="F6043" s="10" t="n">
        <v>46008.95138888889</v>
      </c>
      <c r="G6043" s="11" t="n">
        <v>1.29</v>
      </c>
      <c r="H6043" s="11">
        <f>H6042+G6043</f>
        <v/>
      </c>
    </row>
    <row r="6044">
      <c r="A6044" s="9" t="n">
        <v>6040</v>
      </c>
      <c r="B6044" s="9" t="inlineStr">
        <is>
          <t>Aurelius_M5</t>
        </is>
      </c>
      <c r="C6044" s="9" t="inlineStr">
        <is>
          <t>MA alignment (EMA21&gt;EMA50&gt;SMA250&gt;SMMA500 vs EMA2400 trend filter)</t>
        </is>
      </c>
      <c r="D6044" s="9" t="inlineStr">
        <is>
          <t>Long</t>
        </is>
      </c>
      <c r="E6044" s="10" t="n">
        <v>46008.73958333334</v>
      </c>
      <c r="F6044" s="10" t="n">
        <v>46009.04166666666</v>
      </c>
      <c r="G6044" s="11" t="n">
        <v>5.93</v>
      </c>
      <c r="H6044" s="11">
        <f>H6043+G6044</f>
        <v/>
      </c>
    </row>
    <row r="6045">
      <c r="A6045" s="9" t="n">
        <v>6041</v>
      </c>
      <c r="B6045" s="9" t="inlineStr">
        <is>
          <t>Meridian</t>
        </is>
      </c>
      <c r="C6045" s="9" t="inlineStr">
        <is>
          <t>21/50 MA cross, 250-period confirm filter, VWAP</t>
        </is>
      </c>
      <c r="D6045" s="9" t="inlineStr">
        <is>
          <t>Long</t>
        </is>
      </c>
      <c r="E6045" s="10" t="n">
        <v>46008.63541666666</v>
      </c>
      <c r="F6045" s="10" t="n">
        <v>46009.11805555555</v>
      </c>
      <c r="G6045" s="11" t="n">
        <v>10.45</v>
      </c>
      <c r="H6045" s="11">
        <f>H6044+G6045</f>
        <v/>
      </c>
    </row>
    <row r="6046">
      <c r="A6046" s="9" t="n">
        <v>6042</v>
      </c>
      <c r="B6046" s="9" t="inlineStr">
        <is>
          <t>Vanguard_M15</t>
        </is>
      </c>
      <c r="C6046" s="9" t="inlineStr">
        <is>
          <t>Trendline breakout (fractal swing line) + VWAP/S-R distance gate - M15 chart</t>
        </is>
      </c>
      <c r="D6046" s="9" t="inlineStr">
        <is>
          <t>Long</t>
        </is>
      </c>
      <c r="E6046" s="10" t="n">
        <v>46007.625</v>
      </c>
      <c r="F6046" s="10" t="n">
        <v>46009.375</v>
      </c>
      <c r="G6046" s="11" t="n">
        <v>36.26</v>
      </c>
      <c r="H6046" s="11">
        <f>H6045+G6046</f>
        <v/>
      </c>
    </row>
    <row r="6047">
      <c r="A6047" s="9" t="n">
        <v>6043</v>
      </c>
      <c r="B6047" s="9" t="inlineStr">
        <is>
          <t>Vanguard_M5</t>
        </is>
      </c>
      <c r="C6047" s="9" t="inlineStr">
        <is>
          <t>Trendline breakout (fractal swing line) + VWAP/S-R distance gate</t>
        </is>
      </c>
      <c r="D6047" s="9" t="inlineStr">
        <is>
          <t>Long</t>
        </is>
      </c>
      <c r="E6047" s="10" t="n">
        <v>46007.625</v>
      </c>
      <c r="F6047" s="10" t="n">
        <v>46009.38194444445</v>
      </c>
      <c r="G6047" s="11" t="n">
        <v>36.26</v>
      </c>
      <c r="H6047" s="11">
        <f>H6046+G6047</f>
        <v/>
      </c>
    </row>
    <row r="6048">
      <c r="A6048" s="9" t="n">
        <v>6044</v>
      </c>
      <c r="B6048" s="9" t="inlineStr">
        <is>
          <t>Meridian</t>
        </is>
      </c>
      <c r="C6048" s="9" t="inlineStr">
        <is>
          <t>21/50 MA cross, 250-period confirm filter, VWAP</t>
        </is>
      </c>
      <c r="D6048" s="9" t="inlineStr">
        <is>
          <t>Long</t>
        </is>
      </c>
      <c r="E6048" s="10" t="n">
        <v>46009.3125</v>
      </c>
      <c r="F6048" s="10" t="n">
        <v>46009.38194444445</v>
      </c>
      <c r="G6048" s="11" t="n">
        <v>-5.64</v>
      </c>
      <c r="H6048" s="11">
        <f>H6047+G6048</f>
        <v/>
      </c>
    </row>
    <row r="6049">
      <c r="A6049" s="9" t="n">
        <v>6045</v>
      </c>
      <c r="B6049" s="9" t="inlineStr">
        <is>
          <t>Meridian</t>
        </is>
      </c>
      <c r="C6049" s="9" t="inlineStr">
        <is>
          <t>21/50 MA cross, 250-period confirm filter, VWAP</t>
        </is>
      </c>
      <c r="D6049" s="9" t="inlineStr">
        <is>
          <t>Long</t>
        </is>
      </c>
      <c r="E6049" s="10" t="n">
        <v>46009.40277777778</v>
      </c>
      <c r="F6049" s="10" t="n">
        <v>46009.41666666666</v>
      </c>
      <c r="G6049" s="11" t="n">
        <v>-3.37</v>
      </c>
      <c r="H6049" s="11">
        <f>H6048+G6049</f>
        <v/>
      </c>
    </row>
    <row r="6050">
      <c r="A6050" s="9" t="n">
        <v>6046</v>
      </c>
      <c r="B6050" s="9" t="inlineStr">
        <is>
          <t>Aurelius_M15</t>
        </is>
      </c>
      <c r="C6050" s="9" t="inlineStr">
        <is>
          <t>MA alignment (EMA21&gt;EMA50&gt;SMA250&gt;SMMA500 vs EMA2400 trend filter) - M15 chart</t>
        </is>
      </c>
      <c r="D6050" s="9" t="inlineStr">
        <is>
          <t>Long</t>
        </is>
      </c>
      <c r="E6050" s="10" t="n">
        <v>46008.73958333334</v>
      </c>
      <c r="F6050" s="10" t="n">
        <v>46009.4375</v>
      </c>
      <c r="G6050" s="11" t="n">
        <v>-5.09</v>
      </c>
      <c r="H6050" s="11">
        <f>H6049+G6050</f>
        <v/>
      </c>
    </row>
    <row r="6051">
      <c r="A6051" s="9" t="n">
        <v>6047</v>
      </c>
      <c r="B6051" s="9" t="inlineStr">
        <is>
          <t>MSG</t>
        </is>
      </c>
      <c r="C6051" s="9" t="inlineStr">
        <is>
          <t>Session-range breakout + Fibonacci retracement-zone entry</t>
        </is>
      </c>
      <c r="D6051" s="9" t="inlineStr">
        <is>
          <t>Short</t>
        </is>
      </c>
      <c r="E6051" s="10" t="n">
        <v>46009.64652777778</v>
      </c>
      <c r="F6051" s="10" t="n">
        <v>46009.64652777778</v>
      </c>
      <c r="G6051" s="11" t="n">
        <v>11.73</v>
      </c>
      <c r="H6051" s="11">
        <f>H6050+G6051</f>
        <v/>
      </c>
    </row>
    <row r="6052">
      <c r="A6052" s="9" t="n">
        <v>6048</v>
      </c>
      <c r="B6052" s="9" t="inlineStr">
        <is>
          <t>Vanguard_M5</t>
        </is>
      </c>
      <c r="C6052" s="9" t="inlineStr">
        <is>
          <t>Trendline breakout (fractal swing line) + VWAP/S-R distance gate</t>
        </is>
      </c>
      <c r="D6052" s="9" t="inlineStr">
        <is>
          <t>Short</t>
        </is>
      </c>
      <c r="E6052" s="10" t="n">
        <v>46009.38541666666</v>
      </c>
      <c r="F6052" s="10" t="n">
        <v>46009.65972222222</v>
      </c>
      <c r="G6052" s="11" t="n">
        <v>-9.65</v>
      </c>
      <c r="H6052" s="11">
        <f>H6051+G6052</f>
        <v/>
      </c>
    </row>
    <row r="6053">
      <c r="A6053" s="9" t="n">
        <v>6049</v>
      </c>
      <c r="B6053" s="9" t="inlineStr">
        <is>
          <t>Meridian</t>
        </is>
      </c>
      <c r="C6053" s="9" t="inlineStr">
        <is>
          <t>21/50 MA cross, 250-period confirm filter, VWAP</t>
        </is>
      </c>
      <c r="D6053" s="9" t="inlineStr">
        <is>
          <t>Long</t>
        </is>
      </c>
      <c r="E6053" s="10" t="n">
        <v>46009.65972222222</v>
      </c>
      <c r="F6053" s="10" t="n">
        <v>46009.69097222222</v>
      </c>
      <c r="G6053" s="11" t="n">
        <v>-10.68</v>
      </c>
      <c r="H6053" s="11">
        <f>H6052+G6053</f>
        <v/>
      </c>
    </row>
    <row r="6054">
      <c r="A6054" s="9" t="n">
        <v>6050</v>
      </c>
      <c r="B6054" s="9" t="inlineStr">
        <is>
          <t>Vanguard_M15</t>
        </is>
      </c>
      <c r="C6054" s="9" t="inlineStr">
        <is>
          <t>Trendline breakout (fractal swing line) + VWAP/S-R distance gate - M15 chart</t>
        </is>
      </c>
      <c r="D6054" s="9" t="inlineStr">
        <is>
          <t>Short</t>
        </is>
      </c>
      <c r="E6054" s="10" t="n">
        <v>46009.38541666666</v>
      </c>
      <c r="F6054" s="10" t="n">
        <v>46009.75</v>
      </c>
      <c r="G6054" s="11" t="n">
        <v>-12.93</v>
      </c>
      <c r="H6054" s="11">
        <f>H6053+G6054</f>
        <v/>
      </c>
    </row>
    <row r="6055">
      <c r="A6055" s="9" t="n">
        <v>6051</v>
      </c>
      <c r="B6055" s="9" t="inlineStr">
        <is>
          <t>Aurelius_M15</t>
        </is>
      </c>
      <c r="C6055" s="9" t="inlineStr">
        <is>
          <t>MA alignment (EMA21&gt;EMA50&gt;SMA250&gt;SMMA500 vs EMA2400 trend filter) - M15 chart</t>
        </is>
      </c>
      <c r="D6055" s="9" t="inlineStr">
        <is>
          <t>Long</t>
        </is>
      </c>
      <c r="E6055" s="10" t="n">
        <v>46009.78125</v>
      </c>
      <c r="F6055" s="10" t="n">
        <v>46009.79166666666</v>
      </c>
      <c r="G6055" s="11" t="n">
        <v>-25.78</v>
      </c>
      <c r="H6055" s="11">
        <f>H6054+G6055</f>
        <v/>
      </c>
    </row>
    <row r="6056">
      <c r="A6056" s="9" t="n">
        <v>6052</v>
      </c>
      <c r="B6056" s="9" t="inlineStr">
        <is>
          <t>Ratchet</t>
        </is>
      </c>
      <c r="C6056" s="9" t="inlineStr">
        <is>
          <t>Stochastic scalp with give-back trail exit</t>
        </is>
      </c>
      <c r="D6056" s="9" t="inlineStr">
        <is>
          <t>Long</t>
        </is>
      </c>
      <c r="E6056" s="10" t="n">
        <v>46009.75</v>
      </c>
      <c r="F6056" s="10" t="n">
        <v>46009.79513888889</v>
      </c>
      <c r="G6056" s="11" t="n">
        <v>10.27</v>
      </c>
      <c r="H6056" s="11">
        <f>H6055+G6056</f>
        <v/>
      </c>
    </row>
    <row r="6057">
      <c r="A6057" s="9" t="n">
        <v>6053</v>
      </c>
      <c r="B6057" s="9" t="inlineStr">
        <is>
          <t>Meridian</t>
        </is>
      </c>
      <c r="C6057" s="9" t="inlineStr">
        <is>
          <t>21/50 MA cross, 250-period confirm filter, VWAP</t>
        </is>
      </c>
      <c r="D6057" s="9" t="inlineStr">
        <is>
          <t>Short</t>
        </is>
      </c>
      <c r="E6057" s="10" t="n">
        <v>46009.84722222222</v>
      </c>
      <c r="F6057" s="10" t="n">
        <v>46010.07638888889</v>
      </c>
      <c r="G6057" s="11" t="n">
        <v>-2.63</v>
      </c>
      <c r="H6057" s="11">
        <f>H6056+G6057</f>
        <v/>
      </c>
    </row>
    <row r="6058">
      <c r="A6058" s="9" t="n">
        <v>6054</v>
      </c>
      <c r="B6058" s="9" t="inlineStr">
        <is>
          <t>Ratchet</t>
        </is>
      </c>
      <c r="C6058" s="9" t="inlineStr">
        <is>
          <t>Stochastic scalp with give-back trail exit</t>
        </is>
      </c>
      <c r="D6058" s="9" t="inlineStr">
        <is>
          <t>Long</t>
        </is>
      </c>
      <c r="E6058" s="10" t="n">
        <v>46010.07986111111</v>
      </c>
      <c r="F6058" s="10" t="n">
        <v>46010.08680555555</v>
      </c>
      <c r="G6058" s="11" t="n">
        <v>-3.3</v>
      </c>
      <c r="H6058" s="11">
        <f>H6057+G6058</f>
        <v/>
      </c>
    </row>
    <row r="6059">
      <c r="A6059" s="9" t="n">
        <v>6055</v>
      </c>
      <c r="B6059" s="9" t="inlineStr">
        <is>
          <t>Meridian</t>
        </is>
      </c>
      <c r="C6059" s="9" t="inlineStr">
        <is>
          <t>21/50 MA cross, 250-period confirm filter, VWAP</t>
        </is>
      </c>
      <c r="D6059" s="9" t="inlineStr">
        <is>
          <t>Short</t>
        </is>
      </c>
      <c r="E6059" s="10" t="n">
        <v>46010.09375</v>
      </c>
      <c r="F6059" s="10" t="n">
        <v>46010.32986111111</v>
      </c>
      <c r="G6059" s="11" t="n">
        <v>3.21</v>
      </c>
      <c r="H6059" s="11">
        <f>H6058+G6059</f>
        <v/>
      </c>
    </row>
    <row r="6060">
      <c r="A6060" s="9" t="n">
        <v>6056</v>
      </c>
      <c r="B6060" s="9" t="inlineStr">
        <is>
          <t>Vanguard_M15</t>
        </is>
      </c>
      <c r="C6060" s="9" t="inlineStr">
        <is>
          <t>Trendline breakout (fractal swing line) + VWAP/S-R distance gate - M15 chart</t>
        </is>
      </c>
      <c r="D6060" s="9" t="inlineStr">
        <is>
          <t>Short</t>
        </is>
      </c>
      <c r="E6060" s="10" t="n">
        <v>46009.80208333334</v>
      </c>
      <c r="F6060" s="10" t="n">
        <v>46010.625</v>
      </c>
      <c r="G6060" s="11" t="n">
        <v>-1.93</v>
      </c>
      <c r="H6060" s="11">
        <f>H6059+G6060</f>
        <v/>
      </c>
    </row>
    <row r="6061">
      <c r="A6061" s="9" t="n">
        <v>6057</v>
      </c>
      <c r="B6061" s="9" t="inlineStr">
        <is>
          <t>Vanguard_M5</t>
        </is>
      </c>
      <c r="C6061" s="9" t="inlineStr">
        <is>
          <t>Trendline breakout (fractal swing line) + VWAP/S-R distance gate</t>
        </is>
      </c>
      <c r="D6061" s="9" t="inlineStr">
        <is>
          <t>Short</t>
        </is>
      </c>
      <c r="E6061" s="10" t="n">
        <v>46009.79861111111</v>
      </c>
      <c r="F6061" s="10" t="n">
        <v>46010.62847222222</v>
      </c>
      <c r="G6061" s="11" t="n">
        <v>-1.89</v>
      </c>
      <c r="H6061" s="11">
        <f>H6060+G6061</f>
        <v/>
      </c>
    </row>
    <row r="6062">
      <c r="A6062" s="9" t="n">
        <v>6058</v>
      </c>
      <c r="B6062" s="9" t="inlineStr">
        <is>
          <t>Meridian</t>
        </is>
      </c>
      <c r="C6062" s="9" t="inlineStr">
        <is>
          <t>21/50 MA cross, 250-period confirm filter, VWAP</t>
        </is>
      </c>
      <c r="D6062" s="9" t="inlineStr">
        <is>
          <t>Short</t>
        </is>
      </c>
      <c r="E6062" s="10" t="n">
        <v>46010.59375</v>
      </c>
      <c r="F6062" s="10" t="n">
        <v>46010.62847222222</v>
      </c>
      <c r="G6062" s="11" t="n">
        <v>-6.37</v>
      </c>
      <c r="H6062" s="11">
        <f>H6061+G6062</f>
        <v/>
      </c>
    </row>
    <row r="6063">
      <c r="A6063" s="9" t="n">
        <v>6059</v>
      </c>
      <c r="B6063" s="9" t="inlineStr">
        <is>
          <t>MSG</t>
        </is>
      </c>
      <c r="C6063" s="9" t="inlineStr">
        <is>
          <t>Session-range breakout + Fibonacci retracement-zone entry</t>
        </is>
      </c>
      <c r="D6063" s="9" t="inlineStr">
        <is>
          <t>Long</t>
        </is>
      </c>
      <c r="E6063" s="10" t="n">
        <v>46010.66736111111</v>
      </c>
      <c r="F6063" s="10" t="n">
        <v>46010.67291666667</v>
      </c>
      <c r="G6063" s="11" t="n">
        <v>12.22</v>
      </c>
      <c r="H6063" s="11">
        <f>H6062+G6063</f>
        <v/>
      </c>
    </row>
    <row r="6064">
      <c r="A6064" s="9" t="n">
        <v>6060</v>
      </c>
      <c r="B6064" s="9" t="inlineStr">
        <is>
          <t>Aurelius_M5</t>
        </is>
      </c>
      <c r="C6064" s="9" t="inlineStr">
        <is>
          <t>MA alignment (EMA21&gt;EMA50&gt;SMA250&gt;SMMA500 vs EMA2400 trend filter)</t>
        </is>
      </c>
      <c r="D6064" s="9" t="inlineStr">
        <is>
          <t>Long</t>
        </is>
      </c>
      <c r="E6064" s="10" t="n">
        <v>46010.69097222222</v>
      </c>
      <c r="F6064" s="10" t="n">
        <v>46010.69791666666</v>
      </c>
      <c r="G6064" s="11" t="n">
        <v>-10.33</v>
      </c>
      <c r="H6064" s="11">
        <f>H6063+G6064</f>
        <v/>
      </c>
    </row>
    <row r="6065">
      <c r="A6065" s="9" t="n">
        <v>6061</v>
      </c>
      <c r="B6065" s="9" t="inlineStr">
        <is>
          <t>Ratchet</t>
        </is>
      </c>
      <c r="C6065" s="9" t="inlineStr">
        <is>
          <t>Stochastic scalp with give-back trail exit</t>
        </is>
      </c>
      <c r="D6065" s="9" t="inlineStr">
        <is>
          <t>Long</t>
        </is>
      </c>
      <c r="E6065" s="10" t="n">
        <v>46010.78472222222</v>
      </c>
      <c r="F6065" s="10" t="n">
        <v>46010.79861111111</v>
      </c>
      <c r="G6065" s="11" t="n">
        <v>1.99</v>
      </c>
      <c r="H6065" s="11">
        <f>H6064+G6065</f>
        <v/>
      </c>
    </row>
    <row r="6066">
      <c r="A6066" s="9" t="n">
        <v>6062</v>
      </c>
      <c r="B6066" s="9" t="inlineStr">
        <is>
          <t>Aurelius_M5</t>
        </is>
      </c>
      <c r="C6066" s="9" t="inlineStr">
        <is>
          <t>MA alignment (EMA21&gt;EMA50&gt;SMA250&gt;SMMA500 vs EMA2400 trend filter)</t>
        </is>
      </c>
      <c r="D6066" s="9" t="inlineStr">
        <is>
          <t>Long</t>
        </is>
      </c>
      <c r="E6066" s="10" t="n">
        <v>46010.71527777778</v>
      </c>
      <c r="F6066" s="10" t="n">
        <v>46010.92013888889</v>
      </c>
      <c r="G6066" s="11" t="n">
        <v>-0.9399999999999999</v>
      </c>
      <c r="H6066" s="11">
        <f>H6065+G6066</f>
        <v/>
      </c>
    </row>
    <row r="6067">
      <c r="A6067" s="9" t="n">
        <v>6063</v>
      </c>
      <c r="B6067" s="9" t="inlineStr">
        <is>
          <t>Aurelius_M15</t>
        </is>
      </c>
      <c r="C6067" s="9" t="inlineStr">
        <is>
          <t>MA alignment (EMA21&gt;EMA50&gt;SMA250&gt;SMMA500 vs EMA2400 trend filter) - M15 chart</t>
        </is>
      </c>
      <c r="D6067" s="9" t="inlineStr">
        <is>
          <t>Long</t>
        </is>
      </c>
      <c r="E6067" s="10" t="n">
        <v>46010.70833333334</v>
      </c>
      <c r="F6067" s="10" t="n">
        <v>46010.92708333334</v>
      </c>
      <c r="G6067" s="11" t="n">
        <v>10.01</v>
      </c>
      <c r="H6067" s="11">
        <f>H6066+G6067</f>
        <v/>
      </c>
    </row>
    <row r="6068">
      <c r="A6068" s="9" t="n">
        <v>6064</v>
      </c>
      <c r="B6068" s="9" t="inlineStr">
        <is>
          <t>Ratchet</t>
        </is>
      </c>
      <c r="C6068" s="9" t="inlineStr">
        <is>
          <t>Stochastic scalp with give-back trail exit</t>
        </is>
      </c>
      <c r="D6068" s="9" t="inlineStr">
        <is>
          <t>Long</t>
        </is>
      </c>
      <c r="E6068" s="10" t="n">
        <v>46013.08333333334</v>
      </c>
      <c r="F6068" s="10" t="n">
        <v>46013.08680555555</v>
      </c>
      <c r="G6068" s="11" t="n">
        <v>2.1</v>
      </c>
      <c r="H6068" s="11">
        <f>H6067+G6068</f>
        <v/>
      </c>
    </row>
    <row r="6069">
      <c r="A6069" s="9" t="n">
        <v>6065</v>
      </c>
      <c r="B6069" s="9" t="inlineStr">
        <is>
          <t>Ratchet</t>
        </is>
      </c>
      <c r="C6069" s="9" t="inlineStr">
        <is>
          <t>Stochastic scalp with give-back trail exit</t>
        </is>
      </c>
      <c r="D6069" s="9" t="inlineStr">
        <is>
          <t>Long</t>
        </is>
      </c>
      <c r="E6069" s="10" t="n">
        <v>46013.34722222222</v>
      </c>
      <c r="F6069" s="10" t="n">
        <v>46013.44097222222</v>
      </c>
      <c r="G6069" s="11" t="n">
        <v>4.7</v>
      </c>
      <c r="H6069" s="11">
        <f>H6068+G6069</f>
        <v/>
      </c>
    </row>
    <row r="6070">
      <c r="A6070" s="9" t="n">
        <v>6066</v>
      </c>
      <c r="B6070" s="9" t="inlineStr">
        <is>
          <t>MSG</t>
        </is>
      </c>
      <c r="C6070" s="9" t="inlineStr">
        <is>
          <t>Session-range breakout + Fibonacci retracement-zone entry</t>
        </is>
      </c>
      <c r="D6070" s="9" t="inlineStr">
        <is>
          <t>Long</t>
        </is>
      </c>
      <c r="E6070" s="10" t="n">
        <v>46013.64236111111</v>
      </c>
      <c r="F6070" s="10" t="n">
        <v>46013.64652777778</v>
      </c>
      <c r="G6070" s="11" t="n">
        <v>17.44</v>
      </c>
      <c r="H6070" s="11">
        <f>H6069+G6070</f>
        <v/>
      </c>
    </row>
    <row r="6071">
      <c r="A6071" s="9" t="n">
        <v>6067</v>
      </c>
      <c r="B6071" s="9" t="inlineStr">
        <is>
          <t>Ratchet</t>
        </is>
      </c>
      <c r="C6071" s="9" t="inlineStr">
        <is>
          <t>Stochastic scalp with give-back trail exit</t>
        </is>
      </c>
      <c r="D6071" s="9" t="inlineStr">
        <is>
          <t>Long</t>
        </is>
      </c>
      <c r="E6071" s="10" t="n">
        <v>46013.73611111111</v>
      </c>
      <c r="F6071" s="10" t="n">
        <v>46013.86458333334</v>
      </c>
      <c r="G6071" s="11" t="n">
        <v>4.86</v>
      </c>
      <c r="H6071" s="11">
        <f>H6070+G6071</f>
        <v/>
      </c>
    </row>
    <row r="6072">
      <c r="A6072" s="9" t="n">
        <v>6068</v>
      </c>
      <c r="B6072" s="9" t="inlineStr">
        <is>
          <t>Ratchet</t>
        </is>
      </c>
      <c r="C6072" s="9" t="inlineStr">
        <is>
          <t>Stochastic scalp with give-back trail exit</t>
        </is>
      </c>
      <c r="D6072" s="9" t="inlineStr">
        <is>
          <t>Long</t>
        </is>
      </c>
      <c r="E6072" s="10" t="n">
        <v>46013.95833333334</v>
      </c>
      <c r="F6072" s="10" t="n">
        <v>46013.99652777778</v>
      </c>
      <c r="G6072" s="11" t="n">
        <v>6.21</v>
      </c>
      <c r="H6072" s="11">
        <f>H6071+G6072</f>
        <v/>
      </c>
    </row>
    <row r="6073">
      <c r="A6073" s="9" t="n">
        <v>6069</v>
      </c>
      <c r="B6073" s="9" t="inlineStr">
        <is>
          <t>Aurelius_M5</t>
        </is>
      </c>
      <c r="C6073" s="9" t="inlineStr">
        <is>
          <t>MA alignment (EMA21&gt;EMA50&gt;SMA250&gt;SMMA500 vs EMA2400 trend filter)</t>
        </is>
      </c>
      <c r="D6073" s="9" t="inlineStr">
        <is>
          <t>Long</t>
        </is>
      </c>
      <c r="E6073" s="10" t="n">
        <v>46013.56944444445</v>
      </c>
      <c r="F6073" s="10" t="n">
        <v>46014.04166666666</v>
      </c>
      <c r="G6073" s="11" t="n">
        <v>32.33</v>
      </c>
      <c r="H6073" s="11">
        <f>H6072+G6073</f>
        <v/>
      </c>
    </row>
    <row r="6074">
      <c r="A6074" s="9" t="n">
        <v>6070</v>
      </c>
      <c r="B6074" s="9" t="inlineStr">
        <is>
          <t>Aurelius_M5</t>
        </is>
      </c>
      <c r="C6074" s="9" t="inlineStr">
        <is>
          <t>MA alignment (EMA21&gt;EMA50&gt;SMA250&gt;SMMA500 vs EMA2400 trend filter)</t>
        </is>
      </c>
      <c r="D6074" s="9" t="inlineStr">
        <is>
          <t>Long</t>
        </is>
      </c>
      <c r="E6074" s="10" t="n">
        <v>46014.31597222222</v>
      </c>
      <c r="F6074" s="10" t="n">
        <v>46014.33333333334</v>
      </c>
      <c r="G6074" s="11" t="n">
        <v>-8.81</v>
      </c>
      <c r="H6074" s="11">
        <f>H6073+G6074</f>
        <v/>
      </c>
    </row>
    <row r="6075">
      <c r="A6075" s="9" t="n">
        <v>6071</v>
      </c>
      <c r="B6075" s="9" t="inlineStr">
        <is>
          <t>Meridian</t>
        </is>
      </c>
      <c r="C6075" s="9" t="inlineStr">
        <is>
          <t>21/50 MA cross, 250-period confirm filter, VWAP</t>
        </is>
      </c>
      <c r="D6075" s="9" t="inlineStr">
        <is>
          <t>Long</t>
        </is>
      </c>
      <c r="E6075" s="10" t="n">
        <v>46013.07291666666</v>
      </c>
      <c r="F6075" s="10" t="n">
        <v>46014.34375</v>
      </c>
      <c r="G6075" s="11" t="n">
        <v>122.95</v>
      </c>
      <c r="H6075" s="11">
        <f>H6074+G6075</f>
        <v/>
      </c>
    </row>
    <row r="6076">
      <c r="A6076" s="9" t="n">
        <v>6072</v>
      </c>
      <c r="B6076" s="9" t="inlineStr">
        <is>
          <t>Ratchet</t>
        </is>
      </c>
      <c r="C6076" s="9" t="inlineStr">
        <is>
          <t>Stochastic scalp with give-back trail exit</t>
        </is>
      </c>
      <c r="D6076" s="9" t="inlineStr">
        <is>
          <t>Long</t>
        </is>
      </c>
      <c r="E6076" s="10" t="n">
        <v>46014.41319444445</v>
      </c>
      <c r="F6076" s="10" t="n">
        <v>46014.45138888889</v>
      </c>
      <c r="G6076" s="11" t="n">
        <v>1.09</v>
      </c>
      <c r="H6076" s="11">
        <f>H6075+G6076</f>
        <v/>
      </c>
    </row>
    <row r="6077">
      <c r="A6077" s="9" t="n">
        <v>6073</v>
      </c>
      <c r="B6077" s="9" t="inlineStr">
        <is>
          <t>Aurelius_M5</t>
        </is>
      </c>
      <c r="C6077" s="9" t="inlineStr">
        <is>
          <t>MA alignment (EMA21&gt;EMA50&gt;SMA250&gt;SMMA500 vs EMA2400 trend filter)</t>
        </is>
      </c>
      <c r="D6077" s="9" t="inlineStr">
        <is>
          <t>Long</t>
        </is>
      </c>
      <c r="E6077" s="10" t="n">
        <v>46014.57986111111</v>
      </c>
      <c r="F6077" s="10" t="n">
        <v>46014.59027777778</v>
      </c>
      <c r="G6077" s="11" t="n">
        <v>-6.22</v>
      </c>
      <c r="H6077" s="11">
        <f>H6076+G6077</f>
        <v/>
      </c>
    </row>
    <row r="6078">
      <c r="A6078" s="9" t="n">
        <v>6074</v>
      </c>
      <c r="B6078" s="9" t="inlineStr">
        <is>
          <t>Ratchet</t>
        </is>
      </c>
      <c r="C6078" s="9" t="inlineStr">
        <is>
          <t>Stochastic scalp with give-back trail exit</t>
        </is>
      </c>
      <c r="D6078" s="9" t="inlineStr">
        <is>
          <t>Long</t>
        </is>
      </c>
      <c r="E6078" s="10" t="n">
        <v>46014.64930555555</v>
      </c>
      <c r="F6078" s="10" t="n">
        <v>46014.64930555555</v>
      </c>
      <c r="G6078" s="11" t="n">
        <v>-6.8</v>
      </c>
      <c r="H6078" s="11">
        <f>H6077+G6078</f>
        <v/>
      </c>
    </row>
    <row r="6079">
      <c r="A6079" s="9" t="n">
        <v>6075</v>
      </c>
      <c r="B6079" s="9" t="inlineStr">
        <is>
          <t>Meridian</t>
        </is>
      </c>
      <c r="C6079" s="9" t="inlineStr">
        <is>
          <t>21/50 MA cross, 250-period confirm filter, VWAP</t>
        </is>
      </c>
      <c r="D6079" s="9" t="inlineStr">
        <is>
          <t>Long</t>
        </is>
      </c>
      <c r="E6079" s="10" t="n">
        <v>46014.39236111111</v>
      </c>
      <c r="F6079" s="10" t="n">
        <v>46014.65972222222</v>
      </c>
      <c r="G6079" s="11" t="n">
        <v>-8.23</v>
      </c>
      <c r="H6079" s="11">
        <f>H6078+G6079</f>
        <v/>
      </c>
    </row>
    <row r="6080">
      <c r="A6080" s="9" t="n">
        <v>6076</v>
      </c>
      <c r="B6080" s="9" t="inlineStr">
        <is>
          <t>Aurelius_M5</t>
        </is>
      </c>
      <c r="C6080" s="9" t="inlineStr">
        <is>
          <t>MA alignment (EMA21&gt;EMA50&gt;SMA250&gt;SMMA500 vs EMA2400 trend filter)</t>
        </is>
      </c>
      <c r="D6080" s="9" t="inlineStr">
        <is>
          <t>Long</t>
        </is>
      </c>
      <c r="E6080" s="10" t="n">
        <v>46014.61458333334</v>
      </c>
      <c r="F6080" s="10" t="n">
        <v>46014.65972222222</v>
      </c>
      <c r="G6080" s="11" t="n">
        <v>-6.05</v>
      </c>
      <c r="H6080" s="11">
        <f>H6079+G6080</f>
        <v/>
      </c>
    </row>
    <row r="6081">
      <c r="A6081" s="9" t="n">
        <v>6077</v>
      </c>
      <c r="B6081" s="9" t="inlineStr">
        <is>
          <t>MSG</t>
        </is>
      </c>
      <c r="C6081" s="9" t="inlineStr">
        <is>
          <t>Session-range breakout + Fibonacci retracement-zone entry</t>
        </is>
      </c>
      <c r="D6081" s="9" t="inlineStr">
        <is>
          <t>Long</t>
        </is>
      </c>
      <c r="E6081" s="10" t="n">
        <v>46014.64375</v>
      </c>
      <c r="F6081" s="10" t="n">
        <v>46014.66041666667</v>
      </c>
      <c r="G6081" s="11" t="n">
        <v>-16.18</v>
      </c>
      <c r="H6081" s="11">
        <f>H6080+G6081</f>
        <v/>
      </c>
    </row>
    <row r="6082">
      <c r="A6082" s="9" t="n">
        <v>6078</v>
      </c>
      <c r="B6082" s="9" t="inlineStr">
        <is>
          <t>Ratchet</t>
        </is>
      </c>
      <c r="C6082" s="9" t="inlineStr">
        <is>
          <t>Stochastic scalp with give-back trail exit</t>
        </is>
      </c>
      <c r="D6082" s="9" t="inlineStr">
        <is>
          <t>Long</t>
        </is>
      </c>
      <c r="E6082" s="10" t="n">
        <v>46014.95486111111</v>
      </c>
      <c r="F6082" s="10" t="n">
        <v>46014.95833333334</v>
      </c>
      <c r="G6082" s="11" t="n">
        <v>0.99</v>
      </c>
      <c r="H6082" s="11">
        <f>H6081+G6082</f>
        <v/>
      </c>
    </row>
    <row r="6083">
      <c r="A6083" s="9" t="n">
        <v>6079</v>
      </c>
      <c r="B6083" s="9" t="inlineStr">
        <is>
          <t>Ratchet</t>
        </is>
      </c>
      <c r="C6083" s="9" t="inlineStr">
        <is>
          <t>Stochastic scalp with give-back trail exit</t>
        </is>
      </c>
      <c r="D6083" s="9" t="inlineStr">
        <is>
          <t>Long</t>
        </is>
      </c>
      <c r="E6083" s="10" t="n">
        <v>46015.12847222222</v>
      </c>
      <c r="F6083" s="10" t="n">
        <v>46015.13194444445</v>
      </c>
      <c r="G6083" s="11" t="n">
        <v>1.16</v>
      </c>
      <c r="H6083" s="11">
        <f>H6082+G6083</f>
        <v/>
      </c>
    </row>
    <row r="6084">
      <c r="A6084" s="9" t="n">
        <v>6080</v>
      </c>
      <c r="B6084" s="9" t="inlineStr">
        <is>
          <t>Meridian</t>
        </is>
      </c>
      <c r="C6084" s="9" t="inlineStr">
        <is>
          <t>21/50 MA cross, 250-period confirm filter, VWAP</t>
        </is>
      </c>
      <c r="D6084" s="9" t="inlineStr">
        <is>
          <t>Short</t>
        </is>
      </c>
      <c r="E6084" s="10" t="n">
        <v>46015.21527777778</v>
      </c>
      <c r="F6084" s="10" t="n">
        <v>46015.50694444445</v>
      </c>
      <c r="G6084" s="11" t="n">
        <v>-13.71</v>
      </c>
      <c r="H6084" s="11">
        <f>H6083+G6084</f>
        <v/>
      </c>
    </row>
    <row r="6085">
      <c r="A6085" s="9" t="n">
        <v>6081</v>
      </c>
      <c r="B6085" s="9" t="inlineStr">
        <is>
          <t>MSG</t>
        </is>
      </c>
      <c r="C6085" s="9" t="inlineStr">
        <is>
          <t>Session-range breakout + Fibonacci retracement-zone entry</t>
        </is>
      </c>
      <c r="D6085" s="9" t="inlineStr">
        <is>
          <t>Long</t>
        </is>
      </c>
      <c r="E6085" s="10" t="n">
        <v>46015.52291666667</v>
      </c>
      <c r="F6085" s="10" t="n">
        <v>46015.52361111111</v>
      </c>
      <c r="G6085" s="11" t="n">
        <v>-14.62</v>
      </c>
      <c r="H6085" s="11">
        <f>H6084+G6085</f>
        <v/>
      </c>
    </row>
    <row r="6086">
      <c r="A6086" s="9" t="n">
        <v>6082</v>
      </c>
      <c r="B6086" s="9" t="inlineStr">
        <is>
          <t>Meridian</t>
        </is>
      </c>
      <c r="C6086" s="9" t="inlineStr">
        <is>
          <t>21/50 MA cross, 250-period confirm filter, VWAP</t>
        </is>
      </c>
      <c r="D6086" s="9" t="inlineStr">
        <is>
          <t>Short</t>
        </is>
      </c>
      <c r="E6086" s="10" t="n">
        <v>46015.52777777778</v>
      </c>
      <c r="F6086" s="10" t="n">
        <v>46015.59027777778</v>
      </c>
      <c r="G6086" s="11" t="n">
        <v>-10.77</v>
      </c>
      <c r="H6086" s="11">
        <f>H6085+G6086</f>
        <v/>
      </c>
    </row>
    <row r="6087">
      <c r="A6087" s="9" t="n">
        <v>6083</v>
      </c>
      <c r="B6087" s="9" t="inlineStr">
        <is>
          <t>Meridian</t>
        </is>
      </c>
      <c r="C6087" s="9" t="inlineStr">
        <is>
          <t>21/50 MA cross, 250-period confirm filter, VWAP</t>
        </is>
      </c>
      <c r="D6087" s="9" t="inlineStr">
        <is>
          <t>Short</t>
        </is>
      </c>
      <c r="E6087" s="10" t="n">
        <v>46015.63541666666</v>
      </c>
      <c r="F6087" s="10" t="n">
        <v>46015.82638888889</v>
      </c>
      <c r="G6087" s="11" t="n">
        <v>3.55</v>
      </c>
      <c r="H6087" s="11">
        <f>H6086+G6087</f>
        <v/>
      </c>
    </row>
    <row r="6088">
      <c r="A6088" s="9" t="n">
        <v>6084</v>
      </c>
      <c r="B6088" s="9" t="inlineStr">
        <is>
          <t>Vanguard_M5</t>
        </is>
      </c>
      <c r="C6088" s="9" t="inlineStr">
        <is>
          <t>Trendline breakout (fractal swing line) + VWAP/S-R distance gate</t>
        </is>
      </c>
      <c r="D6088" s="9" t="inlineStr">
        <is>
          <t>Short</t>
        </is>
      </c>
      <c r="E6088" s="10" t="n">
        <v>46015.55902777778</v>
      </c>
      <c r="F6088" s="10" t="n">
        <v>46017.33333333334</v>
      </c>
      <c r="G6088" s="11" t="n">
        <v>-14.01</v>
      </c>
      <c r="H6088" s="11">
        <f>H6087+G6088</f>
        <v/>
      </c>
    </row>
    <row r="6089">
      <c r="A6089" s="9" t="n">
        <v>6085</v>
      </c>
      <c r="B6089" s="9" t="inlineStr">
        <is>
          <t>Vanguard_M15</t>
        </is>
      </c>
      <c r="C6089" s="9" t="inlineStr">
        <is>
          <t>Trendline breakout (fractal swing line) + VWAP/S-R distance gate - M15 chart</t>
        </is>
      </c>
      <c r="D6089" s="9" t="inlineStr">
        <is>
          <t>Short</t>
        </is>
      </c>
      <c r="E6089" s="10" t="n">
        <v>46015.5625</v>
      </c>
      <c r="F6089" s="10" t="n">
        <v>46017.33333333334</v>
      </c>
      <c r="G6089" s="11" t="n">
        <v>-21.24</v>
      </c>
      <c r="H6089" s="11">
        <f>H6088+G6089</f>
        <v/>
      </c>
    </row>
    <row r="6090">
      <c r="A6090" s="9" t="n">
        <v>6086</v>
      </c>
      <c r="B6090" s="9" t="inlineStr">
        <is>
          <t>Ratchet</t>
        </is>
      </c>
      <c r="C6090" s="9" t="inlineStr">
        <is>
          <t>Stochastic scalp with give-back trail exit</t>
        </is>
      </c>
      <c r="D6090" s="9" t="inlineStr">
        <is>
          <t>Long</t>
        </is>
      </c>
      <c r="E6090" s="10" t="n">
        <v>46017.37847222222</v>
      </c>
      <c r="F6090" s="10" t="n">
        <v>46017.39236111111</v>
      </c>
      <c r="G6090" s="11" t="n">
        <v>0</v>
      </c>
      <c r="H6090" s="11">
        <f>H6089+G6090</f>
        <v/>
      </c>
    </row>
    <row r="6091">
      <c r="A6091" s="9" t="n">
        <v>6087</v>
      </c>
      <c r="B6091" s="9" t="inlineStr">
        <is>
          <t>MSG</t>
        </is>
      </c>
      <c r="C6091" s="9" t="inlineStr">
        <is>
          <t>Session-range breakout + Fibonacci retracement-zone entry</t>
        </is>
      </c>
      <c r="D6091" s="9" t="inlineStr">
        <is>
          <t>Long</t>
        </is>
      </c>
      <c r="E6091" s="10" t="n">
        <v>46017.53055555555</v>
      </c>
      <c r="F6091" s="10" t="n">
        <v>46017.53680555556</v>
      </c>
      <c r="G6091" s="11" t="n">
        <v>-13.52</v>
      </c>
      <c r="H6091" s="11">
        <f>H6090+G6091</f>
        <v/>
      </c>
    </row>
    <row r="6092">
      <c r="A6092" s="9" t="n">
        <v>6088</v>
      </c>
      <c r="B6092" s="9" t="inlineStr">
        <is>
          <t>Ratchet</t>
        </is>
      </c>
      <c r="C6092" s="9" t="inlineStr">
        <is>
          <t>Stochastic scalp with give-back trail exit</t>
        </is>
      </c>
      <c r="D6092" s="9" t="inlineStr">
        <is>
          <t>Long</t>
        </is>
      </c>
      <c r="E6092" s="10" t="n">
        <v>46017.61111111111</v>
      </c>
      <c r="F6092" s="10" t="n">
        <v>46017.62152777778</v>
      </c>
      <c r="G6092" s="11" t="n">
        <v>-6.05</v>
      </c>
      <c r="H6092" s="11">
        <f>H6091+G6092</f>
        <v/>
      </c>
    </row>
    <row r="6093">
      <c r="A6093" s="9" t="n">
        <v>6089</v>
      </c>
      <c r="B6093" s="9" t="inlineStr">
        <is>
          <t>Meridian</t>
        </is>
      </c>
      <c r="C6093" s="9" t="inlineStr">
        <is>
          <t>21/50 MA cross, 250-period confirm filter, VWAP</t>
        </is>
      </c>
      <c r="D6093" s="9" t="inlineStr">
        <is>
          <t>Long</t>
        </is>
      </c>
      <c r="E6093" s="10" t="n">
        <v>46017.60763888889</v>
      </c>
      <c r="F6093" s="10" t="n">
        <v>46017.625</v>
      </c>
      <c r="G6093" s="11" t="n">
        <v>-9.130000000000001</v>
      </c>
      <c r="H6093" s="11">
        <f>H6092+G6093</f>
        <v/>
      </c>
    </row>
    <row r="6094">
      <c r="A6094" s="9" t="n">
        <v>6090</v>
      </c>
      <c r="B6094" s="9" t="inlineStr">
        <is>
          <t>Ratchet</t>
        </is>
      </c>
      <c r="C6094" s="9" t="inlineStr">
        <is>
          <t>Stochastic scalp with give-back trail exit</t>
        </is>
      </c>
      <c r="D6094" s="9" t="inlineStr">
        <is>
          <t>Long</t>
        </is>
      </c>
      <c r="E6094" s="10" t="n">
        <v>46017.63888888889</v>
      </c>
      <c r="F6094" s="10" t="n">
        <v>46017.64236111111</v>
      </c>
      <c r="G6094" s="11" t="n">
        <v>0.95</v>
      </c>
      <c r="H6094" s="11">
        <f>H6093+G6094</f>
        <v/>
      </c>
    </row>
    <row r="6095">
      <c r="A6095" s="9" t="n">
        <v>6091</v>
      </c>
      <c r="B6095" s="9" t="inlineStr">
        <is>
          <t>Aurelius_M5</t>
        </is>
      </c>
      <c r="C6095" s="9" t="inlineStr">
        <is>
          <t>MA alignment (EMA21&gt;EMA50&gt;SMA250&gt;SMMA500 vs EMA2400 trend filter)</t>
        </is>
      </c>
      <c r="D6095" s="9" t="inlineStr">
        <is>
          <t>Long</t>
        </is>
      </c>
      <c r="E6095" s="10" t="n">
        <v>46017.65972222222</v>
      </c>
      <c r="F6095" s="10" t="n">
        <v>46017.82638888889</v>
      </c>
      <c r="G6095" s="11" t="n">
        <v>4.22</v>
      </c>
      <c r="H6095" s="11">
        <f>H6094+G6095</f>
        <v/>
      </c>
    </row>
    <row r="6096">
      <c r="A6096" s="9" t="n">
        <v>6092</v>
      </c>
      <c r="B6096" s="9" t="inlineStr">
        <is>
          <t>Meridian</t>
        </is>
      </c>
      <c r="C6096" s="9" t="inlineStr">
        <is>
          <t>21/50 MA cross, 250-period confirm filter, VWAP</t>
        </is>
      </c>
      <c r="D6096" s="9" t="inlineStr">
        <is>
          <t>Long</t>
        </is>
      </c>
      <c r="E6096" s="10" t="n">
        <v>46017.88888888889</v>
      </c>
      <c r="F6096" s="10" t="n">
        <v>46017.89930555555</v>
      </c>
      <c r="G6096" s="11" t="n">
        <v>-13.28</v>
      </c>
      <c r="H6096" s="11">
        <f>H6095+G6096</f>
        <v/>
      </c>
    </row>
    <row r="6097">
      <c r="A6097" s="9" t="n">
        <v>6093</v>
      </c>
      <c r="B6097" s="9" t="inlineStr">
        <is>
          <t>Meridian</t>
        </is>
      </c>
      <c r="C6097" s="9" t="inlineStr">
        <is>
          <t>21/50 MA cross, 250-period confirm filter, VWAP</t>
        </is>
      </c>
      <c r="D6097" s="9" t="inlineStr">
        <is>
          <t>Short</t>
        </is>
      </c>
      <c r="E6097" s="10" t="n">
        <v>46020.09722222222</v>
      </c>
      <c r="F6097" s="10" t="n">
        <v>46020.25347222222</v>
      </c>
      <c r="G6097" s="11" t="n">
        <v>-5.27</v>
      </c>
      <c r="H6097" s="11">
        <f>H6096+G6097</f>
        <v/>
      </c>
    </row>
    <row r="6098">
      <c r="A6098" s="9" t="n">
        <v>6094</v>
      </c>
      <c r="B6098" s="9" t="inlineStr">
        <is>
          <t>Meridian</t>
        </is>
      </c>
      <c r="C6098" s="9" t="inlineStr">
        <is>
          <t>21/50 MA cross, 250-period confirm filter, VWAP</t>
        </is>
      </c>
      <c r="D6098" s="9" t="inlineStr">
        <is>
          <t>Short</t>
        </is>
      </c>
      <c r="E6098" s="10" t="n">
        <v>46020.25694444445</v>
      </c>
      <c r="F6098" s="10" t="n">
        <v>46020.27430555555</v>
      </c>
      <c r="G6098" s="11" t="n">
        <v>-9.380000000000001</v>
      </c>
      <c r="H6098" s="11">
        <f>H6097+G6098</f>
        <v/>
      </c>
    </row>
    <row r="6099">
      <c r="A6099" s="9" t="n">
        <v>6095</v>
      </c>
      <c r="B6099" s="9" t="inlineStr">
        <is>
          <t>MSG</t>
        </is>
      </c>
      <c r="C6099" s="9" t="inlineStr">
        <is>
          <t>Session-range breakout + Fibonacci retracement-zone entry</t>
        </is>
      </c>
      <c r="D6099" s="9" t="inlineStr">
        <is>
          <t>Short</t>
        </is>
      </c>
      <c r="E6099" s="10" t="n">
        <v>46020.61111111111</v>
      </c>
      <c r="F6099" s="10" t="n">
        <v>46020.65416666667</v>
      </c>
      <c r="G6099" s="11" t="n">
        <v>63.76</v>
      </c>
      <c r="H6099" s="11">
        <f>H6098+G6099</f>
        <v/>
      </c>
    </row>
    <row r="6100">
      <c r="A6100" s="9" t="n">
        <v>6096</v>
      </c>
      <c r="B6100" s="9" t="inlineStr">
        <is>
          <t>Ratchet</t>
        </is>
      </c>
      <c r="C6100" s="9" t="inlineStr">
        <is>
          <t>Stochastic scalp with give-back trail exit</t>
        </is>
      </c>
      <c r="D6100" s="9" t="inlineStr">
        <is>
          <t>Short</t>
        </is>
      </c>
      <c r="E6100" s="10" t="n">
        <v>46020.68055555555</v>
      </c>
      <c r="F6100" s="10" t="n">
        <v>46020.68402777778</v>
      </c>
      <c r="G6100" s="11" t="n">
        <v>-0</v>
      </c>
      <c r="H6100" s="11">
        <f>H6099+G6100</f>
        <v/>
      </c>
    </row>
    <row r="6101">
      <c r="A6101" s="9" t="n">
        <v>6097</v>
      </c>
      <c r="B6101" s="9" t="inlineStr">
        <is>
          <t>Ratchet</t>
        </is>
      </c>
      <c r="C6101" s="9" t="inlineStr">
        <is>
          <t>Stochastic scalp with give-back trail exit</t>
        </is>
      </c>
      <c r="D6101" s="9" t="inlineStr">
        <is>
          <t>Short</t>
        </is>
      </c>
      <c r="E6101" s="10" t="n">
        <v>46020.80208333334</v>
      </c>
      <c r="F6101" s="10" t="n">
        <v>46020.80902777778</v>
      </c>
      <c r="G6101" s="11" t="n">
        <v>1.25</v>
      </c>
      <c r="H6101" s="11">
        <f>H6100+G6101</f>
        <v/>
      </c>
    </row>
    <row r="6102">
      <c r="A6102" s="9" t="n">
        <v>6098</v>
      </c>
      <c r="B6102" s="9" t="inlineStr">
        <is>
          <t>Meridian</t>
        </is>
      </c>
      <c r="C6102" s="9" t="inlineStr">
        <is>
          <t>21/50 MA cross, 250-period confirm filter, VWAP</t>
        </is>
      </c>
      <c r="D6102" s="9" t="inlineStr">
        <is>
          <t>Short</t>
        </is>
      </c>
      <c r="E6102" s="10" t="n">
        <v>46020.33333333334</v>
      </c>
      <c r="F6102" s="10" t="n">
        <v>46021.09027777778</v>
      </c>
      <c r="G6102" s="11" t="n">
        <v>160.66</v>
      </c>
      <c r="H6102" s="11">
        <f>H6101+G6102</f>
        <v/>
      </c>
    </row>
    <row r="6103">
      <c r="A6103" s="9" t="n">
        <v>6099</v>
      </c>
      <c r="B6103" s="9" t="inlineStr">
        <is>
          <t>Meridian</t>
        </is>
      </c>
      <c r="C6103" s="9" t="inlineStr">
        <is>
          <t>21/50 MA cross, 250-period confirm filter, VWAP</t>
        </is>
      </c>
      <c r="D6103" s="9" t="inlineStr">
        <is>
          <t>Short</t>
        </is>
      </c>
      <c r="E6103" s="10" t="n">
        <v>46021.14930555555</v>
      </c>
      <c r="F6103" s="10" t="n">
        <v>46021.15277777778</v>
      </c>
      <c r="G6103" s="11" t="n">
        <v>-4.09</v>
      </c>
      <c r="H6103" s="11">
        <f>H6102+G6103</f>
        <v/>
      </c>
    </row>
    <row r="6104">
      <c r="A6104" s="9" t="n">
        <v>6100</v>
      </c>
      <c r="B6104" s="9" t="inlineStr">
        <is>
          <t>Meridian</t>
        </is>
      </c>
      <c r="C6104" s="9" t="inlineStr">
        <is>
          <t>21/50 MA cross, 250-period confirm filter, VWAP</t>
        </is>
      </c>
      <c r="D6104" s="9" t="inlineStr">
        <is>
          <t>Long</t>
        </is>
      </c>
      <c r="E6104" s="10" t="n">
        <v>46021.46875</v>
      </c>
      <c r="F6104" s="10" t="n">
        <v>46021.69791666666</v>
      </c>
      <c r="G6104" s="11" t="n">
        <v>-1.78</v>
      </c>
      <c r="H6104" s="11">
        <f>H6103+G6104</f>
        <v/>
      </c>
    </row>
    <row r="6105">
      <c r="A6105" s="9" t="n">
        <v>6101</v>
      </c>
      <c r="B6105" s="9" t="inlineStr">
        <is>
          <t>MSG</t>
        </is>
      </c>
      <c r="C6105" s="9" t="inlineStr">
        <is>
          <t>Session-range breakout + Fibonacci retracement-zone entry</t>
        </is>
      </c>
      <c r="D6105" s="9" t="inlineStr">
        <is>
          <t>Long</t>
        </is>
      </c>
      <c r="E6105" s="10" t="n">
        <v>46021.65763888889</v>
      </c>
      <c r="F6105" s="10" t="n">
        <v>46021.69861111111</v>
      </c>
      <c r="G6105" s="11" t="n">
        <v>-50.77</v>
      </c>
      <c r="H6105" s="11">
        <f>H6104+G6105</f>
        <v/>
      </c>
    </row>
    <row r="6106">
      <c r="A6106" s="9" t="n">
        <v>6102</v>
      </c>
      <c r="B6106" s="9" t="inlineStr">
        <is>
          <t>Ratchet</t>
        </is>
      </c>
      <c r="C6106" s="9" t="inlineStr">
        <is>
          <t>Stochastic scalp with give-back trail exit</t>
        </is>
      </c>
      <c r="D6106" s="9" t="inlineStr">
        <is>
          <t>Short</t>
        </is>
      </c>
      <c r="E6106" s="10" t="n">
        <v>46021.86458333334</v>
      </c>
      <c r="F6106" s="10" t="n">
        <v>46021.99652777778</v>
      </c>
      <c r="G6106" s="11" t="n">
        <v>27.55</v>
      </c>
      <c r="H6106" s="11">
        <f>H6105+G6106</f>
        <v/>
      </c>
    </row>
    <row r="6107">
      <c r="A6107" s="9" t="n">
        <v>6103</v>
      </c>
      <c r="B6107" s="9" t="inlineStr">
        <is>
          <t>Ratchet</t>
        </is>
      </c>
      <c r="C6107" s="9" t="inlineStr">
        <is>
          <t>Stochastic scalp with give-back trail exit</t>
        </is>
      </c>
      <c r="D6107" s="9" t="inlineStr">
        <is>
          <t>Short</t>
        </is>
      </c>
      <c r="E6107" s="10" t="n">
        <v>46022.07291666666</v>
      </c>
      <c r="F6107" s="10" t="n">
        <v>46022.07638888889</v>
      </c>
      <c r="G6107" s="11" t="n">
        <v>1.35</v>
      </c>
      <c r="H6107" s="11">
        <f>H6106+G6107</f>
        <v/>
      </c>
    </row>
    <row r="6108">
      <c r="A6108" s="9" t="n">
        <v>6104</v>
      </c>
      <c r="B6108" s="9" t="inlineStr">
        <is>
          <t>Aurelius_M15</t>
        </is>
      </c>
      <c r="C6108" s="9" t="inlineStr">
        <is>
          <t>MA alignment (EMA21&gt;EMA50&gt;SMA250&gt;SMMA500 vs EMA2400 trend filter) - M15 chart</t>
        </is>
      </c>
      <c r="D6108" s="9" t="inlineStr">
        <is>
          <t>Short</t>
        </is>
      </c>
      <c r="E6108" s="10" t="n">
        <v>46021.91666666666</v>
      </c>
      <c r="F6108" s="10" t="n">
        <v>46022.15625</v>
      </c>
      <c r="G6108" s="11" t="n">
        <v>-20.41</v>
      </c>
      <c r="H6108" s="11">
        <f>H6107+G6108</f>
        <v/>
      </c>
    </row>
    <row r="6109">
      <c r="A6109" s="9" t="n">
        <v>6105</v>
      </c>
      <c r="B6109" s="9" t="inlineStr">
        <is>
          <t>Vanguard_M5</t>
        </is>
      </c>
      <c r="C6109" s="9" t="inlineStr">
        <is>
          <t>Trendline breakout (fractal swing line) + VWAP/S-R distance gate</t>
        </is>
      </c>
      <c r="D6109" s="9" t="inlineStr">
        <is>
          <t>Long</t>
        </is>
      </c>
      <c r="E6109" s="10" t="n">
        <v>46022.15277777778</v>
      </c>
      <c r="F6109" s="10" t="n">
        <v>46022.22222222222</v>
      </c>
      <c r="G6109" s="11" t="n">
        <v>-25.32</v>
      </c>
      <c r="H6109" s="11">
        <f>H6108+G6109</f>
        <v/>
      </c>
    </row>
    <row r="6110">
      <c r="A6110" s="9" t="n">
        <v>6106</v>
      </c>
      <c r="B6110" s="9" t="inlineStr">
        <is>
          <t>Vanguard_M15</t>
        </is>
      </c>
      <c r="C6110" s="9" t="inlineStr">
        <is>
          <t>Trendline breakout (fractal swing line) + VWAP/S-R distance gate - M15 chart</t>
        </is>
      </c>
      <c r="D6110" s="9" t="inlineStr">
        <is>
          <t>Long</t>
        </is>
      </c>
      <c r="E6110" s="10" t="n">
        <v>46022.15625</v>
      </c>
      <c r="F6110" s="10" t="n">
        <v>46022.28125</v>
      </c>
      <c r="G6110" s="11" t="n">
        <v>-32.21</v>
      </c>
      <c r="H6110" s="11">
        <f>H6109+G6110</f>
        <v/>
      </c>
    </row>
    <row r="6111">
      <c r="A6111" s="9" t="n">
        <v>6107</v>
      </c>
      <c r="B6111" s="9" t="inlineStr">
        <is>
          <t>Ratchet</t>
        </is>
      </c>
      <c r="C6111" s="9" t="inlineStr">
        <is>
          <t>Stochastic scalp with give-back trail exit</t>
        </is>
      </c>
      <c r="D6111" s="9" t="inlineStr">
        <is>
          <t>Short</t>
        </is>
      </c>
      <c r="E6111" s="10" t="n">
        <v>46022.27083333334</v>
      </c>
      <c r="F6111" s="10" t="n">
        <v>46022.28472222222</v>
      </c>
      <c r="G6111" s="11" t="n">
        <v>0.89</v>
      </c>
      <c r="H6111" s="11">
        <f>H6110+G6111</f>
        <v/>
      </c>
    </row>
    <row r="6112">
      <c r="A6112" s="9" t="n">
        <v>6108</v>
      </c>
      <c r="B6112" s="9" t="inlineStr">
        <is>
          <t>Ratchet</t>
        </is>
      </c>
      <c r="C6112" s="9" t="inlineStr">
        <is>
          <t>Stochastic scalp with give-back trail exit</t>
        </is>
      </c>
      <c r="D6112" s="9" t="inlineStr">
        <is>
          <t>Short</t>
        </is>
      </c>
      <c r="E6112" s="10" t="n">
        <v>46022.31944444445</v>
      </c>
      <c r="F6112" s="10" t="n">
        <v>46022.36458333334</v>
      </c>
      <c r="G6112" s="11" t="n">
        <v>13.76</v>
      </c>
      <c r="H6112" s="11">
        <f>H6111+G6112</f>
        <v/>
      </c>
    </row>
    <row r="6113">
      <c r="A6113" s="9" t="n">
        <v>6109</v>
      </c>
      <c r="B6113" s="9" t="inlineStr">
        <is>
          <t>Ratchet</t>
        </is>
      </c>
      <c r="C6113" s="9" t="inlineStr">
        <is>
          <t>Stochastic scalp with give-back trail exit</t>
        </is>
      </c>
      <c r="D6113" s="9" t="inlineStr">
        <is>
          <t>Short</t>
        </is>
      </c>
      <c r="E6113" s="10" t="n">
        <v>46022.56597222222</v>
      </c>
      <c r="F6113" s="10" t="n">
        <v>46022.60416666666</v>
      </c>
      <c r="G6113" s="11" t="n">
        <v>2.08</v>
      </c>
      <c r="H6113" s="11">
        <f>H6112+G6113</f>
        <v/>
      </c>
    </row>
    <row r="6114">
      <c r="A6114" s="9" t="n">
        <v>6110</v>
      </c>
      <c r="B6114" s="9" t="inlineStr">
        <is>
          <t>Meridian</t>
        </is>
      </c>
      <c r="C6114" s="9" t="inlineStr">
        <is>
          <t>21/50 MA cross, 250-period confirm filter, VWAP</t>
        </is>
      </c>
      <c r="D6114" s="9" t="inlineStr">
        <is>
          <t>Short</t>
        </is>
      </c>
      <c r="E6114" s="10" t="n">
        <v>46022.25</v>
      </c>
      <c r="F6114" s="10" t="n">
        <v>46022.65277777778</v>
      </c>
      <c r="G6114" s="11" t="n">
        <v>18.05</v>
      </c>
      <c r="H6114" s="11">
        <f>H6113+G6114</f>
        <v/>
      </c>
    </row>
    <row r="6115">
      <c r="A6115" s="9" t="n">
        <v>6111</v>
      </c>
      <c r="B6115" s="9" t="inlineStr">
        <is>
          <t>Aurelius_M15</t>
        </is>
      </c>
      <c r="C6115" s="9" t="inlineStr">
        <is>
          <t>MA alignment (EMA21&gt;EMA50&gt;SMA250&gt;SMMA500 vs EMA2400 trend filter) - M15 chart</t>
        </is>
      </c>
      <c r="D6115" s="9" t="inlineStr">
        <is>
          <t>Short</t>
        </is>
      </c>
      <c r="E6115" s="10" t="n">
        <v>46022.20833333334</v>
      </c>
      <c r="F6115" s="10" t="n">
        <v>46024.33333333334</v>
      </c>
      <c r="G6115" s="11" t="n">
        <v>-28.55</v>
      </c>
      <c r="H6115" s="11">
        <f>H6114+G6115</f>
        <v/>
      </c>
    </row>
    <row r="6116">
      <c r="A6116" s="9" t="n">
        <v>6112</v>
      </c>
      <c r="B6116" s="9" t="inlineStr">
        <is>
          <t>Meridian</t>
        </is>
      </c>
      <c r="C6116" s="9" t="inlineStr">
        <is>
          <t>21/50 MA cross, 250-period confirm filter, VWAP</t>
        </is>
      </c>
      <c r="D6116" s="9" t="inlineStr">
        <is>
          <t>Short</t>
        </is>
      </c>
      <c r="E6116" s="10" t="n">
        <v>46022.78472222222</v>
      </c>
      <c r="F6116" s="10" t="n">
        <v>46024.33333333334</v>
      </c>
      <c r="G6116" s="11" t="n">
        <v>-58.75</v>
      </c>
      <c r="H6116" s="11">
        <f>H6115+G6116</f>
        <v/>
      </c>
    </row>
    <row r="6117">
      <c r="A6117" s="9" t="n">
        <v>6113</v>
      </c>
      <c r="B6117" s="9" t="inlineStr">
        <is>
          <t>Ratchet</t>
        </is>
      </c>
      <c r="C6117" s="9" t="inlineStr">
        <is>
          <t>Stochastic scalp with give-back trail exit</t>
        </is>
      </c>
      <c r="D6117" s="9" t="inlineStr">
        <is>
          <t>Short</t>
        </is>
      </c>
      <c r="E6117" s="10" t="n">
        <v>46022.78819444445</v>
      </c>
      <c r="F6117" s="10" t="n">
        <v>46024.33333333334</v>
      </c>
      <c r="G6117" s="11" t="n">
        <v>-58.83</v>
      </c>
      <c r="H6117" s="11">
        <f>H6116+G6117</f>
        <v/>
      </c>
    </row>
    <row r="6118">
      <c r="A6118" s="9" t="n">
        <v>6114</v>
      </c>
      <c r="B6118" s="9" t="inlineStr">
        <is>
          <t>MSG</t>
        </is>
      </c>
      <c r="C6118" s="9" t="inlineStr">
        <is>
          <t>Session-range breakout + Fibonacci retracement-zone entry</t>
        </is>
      </c>
      <c r="D6118" s="9" t="inlineStr">
        <is>
          <t>Long</t>
        </is>
      </c>
      <c r="E6118" s="10" t="n">
        <v>46024.64027777778</v>
      </c>
      <c r="F6118" s="10" t="n">
        <v>46024.64166666667</v>
      </c>
      <c r="G6118" s="11" t="n">
        <v>-22.17</v>
      </c>
      <c r="H6118" s="11">
        <f>H6117+G6118</f>
        <v/>
      </c>
    </row>
    <row r="6119">
      <c r="A6119" s="9" t="n">
        <v>6115</v>
      </c>
      <c r="B6119" s="9" t="inlineStr">
        <is>
          <t>Ratchet</t>
        </is>
      </c>
      <c r="C6119" s="9" t="inlineStr">
        <is>
          <t>Stochastic scalp with give-back trail exit</t>
        </is>
      </c>
      <c r="D6119" s="9" t="inlineStr">
        <is>
          <t>Short</t>
        </is>
      </c>
      <c r="E6119" s="10" t="n">
        <v>46024.82638888889</v>
      </c>
      <c r="F6119" s="10" t="n">
        <v>46024.87847222222</v>
      </c>
      <c r="G6119" s="11" t="n">
        <v>3.97</v>
      </c>
      <c r="H6119" s="11">
        <f>H6118+G6119</f>
        <v/>
      </c>
    </row>
    <row r="6120">
      <c r="A6120" s="9" t="n">
        <v>6116</v>
      </c>
      <c r="B6120" s="9" t="inlineStr">
        <is>
          <t>Ratchet</t>
        </is>
      </c>
      <c r="C6120" s="9" t="inlineStr">
        <is>
          <t>Stochastic scalp with give-back trail exit</t>
        </is>
      </c>
      <c r="D6120" s="9" t="inlineStr">
        <is>
          <t>Long</t>
        </is>
      </c>
      <c r="E6120" s="10" t="n">
        <v>46027.19097222222</v>
      </c>
      <c r="F6120" s="10" t="n">
        <v>46027.22916666666</v>
      </c>
      <c r="G6120" s="11" t="n">
        <v>2.68</v>
      </c>
      <c r="H6120" s="11">
        <f>H6119+G6120</f>
        <v/>
      </c>
    </row>
    <row r="6121">
      <c r="A6121" s="9" t="n">
        <v>6117</v>
      </c>
      <c r="B6121" s="9" t="inlineStr">
        <is>
          <t>Ratchet</t>
        </is>
      </c>
      <c r="C6121" s="9" t="inlineStr">
        <is>
          <t>Stochastic scalp with give-back trail exit</t>
        </is>
      </c>
      <c r="D6121" s="9" t="inlineStr">
        <is>
          <t>Long</t>
        </is>
      </c>
      <c r="E6121" s="10" t="n">
        <v>46027.30555555555</v>
      </c>
      <c r="F6121" s="10" t="n">
        <v>46027.3125</v>
      </c>
      <c r="G6121" s="11" t="n">
        <v>1.21</v>
      </c>
      <c r="H6121" s="11">
        <f>H6120+G6121</f>
        <v/>
      </c>
    </row>
    <row r="6122">
      <c r="A6122" s="9" t="n">
        <v>6118</v>
      </c>
      <c r="B6122" s="9" t="inlineStr">
        <is>
          <t>Ratchet</t>
        </is>
      </c>
      <c r="C6122" s="9" t="inlineStr">
        <is>
          <t>Stochastic scalp with give-back trail exit</t>
        </is>
      </c>
      <c r="D6122" s="9" t="inlineStr">
        <is>
          <t>Long</t>
        </is>
      </c>
      <c r="E6122" s="10" t="n">
        <v>46027.38541666666</v>
      </c>
      <c r="F6122" s="10" t="n">
        <v>46027.38888888889</v>
      </c>
      <c r="G6122" s="11" t="n">
        <v>0.76</v>
      </c>
      <c r="H6122" s="11">
        <f>H6121+G6122</f>
        <v/>
      </c>
    </row>
    <row r="6123">
      <c r="A6123" s="9" t="n">
        <v>6119</v>
      </c>
      <c r="B6123" s="9" t="inlineStr">
        <is>
          <t>Ratchet</t>
        </is>
      </c>
      <c r="C6123" s="9" t="inlineStr">
        <is>
          <t>Stochastic scalp with give-back trail exit</t>
        </is>
      </c>
      <c r="D6123" s="9" t="inlineStr">
        <is>
          <t>Long</t>
        </is>
      </c>
      <c r="E6123" s="10" t="n">
        <v>46027.39930555555</v>
      </c>
      <c r="F6123" s="10" t="n">
        <v>46027.40625</v>
      </c>
      <c r="G6123" s="11" t="n">
        <v>0.95</v>
      </c>
      <c r="H6123" s="11">
        <f>H6122+G6123</f>
        <v/>
      </c>
    </row>
    <row r="6124">
      <c r="A6124" s="9" t="n">
        <v>6120</v>
      </c>
      <c r="B6124" s="9" t="inlineStr">
        <is>
          <t>Ratchet</t>
        </is>
      </c>
      <c r="C6124" s="9" t="inlineStr">
        <is>
          <t>Stochastic scalp with give-back trail exit</t>
        </is>
      </c>
      <c r="D6124" s="9" t="inlineStr">
        <is>
          <t>Long</t>
        </is>
      </c>
      <c r="E6124" s="10" t="n">
        <v>46027.50694444445</v>
      </c>
      <c r="F6124" s="10" t="n">
        <v>46027.51736111111</v>
      </c>
      <c r="G6124" s="11" t="n">
        <v>0</v>
      </c>
      <c r="H6124" s="11">
        <f>H6123+G6124</f>
        <v/>
      </c>
    </row>
    <row r="6125">
      <c r="A6125" s="9" t="n">
        <v>6121</v>
      </c>
      <c r="B6125" s="9" t="inlineStr">
        <is>
          <t>MSG</t>
        </is>
      </c>
      <c r="C6125" s="9" t="inlineStr">
        <is>
          <t>Session-range breakout + Fibonacci retracement-zone entry</t>
        </is>
      </c>
      <c r="D6125" s="9" t="inlineStr">
        <is>
          <t>Short</t>
        </is>
      </c>
      <c r="E6125" s="10" t="n">
        <v>46027.57638888889</v>
      </c>
      <c r="F6125" s="10" t="n">
        <v>46027.59791666667</v>
      </c>
      <c r="G6125" s="11" t="n">
        <v>26.56</v>
      </c>
      <c r="H6125" s="11">
        <f>H6124+G6125</f>
        <v/>
      </c>
    </row>
    <row r="6126">
      <c r="A6126" s="9" t="n">
        <v>6122</v>
      </c>
      <c r="B6126" s="9" t="inlineStr">
        <is>
          <t>Ratchet</t>
        </is>
      </c>
      <c r="C6126" s="9" t="inlineStr">
        <is>
          <t>Stochastic scalp with give-back trail exit</t>
        </is>
      </c>
      <c r="D6126" s="9" t="inlineStr">
        <is>
          <t>Long</t>
        </is>
      </c>
      <c r="E6126" s="10" t="n">
        <v>46027.69791666666</v>
      </c>
      <c r="F6126" s="10" t="n">
        <v>46027.73263888889</v>
      </c>
      <c r="G6126" s="11" t="n">
        <v>7.35</v>
      </c>
      <c r="H6126" s="11">
        <f>H6125+G6126</f>
        <v/>
      </c>
    </row>
    <row r="6127">
      <c r="A6127" s="9" t="n">
        <v>6123</v>
      </c>
      <c r="B6127" s="9" t="inlineStr">
        <is>
          <t>Ratchet</t>
        </is>
      </c>
      <c r="C6127" s="9" t="inlineStr">
        <is>
          <t>Stochastic scalp with give-back trail exit</t>
        </is>
      </c>
      <c r="D6127" s="9" t="inlineStr">
        <is>
          <t>Long</t>
        </is>
      </c>
      <c r="E6127" s="10" t="n">
        <v>46027.74652777778</v>
      </c>
      <c r="F6127" s="10" t="n">
        <v>46027.75347222222</v>
      </c>
      <c r="G6127" s="11" t="n">
        <v>0</v>
      </c>
      <c r="H6127" s="11">
        <f>H6126+G6127</f>
        <v/>
      </c>
    </row>
    <row r="6128">
      <c r="A6128" s="9" t="n">
        <v>6124</v>
      </c>
      <c r="B6128" s="9" t="inlineStr">
        <is>
          <t>Ratchet</t>
        </is>
      </c>
      <c r="C6128" s="9" t="inlineStr">
        <is>
          <t>Stochastic scalp with give-back trail exit</t>
        </is>
      </c>
      <c r="D6128" s="9" t="inlineStr">
        <is>
          <t>Long</t>
        </is>
      </c>
      <c r="E6128" s="10" t="n">
        <v>46027.76388888889</v>
      </c>
      <c r="F6128" s="10" t="n">
        <v>46027.78819444445</v>
      </c>
      <c r="G6128" s="11" t="n">
        <v>1.79</v>
      </c>
      <c r="H6128" s="11">
        <f>H6127+G6128</f>
        <v/>
      </c>
    </row>
    <row r="6129">
      <c r="A6129" s="9" t="n">
        <v>6125</v>
      </c>
      <c r="B6129" s="9" t="inlineStr">
        <is>
          <t>Aurelius_M5</t>
        </is>
      </c>
      <c r="C6129" s="9" t="inlineStr">
        <is>
          <t>MA alignment (EMA21&gt;EMA50&gt;SMA250&gt;SMMA500 vs EMA2400 trend filter)</t>
        </is>
      </c>
      <c r="D6129" s="9" t="inlineStr">
        <is>
          <t>Long</t>
        </is>
      </c>
      <c r="E6129" s="10" t="n">
        <v>46027.71180555555</v>
      </c>
      <c r="F6129" s="10" t="n">
        <v>46027.79166666666</v>
      </c>
      <c r="G6129" s="11" t="n">
        <v>-18.33</v>
      </c>
      <c r="H6129" s="11">
        <f>H6128+G6129</f>
        <v/>
      </c>
    </row>
    <row r="6130">
      <c r="A6130" s="9" t="n">
        <v>6126</v>
      </c>
      <c r="B6130" s="9" t="inlineStr">
        <is>
          <t>Ratchet</t>
        </is>
      </c>
      <c r="C6130" s="9" t="inlineStr">
        <is>
          <t>Stochastic scalp with give-back trail exit</t>
        </is>
      </c>
      <c r="D6130" s="9" t="inlineStr">
        <is>
          <t>Long</t>
        </is>
      </c>
      <c r="E6130" s="10" t="n">
        <v>46027.87152777778</v>
      </c>
      <c r="F6130" s="10" t="n">
        <v>46027.875</v>
      </c>
      <c r="G6130" s="11" t="n">
        <v>0.64</v>
      </c>
      <c r="H6130" s="11">
        <f>H6129+G6130</f>
        <v/>
      </c>
    </row>
    <row r="6131">
      <c r="A6131" s="9" t="n">
        <v>6127</v>
      </c>
      <c r="B6131" s="9" t="inlineStr">
        <is>
          <t>Ratchet</t>
        </is>
      </c>
      <c r="C6131" s="9" t="inlineStr">
        <is>
          <t>Stochastic scalp with give-back trail exit</t>
        </is>
      </c>
      <c r="D6131" s="9" t="inlineStr">
        <is>
          <t>Long</t>
        </is>
      </c>
      <c r="E6131" s="10" t="n">
        <v>46028.05555555555</v>
      </c>
      <c r="F6131" s="10" t="n">
        <v>46028.0625</v>
      </c>
      <c r="G6131" s="11" t="n">
        <v>-5.45</v>
      </c>
      <c r="H6131" s="11">
        <f>H6130+G6131</f>
        <v/>
      </c>
    </row>
    <row r="6132">
      <c r="A6132" s="9" t="n">
        <v>6128</v>
      </c>
      <c r="B6132" s="9" t="inlineStr">
        <is>
          <t>Vanguard_M15</t>
        </is>
      </c>
      <c r="C6132" s="9" t="inlineStr">
        <is>
          <t>Trendline breakout (fractal swing line) + VWAP/S-R distance gate - M15 chart</t>
        </is>
      </c>
      <c r="D6132" s="9" t="inlineStr">
        <is>
          <t>Long</t>
        </is>
      </c>
      <c r="E6132" s="10" t="n">
        <v>46027.65625</v>
      </c>
      <c r="F6132" s="10" t="n">
        <v>46028.07291666666</v>
      </c>
      <c r="G6132" s="11" t="n">
        <v>28.22</v>
      </c>
      <c r="H6132" s="11">
        <f>H6131+G6132</f>
        <v/>
      </c>
    </row>
    <row r="6133">
      <c r="A6133" s="9" t="n">
        <v>6129</v>
      </c>
      <c r="B6133" s="9" t="inlineStr">
        <is>
          <t>Vanguard_M5</t>
        </is>
      </c>
      <c r="C6133" s="9" t="inlineStr">
        <is>
          <t>Trendline breakout (fractal swing line) + VWAP/S-R distance gate</t>
        </is>
      </c>
      <c r="D6133" s="9" t="inlineStr">
        <is>
          <t>Long</t>
        </is>
      </c>
      <c r="E6133" s="10" t="n">
        <v>46027.12847222222</v>
      </c>
      <c r="F6133" s="10" t="n">
        <v>46028.07638888889</v>
      </c>
      <c r="G6133" s="11" t="n">
        <v>22.41</v>
      </c>
      <c r="H6133" s="11">
        <f>H6132+G6133</f>
        <v/>
      </c>
    </row>
    <row r="6134">
      <c r="A6134" s="9" t="n">
        <v>6130</v>
      </c>
      <c r="B6134" s="9" t="inlineStr">
        <is>
          <t>Meridian</t>
        </is>
      </c>
      <c r="C6134" s="9" t="inlineStr">
        <is>
          <t>21/50 MA cross, 250-period confirm filter, VWAP</t>
        </is>
      </c>
      <c r="D6134" s="9" t="inlineStr">
        <is>
          <t>Long</t>
        </is>
      </c>
      <c r="E6134" s="10" t="n">
        <v>46027.69791666666</v>
      </c>
      <c r="F6134" s="10" t="n">
        <v>46028.09027777778</v>
      </c>
      <c r="G6134" s="11" t="n">
        <v>9.15</v>
      </c>
      <c r="H6134" s="11">
        <f>H6133+G6134</f>
        <v/>
      </c>
    </row>
    <row r="6135">
      <c r="A6135" s="9" t="n">
        <v>6131</v>
      </c>
      <c r="B6135" s="9" t="inlineStr">
        <is>
          <t>Aurelius_M15</t>
        </is>
      </c>
      <c r="C6135" s="9" t="inlineStr">
        <is>
          <t>MA alignment (EMA21&gt;EMA50&gt;SMA250&gt;SMMA500 vs EMA2400 trend filter) - M15 chart</t>
        </is>
      </c>
      <c r="D6135" s="9" t="inlineStr">
        <is>
          <t>Long</t>
        </is>
      </c>
      <c r="E6135" s="10" t="n">
        <v>46027.72916666666</v>
      </c>
      <c r="F6135" s="10" t="n">
        <v>46028.125</v>
      </c>
      <c r="G6135" s="11" t="n">
        <v>-8.24</v>
      </c>
      <c r="H6135" s="11">
        <f>H6134+G6135</f>
        <v/>
      </c>
    </row>
    <row r="6136">
      <c r="A6136" s="9" t="n">
        <v>6132</v>
      </c>
      <c r="B6136" s="9" t="inlineStr">
        <is>
          <t>Vanguard_M5</t>
        </is>
      </c>
      <c r="C6136" s="9" t="inlineStr">
        <is>
          <t>Trendline breakout (fractal swing line) + VWAP/S-R distance gate</t>
        </is>
      </c>
      <c r="D6136" s="9" t="inlineStr">
        <is>
          <t>Short</t>
        </is>
      </c>
      <c r="E6136" s="10" t="n">
        <v>46028.07986111111</v>
      </c>
      <c r="F6136" s="10" t="n">
        <v>46028.16666666666</v>
      </c>
      <c r="G6136" s="11" t="n">
        <v>-15.57</v>
      </c>
      <c r="H6136" s="11">
        <f>H6135+G6136</f>
        <v/>
      </c>
    </row>
    <row r="6137">
      <c r="A6137" s="9" t="n">
        <v>6133</v>
      </c>
      <c r="B6137" s="9" t="inlineStr">
        <is>
          <t>Ratchet</t>
        </is>
      </c>
      <c r="C6137" s="9" t="inlineStr">
        <is>
          <t>Stochastic scalp with give-back trail exit</t>
        </is>
      </c>
      <c r="D6137" s="9" t="inlineStr">
        <is>
          <t>Long</t>
        </is>
      </c>
      <c r="E6137" s="10" t="n">
        <v>46028.1875</v>
      </c>
      <c r="F6137" s="10" t="n">
        <v>46028.19444444445</v>
      </c>
      <c r="G6137" s="11" t="n">
        <v>-8.51</v>
      </c>
      <c r="H6137" s="11">
        <f>H6136+G6137</f>
        <v/>
      </c>
    </row>
    <row r="6138">
      <c r="A6138" s="9" t="n">
        <v>6134</v>
      </c>
      <c r="B6138" s="9" t="inlineStr">
        <is>
          <t>Ratchet</t>
        </is>
      </c>
      <c r="C6138" s="9" t="inlineStr">
        <is>
          <t>Stochastic scalp with give-back trail exit</t>
        </is>
      </c>
      <c r="D6138" s="9" t="inlineStr">
        <is>
          <t>Long</t>
        </is>
      </c>
      <c r="E6138" s="10" t="n">
        <v>46028.19791666666</v>
      </c>
      <c r="F6138" s="10" t="n">
        <v>46028.20138888889</v>
      </c>
      <c r="G6138" s="11" t="n">
        <v>0</v>
      </c>
      <c r="H6138" s="11">
        <f>H6137+G6138</f>
        <v/>
      </c>
    </row>
    <row r="6139">
      <c r="A6139" s="9" t="n">
        <v>6135</v>
      </c>
      <c r="B6139" s="9" t="inlineStr">
        <is>
          <t>Vanguard_M15</t>
        </is>
      </c>
      <c r="C6139" s="9" t="inlineStr">
        <is>
          <t>Trendline breakout (fractal swing line) + VWAP/S-R distance gate - M15 chart</t>
        </is>
      </c>
      <c r="D6139" s="9" t="inlineStr">
        <is>
          <t>Short</t>
        </is>
      </c>
      <c r="E6139" s="10" t="n">
        <v>46028.08333333334</v>
      </c>
      <c r="F6139" s="10" t="n">
        <v>46028.20833333334</v>
      </c>
      <c r="G6139" s="11" t="n">
        <v>-21.89</v>
      </c>
      <c r="H6139" s="11">
        <f>H6138+G6139</f>
        <v/>
      </c>
    </row>
    <row r="6140">
      <c r="A6140" s="9" t="n">
        <v>6136</v>
      </c>
      <c r="B6140" s="9" t="inlineStr">
        <is>
          <t>Ratchet</t>
        </is>
      </c>
      <c r="C6140" s="9" t="inlineStr">
        <is>
          <t>Stochastic scalp with give-back trail exit</t>
        </is>
      </c>
      <c r="D6140" s="9" t="inlineStr">
        <is>
          <t>Long</t>
        </is>
      </c>
      <c r="E6140" s="10" t="n">
        <v>46028.20833333334</v>
      </c>
      <c r="F6140" s="10" t="n">
        <v>46028.21180555555</v>
      </c>
      <c r="G6140" s="11" t="n">
        <v>0</v>
      </c>
      <c r="H6140" s="11">
        <f>H6139+G6140</f>
        <v/>
      </c>
    </row>
    <row r="6141">
      <c r="A6141" s="9" t="n">
        <v>6137</v>
      </c>
      <c r="B6141" s="9" t="inlineStr">
        <is>
          <t>Ratchet</t>
        </is>
      </c>
      <c r="C6141" s="9" t="inlineStr">
        <is>
          <t>Stochastic scalp with give-back trail exit</t>
        </is>
      </c>
      <c r="D6141" s="9" t="inlineStr">
        <is>
          <t>Long</t>
        </is>
      </c>
      <c r="E6141" s="10" t="n">
        <v>46028.29166666666</v>
      </c>
      <c r="F6141" s="10" t="n">
        <v>46028.29513888889</v>
      </c>
      <c r="G6141" s="11" t="n">
        <v>0.39</v>
      </c>
      <c r="H6141" s="11">
        <f>H6140+G6141</f>
        <v/>
      </c>
    </row>
    <row r="6142">
      <c r="A6142" s="9" t="n">
        <v>6138</v>
      </c>
      <c r="B6142" s="9" t="inlineStr">
        <is>
          <t>Aurelius_M5</t>
        </is>
      </c>
      <c r="C6142" s="9" t="inlineStr">
        <is>
          <t>MA alignment (EMA21&gt;EMA50&gt;SMA250&gt;SMMA500 vs EMA2400 trend filter)</t>
        </is>
      </c>
      <c r="D6142" s="9" t="inlineStr">
        <is>
          <t>Long</t>
        </is>
      </c>
      <c r="E6142" s="10" t="n">
        <v>46028.35763888889</v>
      </c>
      <c r="F6142" s="10" t="n">
        <v>46028.46527777778</v>
      </c>
      <c r="G6142" s="11" t="n">
        <v>-9.99</v>
      </c>
      <c r="H6142" s="11">
        <f>H6141+G6142</f>
        <v/>
      </c>
    </row>
    <row r="6143">
      <c r="A6143" s="9" t="n">
        <v>6139</v>
      </c>
      <c r="B6143" s="9" t="inlineStr">
        <is>
          <t>Vanguard_M5</t>
        </is>
      </c>
      <c r="C6143" s="9" t="inlineStr">
        <is>
          <t>Trendline breakout (fractal swing line) + VWAP/S-R distance gate</t>
        </is>
      </c>
      <c r="D6143" s="9" t="inlineStr">
        <is>
          <t>Short</t>
        </is>
      </c>
      <c r="E6143" s="10" t="n">
        <v>46028.49305555555</v>
      </c>
      <c r="F6143" s="10" t="n">
        <v>46028.58333333334</v>
      </c>
      <c r="G6143" s="11" t="n">
        <v>-17</v>
      </c>
      <c r="H6143" s="11">
        <f>H6142+G6143</f>
        <v/>
      </c>
    </row>
    <row r="6144">
      <c r="A6144" s="9" t="n">
        <v>6140</v>
      </c>
      <c r="B6144" s="9" t="inlineStr">
        <is>
          <t>Vanguard_M15</t>
        </is>
      </c>
      <c r="C6144" s="9" t="inlineStr">
        <is>
          <t>Trendline breakout (fractal swing line) + VWAP/S-R distance gate - M15 chart</t>
        </is>
      </c>
      <c r="D6144" s="9" t="inlineStr">
        <is>
          <t>Short</t>
        </is>
      </c>
      <c r="E6144" s="10" t="n">
        <v>46028.5</v>
      </c>
      <c r="F6144" s="10" t="n">
        <v>46028.63541666666</v>
      </c>
      <c r="G6144" s="11" t="n">
        <v>-23.13</v>
      </c>
      <c r="H6144" s="11">
        <f>H6143+G6144</f>
        <v/>
      </c>
    </row>
    <row r="6145">
      <c r="A6145" s="9" t="n">
        <v>6141</v>
      </c>
      <c r="B6145" s="9" t="inlineStr">
        <is>
          <t>Ratchet</t>
        </is>
      </c>
      <c r="C6145" s="9" t="inlineStr">
        <is>
          <t>Stochastic scalp with give-back trail exit</t>
        </is>
      </c>
      <c r="D6145" s="9" t="inlineStr">
        <is>
          <t>Long</t>
        </is>
      </c>
      <c r="E6145" s="10" t="n">
        <v>46028.62847222222</v>
      </c>
      <c r="F6145" s="10" t="n">
        <v>46028.63888888889</v>
      </c>
      <c r="G6145" s="11" t="n">
        <v>1.26</v>
      </c>
      <c r="H6145" s="11">
        <f>H6144+G6145</f>
        <v/>
      </c>
    </row>
    <row r="6146">
      <c r="A6146" s="9" t="n">
        <v>6142</v>
      </c>
      <c r="B6146" s="9" t="inlineStr">
        <is>
          <t>Meridian</t>
        </is>
      </c>
      <c r="C6146" s="9" t="inlineStr">
        <is>
          <t>21/50 MA cross, 250-period confirm filter, VWAP</t>
        </is>
      </c>
      <c r="D6146" s="9" t="inlineStr">
        <is>
          <t>Long</t>
        </is>
      </c>
      <c r="E6146" s="10" t="n">
        <v>46028.59027777778</v>
      </c>
      <c r="F6146" s="10" t="n">
        <v>46028.65972222222</v>
      </c>
      <c r="G6146" s="11" t="n">
        <v>-8.33</v>
      </c>
      <c r="H6146" s="11">
        <f>H6145+G6146</f>
        <v/>
      </c>
    </row>
    <row r="6147">
      <c r="A6147" s="9" t="n">
        <v>6143</v>
      </c>
      <c r="B6147" s="9" t="inlineStr">
        <is>
          <t>Ratchet</t>
        </is>
      </c>
      <c r="C6147" s="9" t="inlineStr">
        <is>
          <t>Stochastic scalp with give-back trail exit</t>
        </is>
      </c>
      <c r="D6147" s="9" t="inlineStr">
        <is>
          <t>Long</t>
        </is>
      </c>
      <c r="E6147" s="10" t="n">
        <v>46028.69791666666</v>
      </c>
      <c r="F6147" s="10" t="n">
        <v>46028.71527777778</v>
      </c>
      <c r="G6147" s="11" t="n">
        <v>2.43</v>
      </c>
      <c r="H6147" s="11">
        <f>H6146+G6147</f>
        <v/>
      </c>
    </row>
    <row r="6148">
      <c r="A6148" s="9" t="n">
        <v>6144</v>
      </c>
      <c r="B6148" s="9" t="inlineStr">
        <is>
          <t>Ratchet</t>
        </is>
      </c>
      <c r="C6148" s="9" t="inlineStr">
        <is>
          <t>Stochastic scalp with give-back trail exit</t>
        </is>
      </c>
      <c r="D6148" s="9" t="inlineStr">
        <is>
          <t>Long</t>
        </is>
      </c>
      <c r="E6148" s="10" t="n">
        <v>46028.95486111111</v>
      </c>
      <c r="F6148" s="10" t="n">
        <v>46028.99652777778</v>
      </c>
      <c r="G6148" s="11" t="n">
        <v>4.6</v>
      </c>
      <c r="H6148" s="11">
        <f>H6147+G6148</f>
        <v/>
      </c>
    </row>
    <row r="6149">
      <c r="A6149" s="9" t="n">
        <v>6145</v>
      </c>
      <c r="B6149" s="9" t="inlineStr">
        <is>
          <t>Aurelius_M5</t>
        </is>
      </c>
      <c r="C6149" s="9" t="inlineStr">
        <is>
          <t>MA alignment (EMA21&gt;EMA50&gt;SMA250&gt;SMMA500 vs EMA2400 trend filter)</t>
        </is>
      </c>
      <c r="D6149" s="9" t="inlineStr">
        <is>
          <t>Long</t>
        </is>
      </c>
      <c r="E6149" s="10" t="n">
        <v>46028.66319444445</v>
      </c>
      <c r="F6149" s="10" t="n">
        <v>46029.04166666666</v>
      </c>
      <c r="G6149" s="11" t="n">
        <v>29.59</v>
      </c>
      <c r="H6149" s="11">
        <f>H6148+G6149</f>
        <v/>
      </c>
    </row>
    <row r="6150">
      <c r="A6150" s="9" t="n">
        <v>6146</v>
      </c>
      <c r="B6150" s="9" t="inlineStr">
        <is>
          <t>Aurelius_M15</t>
        </is>
      </c>
      <c r="C6150" s="9" t="inlineStr">
        <is>
          <t>MA alignment (EMA21&gt;EMA50&gt;SMA250&gt;SMMA500 vs EMA2400 trend filter) - M15 chart</t>
        </is>
      </c>
      <c r="D6150" s="9" t="inlineStr">
        <is>
          <t>Long</t>
        </is>
      </c>
      <c r="E6150" s="10" t="n">
        <v>46028.66666666666</v>
      </c>
      <c r="F6150" s="10" t="n">
        <v>46029.20833333334</v>
      </c>
      <c r="G6150" s="11" t="n">
        <v>6.55</v>
      </c>
      <c r="H6150" s="11">
        <f>H6149+G6150</f>
        <v/>
      </c>
    </row>
    <row r="6151">
      <c r="A6151" s="9" t="n">
        <v>6147</v>
      </c>
      <c r="B6151" s="9" t="inlineStr">
        <is>
          <t>MSG</t>
        </is>
      </c>
      <c r="C6151" s="9" t="inlineStr">
        <is>
          <t>Session-range breakout + Fibonacci retracement-zone entry</t>
        </is>
      </c>
      <c r="D6151" s="9" t="inlineStr">
        <is>
          <t>Short</t>
        </is>
      </c>
      <c r="E6151" s="10" t="n">
        <v>46029.66458333333</v>
      </c>
      <c r="F6151" s="10" t="n">
        <v>46029.70555555556</v>
      </c>
      <c r="G6151" s="11" t="n">
        <v>13.62</v>
      </c>
      <c r="H6151" s="11">
        <f>H6150+G6151</f>
        <v/>
      </c>
    </row>
    <row r="6152">
      <c r="A6152" s="9" t="n">
        <v>6148</v>
      </c>
      <c r="B6152" s="9" t="inlineStr">
        <is>
          <t>Meridian</t>
        </is>
      </c>
      <c r="C6152" s="9" t="inlineStr">
        <is>
          <t>21/50 MA cross, 250-period confirm filter, VWAP</t>
        </is>
      </c>
      <c r="D6152" s="9" t="inlineStr">
        <is>
          <t>Short</t>
        </is>
      </c>
      <c r="E6152" s="10" t="n">
        <v>46029.5625</v>
      </c>
      <c r="F6152" s="10" t="n">
        <v>46029.77430555555</v>
      </c>
      <c r="G6152" s="11" t="n">
        <v>-5.86</v>
      </c>
      <c r="H6152" s="11">
        <f>H6151+G6152</f>
        <v/>
      </c>
    </row>
    <row r="6153">
      <c r="A6153" s="9" t="n">
        <v>6149</v>
      </c>
      <c r="B6153" s="9" t="inlineStr">
        <is>
          <t>Meridian</t>
        </is>
      </c>
      <c r="C6153" s="9" t="inlineStr">
        <is>
          <t>21/50 MA cross, 250-period confirm filter, VWAP</t>
        </is>
      </c>
      <c r="D6153" s="9" t="inlineStr">
        <is>
          <t>Short</t>
        </is>
      </c>
      <c r="E6153" s="10" t="n">
        <v>46029.89236111111</v>
      </c>
      <c r="F6153" s="10" t="n">
        <v>46029.90277777778</v>
      </c>
      <c r="G6153" s="11" t="n">
        <v>-6.39</v>
      </c>
      <c r="H6153" s="11">
        <f>H6152+G6153</f>
        <v/>
      </c>
    </row>
    <row r="6154">
      <c r="A6154" s="9" t="n">
        <v>6150</v>
      </c>
      <c r="B6154" s="9" t="inlineStr">
        <is>
          <t>Meridian</t>
        </is>
      </c>
      <c r="C6154" s="9" t="inlineStr">
        <is>
          <t>21/50 MA cross, 250-period confirm filter, VWAP</t>
        </is>
      </c>
      <c r="D6154" s="9" t="inlineStr">
        <is>
          <t>Short</t>
        </is>
      </c>
      <c r="E6154" s="10" t="n">
        <v>46030.125</v>
      </c>
      <c r="F6154" s="10" t="n">
        <v>46030.12847222222</v>
      </c>
      <c r="G6154" s="11" t="n">
        <v>-8.33</v>
      </c>
      <c r="H6154" s="11">
        <f>H6153+G6154</f>
        <v/>
      </c>
    </row>
    <row r="6155">
      <c r="A6155" s="9" t="n">
        <v>6151</v>
      </c>
      <c r="B6155" s="9" t="inlineStr">
        <is>
          <t>MSG</t>
        </is>
      </c>
      <c r="C6155" s="9" t="inlineStr">
        <is>
          <t>Session-range breakout + Fibonacci retracement-zone entry</t>
        </is>
      </c>
      <c r="D6155" s="9" t="inlineStr">
        <is>
          <t>Short</t>
        </is>
      </c>
      <c r="E6155" s="10" t="n">
        <v>46030.60625</v>
      </c>
      <c r="F6155" s="10" t="n">
        <v>46030.64236111111</v>
      </c>
      <c r="G6155" s="11" t="n">
        <v>-28.44</v>
      </c>
      <c r="H6155" s="11">
        <f>H6154+G6155</f>
        <v/>
      </c>
    </row>
    <row r="6156">
      <c r="A6156" s="9" t="n">
        <v>6152</v>
      </c>
      <c r="B6156" s="9" t="inlineStr">
        <is>
          <t>Meridian</t>
        </is>
      </c>
      <c r="C6156" s="9" t="inlineStr">
        <is>
          <t>21/50 MA cross, 250-period confirm filter, VWAP</t>
        </is>
      </c>
      <c r="D6156" s="9" t="inlineStr">
        <is>
          <t>Short</t>
        </is>
      </c>
      <c r="E6156" s="10" t="n">
        <v>46030.66319444445</v>
      </c>
      <c r="F6156" s="10" t="n">
        <v>46030.69097222222</v>
      </c>
      <c r="G6156" s="11" t="n">
        <v>-5.73</v>
      </c>
      <c r="H6156" s="11">
        <f>H6155+G6156</f>
        <v/>
      </c>
    </row>
    <row r="6157">
      <c r="A6157" s="9" t="n">
        <v>6153</v>
      </c>
      <c r="B6157" s="9" t="inlineStr">
        <is>
          <t>Meridian</t>
        </is>
      </c>
      <c r="C6157" s="9" t="inlineStr">
        <is>
          <t>21/50 MA cross, 250-period confirm filter, VWAP</t>
        </is>
      </c>
      <c r="D6157" s="9" t="inlineStr">
        <is>
          <t>Long</t>
        </is>
      </c>
      <c r="E6157" s="10" t="n">
        <v>46031.18055555555</v>
      </c>
      <c r="F6157" s="10" t="n">
        <v>46031.22569444445</v>
      </c>
      <c r="G6157" s="11" t="n">
        <v>-7.39</v>
      </c>
      <c r="H6157" s="11">
        <f>H6156+G6157</f>
        <v/>
      </c>
    </row>
    <row r="6158">
      <c r="A6158" s="9" t="n">
        <v>6154</v>
      </c>
      <c r="B6158" s="9" t="inlineStr">
        <is>
          <t>Ratchet</t>
        </is>
      </c>
      <c r="C6158" s="9" t="inlineStr">
        <is>
          <t>Stochastic scalp with give-back trail exit</t>
        </is>
      </c>
      <c r="D6158" s="9" t="inlineStr">
        <is>
          <t>Long</t>
        </is>
      </c>
      <c r="E6158" s="10" t="n">
        <v>46031.33333333334</v>
      </c>
      <c r="F6158" s="10" t="n">
        <v>46031.33680555555</v>
      </c>
      <c r="G6158" s="11" t="n">
        <v>0.6</v>
      </c>
      <c r="H6158" s="11">
        <f>H6157+G6158</f>
        <v/>
      </c>
    </row>
    <row r="6159">
      <c r="A6159" s="9" t="n">
        <v>6155</v>
      </c>
      <c r="B6159" s="9" t="inlineStr">
        <is>
          <t>Ratchet</t>
        </is>
      </c>
      <c r="C6159" s="9" t="inlineStr">
        <is>
          <t>Stochastic scalp with give-back trail exit</t>
        </is>
      </c>
      <c r="D6159" s="9" t="inlineStr">
        <is>
          <t>Long</t>
        </is>
      </c>
      <c r="E6159" s="10" t="n">
        <v>46031.36111111111</v>
      </c>
      <c r="F6159" s="10" t="n">
        <v>46031.41666666666</v>
      </c>
      <c r="G6159" s="11" t="n">
        <v>-6.47</v>
      </c>
      <c r="H6159" s="11">
        <f>H6158+G6159</f>
        <v/>
      </c>
    </row>
    <row r="6160">
      <c r="A6160" s="9" t="n">
        <v>6156</v>
      </c>
      <c r="B6160" s="9" t="inlineStr">
        <is>
          <t>Ratchet</t>
        </is>
      </c>
      <c r="C6160" s="9" t="inlineStr">
        <is>
          <t>Stochastic scalp with give-back trail exit</t>
        </is>
      </c>
      <c r="D6160" s="9" t="inlineStr">
        <is>
          <t>Long</t>
        </is>
      </c>
      <c r="E6160" s="10" t="n">
        <v>46031.42708333334</v>
      </c>
      <c r="F6160" s="10" t="n">
        <v>46031.44097222222</v>
      </c>
      <c r="G6160" s="11" t="n">
        <v>-5.89</v>
      </c>
      <c r="H6160" s="11">
        <f>H6159+G6160</f>
        <v/>
      </c>
    </row>
    <row r="6161">
      <c r="A6161" s="9" t="n">
        <v>6157</v>
      </c>
      <c r="B6161" s="9" t="inlineStr">
        <is>
          <t>MSG</t>
        </is>
      </c>
      <c r="C6161" s="9" t="inlineStr">
        <is>
          <t>Session-range breakout + Fibonacci retracement-zone entry</t>
        </is>
      </c>
      <c r="D6161" s="9" t="inlineStr">
        <is>
          <t>Long</t>
        </is>
      </c>
      <c r="E6161" s="10" t="n">
        <v>46031.59791666667</v>
      </c>
      <c r="F6161" s="10" t="n">
        <v>46031.60138888889</v>
      </c>
      <c r="G6161" s="11" t="n">
        <v>-10.74</v>
      </c>
      <c r="H6161" s="11">
        <f>H6160+G6161</f>
        <v/>
      </c>
    </row>
    <row r="6162">
      <c r="A6162" s="9" t="n">
        <v>6158</v>
      </c>
      <c r="B6162" s="9" t="inlineStr">
        <is>
          <t>Meridian</t>
        </is>
      </c>
      <c r="C6162" s="9" t="inlineStr">
        <is>
          <t>21/50 MA cross, 250-period confirm filter, VWAP</t>
        </is>
      </c>
      <c r="D6162" s="9" t="inlineStr">
        <is>
          <t>Long</t>
        </is>
      </c>
      <c r="E6162" s="10" t="n">
        <v>46031.33333333334</v>
      </c>
      <c r="F6162" s="10" t="n">
        <v>46031.61111111111</v>
      </c>
      <c r="G6162" s="11" t="n">
        <v>-2.35</v>
      </c>
      <c r="H6162" s="11">
        <f>H6161+G6162</f>
        <v/>
      </c>
    </row>
    <row r="6163">
      <c r="A6163" s="9" t="n">
        <v>6159</v>
      </c>
      <c r="B6163" s="9" t="inlineStr">
        <is>
          <t>Vanguard_M5</t>
        </is>
      </c>
      <c r="C6163" s="9" t="inlineStr">
        <is>
          <t>Trendline breakout (fractal swing line) + VWAP/S-R distance gate</t>
        </is>
      </c>
      <c r="D6163" s="9" t="inlineStr">
        <is>
          <t>Short</t>
        </is>
      </c>
      <c r="E6163" s="10" t="n">
        <v>46029.07638888889</v>
      </c>
      <c r="F6163" s="10" t="n">
        <v>46031.64583333334</v>
      </c>
      <c r="G6163" s="11" t="n">
        <v>6.43</v>
      </c>
      <c r="H6163" s="11">
        <f>H6162+G6163</f>
        <v/>
      </c>
    </row>
    <row r="6164">
      <c r="A6164" s="9" t="n">
        <v>6160</v>
      </c>
      <c r="B6164" s="9" t="inlineStr">
        <is>
          <t>Vanguard_M15</t>
        </is>
      </c>
      <c r="C6164" s="9" t="inlineStr">
        <is>
          <t>Trendline breakout (fractal swing line) + VWAP/S-R distance gate - M15 chart</t>
        </is>
      </c>
      <c r="D6164" s="9" t="inlineStr">
        <is>
          <t>Short</t>
        </is>
      </c>
      <c r="E6164" s="10" t="n">
        <v>46029.08333333334</v>
      </c>
      <c r="F6164" s="10" t="n">
        <v>46031.64583333334</v>
      </c>
      <c r="G6164" s="11" t="n">
        <v>6.41</v>
      </c>
      <c r="H6164" s="11">
        <f>H6163+G6164</f>
        <v/>
      </c>
    </row>
    <row r="6165">
      <c r="A6165" s="9" t="n">
        <v>6161</v>
      </c>
      <c r="B6165" s="9" t="inlineStr">
        <is>
          <t>Ratchet</t>
        </is>
      </c>
      <c r="C6165" s="9" t="inlineStr">
        <is>
          <t>Stochastic scalp with give-back trail exit</t>
        </is>
      </c>
      <c r="D6165" s="9" t="inlineStr">
        <is>
          <t>Long</t>
        </is>
      </c>
      <c r="E6165" s="10" t="n">
        <v>46031.67361111111</v>
      </c>
      <c r="F6165" s="10" t="n">
        <v>46031.6875</v>
      </c>
      <c r="G6165" s="11" t="n">
        <v>2.23</v>
      </c>
      <c r="H6165" s="11">
        <f>H6164+G6165</f>
        <v/>
      </c>
    </row>
    <row r="6166">
      <c r="A6166" s="9" t="n">
        <v>6162</v>
      </c>
      <c r="B6166" s="9" t="inlineStr">
        <is>
          <t>Ratchet</t>
        </is>
      </c>
      <c r="C6166" s="9" t="inlineStr">
        <is>
          <t>Stochastic scalp with give-back trail exit</t>
        </is>
      </c>
      <c r="D6166" s="9" t="inlineStr">
        <is>
          <t>Long</t>
        </is>
      </c>
      <c r="E6166" s="10" t="n">
        <v>46031.79513888889</v>
      </c>
      <c r="F6166" s="10" t="n">
        <v>46031.80208333334</v>
      </c>
      <c r="G6166" s="11" t="n">
        <v>0</v>
      </c>
      <c r="H6166" s="11">
        <f>H6165+G6166</f>
        <v/>
      </c>
    </row>
    <row r="6167">
      <c r="A6167" s="9" t="n">
        <v>6163</v>
      </c>
      <c r="B6167" s="9" t="inlineStr">
        <is>
          <t>Aurelius_M5</t>
        </is>
      </c>
      <c r="C6167" s="9" t="inlineStr">
        <is>
          <t>MA alignment (EMA21&gt;EMA50&gt;SMA250&gt;SMMA500 vs EMA2400 trend filter)</t>
        </is>
      </c>
      <c r="D6167" s="9" t="inlineStr">
        <is>
          <t>Long</t>
        </is>
      </c>
      <c r="E6167" s="10" t="n">
        <v>46031.67708333334</v>
      </c>
      <c r="F6167" s="10" t="n">
        <v>46031.85069444445</v>
      </c>
      <c r="G6167" s="11" t="n">
        <v>2.55</v>
      </c>
      <c r="H6167" s="11">
        <f>H6166+G6167</f>
        <v/>
      </c>
    </row>
    <row r="6168">
      <c r="A6168" s="9" t="n">
        <v>6164</v>
      </c>
      <c r="B6168" s="9" t="inlineStr">
        <is>
          <t>Meridian</t>
        </is>
      </c>
      <c r="C6168" s="9" t="inlineStr">
        <is>
          <t>21/50 MA cross, 250-period confirm filter, VWAP</t>
        </is>
      </c>
      <c r="D6168" s="9" t="inlineStr">
        <is>
          <t>Long</t>
        </is>
      </c>
      <c r="E6168" s="10" t="n">
        <v>46031.64930555555</v>
      </c>
      <c r="F6168" s="10" t="n">
        <v>46031.91666666666</v>
      </c>
      <c r="G6168" s="11" t="n">
        <v>12.02</v>
      </c>
      <c r="H6168" s="11">
        <f>H6167+G6168</f>
        <v/>
      </c>
    </row>
    <row r="6169">
      <c r="A6169" s="9" t="n">
        <v>6165</v>
      </c>
      <c r="B6169" s="9" t="inlineStr">
        <is>
          <t>Aurelius_M15</t>
        </is>
      </c>
      <c r="C6169" s="9" t="inlineStr">
        <is>
          <t>MA alignment (EMA21&gt;EMA50&gt;SMA250&gt;SMMA500 vs EMA2400 trend filter) - M15 chart</t>
        </is>
      </c>
      <c r="D6169" s="9" t="inlineStr">
        <is>
          <t>Long</t>
        </is>
      </c>
      <c r="E6169" s="10" t="n">
        <v>46031.64583333334</v>
      </c>
      <c r="F6169" s="10" t="n">
        <v>46031.92708333334</v>
      </c>
      <c r="G6169" s="11" t="n">
        <v>33.96</v>
      </c>
      <c r="H6169" s="11">
        <f>H6168+G6169</f>
        <v/>
      </c>
    </row>
    <row r="6170">
      <c r="A6170" s="9" t="n">
        <v>6166</v>
      </c>
      <c r="B6170" s="9" t="inlineStr">
        <is>
          <t>Ratchet</t>
        </is>
      </c>
      <c r="C6170" s="9" t="inlineStr">
        <is>
          <t>Stochastic scalp with give-back trail exit</t>
        </is>
      </c>
      <c r="D6170" s="9" t="inlineStr">
        <is>
          <t>Long</t>
        </is>
      </c>
      <c r="E6170" s="10" t="n">
        <v>46034.15277777778</v>
      </c>
      <c r="F6170" s="10" t="n">
        <v>46034.32986111111</v>
      </c>
      <c r="G6170" s="11" t="n">
        <v>0</v>
      </c>
      <c r="H6170" s="11">
        <f>H6169+G6170</f>
        <v/>
      </c>
    </row>
    <row r="6171">
      <c r="A6171" s="9" t="n">
        <v>6167</v>
      </c>
      <c r="B6171" s="9" t="inlineStr">
        <is>
          <t>Aurelius_M5</t>
        </is>
      </c>
      <c r="C6171" s="9" t="inlineStr">
        <is>
          <t>MA alignment (EMA21&gt;EMA50&gt;SMA250&gt;SMMA500 vs EMA2400 trend filter)</t>
        </is>
      </c>
      <c r="D6171" s="9" t="inlineStr">
        <is>
          <t>Long</t>
        </is>
      </c>
      <c r="E6171" s="10" t="n">
        <v>46034.32291666666</v>
      </c>
      <c r="F6171" s="10" t="n">
        <v>46034.34375</v>
      </c>
      <c r="G6171" s="11" t="n">
        <v>-10.54</v>
      </c>
      <c r="H6171" s="11">
        <f>H6170+G6171</f>
        <v/>
      </c>
    </row>
    <row r="6172">
      <c r="A6172" s="9" t="n">
        <v>6168</v>
      </c>
      <c r="B6172" s="9" t="inlineStr">
        <is>
          <t>Ratchet</t>
        </is>
      </c>
      <c r="C6172" s="9" t="inlineStr">
        <is>
          <t>Stochastic scalp with give-back trail exit</t>
        </is>
      </c>
      <c r="D6172" s="9" t="inlineStr">
        <is>
          <t>Long</t>
        </is>
      </c>
      <c r="E6172" s="10" t="n">
        <v>46034.54166666666</v>
      </c>
      <c r="F6172" s="10" t="n">
        <v>46034.55555555555</v>
      </c>
      <c r="G6172" s="11" t="n">
        <v>-6.84</v>
      </c>
      <c r="H6172" s="11">
        <f>H6171+G6172</f>
        <v/>
      </c>
    </row>
    <row r="6173">
      <c r="A6173" s="9" t="n">
        <v>6169</v>
      </c>
      <c r="B6173" s="9" t="inlineStr">
        <is>
          <t>Aurelius_M5</t>
        </is>
      </c>
      <c r="C6173" s="9" t="inlineStr">
        <is>
          <t>MA alignment (EMA21&gt;EMA50&gt;SMA250&gt;SMMA500 vs EMA2400 trend filter)</t>
        </is>
      </c>
      <c r="D6173" s="9" t="inlineStr">
        <is>
          <t>Long</t>
        </is>
      </c>
      <c r="E6173" s="10" t="n">
        <v>46034.64583333334</v>
      </c>
      <c r="F6173" s="10" t="n">
        <v>46034.67361111111</v>
      </c>
      <c r="G6173" s="11" t="n">
        <v>-11.09</v>
      </c>
      <c r="H6173" s="11">
        <f>H6172+G6173</f>
        <v/>
      </c>
    </row>
    <row r="6174">
      <c r="A6174" s="9" t="n">
        <v>6170</v>
      </c>
      <c r="B6174" s="9" t="inlineStr">
        <is>
          <t>Meridian</t>
        </is>
      </c>
      <c r="C6174" s="9" t="inlineStr">
        <is>
          <t>21/50 MA cross, 250-period confirm filter, VWAP</t>
        </is>
      </c>
      <c r="D6174" s="9" t="inlineStr">
        <is>
          <t>Long</t>
        </is>
      </c>
      <c r="E6174" s="10" t="n">
        <v>46034.62847222222</v>
      </c>
      <c r="F6174" s="10" t="n">
        <v>46034.68402777778</v>
      </c>
      <c r="G6174" s="11" t="n">
        <v>-9.029999999999999</v>
      </c>
      <c r="H6174" s="11">
        <f>H6173+G6174</f>
        <v/>
      </c>
    </row>
    <row r="6175">
      <c r="A6175" s="9" t="n">
        <v>6171</v>
      </c>
      <c r="B6175" s="9" t="inlineStr">
        <is>
          <t>MSG</t>
        </is>
      </c>
      <c r="C6175" s="9" t="inlineStr">
        <is>
          <t>Session-range breakout + Fibonacci retracement-zone entry</t>
        </is>
      </c>
      <c r="D6175" s="9" t="inlineStr">
        <is>
          <t>Long</t>
        </is>
      </c>
      <c r="E6175" s="10" t="n">
        <v>46034.67430555556</v>
      </c>
      <c r="F6175" s="10" t="n">
        <v>46034.72361111111</v>
      </c>
      <c r="G6175" s="11" t="n">
        <v>51.22</v>
      </c>
      <c r="H6175" s="11">
        <f>H6174+G6175</f>
        <v/>
      </c>
    </row>
    <row r="6176">
      <c r="A6176" s="9" t="n">
        <v>6172</v>
      </c>
      <c r="B6176" s="9" t="inlineStr">
        <is>
          <t>Aurelius_M5</t>
        </is>
      </c>
      <c r="C6176" s="9" t="inlineStr">
        <is>
          <t>MA alignment (EMA21&gt;EMA50&gt;SMA250&gt;SMMA500 vs EMA2400 trend filter)</t>
        </is>
      </c>
      <c r="D6176" s="9" t="inlineStr">
        <is>
          <t>Long</t>
        </is>
      </c>
      <c r="E6176" s="10" t="n">
        <v>46034.70833333334</v>
      </c>
      <c r="F6176" s="10" t="n">
        <v>46034.86805555555</v>
      </c>
      <c r="G6176" s="11" t="n">
        <v>4.19</v>
      </c>
      <c r="H6176" s="11">
        <f>H6175+G6176</f>
        <v/>
      </c>
    </row>
    <row r="6177">
      <c r="A6177" s="9" t="n">
        <v>6173</v>
      </c>
      <c r="B6177" s="9" t="inlineStr">
        <is>
          <t>Ratchet</t>
        </is>
      </c>
      <c r="C6177" s="9" t="inlineStr">
        <is>
          <t>Stochastic scalp with give-back trail exit</t>
        </is>
      </c>
      <c r="D6177" s="9" t="inlineStr">
        <is>
          <t>Long</t>
        </is>
      </c>
      <c r="E6177" s="10" t="n">
        <v>46034.89236111111</v>
      </c>
      <c r="F6177" s="10" t="n">
        <v>46034.89930555555</v>
      </c>
      <c r="G6177" s="11" t="n">
        <v>0.68</v>
      </c>
      <c r="H6177" s="11">
        <f>H6176+G6177</f>
        <v/>
      </c>
    </row>
    <row r="6178">
      <c r="A6178" s="9" t="n">
        <v>6174</v>
      </c>
      <c r="B6178" s="9" t="inlineStr">
        <is>
          <t>Ratchet</t>
        </is>
      </c>
      <c r="C6178" s="9" t="inlineStr">
        <is>
          <t>Stochastic scalp with give-back trail exit</t>
        </is>
      </c>
      <c r="D6178" s="9" t="inlineStr">
        <is>
          <t>Long</t>
        </is>
      </c>
      <c r="E6178" s="10" t="n">
        <v>46034.90277777778</v>
      </c>
      <c r="F6178" s="10" t="n">
        <v>46034.91319444445</v>
      </c>
      <c r="G6178" s="11" t="n">
        <v>-6.19</v>
      </c>
      <c r="H6178" s="11">
        <f>H6177+G6178</f>
        <v/>
      </c>
    </row>
    <row r="6179">
      <c r="A6179" s="9" t="n">
        <v>6175</v>
      </c>
      <c r="B6179" s="9" t="inlineStr">
        <is>
          <t>Meridian</t>
        </is>
      </c>
      <c r="C6179" s="9" t="inlineStr">
        <is>
          <t>21/50 MA cross, 250-period confirm filter, VWAP</t>
        </is>
      </c>
      <c r="D6179" s="9" t="inlineStr">
        <is>
          <t>Long</t>
        </is>
      </c>
      <c r="E6179" s="10" t="n">
        <v>46034.88888888889</v>
      </c>
      <c r="F6179" s="10" t="n">
        <v>46034.91666666666</v>
      </c>
      <c r="G6179" s="11" t="n">
        <v>-10.65</v>
      </c>
      <c r="H6179" s="11">
        <f>H6178+G6179</f>
        <v/>
      </c>
    </row>
    <row r="6180">
      <c r="A6180" s="9" t="n">
        <v>6176</v>
      </c>
      <c r="B6180" s="9" t="inlineStr">
        <is>
          <t>Meridian</t>
        </is>
      </c>
      <c r="C6180" s="9" t="inlineStr">
        <is>
          <t>21/50 MA cross, 250-period confirm filter, VWAP</t>
        </is>
      </c>
      <c r="D6180" s="9" t="inlineStr">
        <is>
          <t>Short</t>
        </is>
      </c>
      <c r="E6180" s="10" t="n">
        <v>46035.34375</v>
      </c>
      <c r="F6180" s="10" t="n">
        <v>46035.45486111111</v>
      </c>
      <c r="G6180" s="11" t="n">
        <v>-3.06</v>
      </c>
      <c r="H6180" s="11">
        <f>H6179+G6180</f>
        <v/>
      </c>
    </row>
    <row r="6181">
      <c r="A6181" s="9" t="n">
        <v>6177</v>
      </c>
      <c r="B6181" s="9" t="inlineStr">
        <is>
          <t>Meridian</t>
        </is>
      </c>
      <c r="C6181" s="9" t="inlineStr">
        <is>
          <t>21/50 MA cross, 250-period confirm filter, VWAP</t>
        </is>
      </c>
      <c r="D6181" s="9" t="inlineStr">
        <is>
          <t>Short</t>
        </is>
      </c>
      <c r="E6181" s="10" t="n">
        <v>46035.50347222222</v>
      </c>
      <c r="F6181" s="10" t="n">
        <v>46035.57291666666</v>
      </c>
      <c r="G6181" s="11" t="n">
        <v>-8.17</v>
      </c>
      <c r="H6181" s="11">
        <f>H6180+G6181</f>
        <v/>
      </c>
    </row>
    <row r="6182">
      <c r="A6182" s="9" t="n">
        <v>6178</v>
      </c>
      <c r="B6182" s="9" t="inlineStr">
        <is>
          <t>Ratchet</t>
        </is>
      </c>
      <c r="C6182" s="9" t="inlineStr">
        <is>
          <t>Stochastic scalp with give-back trail exit</t>
        </is>
      </c>
      <c r="D6182" s="9" t="inlineStr">
        <is>
          <t>Long</t>
        </is>
      </c>
      <c r="E6182" s="10" t="n">
        <v>46035.65972222222</v>
      </c>
      <c r="F6182" s="10" t="n">
        <v>46035.66319444445</v>
      </c>
      <c r="G6182" s="11" t="n">
        <v>-10.91</v>
      </c>
      <c r="H6182" s="11">
        <f>H6181+G6182</f>
        <v/>
      </c>
    </row>
    <row r="6183">
      <c r="A6183" s="9" t="n">
        <v>6179</v>
      </c>
      <c r="B6183" s="9" t="inlineStr">
        <is>
          <t>Ratchet</t>
        </is>
      </c>
      <c r="C6183" s="9" t="inlineStr">
        <is>
          <t>Stochastic scalp with give-back trail exit</t>
        </is>
      </c>
      <c r="D6183" s="9" t="inlineStr">
        <is>
          <t>Long</t>
        </is>
      </c>
      <c r="E6183" s="10" t="n">
        <v>46035.67013888889</v>
      </c>
      <c r="F6183" s="10" t="n">
        <v>46035.6875</v>
      </c>
      <c r="G6183" s="11" t="n">
        <v>3.14</v>
      </c>
      <c r="H6183" s="11">
        <f>H6182+G6183</f>
        <v/>
      </c>
    </row>
    <row r="6184">
      <c r="A6184" s="9" t="n">
        <v>6180</v>
      </c>
      <c r="B6184" s="9" t="inlineStr">
        <is>
          <t>Vanguard_M15</t>
        </is>
      </c>
      <c r="C6184" s="9" t="inlineStr">
        <is>
          <t>Trendline breakout (fractal swing line) + VWAP/S-R distance gate - M15 chart</t>
        </is>
      </c>
      <c r="D6184" s="9" t="inlineStr">
        <is>
          <t>Long</t>
        </is>
      </c>
      <c r="E6184" s="10" t="n">
        <v>46031.65625</v>
      </c>
      <c r="F6184" s="10" t="n">
        <v>46035.76041666666</v>
      </c>
      <c r="G6184" s="11" t="n">
        <v>111.68</v>
      </c>
      <c r="H6184" s="11">
        <f>H6183+G6184</f>
        <v/>
      </c>
    </row>
    <row r="6185">
      <c r="A6185" s="9" t="n">
        <v>6181</v>
      </c>
      <c r="B6185" s="9" t="inlineStr">
        <is>
          <t>Vanguard_M5</t>
        </is>
      </c>
      <c r="C6185" s="9" t="inlineStr">
        <is>
          <t>Trendline breakout (fractal swing line) + VWAP/S-R distance gate</t>
        </is>
      </c>
      <c r="D6185" s="9" t="inlineStr">
        <is>
          <t>Long</t>
        </is>
      </c>
      <c r="E6185" s="10" t="n">
        <v>46031.64930555555</v>
      </c>
      <c r="F6185" s="10" t="n">
        <v>46035.76736111111</v>
      </c>
      <c r="G6185" s="11" t="n">
        <v>111.55</v>
      </c>
      <c r="H6185" s="11">
        <f>H6184+G6185</f>
        <v/>
      </c>
    </row>
    <row r="6186">
      <c r="A6186" s="9" t="n">
        <v>6182</v>
      </c>
      <c r="B6186" s="9" t="inlineStr">
        <is>
          <t>Aurelius_M15</t>
        </is>
      </c>
      <c r="C6186" s="9" t="inlineStr">
        <is>
          <t>MA alignment (EMA21&gt;EMA50&gt;SMA250&gt;SMMA500 vs EMA2400 trend filter) - M15 chart</t>
        </is>
      </c>
      <c r="D6186" s="9" t="inlineStr">
        <is>
          <t>Long</t>
        </is>
      </c>
      <c r="E6186" s="10" t="n">
        <v>46035.72916666666</v>
      </c>
      <c r="F6186" s="10" t="n">
        <v>46035.84375</v>
      </c>
      <c r="G6186" s="11" t="n">
        <v>-26.42</v>
      </c>
      <c r="H6186" s="11">
        <f>H6185+G6186</f>
        <v/>
      </c>
    </row>
    <row r="6187">
      <c r="A6187" s="9" t="n">
        <v>6183</v>
      </c>
      <c r="B6187" s="9" t="inlineStr">
        <is>
          <t>Meridian</t>
        </is>
      </c>
      <c r="C6187" s="9" t="inlineStr">
        <is>
          <t>21/50 MA cross, 250-period confirm filter, VWAP</t>
        </is>
      </c>
      <c r="D6187" s="9" t="inlineStr">
        <is>
          <t>Short</t>
        </is>
      </c>
      <c r="E6187" s="10" t="n">
        <v>46035.83333333334</v>
      </c>
      <c r="F6187" s="10" t="n">
        <v>46036.08333333334</v>
      </c>
      <c r="G6187" s="11" t="n">
        <v>-6.85</v>
      </c>
      <c r="H6187" s="11">
        <f>H6186+G6187</f>
        <v/>
      </c>
    </row>
    <row r="6188">
      <c r="A6188" s="9" t="n">
        <v>6184</v>
      </c>
      <c r="B6188" s="9" t="inlineStr">
        <is>
          <t>Vanguard_M15</t>
        </is>
      </c>
      <c r="C6188" s="9" t="inlineStr">
        <is>
          <t>Trendline breakout (fractal swing line) + VWAP/S-R distance gate - M15 chart</t>
        </is>
      </c>
      <c r="D6188" s="9" t="inlineStr">
        <is>
          <t>Short</t>
        </is>
      </c>
      <c r="E6188" s="10" t="n">
        <v>46035.83333333334</v>
      </c>
      <c r="F6188" s="10" t="n">
        <v>46036.22916666666</v>
      </c>
      <c r="G6188" s="11" t="n">
        <v>-33.53</v>
      </c>
      <c r="H6188" s="11">
        <f>H6187+G6188</f>
        <v/>
      </c>
    </row>
    <row r="6189">
      <c r="A6189" s="9" t="n">
        <v>6185</v>
      </c>
      <c r="B6189" s="9" t="inlineStr">
        <is>
          <t>Ratchet</t>
        </is>
      </c>
      <c r="C6189" s="9" t="inlineStr">
        <is>
          <t>Stochastic scalp with give-back trail exit</t>
        </is>
      </c>
      <c r="D6189" s="9" t="inlineStr">
        <is>
          <t>Long</t>
        </is>
      </c>
      <c r="E6189" s="10" t="n">
        <v>46036.24305555555</v>
      </c>
      <c r="F6189" s="10" t="n">
        <v>46036.26736111111</v>
      </c>
      <c r="G6189" s="11" t="n">
        <v>1.36</v>
      </c>
      <c r="H6189" s="11">
        <f>H6188+G6189</f>
        <v/>
      </c>
    </row>
    <row r="6190">
      <c r="A6190" s="9" t="n">
        <v>6186</v>
      </c>
      <c r="B6190" s="9" t="inlineStr">
        <is>
          <t>Ratchet</t>
        </is>
      </c>
      <c r="C6190" s="9" t="inlineStr">
        <is>
          <t>Stochastic scalp with give-back trail exit</t>
        </is>
      </c>
      <c r="D6190" s="9" t="inlineStr">
        <is>
          <t>Long</t>
        </is>
      </c>
      <c r="E6190" s="10" t="n">
        <v>46036.40625</v>
      </c>
      <c r="F6190" s="10" t="n">
        <v>46036.42013888889</v>
      </c>
      <c r="G6190" s="11" t="n">
        <v>-6.58</v>
      </c>
      <c r="H6190" s="11">
        <f>H6189+G6190</f>
        <v/>
      </c>
    </row>
    <row r="6191">
      <c r="A6191" s="9" t="n">
        <v>6187</v>
      </c>
      <c r="B6191" s="9" t="inlineStr">
        <is>
          <t>Ratchet</t>
        </is>
      </c>
      <c r="C6191" s="9" t="inlineStr">
        <is>
          <t>Stochastic scalp with give-back trail exit</t>
        </is>
      </c>
      <c r="D6191" s="9" t="inlineStr">
        <is>
          <t>Long</t>
        </is>
      </c>
      <c r="E6191" s="10" t="n">
        <v>46036.45833333334</v>
      </c>
      <c r="F6191" s="10" t="n">
        <v>46036.46527777778</v>
      </c>
      <c r="G6191" s="11" t="n">
        <v>0.85</v>
      </c>
      <c r="H6191" s="11">
        <f>H6190+G6191</f>
        <v/>
      </c>
    </row>
    <row r="6192">
      <c r="A6192" s="9" t="n">
        <v>6188</v>
      </c>
      <c r="B6192" s="9" t="inlineStr">
        <is>
          <t>Ratchet</t>
        </is>
      </c>
      <c r="C6192" s="9" t="inlineStr">
        <is>
          <t>Stochastic scalp with give-back trail exit</t>
        </is>
      </c>
      <c r="D6192" s="9" t="inlineStr">
        <is>
          <t>Long</t>
        </is>
      </c>
      <c r="E6192" s="10" t="n">
        <v>46036.46875</v>
      </c>
      <c r="F6192" s="10" t="n">
        <v>46036.48263888889</v>
      </c>
      <c r="G6192" s="11" t="n">
        <v>-7.35</v>
      </c>
      <c r="H6192" s="11">
        <f>H6191+G6192</f>
        <v/>
      </c>
    </row>
    <row r="6193">
      <c r="A6193" s="9" t="n">
        <v>6189</v>
      </c>
      <c r="B6193" s="9" t="inlineStr">
        <is>
          <t>Ratchet</t>
        </is>
      </c>
      <c r="C6193" s="9" t="inlineStr">
        <is>
          <t>Stochastic scalp with give-back trail exit</t>
        </is>
      </c>
      <c r="D6193" s="9" t="inlineStr">
        <is>
          <t>Long</t>
        </is>
      </c>
      <c r="E6193" s="10" t="n">
        <v>46036.52430555555</v>
      </c>
      <c r="F6193" s="10" t="n">
        <v>46036.53125</v>
      </c>
      <c r="G6193" s="11" t="n">
        <v>0</v>
      </c>
      <c r="H6193" s="11">
        <f>H6192+G6193</f>
        <v/>
      </c>
    </row>
    <row r="6194">
      <c r="A6194" s="9" t="n">
        <v>6190</v>
      </c>
      <c r="B6194" s="9" t="inlineStr">
        <is>
          <t>Ratchet</t>
        </is>
      </c>
      <c r="C6194" s="9" t="inlineStr">
        <is>
          <t>Stochastic scalp with give-back trail exit</t>
        </is>
      </c>
      <c r="D6194" s="9" t="inlineStr">
        <is>
          <t>Long</t>
        </is>
      </c>
      <c r="E6194" s="10" t="n">
        <v>46036.59722222222</v>
      </c>
      <c r="F6194" s="10" t="n">
        <v>46036.60069444445</v>
      </c>
      <c r="G6194" s="11" t="n">
        <v>0.71</v>
      </c>
      <c r="H6194" s="11">
        <f>H6193+G6194</f>
        <v/>
      </c>
    </row>
    <row r="6195">
      <c r="A6195" s="9" t="n">
        <v>6191</v>
      </c>
      <c r="B6195" s="9" t="inlineStr">
        <is>
          <t>Ratchet</t>
        </is>
      </c>
      <c r="C6195" s="9" t="inlineStr">
        <is>
          <t>Stochastic scalp with give-back trail exit</t>
        </is>
      </c>
      <c r="D6195" s="9" t="inlineStr">
        <is>
          <t>Long</t>
        </is>
      </c>
      <c r="E6195" s="10" t="n">
        <v>46036.62152777778</v>
      </c>
      <c r="F6195" s="10" t="n">
        <v>46036.625</v>
      </c>
      <c r="G6195" s="11" t="n">
        <v>0.64</v>
      </c>
      <c r="H6195" s="11">
        <f>H6194+G6195</f>
        <v/>
      </c>
    </row>
    <row r="6196">
      <c r="A6196" s="9" t="n">
        <v>6192</v>
      </c>
      <c r="B6196" s="9" t="inlineStr">
        <is>
          <t>Meridian</t>
        </is>
      </c>
      <c r="C6196" s="9" t="inlineStr">
        <is>
          <t>21/50 MA cross, 250-period confirm filter, VWAP</t>
        </is>
      </c>
      <c r="D6196" s="9" t="inlineStr">
        <is>
          <t>Long</t>
        </is>
      </c>
      <c r="E6196" s="10" t="n">
        <v>46036.59027777778</v>
      </c>
      <c r="F6196" s="10" t="n">
        <v>46036.63194444445</v>
      </c>
      <c r="G6196" s="11" t="n">
        <v>-9.539999999999999</v>
      </c>
      <c r="H6196" s="11">
        <f>H6195+G6196</f>
        <v/>
      </c>
    </row>
    <row r="6197">
      <c r="A6197" s="9" t="n">
        <v>6193</v>
      </c>
      <c r="B6197" s="9" t="inlineStr">
        <is>
          <t>Aurelius_M15</t>
        </is>
      </c>
      <c r="C6197" s="9" t="inlineStr">
        <is>
          <t>MA alignment (EMA21&gt;EMA50&gt;SMA250&gt;SMMA500 vs EMA2400 trend filter) - M15 chart</t>
        </is>
      </c>
      <c r="D6197" s="9" t="inlineStr">
        <is>
          <t>Long</t>
        </is>
      </c>
      <c r="E6197" s="10" t="n">
        <v>46036.17708333334</v>
      </c>
      <c r="F6197" s="10" t="n">
        <v>46036.77083333334</v>
      </c>
      <c r="G6197" s="11" t="n">
        <v>3.39</v>
      </c>
      <c r="H6197" s="11">
        <f>H6196+G6197</f>
        <v/>
      </c>
    </row>
    <row r="6198">
      <c r="A6198" s="9" t="n">
        <v>6194</v>
      </c>
      <c r="B6198" s="9" t="inlineStr">
        <is>
          <t>Ratchet</t>
        </is>
      </c>
      <c r="C6198" s="9" t="inlineStr">
        <is>
          <t>Stochastic scalp with give-back trail exit</t>
        </is>
      </c>
      <c r="D6198" s="9" t="inlineStr">
        <is>
          <t>Long</t>
        </is>
      </c>
      <c r="E6198" s="10" t="n">
        <v>46036.88888888889</v>
      </c>
      <c r="F6198" s="10" t="n">
        <v>46036.91666666666</v>
      </c>
      <c r="G6198" s="11" t="n">
        <v>-7.71</v>
      </c>
      <c r="H6198" s="11">
        <f>H6197+G6198</f>
        <v/>
      </c>
    </row>
    <row r="6199">
      <c r="A6199" s="9" t="n">
        <v>6195</v>
      </c>
      <c r="B6199" s="9" t="inlineStr">
        <is>
          <t>Meridian</t>
        </is>
      </c>
      <c r="C6199" s="9" t="inlineStr">
        <is>
          <t>21/50 MA cross, 250-period confirm filter, VWAP</t>
        </is>
      </c>
      <c r="D6199" s="9" t="inlineStr">
        <is>
          <t>Long</t>
        </is>
      </c>
      <c r="E6199" s="10" t="n">
        <v>46036.86111111111</v>
      </c>
      <c r="F6199" s="10" t="n">
        <v>46036.98611111111</v>
      </c>
      <c r="G6199" s="11" t="n">
        <v>-8.300000000000001</v>
      </c>
      <c r="H6199" s="11">
        <f>H6198+G6199</f>
        <v/>
      </c>
    </row>
    <row r="6200">
      <c r="A6200" s="9" t="n">
        <v>6196</v>
      </c>
      <c r="B6200" s="9" t="inlineStr">
        <is>
          <t>MSG</t>
        </is>
      </c>
      <c r="C6200" s="9" t="inlineStr">
        <is>
          <t>Session-range breakout + Fibonacci retracement-zone entry</t>
        </is>
      </c>
      <c r="D6200" s="9" t="inlineStr">
        <is>
          <t>Long</t>
        </is>
      </c>
      <c r="E6200" s="10" t="n">
        <v>46037.63819444444</v>
      </c>
      <c r="F6200" s="10" t="n">
        <v>46037.64444444444</v>
      </c>
      <c r="G6200" s="11" t="n">
        <v>-14.16</v>
      </c>
      <c r="H6200" s="11">
        <f>H6199+G6200</f>
        <v/>
      </c>
    </row>
    <row r="6201">
      <c r="A6201" s="9" t="n">
        <v>6197</v>
      </c>
      <c r="B6201" s="9" t="inlineStr">
        <is>
          <t>Aurelius_M15</t>
        </is>
      </c>
      <c r="C6201" s="9" t="inlineStr">
        <is>
          <t>MA alignment (EMA21&gt;EMA50&gt;SMA250&gt;SMMA500 vs EMA2400 trend filter) - M15 chart</t>
        </is>
      </c>
      <c r="D6201" s="9" t="inlineStr">
        <is>
          <t>Long</t>
        </is>
      </c>
      <c r="E6201" s="10" t="n">
        <v>46037.63541666666</v>
      </c>
      <c r="F6201" s="10" t="n">
        <v>46037.64583333334</v>
      </c>
      <c r="G6201" s="11" t="n">
        <v>-14.87</v>
      </c>
      <c r="H6201" s="11">
        <f>H6200+G6201</f>
        <v/>
      </c>
    </row>
    <row r="6202">
      <c r="A6202" s="9" t="n">
        <v>6198</v>
      </c>
      <c r="B6202" s="9" t="inlineStr">
        <is>
          <t>Meridian</t>
        </is>
      </c>
      <c r="C6202" s="9" t="inlineStr">
        <is>
          <t>21/50 MA cross, 250-period confirm filter, VWAP</t>
        </is>
      </c>
      <c r="D6202" s="9" t="inlineStr">
        <is>
          <t>Short</t>
        </is>
      </c>
      <c r="E6202" s="10" t="n">
        <v>46037.64930555555</v>
      </c>
      <c r="F6202" s="10" t="n">
        <v>46037.68402777778</v>
      </c>
      <c r="G6202" s="11" t="n">
        <v>-11.38</v>
      </c>
      <c r="H6202" s="11">
        <f>H6201+G6202</f>
        <v/>
      </c>
    </row>
    <row r="6203">
      <c r="A6203" s="9" t="n">
        <v>6199</v>
      </c>
      <c r="B6203" s="9" t="inlineStr">
        <is>
          <t>Aurelius_M5</t>
        </is>
      </c>
      <c r="C6203" s="9" t="inlineStr">
        <is>
          <t>MA alignment (EMA21&gt;EMA50&gt;SMA250&gt;SMMA500 vs EMA2400 trend filter)</t>
        </is>
      </c>
      <c r="D6203" s="9" t="inlineStr">
        <is>
          <t>Long</t>
        </is>
      </c>
      <c r="E6203" s="10" t="n">
        <v>46037.76388888889</v>
      </c>
      <c r="F6203" s="10" t="n">
        <v>46037.77430555555</v>
      </c>
      <c r="G6203" s="11" t="n">
        <v>-14.94</v>
      </c>
      <c r="H6203" s="11">
        <f>H6202+G6203</f>
        <v/>
      </c>
    </row>
    <row r="6204">
      <c r="A6204" s="9" t="n">
        <v>6200</v>
      </c>
      <c r="B6204" s="9" t="inlineStr">
        <is>
          <t>Vanguard_M5</t>
        </is>
      </c>
      <c r="C6204" s="9" t="inlineStr">
        <is>
          <t>Trendline breakout (fractal swing line) + VWAP/S-R distance gate</t>
        </is>
      </c>
      <c r="D6204" s="9" t="inlineStr">
        <is>
          <t>Short</t>
        </is>
      </c>
      <c r="E6204" s="10" t="n">
        <v>46037.12847222222</v>
      </c>
      <c r="F6204" s="10" t="n">
        <v>46037.90972222222</v>
      </c>
      <c r="G6204" s="11" t="n">
        <v>-6.55</v>
      </c>
      <c r="H6204" s="11">
        <f>H6203+G6204</f>
        <v/>
      </c>
    </row>
    <row r="6205">
      <c r="A6205" s="9" t="n">
        <v>6201</v>
      </c>
      <c r="B6205" s="9" t="inlineStr">
        <is>
          <t>Meridian</t>
        </is>
      </c>
      <c r="C6205" s="9" t="inlineStr">
        <is>
          <t>21/50 MA cross, 250-period confirm filter, VWAP</t>
        </is>
      </c>
      <c r="D6205" s="9" t="inlineStr">
        <is>
          <t>Long</t>
        </is>
      </c>
      <c r="E6205" s="10" t="n">
        <v>46037.72569444445</v>
      </c>
      <c r="F6205" s="10" t="n">
        <v>46037.93055555555</v>
      </c>
      <c r="G6205" s="11" t="n">
        <v>-14.41</v>
      </c>
      <c r="H6205" s="11">
        <f>H6204+G6205</f>
        <v/>
      </c>
    </row>
    <row r="6206">
      <c r="A6206" s="9" t="n">
        <v>6202</v>
      </c>
      <c r="B6206" s="9" t="inlineStr">
        <is>
          <t>Vanguard_M15</t>
        </is>
      </c>
      <c r="C6206" s="9" t="inlineStr">
        <is>
          <t>Trendline breakout (fractal swing line) + VWAP/S-R distance gate - M15 chart</t>
        </is>
      </c>
      <c r="D6206" s="9" t="inlineStr">
        <is>
          <t>Short</t>
        </is>
      </c>
      <c r="E6206" s="10" t="n">
        <v>46037.13541666666</v>
      </c>
      <c r="F6206" s="10" t="n">
        <v>46037.95833333334</v>
      </c>
      <c r="G6206" s="11" t="n">
        <v>-3.16</v>
      </c>
      <c r="H6206" s="11">
        <f>H6205+G6206</f>
        <v/>
      </c>
    </row>
    <row r="6207">
      <c r="A6207" s="9" t="n">
        <v>6203</v>
      </c>
      <c r="B6207" s="9" t="inlineStr">
        <is>
          <t>Meridian</t>
        </is>
      </c>
      <c r="C6207" s="9" t="inlineStr">
        <is>
          <t>21/50 MA cross, 250-period confirm filter, VWAP</t>
        </is>
      </c>
      <c r="D6207" s="9" t="inlineStr">
        <is>
          <t>Long</t>
        </is>
      </c>
      <c r="E6207" s="10" t="n">
        <v>46038.32638888889</v>
      </c>
      <c r="F6207" s="10" t="n">
        <v>46038.35416666666</v>
      </c>
      <c r="G6207" s="11" t="n">
        <v>-8.09</v>
      </c>
      <c r="H6207" s="11">
        <f>H6206+G6207</f>
        <v/>
      </c>
    </row>
    <row r="6208">
      <c r="A6208" s="9" t="n">
        <v>6204</v>
      </c>
      <c r="B6208" s="9" t="inlineStr">
        <is>
          <t>Meridian</t>
        </is>
      </c>
      <c r="C6208" s="9" t="inlineStr">
        <is>
          <t>21/50 MA cross, 250-period confirm filter, VWAP</t>
        </is>
      </c>
      <c r="D6208" s="9" t="inlineStr">
        <is>
          <t>Short</t>
        </is>
      </c>
      <c r="E6208" s="10" t="n">
        <v>46038.48263888889</v>
      </c>
      <c r="F6208" s="10" t="n">
        <v>46038.51041666666</v>
      </c>
      <c r="G6208" s="11" t="n">
        <v>-8.630000000000001</v>
      </c>
      <c r="H6208" s="11">
        <f>H6207+G6208</f>
        <v/>
      </c>
    </row>
    <row r="6209">
      <c r="A6209" s="9" t="n">
        <v>6205</v>
      </c>
      <c r="B6209" s="9" t="inlineStr">
        <is>
          <t>Vanguard_M5</t>
        </is>
      </c>
      <c r="C6209" s="9" t="inlineStr">
        <is>
          <t>Trendline breakout (fractal swing line) + VWAP/S-R distance gate</t>
        </is>
      </c>
      <c r="D6209" s="9" t="inlineStr">
        <is>
          <t>Long</t>
        </is>
      </c>
      <c r="E6209" s="10" t="n">
        <v>46038.51736111111</v>
      </c>
      <c r="F6209" s="10" t="n">
        <v>46038.61805555555</v>
      </c>
      <c r="G6209" s="11" t="n">
        <v>-12.63</v>
      </c>
      <c r="H6209" s="11">
        <f>H6208+G6209</f>
        <v/>
      </c>
    </row>
    <row r="6210">
      <c r="A6210" s="9" t="n">
        <v>6206</v>
      </c>
      <c r="B6210" s="9" t="inlineStr">
        <is>
          <t>MSG</t>
        </is>
      </c>
      <c r="C6210" s="9" t="inlineStr">
        <is>
          <t>Session-range breakout + Fibonacci retracement-zone entry</t>
        </is>
      </c>
      <c r="D6210" s="9" t="inlineStr">
        <is>
          <t>Long</t>
        </is>
      </c>
      <c r="E6210" s="10" t="n">
        <v>46038.60069444445</v>
      </c>
      <c r="F6210" s="10" t="n">
        <v>46038.61875</v>
      </c>
      <c r="G6210" s="11" t="n">
        <v>-14.42</v>
      </c>
      <c r="H6210" s="11">
        <f>H6209+G6210</f>
        <v/>
      </c>
    </row>
    <row r="6211">
      <c r="A6211" s="9" t="n">
        <v>6207</v>
      </c>
      <c r="B6211" s="9" t="inlineStr">
        <is>
          <t>Vanguard_M15</t>
        </is>
      </c>
      <c r="C6211" s="9" t="inlineStr">
        <is>
          <t>Trendline breakout (fractal swing line) + VWAP/S-R distance gate - M15 chart</t>
        </is>
      </c>
      <c r="D6211" s="9" t="inlineStr">
        <is>
          <t>Long</t>
        </is>
      </c>
      <c r="E6211" s="10" t="n">
        <v>46038.5625</v>
      </c>
      <c r="F6211" s="10" t="n">
        <v>46038.63541666666</v>
      </c>
      <c r="G6211" s="11" t="n">
        <v>-19.14</v>
      </c>
      <c r="H6211" s="11">
        <f>H6210+G6211</f>
        <v/>
      </c>
    </row>
    <row r="6212">
      <c r="A6212" s="9" t="n">
        <v>6208</v>
      </c>
      <c r="B6212" s="9" t="inlineStr">
        <is>
          <t>Vanguard_M15</t>
        </is>
      </c>
      <c r="C6212" s="9" t="inlineStr">
        <is>
          <t>Trendline breakout (fractal swing line) + VWAP/S-R distance gate - M15 chart</t>
        </is>
      </c>
      <c r="D6212" s="9" t="inlineStr">
        <is>
          <t>Short</t>
        </is>
      </c>
      <c r="E6212" s="10" t="n">
        <v>46038.64583333334</v>
      </c>
      <c r="F6212" s="10" t="n">
        <v>46038.66666666666</v>
      </c>
      <c r="G6212" s="11" t="n">
        <v>-21.29</v>
      </c>
      <c r="H6212" s="11">
        <f>H6211+G6212</f>
        <v/>
      </c>
    </row>
    <row r="6213">
      <c r="A6213" s="9" t="n">
        <v>6209</v>
      </c>
      <c r="B6213" s="9" t="inlineStr">
        <is>
          <t>Vanguard_M5</t>
        </is>
      </c>
      <c r="C6213" s="9" t="inlineStr">
        <is>
          <t>Trendline breakout (fractal swing line) + VWAP/S-R distance gate</t>
        </is>
      </c>
      <c r="D6213" s="9" t="inlineStr">
        <is>
          <t>Short</t>
        </is>
      </c>
      <c r="E6213" s="10" t="n">
        <v>46038.63888888889</v>
      </c>
      <c r="F6213" s="10" t="n">
        <v>46038.67013888889</v>
      </c>
      <c r="G6213" s="11" t="n">
        <v>-18.91</v>
      </c>
      <c r="H6213" s="11">
        <f>H6212+G6213</f>
        <v/>
      </c>
    </row>
    <row r="6214">
      <c r="A6214" s="9" t="n">
        <v>6210</v>
      </c>
      <c r="B6214" s="9" t="inlineStr">
        <is>
          <t>Meridian</t>
        </is>
      </c>
      <c r="C6214" s="9" t="inlineStr">
        <is>
          <t>21/50 MA cross, 250-period confirm filter, VWAP</t>
        </is>
      </c>
      <c r="D6214" s="9" t="inlineStr">
        <is>
          <t>Short</t>
        </is>
      </c>
      <c r="E6214" s="10" t="n">
        <v>46038.625</v>
      </c>
      <c r="F6214" s="10" t="n">
        <v>46038.69097222222</v>
      </c>
      <c r="G6214" s="11" t="n">
        <v>-8.85</v>
      </c>
      <c r="H6214" s="11">
        <f>H6213+G6214</f>
        <v/>
      </c>
    </row>
    <row r="6215">
      <c r="A6215" s="9" t="n">
        <v>6211</v>
      </c>
      <c r="B6215" s="9" t="inlineStr">
        <is>
          <t>Vanguard_M15</t>
        </is>
      </c>
      <c r="C6215" s="9" t="inlineStr">
        <is>
          <t>Trendline breakout (fractal swing line) + VWAP/S-R distance gate - M15 chart</t>
        </is>
      </c>
      <c r="D6215" s="9" t="inlineStr">
        <is>
          <t>Long</t>
        </is>
      </c>
      <c r="E6215" s="10" t="n">
        <v>46038.67708333334</v>
      </c>
      <c r="F6215" s="10" t="n">
        <v>46038.71875</v>
      </c>
      <c r="G6215" s="11" t="n">
        <v>-23.34</v>
      </c>
      <c r="H6215" s="11">
        <f>H6214+G6215</f>
        <v/>
      </c>
    </row>
    <row r="6216">
      <c r="A6216" s="9" t="n">
        <v>6212</v>
      </c>
      <c r="B6216" s="9" t="inlineStr">
        <is>
          <t>Vanguard_M5</t>
        </is>
      </c>
      <c r="C6216" s="9" t="inlineStr">
        <is>
          <t>Trendline breakout (fractal swing line) + VWAP/S-R distance gate</t>
        </is>
      </c>
      <c r="D6216" s="9" t="inlineStr">
        <is>
          <t>Long</t>
        </is>
      </c>
      <c r="E6216" s="10" t="n">
        <v>46038.67708333334</v>
      </c>
      <c r="F6216" s="10" t="n">
        <v>46038.72222222222</v>
      </c>
      <c r="G6216" s="11" t="n">
        <v>-18.42</v>
      </c>
      <c r="H6216" s="11">
        <f>H6215+G6216</f>
        <v/>
      </c>
    </row>
    <row r="6217">
      <c r="A6217" s="9" t="n">
        <v>6213</v>
      </c>
      <c r="B6217" s="9" t="inlineStr">
        <is>
          <t>Meridian</t>
        </is>
      </c>
      <c r="C6217" s="9" t="inlineStr">
        <is>
          <t>21/50 MA cross, 250-period confirm filter, VWAP</t>
        </is>
      </c>
      <c r="D6217" s="9" t="inlineStr">
        <is>
          <t>Long</t>
        </is>
      </c>
      <c r="E6217" s="10" t="n">
        <v>46038.70138888889</v>
      </c>
      <c r="F6217" s="10" t="n">
        <v>46038.72222222222</v>
      </c>
      <c r="G6217" s="11" t="n">
        <v>-15.74</v>
      </c>
      <c r="H6217" s="11">
        <f>H6216+G6217</f>
        <v/>
      </c>
    </row>
    <row r="6218">
      <c r="A6218" s="9" t="n">
        <v>6214</v>
      </c>
      <c r="B6218" s="9" t="inlineStr">
        <is>
          <t>Vanguard_M5</t>
        </is>
      </c>
      <c r="C6218" s="9" t="inlineStr">
        <is>
          <t>Trendline breakout (fractal swing line) + VWAP/S-R distance gate</t>
        </is>
      </c>
      <c r="D6218" s="9" t="inlineStr">
        <is>
          <t>Short</t>
        </is>
      </c>
      <c r="E6218" s="10" t="n">
        <v>46038.72569444445</v>
      </c>
      <c r="F6218" s="10" t="n">
        <v>46041.04166666666</v>
      </c>
      <c r="G6218" s="11" t="n">
        <v>-31.69</v>
      </c>
      <c r="H6218" s="11">
        <f>H6217+G6218</f>
        <v/>
      </c>
    </row>
    <row r="6219">
      <c r="A6219" s="9" t="n">
        <v>6215</v>
      </c>
      <c r="B6219" s="9" t="inlineStr">
        <is>
          <t>MSG</t>
        </is>
      </c>
      <c r="C6219" s="9" t="inlineStr">
        <is>
          <t>Session-range breakout + Fibonacci retracement-zone entry</t>
        </is>
      </c>
      <c r="D6219" s="9" t="inlineStr">
        <is>
          <t>Short</t>
        </is>
      </c>
      <c r="E6219" s="10" t="n">
        <v>46041.59513888889</v>
      </c>
      <c r="F6219" s="10" t="n">
        <v>46041.60486111111</v>
      </c>
      <c r="G6219" s="11" t="n">
        <v>-9.890000000000001</v>
      </c>
      <c r="H6219" s="11">
        <f>H6218+G6219</f>
        <v/>
      </c>
    </row>
    <row r="6220">
      <c r="A6220" s="9" t="n">
        <v>6216</v>
      </c>
      <c r="B6220" s="9" t="inlineStr">
        <is>
          <t>Meridian</t>
        </is>
      </c>
      <c r="C6220" s="9" t="inlineStr">
        <is>
          <t>21/50 MA cross, 250-period confirm filter, VWAP</t>
        </is>
      </c>
      <c r="D6220" s="9" t="inlineStr">
        <is>
          <t>Long</t>
        </is>
      </c>
      <c r="E6220" s="10" t="n">
        <v>46041.60763888889</v>
      </c>
      <c r="F6220" s="10" t="n">
        <v>46041.66319444445</v>
      </c>
      <c r="G6220" s="11" t="n">
        <v>-7.99</v>
      </c>
      <c r="H6220" s="11">
        <f>H6219+G6220</f>
        <v/>
      </c>
    </row>
    <row r="6221">
      <c r="A6221" s="9" t="n">
        <v>6217</v>
      </c>
      <c r="B6221" s="9" t="inlineStr">
        <is>
          <t>Meridian</t>
        </is>
      </c>
      <c r="C6221" s="9" t="inlineStr">
        <is>
          <t>21/50 MA cross, 250-period confirm filter, VWAP</t>
        </is>
      </c>
      <c r="D6221" s="9" t="inlineStr">
        <is>
          <t>Long</t>
        </is>
      </c>
      <c r="E6221" s="10" t="n">
        <v>46041.6875</v>
      </c>
      <c r="F6221" s="10" t="n">
        <v>46041.69097222222</v>
      </c>
      <c r="G6221" s="11" t="n">
        <v>-0.95</v>
      </c>
      <c r="H6221" s="11">
        <f>H6220+G6221</f>
        <v/>
      </c>
    </row>
    <row r="6222">
      <c r="A6222" s="9" t="n">
        <v>6218</v>
      </c>
      <c r="B6222" s="9" t="inlineStr">
        <is>
          <t>Meridian</t>
        </is>
      </c>
      <c r="C6222" s="9" t="inlineStr">
        <is>
          <t>21/50 MA cross, 250-period confirm filter, VWAP</t>
        </is>
      </c>
      <c r="D6222" s="9" t="inlineStr">
        <is>
          <t>Long</t>
        </is>
      </c>
      <c r="E6222" s="10" t="n">
        <v>46041.71875</v>
      </c>
      <c r="F6222" s="10" t="n">
        <v>46041.72222222222</v>
      </c>
      <c r="G6222" s="11" t="n">
        <v>-2.64</v>
      </c>
      <c r="H6222" s="11">
        <f>H6221+G6222</f>
        <v/>
      </c>
    </row>
    <row r="6223">
      <c r="A6223" s="9" t="n">
        <v>6219</v>
      </c>
      <c r="B6223" s="9" t="inlineStr">
        <is>
          <t>Meridian</t>
        </is>
      </c>
      <c r="C6223" s="9" t="inlineStr">
        <is>
          <t>21/50 MA cross, 250-period confirm filter, VWAP</t>
        </is>
      </c>
      <c r="D6223" s="9" t="inlineStr">
        <is>
          <t>Long</t>
        </is>
      </c>
      <c r="E6223" s="10" t="n">
        <v>46041.73958333334</v>
      </c>
      <c r="F6223" s="10" t="n">
        <v>46042.0625</v>
      </c>
      <c r="G6223" s="11" t="n">
        <v>-4.16</v>
      </c>
      <c r="H6223" s="11">
        <f>H6222+G6223</f>
        <v/>
      </c>
    </row>
    <row r="6224">
      <c r="A6224" s="9" t="n">
        <v>6220</v>
      </c>
      <c r="B6224" s="9" t="inlineStr">
        <is>
          <t>Meridian</t>
        </is>
      </c>
      <c r="C6224" s="9" t="inlineStr">
        <is>
          <t>21/50 MA cross, 250-period confirm filter, VWAP</t>
        </is>
      </c>
      <c r="D6224" s="9" t="inlineStr">
        <is>
          <t>Long</t>
        </is>
      </c>
      <c r="E6224" s="10" t="n">
        <v>46042.15972222222</v>
      </c>
      <c r="F6224" s="10" t="n">
        <v>46042.17708333334</v>
      </c>
      <c r="G6224" s="11" t="n">
        <v>-6.39</v>
      </c>
      <c r="H6224" s="11">
        <f>H6223+G6224</f>
        <v/>
      </c>
    </row>
    <row r="6225">
      <c r="A6225" s="9" t="n">
        <v>6221</v>
      </c>
      <c r="B6225" s="9" t="inlineStr">
        <is>
          <t>Ratchet</t>
        </is>
      </c>
      <c r="C6225" s="9" t="inlineStr">
        <is>
          <t>Stochastic scalp with give-back trail exit</t>
        </is>
      </c>
      <c r="D6225" s="9" t="inlineStr">
        <is>
          <t>Long</t>
        </is>
      </c>
      <c r="E6225" s="10" t="n">
        <v>46042.19791666666</v>
      </c>
      <c r="F6225" s="10" t="n">
        <v>46042.19791666666</v>
      </c>
      <c r="G6225" s="11" t="n">
        <v>-5.65</v>
      </c>
      <c r="H6225" s="11">
        <f>H6224+G6225</f>
        <v/>
      </c>
    </row>
    <row r="6226">
      <c r="A6226" s="9" t="n">
        <v>6222</v>
      </c>
      <c r="B6226" s="9" t="inlineStr">
        <is>
          <t>Ratchet</t>
        </is>
      </c>
      <c r="C6226" s="9" t="inlineStr">
        <is>
          <t>Stochastic scalp with give-back trail exit</t>
        </is>
      </c>
      <c r="D6226" s="9" t="inlineStr">
        <is>
          <t>Long</t>
        </is>
      </c>
      <c r="E6226" s="10" t="n">
        <v>46042.22569444445</v>
      </c>
      <c r="F6226" s="10" t="n">
        <v>46042.50347222222</v>
      </c>
      <c r="G6226" s="11" t="n">
        <v>59.18</v>
      </c>
      <c r="H6226" s="11">
        <f>H6225+G6226</f>
        <v/>
      </c>
    </row>
    <row r="6227">
      <c r="A6227" s="9" t="n">
        <v>6223</v>
      </c>
      <c r="B6227" s="9" t="inlineStr">
        <is>
          <t>Ratchet</t>
        </is>
      </c>
      <c r="C6227" s="9" t="inlineStr">
        <is>
          <t>Stochastic scalp with give-back trail exit</t>
        </is>
      </c>
      <c r="D6227" s="9" t="inlineStr">
        <is>
          <t>Long</t>
        </is>
      </c>
      <c r="E6227" s="10" t="n">
        <v>46042.57291666666</v>
      </c>
      <c r="F6227" s="10" t="n">
        <v>46042.57638888889</v>
      </c>
      <c r="G6227" s="11" t="n">
        <v>0</v>
      </c>
      <c r="H6227" s="11">
        <f>H6226+G6227</f>
        <v/>
      </c>
    </row>
    <row r="6228">
      <c r="A6228" s="9" t="n">
        <v>6224</v>
      </c>
      <c r="B6228" s="9" t="inlineStr">
        <is>
          <t>Aurelius_M5</t>
        </is>
      </c>
      <c r="C6228" s="9" t="inlineStr">
        <is>
          <t>MA alignment (EMA21&gt;EMA50&gt;SMA250&gt;SMMA500 vs EMA2400 trend filter)</t>
        </is>
      </c>
      <c r="D6228" s="9" t="inlineStr">
        <is>
          <t>Long</t>
        </is>
      </c>
      <c r="E6228" s="10" t="n">
        <v>46042.61458333334</v>
      </c>
      <c r="F6228" s="10" t="n">
        <v>46042.63888888889</v>
      </c>
      <c r="G6228" s="11" t="n">
        <v>-8.369999999999999</v>
      </c>
      <c r="H6228" s="11">
        <f>H6227+G6228</f>
        <v/>
      </c>
    </row>
    <row r="6229">
      <c r="A6229" s="9" t="n">
        <v>6225</v>
      </c>
      <c r="B6229" s="9" t="inlineStr">
        <is>
          <t>Meridian</t>
        </is>
      </c>
      <c r="C6229" s="9" t="inlineStr">
        <is>
          <t>21/50 MA cross, 250-period confirm filter, VWAP</t>
        </is>
      </c>
      <c r="D6229" s="9" t="inlineStr">
        <is>
          <t>Long</t>
        </is>
      </c>
      <c r="E6229" s="10" t="n">
        <v>46042.19097222222</v>
      </c>
      <c r="F6229" s="10" t="n">
        <v>46042.65277777778</v>
      </c>
      <c r="G6229" s="11" t="n">
        <v>47.06</v>
      </c>
      <c r="H6229" s="11">
        <f>H6228+G6229</f>
        <v/>
      </c>
    </row>
    <row r="6230">
      <c r="A6230" s="9" t="n">
        <v>6226</v>
      </c>
      <c r="B6230" s="9" t="inlineStr">
        <is>
          <t>Ratchet</t>
        </is>
      </c>
      <c r="C6230" s="9" t="inlineStr">
        <is>
          <t>Stochastic scalp with give-back trail exit</t>
        </is>
      </c>
      <c r="D6230" s="9" t="inlineStr">
        <is>
          <t>Long</t>
        </is>
      </c>
      <c r="E6230" s="10" t="n">
        <v>46042.65972222222</v>
      </c>
      <c r="F6230" s="10" t="n">
        <v>46042.67013888889</v>
      </c>
      <c r="G6230" s="11" t="n">
        <v>3.22</v>
      </c>
      <c r="H6230" s="11">
        <f>H6229+G6230</f>
        <v/>
      </c>
    </row>
    <row r="6231">
      <c r="A6231" s="9" t="n">
        <v>6227</v>
      </c>
      <c r="B6231" s="9" t="inlineStr">
        <is>
          <t>Aurelius_M5</t>
        </is>
      </c>
      <c r="C6231" s="9" t="inlineStr">
        <is>
          <t>MA alignment (EMA21&gt;EMA50&gt;SMA250&gt;SMMA500 vs EMA2400 trend filter)</t>
        </is>
      </c>
      <c r="D6231" s="9" t="inlineStr">
        <is>
          <t>Long</t>
        </is>
      </c>
      <c r="E6231" s="10" t="n">
        <v>46042.6875</v>
      </c>
      <c r="F6231" s="10" t="n">
        <v>46042.6875</v>
      </c>
      <c r="G6231" s="11" t="n">
        <v>-15.86</v>
      </c>
      <c r="H6231" s="11">
        <f>H6230+G6231</f>
        <v/>
      </c>
    </row>
    <row r="6232">
      <c r="A6232" s="9" t="n">
        <v>6228</v>
      </c>
      <c r="B6232" s="9" t="inlineStr">
        <is>
          <t>Vanguard_M15</t>
        </is>
      </c>
      <c r="C6232" s="9" t="inlineStr">
        <is>
          <t>Trendline breakout (fractal swing line) + VWAP/S-R distance gate - M15 chart</t>
        </is>
      </c>
      <c r="D6232" s="9" t="inlineStr">
        <is>
          <t>Long</t>
        </is>
      </c>
      <c r="E6232" s="10" t="n">
        <v>46041.05208333334</v>
      </c>
      <c r="F6232" s="10" t="n">
        <v>46042.71875</v>
      </c>
      <c r="G6232" s="11" t="n">
        <v>69.83</v>
      </c>
      <c r="H6232" s="11">
        <f>H6231+G6232</f>
        <v/>
      </c>
    </row>
    <row r="6233">
      <c r="A6233" s="9" t="n">
        <v>6229</v>
      </c>
      <c r="B6233" s="9" t="inlineStr">
        <is>
          <t>Vanguard_M5</t>
        </is>
      </c>
      <c r="C6233" s="9" t="inlineStr">
        <is>
          <t>Trendline breakout (fractal swing line) + VWAP/S-R distance gate</t>
        </is>
      </c>
      <c r="D6233" s="9" t="inlineStr">
        <is>
          <t>Long</t>
        </is>
      </c>
      <c r="E6233" s="10" t="n">
        <v>46041.04513888889</v>
      </c>
      <c r="F6233" s="10" t="n">
        <v>46042.72569444445</v>
      </c>
      <c r="G6233" s="11" t="n">
        <v>75.26000000000001</v>
      </c>
      <c r="H6233" s="11">
        <f>H6232+G6233</f>
        <v/>
      </c>
    </row>
    <row r="6234">
      <c r="A6234" s="9" t="n">
        <v>6230</v>
      </c>
      <c r="B6234" s="9" t="inlineStr">
        <is>
          <t>Ratchet</t>
        </is>
      </c>
      <c r="C6234" s="9" t="inlineStr">
        <is>
          <t>Stochastic scalp with give-back trail exit</t>
        </is>
      </c>
      <c r="D6234" s="9" t="inlineStr">
        <is>
          <t>Long</t>
        </is>
      </c>
      <c r="E6234" s="10" t="n">
        <v>46042.77083333334</v>
      </c>
      <c r="F6234" s="10" t="n">
        <v>46042.78819444445</v>
      </c>
      <c r="G6234" s="11" t="n">
        <v>10.07</v>
      </c>
      <c r="H6234" s="11">
        <f>H6233+G6234</f>
        <v/>
      </c>
    </row>
    <row r="6235">
      <c r="A6235" s="9" t="n">
        <v>6231</v>
      </c>
      <c r="B6235" s="9" t="inlineStr">
        <is>
          <t>Ratchet</t>
        </is>
      </c>
      <c r="C6235" s="9" t="inlineStr">
        <is>
          <t>Stochastic scalp with give-back trail exit</t>
        </is>
      </c>
      <c r="D6235" s="9" t="inlineStr">
        <is>
          <t>Long</t>
        </is>
      </c>
      <c r="E6235" s="10" t="n">
        <v>46042.97222222222</v>
      </c>
      <c r="F6235" s="10" t="n">
        <v>46042.99652777778</v>
      </c>
      <c r="G6235" s="11" t="n">
        <v>1.52</v>
      </c>
      <c r="H6235" s="11">
        <f>H6234+G6235</f>
        <v/>
      </c>
    </row>
    <row r="6236">
      <c r="A6236" s="9" t="n">
        <v>6232</v>
      </c>
      <c r="B6236" s="9" t="inlineStr">
        <is>
          <t>Aurelius_M5</t>
        </is>
      </c>
      <c r="C6236" s="9" t="inlineStr">
        <is>
          <t>MA alignment (EMA21&gt;EMA50&gt;SMA250&gt;SMMA500 vs EMA2400 trend filter)</t>
        </is>
      </c>
      <c r="D6236" s="9" t="inlineStr">
        <is>
          <t>Long</t>
        </is>
      </c>
      <c r="E6236" s="10" t="n">
        <v>46042.70486111111</v>
      </c>
      <c r="F6236" s="10" t="n">
        <v>46043.04166666666</v>
      </c>
      <c r="G6236" s="11" t="n">
        <v>25.56</v>
      </c>
      <c r="H6236" s="11">
        <f>H6235+G6236</f>
        <v/>
      </c>
    </row>
    <row r="6237">
      <c r="A6237" s="9" t="n">
        <v>6233</v>
      </c>
      <c r="B6237" s="9" t="inlineStr">
        <is>
          <t>Ratchet</t>
        </is>
      </c>
      <c r="C6237" s="9" t="inlineStr">
        <is>
          <t>Stochastic scalp with give-back trail exit</t>
        </is>
      </c>
      <c r="D6237" s="9" t="inlineStr">
        <is>
          <t>Long</t>
        </is>
      </c>
      <c r="E6237" s="10" t="n">
        <v>46043.34027777778</v>
      </c>
      <c r="F6237" s="10" t="n">
        <v>46043.34722222222</v>
      </c>
      <c r="G6237" s="11" t="n">
        <v>1.52</v>
      </c>
      <c r="H6237" s="11">
        <f>H6236+G6237</f>
        <v/>
      </c>
    </row>
    <row r="6238">
      <c r="A6238" s="9" t="n">
        <v>6234</v>
      </c>
      <c r="B6238" s="9" t="inlineStr">
        <is>
          <t>Ratchet</t>
        </is>
      </c>
      <c r="C6238" s="9" t="inlineStr">
        <is>
          <t>Stochastic scalp with give-back trail exit</t>
        </is>
      </c>
      <c r="D6238" s="9" t="inlineStr">
        <is>
          <t>Long</t>
        </is>
      </c>
      <c r="E6238" s="10" t="n">
        <v>46043.63541666666</v>
      </c>
      <c r="F6238" s="10" t="n">
        <v>46043.65972222222</v>
      </c>
      <c r="G6238" s="11" t="n">
        <v>2.69</v>
      </c>
      <c r="H6238" s="11">
        <f>H6237+G6238</f>
        <v/>
      </c>
    </row>
    <row r="6239">
      <c r="A6239" s="9" t="n">
        <v>6235</v>
      </c>
      <c r="B6239" s="9" t="inlineStr">
        <is>
          <t>Aurelius_M5</t>
        </is>
      </c>
      <c r="C6239" s="9" t="inlineStr">
        <is>
          <t>MA alignment (EMA21&gt;EMA50&gt;SMA250&gt;SMMA500 vs EMA2400 trend filter)</t>
        </is>
      </c>
      <c r="D6239" s="9" t="inlineStr">
        <is>
          <t>Long</t>
        </is>
      </c>
      <c r="E6239" s="10" t="n">
        <v>46043.65625</v>
      </c>
      <c r="F6239" s="10" t="n">
        <v>46043.66666666666</v>
      </c>
      <c r="G6239" s="11" t="n">
        <v>-13.07</v>
      </c>
      <c r="H6239" s="11">
        <f>H6238+G6239</f>
        <v/>
      </c>
    </row>
    <row r="6240">
      <c r="A6240" s="9" t="n">
        <v>6236</v>
      </c>
      <c r="B6240" s="9" t="inlineStr">
        <is>
          <t>Meridian</t>
        </is>
      </c>
      <c r="C6240" s="9" t="inlineStr">
        <is>
          <t>21/50 MA cross, 250-period confirm filter, VWAP</t>
        </is>
      </c>
      <c r="D6240" s="9" t="inlineStr">
        <is>
          <t>Long</t>
        </is>
      </c>
      <c r="E6240" s="10" t="n">
        <v>46042.65625</v>
      </c>
      <c r="F6240" s="10" t="n">
        <v>46043.68402777778</v>
      </c>
      <c r="G6240" s="11" t="n">
        <v>123.3</v>
      </c>
      <c r="H6240" s="11">
        <f>H6239+G6240</f>
        <v/>
      </c>
    </row>
    <row r="6241">
      <c r="A6241" s="9" t="n">
        <v>6237</v>
      </c>
      <c r="B6241" s="9" t="inlineStr">
        <is>
          <t>Aurelius_M15</t>
        </is>
      </c>
      <c r="C6241" s="9" t="inlineStr">
        <is>
          <t>MA alignment (EMA21&gt;EMA50&gt;SMA250&gt;SMMA500 vs EMA2400 trend filter) - M15 chart</t>
        </is>
      </c>
      <c r="D6241" s="9" t="inlineStr">
        <is>
          <t>Long</t>
        </is>
      </c>
      <c r="E6241" s="10" t="n">
        <v>46042.13541666666</v>
      </c>
      <c r="F6241" s="10" t="n">
        <v>46043.84375</v>
      </c>
      <c r="G6241" s="11" t="n">
        <v>155.04</v>
      </c>
      <c r="H6241" s="11">
        <f>H6240+G6241</f>
        <v/>
      </c>
    </row>
    <row r="6242">
      <c r="A6242" s="9" t="n">
        <v>6238</v>
      </c>
      <c r="B6242" s="9" t="inlineStr">
        <is>
          <t>Meridian</t>
        </is>
      </c>
      <c r="C6242" s="9" t="inlineStr">
        <is>
          <t>21/50 MA cross, 250-period confirm filter, VWAP</t>
        </is>
      </c>
      <c r="D6242" s="9" t="inlineStr">
        <is>
          <t>Long</t>
        </is>
      </c>
      <c r="E6242" s="10" t="n">
        <v>46043.89236111111</v>
      </c>
      <c r="F6242" s="10" t="n">
        <v>46043.89236111111</v>
      </c>
      <c r="G6242" s="11" t="n">
        <v>-18.28</v>
      </c>
      <c r="H6242" s="11">
        <f>H6241+G6242</f>
        <v/>
      </c>
    </row>
    <row r="6243">
      <c r="A6243" s="9" t="n">
        <v>6239</v>
      </c>
      <c r="B6243" s="9" t="inlineStr">
        <is>
          <t>Ratchet</t>
        </is>
      </c>
      <c r="C6243" s="9" t="inlineStr">
        <is>
          <t>Stochastic scalp with give-back trail exit</t>
        </is>
      </c>
      <c r="D6243" s="9" t="inlineStr">
        <is>
          <t>Long</t>
        </is>
      </c>
      <c r="E6243" s="10" t="n">
        <v>46044.46527777778</v>
      </c>
      <c r="F6243" s="10" t="n">
        <v>46044.47916666666</v>
      </c>
      <c r="G6243" s="11" t="n">
        <v>-7.34</v>
      </c>
      <c r="H6243" s="11">
        <f>H6242+G6243</f>
        <v/>
      </c>
    </row>
    <row r="6244">
      <c r="A6244" s="9" t="n">
        <v>6240</v>
      </c>
      <c r="B6244" s="9" t="inlineStr">
        <is>
          <t>Ratchet</t>
        </is>
      </c>
      <c r="C6244" s="9" t="inlineStr">
        <is>
          <t>Stochastic scalp with give-back trail exit</t>
        </is>
      </c>
      <c r="D6244" s="9" t="inlineStr">
        <is>
          <t>Long</t>
        </is>
      </c>
      <c r="E6244" s="10" t="n">
        <v>46044.53125</v>
      </c>
      <c r="F6244" s="10" t="n">
        <v>46044.53819444445</v>
      </c>
      <c r="G6244" s="11" t="n">
        <v>0</v>
      </c>
      <c r="H6244" s="11">
        <f>H6243+G6244</f>
        <v/>
      </c>
    </row>
    <row r="6245">
      <c r="A6245" s="9" t="n">
        <v>6241</v>
      </c>
      <c r="B6245" s="9" t="inlineStr">
        <is>
          <t>Vanguard_M5</t>
        </is>
      </c>
      <c r="C6245" s="9" t="inlineStr">
        <is>
          <t>Trendline breakout (fractal swing line) + VWAP/S-R distance gate</t>
        </is>
      </c>
      <c r="D6245" s="9" t="inlineStr">
        <is>
          <t>Short</t>
        </is>
      </c>
      <c r="E6245" s="10" t="n">
        <v>46043.72569444445</v>
      </c>
      <c r="F6245" s="10" t="n">
        <v>46044.54861111111</v>
      </c>
      <c r="G6245" s="11" t="n">
        <v>-9.050000000000001</v>
      </c>
      <c r="H6245" s="11">
        <f>H6244+G6245</f>
        <v/>
      </c>
    </row>
    <row r="6246">
      <c r="A6246" s="9" t="n">
        <v>6242</v>
      </c>
      <c r="B6246" s="9" t="inlineStr">
        <is>
          <t>Ratchet</t>
        </is>
      </c>
      <c r="C6246" s="9" t="inlineStr">
        <is>
          <t>Stochastic scalp with give-back trail exit</t>
        </is>
      </c>
      <c r="D6246" s="9" t="inlineStr">
        <is>
          <t>Long</t>
        </is>
      </c>
      <c r="E6246" s="10" t="n">
        <v>46044.56944444445</v>
      </c>
      <c r="F6246" s="10" t="n">
        <v>46044.57986111111</v>
      </c>
      <c r="G6246" s="11" t="n">
        <v>1.8</v>
      </c>
      <c r="H6246" s="11">
        <f>H6245+G6246</f>
        <v/>
      </c>
    </row>
    <row r="6247">
      <c r="A6247" s="9" t="n">
        <v>6243</v>
      </c>
      <c r="B6247" s="9" t="inlineStr">
        <is>
          <t>Vanguard_M15</t>
        </is>
      </c>
      <c r="C6247" s="9" t="inlineStr">
        <is>
          <t>Trendline breakout (fractal swing line) + VWAP/S-R distance gate - M15 chart</t>
        </is>
      </c>
      <c r="D6247" s="9" t="inlineStr">
        <is>
          <t>Short</t>
        </is>
      </c>
      <c r="E6247" s="10" t="n">
        <v>46043.80208333334</v>
      </c>
      <c r="F6247" s="10" t="n">
        <v>46044.625</v>
      </c>
      <c r="G6247" s="11" t="n">
        <v>-8.49</v>
      </c>
      <c r="H6247" s="11">
        <f>H6246+G6247</f>
        <v/>
      </c>
    </row>
    <row r="6248">
      <c r="A6248" s="9" t="n">
        <v>6244</v>
      </c>
      <c r="B6248" s="9" t="inlineStr">
        <is>
          <t>Ratchet</t>
        </is>
      </c>
      <c r="C6248" s="9" t="inlineStr">
        <is>
          <t>Stochastic scalp with give-back trail exit</t>
        </is>
      </c>
      <c r="D6248" s="9" t="inlineStr">
        <is>
          <t>Long</t>
        </is>
      </c>
      <c r="E6248" s="10" t="n">
        <v>46044.64236111111</v>
      </c>
      <c r="F6248" s="10" t="n">
        <v>46044.64583333334</v>
      </c>
      <c r="G6248" s="11" t="n">
        <v>-7.45</v>
      </c>
      <c r="H6248" s="11">
        <f>H6247+G6248</f>
        <v/>
      </c>
    </row>
    <row r="6249">
      <c r="A6249" s="9" t="n">
        <v>6245</v>
      </c>
      <c r="B6249" s="9" t="inlineStr">
        <is>
          <t>MSG</t>
        </is>
      </c>
      <c r="C6249" s="9" t="inlineStr">
        <is>
          <t>Session-range breakout + Fibonacci retracement-zone entry</t>
        </is>
      </c>
      <c r="D6249" s="9" t="inlineStr">
        <is>
          <t>Short</t>
        </is>
      </c>
      <c r="E6249" s="10" t="n">
        <v>46044.67777777778</v>
      </c>
      <c r="F6249" s="10" t="n">
        <v>46044.68611111111</v>
      </c>
      <c r="G6249" s="11" t="n">
        <v>-12.94</v>
      </c>
      <c r="H6249" s="11">
        <f>H6248+G6249</f>
        <v/>
      </c>
    </row>
    <row r="6250">
      <c r="A6250" s="9" t="n">
        <v>6246</v>
      </c>
      <c r="B6250" s="9" t="inlineStr">
        <is>
          <t>Ratchet</t>
        </is>
      </c>
      <c r="C6250" s="9" t="inlineStr">
        <is>
          <t>Stochastic scalp with give-back trail exit</t>
        </is>
      </c>
      <c r="D6250" s="9" t="inlineStr">
        <is>
          <t>Long</t>
        </is>
      </c>
      <c r="E6250" s="10" t="n">
        <v>46044.80555555555</v>
      </c>
      <c r="F6250" s="10" t="n">
        <v>46044.93402777778</v>
      </c>
      <c r="G6250" s="11" t="n">
        <v>45.74</v>
      </c>
      <c r="H6250" s="11">
        <f>H6249+G6250</f>
        <v/>
      </c>
    </row>
    <row r="6251">
      <c r="A6251" s="9" t="n">
        <v>6247</v>
      </c>
      <c r="B6251" s="9" t="inlineStr">
        <is>
          <t>Aurelius_M5</t>
        </is>
      </c>
      <c r="C6251" s="9" t="inlineStr">
        <is>
          <t>MA alignment (EMA21&gt;EMA50&gt;SMA250&gt;SMMA500 vs EMA2400 trend filter)</t>
        </is>
      </c>
      <c r="D6251" s="9" t="inlineStr">
        <is>
          <t>Long</t>
        </is>
      </c>
      <c r="E6251" s="10" t="n">
        <v>46044.72222222222</v>
      </c>
      <c r="F6251" s="10" t="n">
        <v>46045.04166666666</v>
      </c>
      <c r="G6251" s="11" t="n">
        <v>94.45999999999999</v>
      </c>
      <c r="H6251" s="11">
        <f>H6250+G6251</f>
        <v/>
      </c>
    </row>
    <row r="6252">
      <c r="A6252" s="9" t="n">
        <v>6248</v>
      </c>
      <c r="B6252" s="9" t="inlineStr">
        <is>
          <t>Ratchet</t>
        </is>
      </c>
      <c r="C6252" s="9" t="inlineStr">
        <is>
          <t>Stochastic scalp with give-back trail exit</t>
        </is>
      </c>
      <c r="D6252" s="9" t="inlineStr">
        <is>
          <t>Long</t>
        </is>
      </c>
      <c r="E6252" s="10" t="n">
        <v>46045.19791666666</v>
      </c>
      <c r="F6252" s="10" t="n">
        <v>46045.20486111111</v>
      </c>
      <c r="G6252" s="11" t="n">
        <v>1.22</v>
      </c>
      <c r="H6252" s="11">
        <f>H6251+G6252</f>
        <v/>
      </c>
    </row>
    <row r="6253">
      <c r="A6253" s="9" t="n">
        <v>6249</v>
      </c>
      <c r="B6253" s="9" t="inlineStr">
        <is>
          <t>Meridian</t>
        </is>
      </c>
      <c r="C6253" s="9" t="inlineStr">
        <is>
          <t>21/50 MA cross, 250-period confirm filter, VWAP</t>
        </is>
      </c>
      <c r="D6253" s="9" t="inlineStr">
        <is>
          <t>Long</t>
        </is>
      </c>
      <c r="E6253" s="10" t="n">
        <v>46044.69097222222</v>
      </c>
      <c r="F6253" s="10" t="n">
        <v>46045.40972222222</v>
      </c>
      <c r="G6253" s="11" t="n">
        <v>101.56</v>
      </c>
      <c r="H6253" s="11">
        <f>H6252+G6253</f>
        <v/>
      </c>
    </row>
    <row r="6254">
      <c r="A6254" s="9" t="n">
        <v>6250</v>
      </c>
      <c r="B6254" s="9" t="inlineStr">
        <is>
          <t>Aurelius_M15</t>
        </is>
      </c>
      <c r="C6254" s="9" t="inlineStr">
        <is>
          <t>MA alignment (EMA21&gt;EMA50&gt;SMA250&gt;SMMA500 vs EMA2400 trend filter) - M15 chart</t>
        </is>
      </c>
      <c r="D6254" s="9" t="inlineStr">
        <is>
          <t>Long</t>
        </is>
      </c>
      <c r="E6254" s="10" t="n">
        <v>46044.69791666666</v>
      </c>
      <c r="F6254" s="10" t="n">
        <v>46045.47916666666</v>
      </c>
      <c r="G6254" s="11" t="n">
        <v>59.59</v>
      </c>
      <c r="H6254" s="11">
        <f>H6253+G6254</f>
        <v/>
      </c>
    </row>
    <row r="6255">
      <c r="A6255" s="9" t="n">
        <v>6251</v>
      </c>
      <c r="B6255" s="9" t="inlineStr">
        <is>
          <t>Ratchet</t>
        </is>
      </c>
      <c r="C6255" s="9" t="inlineStr">
        <is>
          <t>Stochastic scalp with give-back trail exit</t>
        </is>
      </c>
      <c r="D6255" s="9" t="inlineStr">
        <is>
          <t>Long</t>
        </is>
      </c>
      <c r="E6255" s="10" t="n">
        <v>46045.67013888889</v>
      </c>
      <c r="F6255" s="10" t="n">
        <v>46045.67708333334</v>
      </c>
      <c r="G6255" s="11" t="n">
        <v>0</v>
      </c>
      <c r="H6255" s="11">
        <f>H6254+G6255</f>
        <v/>
      </c>
    </row>
    <row r="6256">
      <c r="A6256" s="9" t="n">
        <v>6252</v>
      </c>
      <c r="B6256" s="9" t="inlineStr">
        <is>
          <t>Ratchet</t>
        </is>
      </c>
      <c r="C6256" s="9" t="inlineStr">
        <is>
          <t>Stochastic scalp with give-back trail exit</t>
        </is>
      </c>
      <c r="D6256" s="9" t="inlineStr">
        <is>
          <t>Long</t>
        </is>
      </c>
      <c r="E6256" s="10" t="n">
        <v>46045.69097222222</v>
      </c>
      <c r="F6256" s="10" t="n">
        <v>46045.70486111111</v>
      </c>
      <c r="G6256" s="11" t="n">
        <v>3.14</v>
      </c>
      <c r="H6256" s="11">
        <f>H6255+G6256</f>
        <v/>
      </c>
    </row>
    <row r="6257">
      <c r="A6257" s="9" t="n">
        <v>6253</v>
      </c>
      <c r="B6257" s="9" t="inlineStr">
        <is>
          <t>Aurelius_M5</t>
        </is>
      </c>
      <c r="C6257" s="9" t="inlineStr">
        <is>
          <t>MA alignment (EMA21&gt;EMA50&gt;SMA250&gt;SMMA500 vs EMA2400 trend filter)</t>
        </is>
      </c>
      <c r="D6257" s="9" t="inlineStr">
        <is>
          <t>Long</t>
        </is>
      </c>
      <c r="E6257" s="10" t="n">
        <v>46045.70138888889</v>
      </c>
      <c r="F6257" s="10" t="n">
        <v>46045.92013888889</v>
      </c>
      <c r="G6257" s="11" t="n">
        <v>27.03</v>
      </c>
      <c r="H6257" s="11">
        <f>H6256+G6257</f>
        <v/>
      </c>
    </row>
    <row r="6258">
      <c r="A6258" s="9" t="n">
        <v>6254</v>
      </c>
      <c r="B6258" s="9" t="inlineStr">
        <is>
          <t>Aurelius_M15</t>
        </is>
      </c>
      <c r="C6258" s="9" t="inlineStr">
        <is>
          <t>MA alignment (EMA21&gt;EMA50&gt;SMA250&gt;SMMA500 vs EMA2400 trend filter) - M15 chart</t>
        </is>
      </c>
      <c r="D6258" s="9" t="inlineStr">
        <is>
          <t>Long</t>
        </is>
      </c>
      <c r="E6258" s="10" t="n">
        <v>46045.73958333334</v>
      </c>
      <c r="F6258" s="10" t="n">
        <v>46045.92708333334</v>
      </c>
      <c r="G6258" s="11" t="n">
        <v>22.18</v>
      </c>
      <c r="H6258" s="11">
        <f>H6257+G6258</f>
        <v/>
      </c>
    </row>
    <row r="6259">
      <c r="A6259" s="9" t="n">
        <v>6255</v>
      </c>
      <c r="B6259" s="9" t="inlineStr">
        <is>
          <t>Ratchet</t>
        </is>
      </c>
      <c r="C6259" s="9" t="inlineStr">
        <is>
          <t>Stochastic scalp with give-back trail exit</t>
        </is>
      </c>
      <c r="D6259" s="9" t="inlineStr">
        <is>
          <t>Long</t>
        </is>
      </c>
      <c r="E6259" s="10" t="n">
        <v>46048.12847222222</v>
      </c>
      <c r="F6259" s="10" t="n">
        <v>46048.14930555555</v>
      </c>
      <c r="G6259" s="11" t="n">
        <v>41.04</v>
      </c>
      <c r="H6259" s="11">
        <f>H6258+G6259</f>
        <v/>
      </c>
    </row>
    <row r="6260">
      <c r="A6260" s="9" t="n">
        <v>6256</v>
      </c>
      <c r="B6260" s="9" t="inlineStr">
        <is>
          <t>Ratchet</t>
        </is>
      </c>
      <c r="C6260" s="9" t="inlineStr">
        <is>
          <t>Stochastic scalp with give-back trail exit</t>
        </is>
      </c>
      <c r="D6260" s="9" t="inlineStr">
        <is>
          <t>Long</t>
        </is>
      </c>
      <c r="E6260" s="10" t="n">
        <v>46048.21180555555</v>
      </c>
      <c r="F6260" s="10" t="n">
        <v>46048.21875</v>
      </c>
      <c r="G6260" s="11" t="n">
        <v>0</v>
      </c>
      <c r="H6260" s="11">
        <f>H6259+G6260</f>
        <v/>
      </c>
    </row>
    <row r="6261">
      <c r="A6261" s="9" t="n">
        <v>6257</v>
      </c>
      <c r="B6261" s="9" t="inlineStr">
        <is>
          <t>Ratchet</t>
        </is>
      </c>
      <c r="C6261" s="9" t="inlineStr">
        <is>
          <t>Stochastic scalp with give-back trail exit</t>
        </is>
      </c>
      <c r="D6261" s="9" t="inlineStr">
        <is>
          <t>Long</t>
        </is>
      </c>
      <c r="E6261" s="10" t="n">
        <v>46048.33333333334</v>
      </c>
      <c r="F6261" s="10" t="n">
        <v>46048.33680555555</v>
      </c>
      <c r="G6261" s="11" t="n">
        <v>1.39</v>
      </c>
      <c r="H6261" s="11">
        <f>H6260+G6261</f>
        <v/>
      </c>
    </row>
    <row r="6262">
      <c r="A6262" s="9" t="n">
        <v>6258</v>
      </c>
      <c r="B6262" s="9" t="inlineStr">
        <is>
          <t>Ratchet</t>
        </is>
      </c>
      <c r="C6262" s="9" t="inlineStr">
        <is>
          <t>Stochastic scalp with give-back trail exit</t>
        </is>
      </c>
      <c r="D6262" s="9" t="inlineStr">
        <is>
          <t>Long</t>
        </is>
      </c>
      <c r="E6262" s="10" t="n">
        <v>46048.43055555555</v>
      </c>
      <c r="F6262" s="10" t="n">
        <v>46048.45138888889</v>
      </c>
      <c r="G6262" s="11" t="n">
        <v>-9.06</v>
      </c>
      <c r="H6262" s="11">
        <f>H6261+G6262</f>
        <v/>
      </c>
    </row>
    <row r="6263">
      <c r="A6263" s="9" t="n">
        <v>6259</v>
      </c>
      <c r="B6263" s="9" t="inlineStr">
        <is>
          <t>Ratchet</t>
        </is>
      </c>
      <c r="C6263" s="9" t="inlineStr">
        <is>
          <t>Stochastic scalp with give-back trail exit</t>
        </is>
      </c>
      <c r="D6263" s="9" t="inlineStr">
        <is>
          <t>Long</t>
        </is>
      </c>
      <c r="E6263" s="10" t="n">
        <v>46048.58680555555</v>
      </c>
      <c r="F6263" s="10" t="n">
        <v>46048.60069444445</v>
      </c>
      <c r="G6263" s="11" t="n">
        <v>0.91</v>
      </c>
      <c r="H6263" s="11">
        <f>H6262+G6263</f>
        <v/>
      </c>
    </row>
    <row r="6264">
      <c r="A6264" s="9" t="n">
        <v>6260</v>
      </c>
      <c r="B6264" s="9" t="inlineStr">
        <is>
          <t>Aurelius_M5</t>
        </is>
      </c>
      <c r="C6264" s="9" t="inlineStr">
        <is>
          <t>MA alignment (EMA21&gt;EMA50&gt;SMA250&gt;SMMA500 vs EMA2400 trend filter)</t>
        </is>
      </c>
      <c r="D6264" s="9" t="inlineStr">
        <is>
          <t>Long</t>
        </is>
      </c>
      <c r="E6264" s="10" t="n">
        <v>46048.04513888889</v>
      </c>
      <c r="F6264" s="10" t="n">
        <v>46048.625</v>
      </c>
      <c r="G6264" s="11" t="n">
        <v>65.2</v>
      </c>
      <c r="H6264" s="11">
        <f>H6263+G6264</f>
        <v/>
      </c>
    </row>
    <row r="6265">
      <c r="A6265" s="9" t="n">
        <v>6261</v>
      </c>
      <c r="B6265" s="9" t="inlineStr">
        <is>
          <t>MSG</t>
        </is>
      </c>
      <c r="C6265" s="9" t="inlineStr">
        <is>
          <t>Session-range breakout + Fibonacci retracement-zone entry</t>
        </is>
      </c>
      <c r="D6265" s="9" t="inlineStr">
        <is>
          <t>Short</t>
        </is>
      </c>
      <c r="E6265" s="10" t="n">
        <v>46048.63611111111</v>
      </c>
      <c r="F6265" s="10" t="n">
        <v>46048.64375</v>
      </c>
      <c r="G6265" s="11" t="n">
        <v>30.15</v>
      </c>
      <c r="H6265" s="11">
        <f>H6264+G6265</f>
        <v/>
      </c>
    </row>
    <row r="6266">
      <c r="A6266" s="9" t="n">
        <v>6262</v>
      </c>
      <c r="B6266" s="9" t="inlineStr">
        <is>
          <t>Ratchet</t>
        </is>
      </c>
      <c r="C6266" s="9" t="inlineStr">
        <is>
          <t>Stochastic scalp with give-back trail exit</t>
        </is>
      </c>
      <c r="D6266" s="9" t="inlineStr">
        <is>
          <t>Long</t>
        </is>
      </c>
      <c r="E6266" s="10" t="n">
        <v>46048.72569444445</v>
      </c>
      <c r="F6266" s="10" t="n">
        <v>46048.73263888889</v>
      </c>
      <c r="G6266" s="11" t="n">
        <v>-15.46</v>
      </c>
      <c r="H6266" s="11">
        <f>H6265+G6266</f>
        <v/>
      </c>
    </row>
    <row r="6267">
      <c r="A6267" s="9" t="n">
        <v>6263</v>
      </c>
      <c r="B6267" s="9" t="inlineStr">
        <is>
          <t>Meridian</t>
        </is>
      </c>
      <c r="C6267" s="9" t="inlineStr">
        <is>
          <t>21/50 MA cross, 250-period confirm filter, VWAP</t>
        </is>
      </c>
      <c r="D6267" s="9" t="inlineStr">
        <is>
          <t>Long</t>
        </is>
      </c>
      <c r="E6267" s="10" t="n">
        <v>46048.71180555555</v>
      </c>
      <c r="F6267" s="10" t="n">
        <v>46048.76736111111</v>
      </c>
      <c r="G6267" s="11" t="n">
        <v>-20.96</v>
      </c>
      <c r="H6267" s="11">
        <f>H6266+G6267</f>
        <v/>
      </c>
    </row>
    <row r="6268">
      <c r="A6268" s="9" t="n">
        <v>6264</v>
      </c>
      <c r="B6268" s="9" t="inlineStr">
        <is>
          <t>Aurelius_M5</t>
        </is>
      </c>
      <c r="C6268" s="9" t="inlineStr">
        <is>
          <t>MA alignment (EMA21&gt;EMA50&gt;SMA250&gt;SMMA500 vs EMA2400 trend filter)</t>
        </is>
      </c>
      <c r="D6268" s="9" t="inlineStr">
        <is>
          <t>Long</t>
        </is>
      </c>
      <c r="E6268" s="10" t="n">
        <v>46048.75347222222</v>
      </c>
      <c r="F6268" s="10" t="n">
        <v>46048.76736111111</v>
      </c>
      <c r="G6268" s="11" t="n">
        <v>-22.18</v>
      </c>
      <c r="H6268" s="11">
        <f>H6267+G6268</f>
        <v/>
      </c>
    </row>
    <row r="6269">
      <c r="A6269" s="9" t="n">
        <v>6265</v>
      </c>
      <c r="B6269" s="9" t="inlineStr">
        <is>
          <t>Ratchet</t>
        </is>
      </c>
      <c r="C6269" s="9" t="inlineStr">
        <is>
          <t>Stochastic scalp with give-back trail exit</t>
        </is>
      </c>
      <c r="D6269" s="9" t="inlineStr">
        <is>
          <t>Long</t>
        </is>
      </c>
      <c r="E6269" s="10" t="n">
        <v>46048.75694444445</v>
      </c>
      <c r="F6269" s="10" t="n">
        <v>46048.76736111111</v>
      </c>
      <c r="G6269" s="11" t="n">
        <v>-15.69</v>
      </c>
      <c r="H6269" s="11">
        <f>H6268+G6269</f>
        <v/>
      </c>
    </row>
    <row r="6270">
      <c r="A6270" s="9" t="n">
        <v>6266</v>
      </c>
      <c r="B6270" s="9" t="inlineStr">
        <is>
          <t>Ratchet</t>
        </is>
      </c>
      <c r="C6270" s="9" t="inlineStr">
        <is>
          <t>Stochastic scalp with give-back trail exit</t>
        </is>
      </c>
      <c r="D6270" s="9" t="inlineStr">
        <is>
          <t>Long</t>
        </is>
      </c>
      <c r="E6270" s="10" t="n">
        <v>46048.80208333334</v>
      </c>
      <c r="F6270" s="10" t="n">
        <v>46048.83680555555</v>
      </c>
      <c r="G6270" s="11" t="n">
        <v>2.33</v>
      </c>
      <c r="H6270" s="11">
        <f>H6269+G6270</f>
        <v/>
      </c>
    </row>
    <row r="6271">
      <c r="A6271" s="9" t="n">
        <v>6267</v>
      </c>
      <c r="B6271" s="9" t="inlineStr">
        <is>
          <t>Aurelius_M15</t>
        </is>
      </c>
      <c r="C6271" s="9" t="inlineStr">
        <is>
          <t>MA alignment (EMA21&gt;EMA50&gt;SMA250&gt;SMMA500 vs EMA2400 trend filter) - M15 chart</t>
        </is>
      </c>
      <c r="D6271" s="9" t="inlineStr">
        <is>
          <t>Long</t>
        </is>
      </c>
      <c r="E6271" s="10" t="n">
        <v>46048.72916666666</v>
      </c>
      <c r="F6271" s="10" t="n">
        <v>46048.85416666666</v>
      </c>
      <c r="G6271" s="11" t="n">
        <v>-31.22</v>
      </c>
      <c r="H6271" s="11">
        <f>H6270+G6271</f>
        <v/>
      </c>
    </row>
    <row r="6272">
      <c r="A6272" s="9" t="n">
        <v>6268</v>
      </c>
      <c r="B6272" s="9" t="inlineStr">
        <is>
          <t>Aurelius_M5</t>
        </is>
      </c>
      <c r="C6272" s="9" t="inlineStr">
        <is>
          <t>MA alignment (EMA21&gt;EMA50&gt;SMA250&gt;SMMA500 vs EMA2400 trend filter)</t>
        </is>
      </c>
      <c r="D6272" s="9" t="inlineStr">
        <is>
          <t>Long</t>
        </is>
      </c>
      <c r="E6272" s="10" t="n">
        <v>46048.85069444445</v>
      </c>
      <c r="F6272" s="10" t="n">
        <v>46048.86111111111</v>
      </c>
      <c r="G6272" s="11" t="n">
        <v>-21.31</v>
      </c>
      <c r="H6272" s="11">
        <f>H6271+G6272</f>
        <v/>
      </c>
    </row>
    <row r="6273">
      <c r="A6273" s="9" t="n">
        <v>6269</v>
      </c>
      <c r="B6273" s="9" t="inlineStr">
        <is>
          <t>Meridian</t>
        </is>
      </c>
      <c r="C6273" s="9" t="inlineStr">
        <is>
          <t>21/50 MA cross, 250-period confirm filter, VWAP</t>
        </is>
      </c>
      <c r="D6273" s="9" t="inlineStr">
        <is>
          <t>Short</t>
        </is>
      </c>
      <c r="E6273" s="10" t="n">
        <v>46048.86111111111</v>
      </c>
      <c r="F6273" s="10" t="n">
        <v>46049.14236111111</v>
      </c>
      <c r="G6273" s="11" t="n">
        <v>-0</v>
      </c>
      <c r="H6273" s="11">
        <f>H6272+G6273</f>
        <v/>
      </c>
    </row>
    <row r="6274">
      <c r="A6274" s="9" t="n">
        <v>6270</v>
      </c>
      <c r="B6274" s="9" t="inlineStr">
        <is>
          <t>Vanguard_M5</t>
        </is>
      </c>
      <c r="C6274" s="9" t="inlineStr">
        <is>
          <t>Trendline breakout (fractal swing line) + VWAP/S-R distance gate</t>
        </is>
      </c>
      <c r="D6274" s="9" t="inlineStr">
        <is>
          <t>Short</t>
        </is>
      </c>
      <c r="E6274" s="10" t="n">
        <v>46048.89236111111</v>
      </c>
      <c r="F6274" s="10" t="n">
        <v>46049.19444444445</v>
      </c>
      <c r="G6274" s="11" t="n">
        <v>-54.4</v>
      </c>
      <c r="H6274" s="11">
        <f>H6273+G6274</f>
        <v/>
      </c>
    </row>
    <row r="6275">
      <c r="A6275" s="9" t="n">
        <v>6271</v>
      </c>
      <c r="B6275" s="9" t="inlineStr">
        <is>
          <t>Ratchet</t>
        </is>
      </c>
      <c r="C6275" s="9" t="inlineStr">
        <is>
          <t>Stochastic scalp with give-back trail exit</t>
        </is>
      </c>
      <c r="D6275" s="9" t="inlineStr">
        <is>
          <t>Long</t>
        </is>
      </c>
      <c r="E6275" s="10" t="n">
        <v>46049.26736111111</v>
      </c>
      <c r="F6275" s="10" t="n">
        <v>46049.27777777778</v>
      </c>
      <c r="G6275" s="11" t="n">
        <v>-9.59</v>
      </c>
      <c r="H6275" s="11">
        <f>H6274+G6275</f>
        <v/>
      </c>
    </row>
    <row r="6276">
      <c r="A6276" s="9" t="n">
        <v>6272</v>
      </c>
      <c r="B6276" s="9" t="inlineStr">
        <is>
          <t>Vanguard_M15</t>
        </is>
      </c>
      <c r="C6276" s="9" t="inlineStr">
        <is>
          <t>Trendline breakout (fractal swing line) + VWAP/S-R distance gate - M15 chart</t>
        </is>
      </c>
      <c r="D6276" s="9" t="inlineStr">
        <is>
          <t>Short</t>
        </is>
      </c>
      <c r="E6276" s="10" t="n">
        <v>46048.89583333334</v>
      </c>
      <c r="F6276" s="10" t="n">
        <v>46049.33333333334</v>
      </c>
      <c r="G6276" s="11" t="n">
        <v>-58.19</v>
      </c>
      <c r="H6276" s="11">
        <f>H6275+G6276</f>
        <v/>
      </c>
    </row>
    <row r="6277">
      <c r="A6277" s="9" t="n">
        <v>6273</v>
      </c>
      <c r="B6277" s="9" t="inlineStr">
        <is>
          <t>Ratchet</t>
        </is>
      </c>
      <c r="C6277" s="9" t="inlineStr">
        <is>
          <t>Stochastic scalp with give-back trail exit</t>
        </is>
      </c>
      <c r="D6277" s="9" t="inlineStr">
        <is>
          <t>Long</t>
        </is>
      </c>
      <c r="E6277" s="10" t="n">
        <v>46049.39583333334</v>
      </c>
      <c r="F6277" s="10" t="n">
        <v>46049.40625</v>
      </c>
      <c r="G6277" s="11" t="n">
        <v>2.4</v>
      </c>
      <c r="H6277" s="11">
        <f>H6276+G6277</f>
        <v/>
      </c>
    </row>
    <row r="6278">
      <c r="A6278" s="9" t="n">
        <v>6274</v>
      </c>
      <c r="B6278" s="9" t="inlineStr">
        <is>
          <t>Ratchet</t>
        </is>
      </c>
      <c r="C6278" s="9" t="inlineStr">
        <is>
          <t>Stochastic scalp with give-back trail exit</t>
        </is>
      </c>
      <c r="D6278" s="9" t="inlineStr">
        <is>
          <t>Long</t>
        </is>
      </c>
      <c r="E6278" s="10" t="n">
        <v>46049.48263888889</v>
      </c>
      <c r="F6278" s="10" t="n">
        <v>46049.48611111111</v>
      </c>
      <c r="G6278" s="11" t="n">
        <v>0.92</v>
      </c>
      <c r="H6278" s="11">
        <f>H6277+G6278</f>
        <v/>
      </c>
    </row>
    <row r="6279">
      <c r="A6279" s="9" t="n">
        <v>6275</v>
      </c>
      <c r="B6279" s="9" t="inlineStr">
        <is>
          <t>Ratchet</t>
        </is>
      </c>
      <c r="C6279" s="9" t="inlineStr">
        <is>
          <t>Stochastic scalp with give-back trail exit</t>
        </is>
      </c>
      <c r="D6279" s="9" t="inlineStr">
        <is>
          <t>Long</t>
        </is>
      </c>
      <c r="E6279" s="10" t="n">
        <v>46049.49305555555</v>
      </c>
      <c r="F6279" s="10" t="n">
        <v>46049.50694444445</v>
      </c>
      <c r="G6279" s="11" t="n">
        <v>2.95</v>
      </c>
      <c r="H6279" s="11">
        <f>H6278+G6279</f>
        <v/>
      </c>
    </row>
    <row r="6280">
      <c r="A6280" s="9" t="n">
        <v>6276</v>
      </c>
      <c r="B6280" s="9" t="inlineStr">
        <is>
          <t>Vanguard_M5</t>
        </is>
      </c>
      <c r="C6280" s="9" t="inlineStr">
        <is>
          <t>Trendline breakout (fractal swing line) + VWAP/S-R distance gate</t>
        </is>
      </c>
      <c r="D6280" s="9" t="inlineStr">
        <is>
          <t>Long</t>
        </is>
      </c>
      <c r="E6280" s="10" t="n">
        <v>46049.39930555555</v>
      </c>
      <c r="F6280" s="10" t="n">
        <v>46049.57638888889</v>
      </c>
      <c r="G6280" s="11" t="n">
        <v>-26.67</v>
      </c>
      <c r="H6280" s="11">
        <f>H6279+G6280</f>
        <v/>
      </c>
    </row>
    <row r="6281">
      <c r="A6281" s="9" t="n">
        <v>6277</v>
      </c>
      <c r="B6281" s="9" t="inlineStr">
        <is>
          <t>MSG</t>
        </is>
      </c>
      <c r="C6281" s="9" t="inlineStr">
        <is>
          <t>Session-range breakout + Fibonacci retracement-zone entry</t>
        </is>
      </c>
      <c r="D6281" s="9" t="inlineStr">
        <is>
          <t>Short</t>
        </is>
      </c>
      <c r="E6281" s="10" t="n">
        <v>46049.60625</v>
      </c>
      <c r="F6281" s="10" t="n">
        <v>46049.62638888889</v>
      </c>
      <c r="G6281" s="11" t="n">
        <v>-13.45</v>
      </c>
      <c r="H6281" s="11">
        <f>H6280+G6281</f>
        <v/>
      </c>
    </row>
    <row r="6282">
      <c r="A6282" s="9" t="n">
        <v>6278</v>
      </c>
      <c r="B6282" s="9" t="inlineStr">
        <is>
          <t>Meridian</t>
        </is>
      </c>
      <c r="C6282" s="9" t="inlineStr">
        <is>
          <t>21/50 MA cross, 250-period confirm filter, VWAP</t>
        </is>
      </c>
      <c r="D6282" s="9" t="inlineStr">
        <is>
          <t>Long</t>
        </is>
      </c>
      <c r="E6282" s="10" t="n">
        <v>46049.63541666666</v>
      </c>
      <c r="F6282" s="10" t="n">
        <v>46049.64583333334</v>
      </c>
      <c r="G6282" s="11" t="n">
        <v>-15.24</v>
      </c>
      <c r="H6282" s="11">
        <f>H6281+G6282</f>
        <v/>
      </c>
    </row>
    <row r="6283">
      <c r="A6283" s="9" t="n">
        <v>6279</v>
      </c>
      <c r="B6283" s="9" t="inlineStr">
        <is>
          <t>Vanguard_M15</t>
        </is>
      </c>
      <c r="C6283" s="9" t="inlineStr">
        <is>
          <t>Trendline breakout (fractal swing line) + VWAP/S-R distance gate - M15 chart</t>
        </is>
      </c>
      <c r="D6283" s="9" t="inlineStr">
        <is>
          <t>Long</t>
        </is>
      </c>
      <c r="E6283" s="10" t="n">
        <v>46049.5</v>
      </c>
      <c r="F6283" s="10" t="n">
        <v>46049.66666666666</v>
      </c>
      <c r="G6283" s="11" t="n">
        <v>-33.5</v>
      </c>
      <c r="H6283" s="11">
        <f>H6282+G6283</f>
        <v/>
      </c>
    </row>
    <row r="6284">
      <c r="A6284" s="9" t="n">
        <v>6280</v>
      </c>
      <c r="B6284" s="9" t="inlineStr">
        <is>
          <t>Aurelius_M5</t>
        </is>
      </c>
      <c r="C6284" s="9" t="inlineStr">
        <is>
          <t>MA alignment (EMA21&gt;EMA50&gt;SMA250&gt;SMMA500 vs EMA2400 trend filter)</t>
        </is>
      </c>
      <c r="D6284" s="9" t="inlineStr">
        <is>
          <t>Long</t>
        </is>
      </c>
      <c r="E6284" s="10" t="n">
        <v>46049.80555555555</v>
      </c>
      <c r="F6284" s="10" t="n">
        <v>46050.04166666666</v>
      </c>
      <c r="G6284" s="11" t="n">
        <v>98.09</v>
      </c>
      <c r="H6284" s="11">
        <f>H6283+G6284</f>
        <v/>
      </c>
    </row>
    <row r="6285">
      <c r="A6285" s="9" t="n">
        <v>6281</v>
      </c>
      <c r="B6285" s="9" t="inlineStr">
        <is>
          <t>Ratchet</t>
        </is>
      </c>
      <c r="C6285" s="9" t="inlineStr">
        <is>
          <t>Stochastic scalp with give-back trail exit</t>
        </is>
      </c>
      <c r="D6285" s="9" t="inlineStr">
        <is>
          <t>Long</t>
        </is>
      </c>
      <c r="E6285" s="10" t="n">
        <v>46050.04513888889</v>
      </c>
      <c r="F6285" s="10" t="n">
        <v>46050.05555555555</v>
      </c>
      <c r="G6285" s="11" t="n">
        <v>-18.44</v>
      </c>
      <c r="H6285" s="11">
        <f>H6284+G6285</f>
        <v/>
      </c>
    </row>
    <row r="6286">
      <c r="A6286" s="9" t="n">
        <v>6282</v>
      </c>
      <c r="B6286" s="9" t="inlineStr">
        <is>
          <t>Ratchet</t>
        </is>
      </c>
      <c r="C6286" s="9" t="inlineStr">
        <is>
          <t>Stochastic scalp with give-back trail exit</t>
        </is>
      </c>
      <c r="D6286" s="9" t="inlineStr">
        <is>
          <t>Long</t>
        </is>
      </c>
      <c r="E6286" s="10" t="n">
        <v>46050.14583333334</v>
      </c>
      <c r="F6286" s="10" t="n">
        <v>46050.17361111111</v>
      </c>
      <c r="G6286" s="11" t="n">
        <v>7.96</v>
      </c>
      <c r="H6286" s="11">
        <f>H6285+G6286</f>
        <v/>
      </c>
    </row>
    <row r="6287">
      <c r="A6287" s="9" t="n">
        <v>6283</v>
      </c>
      <c r="B6287" s="9" t="inlineStr">
        <is>
          <t>Ratchet</t>
        </is>
      </c>
      <c r="C6287" s="9" t="inlineStr">
        <is>
          <t>Stochastic scalp with give-back trail exit</t>
        </is>
      </c>
      <c r="D6287" s="9" t="inlineStr">
        <is>
          <t>Long</t>
        </is>
      </c>
      <c r="E6287" s="10" t="n">
        <v>46050.23958333334</v>
      </c>
      <c r="F6287" s="10" t="n">
        <v>46050.24652777778</v>
      </c>
      <c r="G6287" s="11" t="n">
        <v>1.96</v>
      </c>
      <c r="H6287" s="11">
        <f>H6286+G6287</f>
        <v/>
      </c>
    </row>
    <row r="6288">
      <c r="A6288" s="9" t="n">
        <v>6284</v>
      </c>
      <c r="B6288" s="9" t="inlineStr">
        <is>
          <t>Ratchet</t>
        </is>
      </c>
      <c r="C6288" s="9" t="inlineStr">
        <is>
          <t>Stochastic scalp with give-back trail exit</t>
        </is>
      </c>
      <c r="D6288" s="9" t="inlineStr">
        <is>
          <t>Long</t>
        </is>
      </c>
      <c r="E6288" s="10" t="n">
        <v>46050.27777777778</v>
      </c>
      <c r="F6288" s="10" t="n">
        <v>46050.54166666666</v>
      </c>
      <c r="G6288" s="11" t="n">
        <v>19.75</v>
      </c>
      <c r="H6288" s="11">
        <f>H6287+G6288</f>
        <v/>
      </c>
    </row>
    <row r="6289">
      <c r="A6289" s="9" t="n">
        <v>6285</v>
      </c>
      <c r="B6289" s="9" t="inlineStr">
        <is>
          <t>Meridian</t>
        </is>
      </c>
      <c r="C6289" s="9" t="inlineStr">
        <is>
          <t>21/50 MA cross, 250-period confirm filter, VWAP</t>
        </is>
      </c>
      <c r="D6289" s="9" t="inlineStr">
        <is>
          <t>Long</t>
        </is>
      </c>
      <c r="E6289" s="10" t="n">
        <v>46049.75694444445</v>
      </c>
      <c r="F6289" s="10" t="n">
        <v>46050.54861111111</v>
      </c>
      <c r="G6289" s="11" t="n">
        <v>160.81</v>
      </c>
      <c r="H6289" s="11">
        <f>H6288+G6289</f>
        <v/>
      </c>
    </row>
    <row r="6290">
      <c r="A6290" s="9" t="n">
        <v>6286</v>
      </c>
      <c r="B6290" s="9" t="inlineStr">
        <is>
          <t>Ratchet</t>
        </is>
      </c>
      <c r="C6290" s="9" t="inlineStr">
        <is>
          <t>Stochastic scalp with give-back trail exit</t>
        </is>
      </c>
      <c r="D6290" s="9" t="inlineStr">
        <is>
          <t>Long</t>
        </is>
      </c>
      <c r="E6290" s="10" t="n">
        <v>46050.63888888889</v>
      </c>
      <c r="F6290" s="10" t="n">
        <v>46050.64583333334</v>
      </c>
      <c r="G6290" s="11" t="n">
        <v>1.96</v>
      </c>
      <c r="H6290" s="11">
        <f>H6289+G6290</f>
        <v/>
      </c>
    </row>
    <row r="6291">
      <c r="A6291" s="9" t="n">
        <v>6287</v>
      </c>
      <c r="B6291" s="9" t="inlineStr">
        <is>
          <t>Meridian</t>
        </is>
      </c>
      <c r="C6291" s="9" t="inlineStr">
        <is>
          <t>21/50 MA cross, 250-period confirm filter, VWAP</t>
        </is>
      </c>
      <c r="D6291" s="9" t="inlineStr">
        <is>
          <t>Long</t>
        </is>
      </c>
      <c r="E6291" s="10" t="n">
        <v>46050.62847222222</v>
      </c>
      <c r="F6291" s="10" t="n">
        <v>46050.64930555555</v>
      </c>
      <c r="G6291" s="11" t="n">
        <v>-19.58</v>
      </c>
      <c r="H6291" s="11">
        <f>H6290+G6291</f>
        <v/>
      </c>
    </row>
    <row r="6292">
      <c r="A6292" s="9" t="n">
        <v>6288</v>
      </c>
      <c r="B6292" s="9" t="inlineStr">
        <is>
          <t>MSG</t>
        </is>
      </c>
      <c r="C6292" s="9" t="inlineStr">
        <is>
          <t>Session-range breakout + Fibonacci retracement-zone entry</t>
        </is>
      </c>
      <c r="D6292" s="9" t="inlineStr">
        <is>
          <t>Short</t>
        </is>
      </c>
      <c r="E6292" s="10" t="n">
        <v>46050.62430555555</v>
      </c>
      <c r="F6292" s="10" t="n">
        <v>46050.69166666667</v>
      </c>
      <c r="G6292" s="11" t="n">
        <v>24.53</v>
      </c>
      <c r="H6292" s="11">
        <f>H6291+G6292</f>
        <v/>
      </c>
    </row>
    <row r="6293">
      <c r="A6293" s="9" t="n">
        <v>6289</v>
      </c>
      <c r="B6293" s="9" t="inlineStr">
        <is>
          <t>Meridian</t>
        </is>
      </c>
      <c r="C6293" s="9" t="inlineStr">
        <is>
          <t>21/50 MA cross, 250-period confirm filter, VWAP</t>
        </is>
      </c>
      <c r="D6293" s="9" t="inlineStr">
        <is>
          <t>Long</t>
        </is>
      </c>
      <c r="E6293" s="10" t="n">
        <v>46050.70138888889</v>
      </c>
      <c r="F6293" s="10" t="n">
        <v>46050.71180555555</v>
      </c>
      <c r="G6293" s="11" t="n">
        <v>-24.36</v>
      </c>
      <c r="H6293" s="11">
        <f>H6292+G6293</f>
        <v/>
      </c>
    </row>
    <row r="6294">
      <c r="A6294" s="9" t="n">
        <v>6290</v>
      </c>
      <c r="B6294" s="9" t="inlineStr">
        <is>
          <t>Ratchet</t>
        </is>
      </c>
      <c r="C6294" s="9" t="inlineStr">
        <is>
          <t>Stochastic scalp with give-back trail exit</t>
        </is>
      </c>
      <c r="D6294" s="9" t="inlineStr">
        <is>
          <t>Long</t>
        </is>
      </c>
      <c r="E6294" s="10" t="n">
        <v>46050.76041666666</v>
      </c>
      <c r="F6294" s="10" t="n">
        <v>46050.80208333334</v>
      </c>
      <c r="G6294" s="11" t="n">
        <v>5.33</v>
      </c>
      <c r="H6294" s="11">
        <f>H6293+G6294</f>
        <v/>
      </c>
    </row>
    <row r="6295">
      <c r="A6295" s="9" t="n">
        <v>6291</v>
      </c>
      <c r="B6295" s="9" t="inlineStr">
        <is>
          <t>Aurelius_M5</t>
        </is>
      </c>
      <c r="C6295" s="9" t="inlineStr">
        <is>
          <t>MA alignment (EMA21&gt;EMA50&gt;SMA250&gt;SMMA500 vs EMA2400 trend filter)</t>
        </is>
      </c>
      <c r="D6295" s="9" t="inlineStr">
        <is>
          <t>Long</t>
        </is>
      </c>
      <c r="E6295" s="10" t="n">
        <v>46050.78472222222</v>
      </c>
      <c r="F6295" s="10" t="n">
        <v>46051.04166666666</v>
      </c>
      <c r="G6295" s="11" t="n">
        <v>124.49</v>
      </c>
      <c r="H6295" s="11">
        <f>H6294+G6295</f>
        <v/>
      </c>
    </row>
    <row r="6296">
      <c r="A6296" s="9" t="n">
        <v>6292</v>
      </c>
      <c r="B6296" s="9" t="inlineStr">
        <is>
          <t>Ratchet</t>
        </is>
      </c>
      <c r="C6296" s="9" t="inlineStr">
        <is>
          <t>Stochastic scalp with give-back trail exit</t>
        </is>
      </c>
      <c r="D6296" s="9" t="inlineStr">
        <is>
          <t>Long</t>
        </is>
      </c>
      <c r="E6296" s="10" t="n">
        <v>46051.14236111111</v>
      </c>
      <c r="F6296" s="10" t="n">
        <v>46051.16666666666</v>
      </c>
      <c r="G6296" s="11" t="n">
        <v>11.98</v>
      </c>
      <c r="H6296" s="11">
        <f>H6295+G6296</f>
        <v/>
      </c>
    </row>
    <row r="6297">
      <c r="A6297" s="9" t="n">
        <v>6293</v>
      </c>
      <c r="B6297" s="9" t="inlineStr">
        <is>
          <t>Ratchet</t>
        </is>
      </c>
      <c r="C6297" s="9" t="inlineStr">
        <is>
          <t>Stochastic scalp with give-back trail exit</t>
        </is>
      </c>
      <c r="D6297" s="9" t="inlineStr">
        <is>
          <t>Long</t>
        </is>
      </c>
      <c r="E6297" s="10" t="n">
        <v>46051.30208333334</v>
      </c>
      <c r="F6297" s="10" t="n">
        <v>46051.30555555555</v>
      </c>
      <c r="G6297" s="11" t="n">
        <v>-16.03</v>
      </c>
      <c r="H6297" s="11">
        <f>H6296+G6297</f>
        <v/>
      </c>
    </row>
    <row r="6298">
      <c r="A6298" s="9" t="n">
        <v>6294</v>
      </c>
      <c r="B6298" s="9" t="inlineStr">
        <is>
          <t>Meridian</t>
        </is>
      </c>
      <c r="C6298" s="9" t="inlineStr">
        <is>
          <t>21/50 MA cross, 250-period confirm filter, VWAP</t>
        </is>
      </c>
      <c r="D6298" s="9" t="inlineStr">
        <is>
          <t>Long</t>
        </is>
      </c>
      <c r="E6298" s="10" t="n">
        <v>46050.73611111111</v>
      </c>
      <c r="F6298" s="10" t="n">
        <v>46051.43402777778</v>
      </c>
      <c r="G6298" s="11" t="n">
        <v>255.43</v>
      </c>
      <c r="H6298" s="11">
        <f>H6297+G6298</f>
        <v/>
      </c>
    </row>
    <row r="6299">
      <c r="A6299" s="9" t="n">
        <v>6295</v>
      </c>
      <c r="B6299" s="9" t="inlineStr">
        <is>
          <t>Aurelius_M15</t>
        </is>
      </c>
      <c r="C6299" s="9" t="inlineStr">
        <is>
          <t>MA alignment (EMA21&gt;EMA50&gt;SMA250&gt;SMMA500 vs EMA2400 trend filter) - M15 chart</t>
        </is>
      </c>
      <c r="D6299" s="9" t="inlineStr">
        <is>
          <t>Long</t>
        </is>
      </c>
      <c r="E6299" s="10" t="n">
        <v>46049.69791666666</v>
      </c>
      <c r="F6299" s="10" t="n">
        <v>46051.57291666666</v>
      </c>
      <c r="G6299" s="11" t="n">
        <v>435.03</v>
      </c>
      <c r="H6299" s="11">
        <f>H6298+G6299</f>
        <v/>
      </c>
    </row>
    <row r="6300">
      <c r="A6300" s="9" t="n">
        <v>6296</v>
      </c>
      <c r="B6300" s="9" t="inlineStr">
        <is>
          <t>Ratchet</t>
        </is>
      </c>
      <c r="C6300" s="9" t="inlineStr">
        <is>
          <t>Stochastic scalp with give-back trail exit</t>
        </is>
      </c>
      <c r="D6300" s="9" t="inlineStr">
        <is>
          <t>Long</t>
        </is>
      </c>
      <c r="E6300" s="10" t="n">
        <v>46051.60763888889</v>
      </c>
      <c r="F6300" s="10" t="n">
        <v>46051.61111111111</v>
      </c>
      <c r="G6300" s="11" t="n">
        <v>-14.6</v>
      </c>
      <c r="H6300" s="11">
        <f>H6299+G6300</f>
        <v/>
      </c>
    </row>
    <row r="6301">
      <c r="A6301" s="9" t="n">
        <v>6297</v>
      </c>
      <c r="B6301" s="9" t="inlineStr">
        <is>
          <t>Meridian</t>
        </is>
      </c>
      <c r="C6301" s="9" t="inlineStr">
        <is>
          <t>21/50 MA cross, 250-period confirm filter, VWAP</t>
        </is>
      </c>
      <c r="D6301" s="9" t="inlineStr">
        <is>
          <t>Long</t>
        </is>
      </c>
      <c r="E6301" s="10" t="n">
        <v>46051.60416666666</v>
      </c>
      <c r="F6301" s="10" t="n">
        <v>46051.63194444445</v>
      </c>
      <c r="G6301" s="11" t="n">
        <v>-24.33</v>
      </c>
      <c r="H6301" s="11">
        <f>H6300+G6301</f>
        <v/>
      </c>
    </row>
    <row r="6302">
      <c r="A6302" s="9" t="n">
        <v>6298</v>
      </c>
      <c r="B6302" s="9" t="inlineStr">
        <is>
          <t>Ratchet</t>
        </is>
      </c>
      <c r="C6302" s="9" t="inlineStr">
        <is>
          <t>Stochastic scalp with give-back trail exit</t>
        </is>
      </c>
      <c r="D6302" s="9" t="inlineStr">
        <is>
          <t>Long</t>
        </is>
      </c>
      <c r="E6302" s="10" t="n">
        <v>46051.62847222222</v>
      </c>
      <c r="F6302" s="10" t="n">
        <v>46051.63194444445</v>
      </c>
      <c r="G6302" s="11" t="n">
        <v>-15.97</v>
      </c>
      <c r="H6302" s="11">
        <f>H6301+G6302</f>
        <v/>
      </c>
    </row>
    <row r="6303">
      <c r="A6303" s="9" t="n">
        <v>6299</v>
      </c>
      <c r="B6303" s="9" t="inlineStr">
        <is>
          <t>Meridian</t>
        </is>
      </c>
      <c r="C6303" s="9" t="inlineStr">
        <is>
          <t>21/50 MA cross, 250-period confirm filter, VWAP</t>
        </is>
      </c>
      <c r="D6303" s="9" t="inlineStr">
        <is>
          <t>Long</t>
        </is>
      </c>
      <c r="E6303" s="10" t="n">
        <v>46051.67708333334</v>
      </c>
      <c r="F6303" s="10" t="n">
        <v>46051.69791666666</v>
      </c>
      <c r="G6303" s="11" t="n">
        <v>-31.61</v>
      </c>
      <c r="H6303" s="11">
        <f>H6302+G6303</f>
        <v/>
      </c>
    </row>
    <row r="6304">
      <c r="A6304" s="9" t="n">
        <v>6300</v>
      </c>
      <c r="B6304" s="9" t="inlineStr">
        <is>
          <t>Vanguard_M15</t>
        </is>
      </c>
      <c r="C6304" s="9" t="inlineStr">
        <is>
          <t>Trendline breakout (fractal swing line) + VWAP/S-R distance gate - M15 chart</t>
        </is>
      </c>
      <c r="D6304" s="9" t="inlineStr">
        <is>
          <t>Long</t>
        </is>
      </c>
      <c r="E6304" s="10" t="n">
        <v>46049.77083333334</v>
      </c>
      <c r="F6304" s="10" t="n">
        <v>46051.70833333334</v>
      </c>
      <c r="G6304" s="11" t="n">
        <v>285.72</v>
      </c>
      <c r="H6304" s="11">
        <f>H6303+G6304</f>
        <v/>
      </c>
    </row>
    <row r="6305">
      <c r="A6305" s="9" t="n">
        <v>6301</v>
      </c>
      <c r="B6305" s="9" t="inlineStr">
        <is>
          <t>Vanguard_M5</t>
        </is>
      </c>
      <c r="C6305" s="9" t="inlineStr">
        <is>
          <t>Trendline breakout (fractal swing line) + VWAP/S-R distance gate</t>
        </is>
      </c>
      <c r="D6305" s="9" t="inlineStr">
        <is>
          <t>Long</t>
        </is>
      </c>
      <c r="E6305" s="10" t="n">
        <v>46049.75</v>
      </c>
      <c r="F6305" s="10" t="n">
        <v>46051.71180555555</v>
      </c>
      <c r="G6305" s="11" t="n">
        <v>324.24</v>
      </c>
      <c r="H6305" s="11">
        <f>H6304+G6305</f>
        <v/>
      </c>
    </row>
    <row r="6306">
      <c r="A6306" s="9" t="n">
        <v>6302</v>
      </c>
      <c r="B6306" s="9" t="inlineStr">
        <is>
          <t>Meridian</t>
        </is>
      </c>
      <c r="C6306" s="9" t="inlineStr">
        <is>
          <t>21/50 MA cross, 250-period confirm filter, VWAP</t>
        </is>
      </c>
      <c r="D6306" s="9" t="inlineStr">
        <is>
          <t>Short</t>
        </is>
      </c>
      <c r="E6306" s="10" t="n">
        <v>46052.14583333334</v>
      </c>
      <c r="F6306" s="10" t="n">
        <v>46052.59027777778</v>
      </c>
      <c r="G6306" s="11" t="n">
        <v>227.47</v>
      </c>
      <c r="H6306" s="11">
        <f>H6305+G6306</f>
        <v/>
      </c>
    </row>
    <row r="6307">
      <c r="A6307" s="9" t="n">
        <v>6303</v>
      </c>
      <c r="B6307" s="9" t="inlineStr">
        <is>
          <t>Meridian</t>
        </is>
      </c>
      <c r="C6307" s="9" t="inlineStr">
        <is>
          <t>21/50 MA cross, 250-period confirm filter, VWAP</t>
        </is>
      </c>
      <c r="D6307" s="9" t="inlineStr">
        <is>
          <t>Short</t>
        </is>
      </c>
      <c r="E6307" s="10" t="n">
        <v>46052.62152777778</v>
      </c>
      <c r="F6307" s="10" t="n">
        <v>46052.91666666666</v>
      </c>
      <c r="G6307" s="11" t="n">
        <v>157.21</v>
      </c>
      <c r="H6307" s="11">
        <f>H6306+G6307</f>
        <v/>
      </c>
    </row>
    <row r="6308">
      <c r="A6308" s="9" t="n">
        <v>6304</v>
      </c>
      <c r="B6308" s="9" t="inlineStr">
        <is>
          <t>Aurelius_M5</t>
        </is>
      </c>
      <c r="C6308" s="9" t="inlineStr">
        <is>
          <t>MA alignment (EMA21&gt;EMA50&gt;SMA250&gt;SMMA500 vs EMA2400 trend filter)</t>
        </is>
      </c>
      <c r="D6308" s="9" t="inlineStr">
        <is>
          <t>Short</t>
        </is>
      </c>
      <c r="E6308" s="10" t="n">
        <v>46052.74305555555</v>
      </c>
      <c r="F6308" s="10" t="n">
        <v>46052.92013888889</v>
      </c>
      <c r="G6308" s="11" t="n">
        <v>152.83</v>
      </c>
      <c r="H6308" s="11">
        <f>H6307+G6308</f>
        <v/>
      </c>
    </row>
    <row r="6309">
      <c r="A6309" s="9" t="n">
        <v>6305</v>
      </c>
      <c r="B6309" s="9" t="inlineStr">
        <is>
          <t>Ratchet</t>
        </is>
      </c>
      <c r="C6309" s="9" t="inlineStr">
        <is>
          <t>Stochastic scalp with give-back trail exit</t>
        </is>
      </c>
      <c r="D6309" s="9" t="inlineStr">
        <is>
          <t>Short</t>
        </is>
      </c>
      <c r="E6309" s="10" t="n">
        <v>46055.12847222222</v>
      </c>
      <c r="F6309" s="10" t="n">
        <v>46055.14930555555</v>
      </c>
      <c r="G6309" s="11" t="n">
        <v>33.51</v>
      </c>
      <c r="H6309" s="11">
        <f>H6308+G6309</f>
        <v/>
      </c>
    </row>
    <row r="6310">
      <c r="A6310" s="9" t="n">
        <v>6306</v>
      </c>
      <c r="B6310" s="9" t="inlineStr">
        <is>
          <t>Ratchet</t>
        </is>
      </c>
      <c r="C6310" s="9" t="inlineStr">
        <is>
          <t>Stochastic scalp with give-back trail exit</t>
        </is>
      </c>
      <c r="D6310" s="9" t="inlineStr">
        <is>
          <t>Short</t>
        </is>
      </c>
      <c r="E6310" s="10" t="n">
        <v>46055.21180555555</v>
      </c>
      <c r="F6310" s="10" t="n">
        <v>46055.21875</v>
      </c>
      <c r="G6310" s="11" t="n">
        <v>-0</v>
      </c>
      <c r="H6310" s="11">
        <f>H6309+G6310</f>
        <v/>
      </c>
    </row>
    <row r="6311">
      <c r="A6311" s="9" t="n">
        <v>6307</v>
      </c>
      <c r="B6311" s="9" t="inlineStr">
        <is>
          <t>Ratchet</t>
        </is>
      </c>
      <c r="C6311" s="9" t="inlineStr">
        <is>
          <t>Stochastic scalp with give-back trail exit</t>
        </is>
      </c>
      <c r="D6311" s="9" t="inlineStr">
        <is>
          <t>Short</t>
        </is>
      </c>
      <c r="E6311" s="10" t="n">
        <v>46055.30555555555</v>
      </c>
      <c r="F6311" s="10" t="n">
        <v>46055.40277777778</v>
      </c>
      <c r="G6311" s="11" t="n">
        <v>76.5</v>
      </c>
      <c r="H6311" s="11">
        <f>H6310+G6311</f>
        <v/>
      </c>
    </row>
    <row r="6312">
      <c r="A6312" s="9" t="n">
        <v>6308</v>
      </c>
      <c r="B6312" s="9" t="inlineStr">
        <is>
          <t>Ratchet</t>
        </is>
      </c>
      <c r="C6312" s="9" t="inlineStr">
        <is>
          <t>Stochastic scalp with give-back trail exit</t>
        </is>
      </c>
      <c r="D6312" s="9" t="inlineStr">
        <is>
          <t>Short</t>
        </is>
      </c>
      <c r="E6312" s="10" t="n">
        <v>46055.88194444445</v>
      </c>
      <c r="F6312" s="10" t="n">
        <v>46055.88888888889</v>
      </c>
      <c r="G6312" s="11" t="n">
        <v>-0</v>
      </c>
      <c r="H6312" s="11">
        <f>H6311+G6312</f>
        <v/>
      </c>
    </row>
    <row r="6313">
      <c r="A6313" s="9" t="n">
        <v>6309</v>
      </c>
      <c r="B6313" s="9" t="inlineStr">
        <is>
          <t>Ratchet</t>
        </is>
      </c>
      <c r="C6313" s="9" t="inlineStr">
        <is>
          <t>Stochastic scalp with give-back trail exit</t>
        </is>
      </c>
      <c r="D6313" s="9" t="inlineStr">
        <is>
          <t>Short</t>
        </is>
      </c>
      <c r="E6313" s="10" t="n">
        <v>46055.95833333334</v>
      </c>
      <c r="F6313" s="10" t="n">
        <v>46055.99652777778</v>
      </c>
      <c r="G6313" s="11" t="n">
        <v>-12.03</v>
      </c>
      <c r="H6313" s="11">
        <f>H6312+G6313</f>
        <v/>
      </c>
    </row>
    <row r="6314">
      <c r="A6314" s="9" t="n">
        <v>6310</v>
      </c>
      <c r="B6314" s="9" t="inlineStr">
        <is>
          <t>Vanguard_M5</t>
        </is>
      </c>
      <c r="C6314" s="9" t="inlineStr">
        <is>
          <t>Trendline breakout (fractal swing line) + VWAP/S-R distance gate</t>
        </is>
      </c>
      <c r="D6314" s="9" t="inlineStr">
        <is>
          <t>Short</t>
        </is>
      </c>
      <c r="E6314" s="10" t="n">
        <v>46051.71527777778</v>
      </c>
      <c r="F6314" s="10" t="n">
        <v>46056.04166666666</v>
      </c>
      <c r="G6314" s="11" t="n">
        <v>713.97</v>
      </c>
      <c r="H6314" s="11">
        <f>H6313+G6314</f>
        <v/>
      </c>
    </row>
    <row r="6315">
      <c r="A6315" s="9" t="n">
        <v>6311</v>
      </c>
      <c r="B6315" s="9" t="inlineStr">
        <is>
          <t>Vanguard_M15</t>
        </is>
      </c>
      <c r="C6315" s="9" t="inlineStr">
        <is>
          <t>Trendline breakout (fractal swing line) + VWAP/S-R distance gate - M15 chart</t>
        </is>
      </c>
      <c r="D6315" s="9" t="inlineStr">
        <is>
          <t>Short</t>
        </is>
      </c>
      <c r="E6315" s="10" t="n">
        <v>46051.71875</v>
      </c>
      <c r="F6315" s="10" t="n">
        <v>46056.04166666666</v>
      </c>
      <c r="G6315" s="11" t="n">
        <v>665.99</v>
      </c>
      <c r="H6315" s="11">
        <f>H6314+G6315</f>
        <v/>
      </c>
    </row>
    <row r="6316">
      <c r="A6316" s="9" t="n">
        <v>6312</v>
      </c>
      <c r="B6316" s="9" t="inlineStr">
        <is>
          <t>Ratchet</t>
        </is>
      </c>
      <c r="C6316" s="9" t="inlineStr">
        <is>
          <t>Stochastic scalp with give-back trail exit</t>
        </is>
      </c>
      <c r="D6316" s="9" t="inlineStr">
        <is>
          <t>Long</t>
        </is>
      </c>
      <c r="E6316" s="10" t="n">
        <v>46056.77430555555</v>
      </c>
      <c r="F6316" s="10" t="n">
        <v>46056.78125</v>
      </c>
      <c r="G6316" s="11" t="n">
        <v>5.79</v>
      </c>
      <c r="H6316" s="11">
        <f>H6315+G6316</f>
        <v/>
      </c>
    </row>
    <row r="6317">
      <c r="A6317" s="9" t="n">
        <v>6313</v>
      </c>
      <c r="B6317" s="9" t="inlineStr">
        <is>
          <t>Meridian</t>
        </is>
      </c>
      <c r="C6317" s="9" t="inlineStr">
        <is>
          <t>21/50 MA cross, 250-period confirm filter, VWAP</t>
        </is>
      </c>
      <c r="D6317" s="9" t="inlineStr">
        <is>
          <t>Long</t>
        </is>
      </c>
      <c r="E6317" s="10" t="n">
        <v>46056.04513888889</v>
      </c>
      <c r="F6317" s="10" t="n">
        <v>46056.85763888889</v>
      </c>
      <c r="G6317" s="11" t="n">
        <v>194.3</v>
      </c>
      <c r="H6317" s="11">
        <f>H6316+G6317</f>
        <v/>
      </c>
    </row>
    <row r="6318">
      <c r="A6318" s="9" t="n">
        <v>6314</v>
      </c>
      <c r="B6318" s="9" t="inlineStr">
        <is>
          <t>Meridian</t>
        </is>
      </c>
      <c r="C6318" s="9" t="inlineStr">
        <is>
          <t>21/50 MA cross, 250-period confirm filter, VWAP</t>
        </is>
      </c>
      <c r="D6318" s="9" t="inlineStr">
        <is>
          <t>Long</t>
        </is>
      </c>
      <c r="E6318" s="10" t="n">
        <v>46056.94444444445</v>
      </c>
      <c r="F6318" s="10" t="n">
        <v>46057.04513888889</v>
      </c>
      <c r="G6318" s="11" t="n">
        <v>-40.19</v>
      </c>
      <c r="H6318" s="11">
        <f>H6317+G6318</f>
        <v/>
      </c>
    </row>
    <row r="6319">
      <c r="A6319" s="9" t="n">
        <v>6315</v>
      </c>
      <c r="B6319" s="9" t="inlineStr">
        <is>
          <t>Ratchet</t>
        </is>
      </c>
      <c r="C6319" s="9" t="inlineStr">
        <is>
          <t>Stochastic scalp with give-back trail exit</t>
        </is>
      </c>
      <c r="D6319" s="9" t="inlineStr">
        <is>
          <t>Long</t>
        </is>
      </c>
      <c r="E6319" s="10" t="n">
        <v>46057.21527777778</v>
      </c>
      <c r="F6319" s="10" t="n">
        <v>46057.26388888889</v>
      </c>
      <c r="G6319" s="11" t="n">
        <v>6.92</v>
      </c>
      <c r="H6319" s="11">
        <f>H6318+G6319</f>
        <v/>
      </c>
    </row>
    <row r="6320">
      <c r="A6320" s="9" t="n">
        <v>6316</v>
      </c>
      <c r="B6320" s="9" t="inlineStr">
        <is>
          <t>Ratchet</t>
        </is>
      </c>
      <c r="C6320" s="9" t="inlineStr">
        <is>
          <t>Stochastic scalp with give-back trail exit</t>
        </is>
      </c>
      <c r="D6320" s="9" t="inlineStr">
        <is>
          <t>Long</t>
        </is>
      </c>
      <c r="E6320" s="10" t="n">
        <v>46057.28125</v>
      </c>
      <c r="F6320" s="10" t="n">
        <v>46057.29166666666</v>
      </c>
      <c r="G6320" s="11" t="n">
        <v>8.34</v>
      </c>
      <c r="H6320" s="11">
        <f>H6319+G6320</f>
        <v/>
      </c>
    </row>
    <row r="6321">
      <c r="A6321" s="9" t="n">
        <v>6317</v>
      </c>
      <c r="B6321" s="9" t="inlineStr">
        <is>
          <t>Ratchet</t>
        </is>
      </c>
      <c r="C6321" s="9" t="inlineStr">
        <is>
          <t>Stochastic scalp with give-back trail exit</t>
        </is>
      </c>
      <c r="D6321" s="9" t="inlineStr">
        <is>
          <t>Long</t>
        </is>
      </c>
      <c r="E6321" s="10" t="n">
        <v>46057.31944444445</v>
      </c>
      <c r="F6321" s="10" t="n">
        <v>46057.32986111111</v>
      </c>
      <c r="G6321" s="11" t="n">
        <v>3.43</v>
      </c>
      <c r="H6321" s="11">
        <f>H6320+G6321</f>
        <v/>
      </c>
    </row>
    <row r="6322">
      <c r="A6322" s="9" t="n">
        <v>6318</v>
      </c>
      <c r="B6322" s="9" t="inlineStr">
        <is>
          <t>Vanguard_M15</t>
        </is>
      </c>
      <c r="C6322" s="9" t="inlineStr">
        <is>
          <t>Trendline breakout (fractal swing line) + VWAP/S-R distance gate - M15 chart</t>
        </is>
      </c>
      <c r="D6322" s="9" t="inlineStr">
        <is>
          <t>Long</t>
        </is>
      </c>
      <c r="E6322" s="10" t="n">
        <v>46056.05208333334</v>
      </c>
      <c r="F6322" s="10" t="n">
        <v>46057.46875</v>
      </c>
      <c r="G6322" s="11" t="n">
        <v>338.26</v>
      </c>
      <c r="H6322" s="11">
        <f>H6321+G6322</f>
        <v/>
      </c>
    </row>
    <row r="6323">
      <c r="A6323" s="9" t="n">
        <v>6319</v>
      </c>
      <c r="B6323" s="9" t="inlineStr">
        <is>
          <t>Vanguard_M5</t>
        </is>
      </c>
      <c r="C6323" s="9" t="inlineStr">
        <is>
          <t>Trendline breakout (fractal swing line) + VWAP/S-R distance gate</t>
        </is>
      </c>
      <c r="D6323" s="9" t="inlineStr">
        <is>
          <t>Long</t>
        </is>
      </c>
      <c r="E6323" s="10" t="n">
        <v>46056.04513888889</v>
      </c>
      <c r="F6323" s="10" t="n">
        <v>46057.47569444445</v>
      </c>
      <c r="G6323" s="11" t="n">
        <v>355.47</v>
      </c>
      <c r="H6323" s="11">
        <f>H6322+G6323</f>
        <v/>
      </c>
    </row>
    <row r="6324">
      <c r="A6324" s="9" t="n">
        <v>6320</v>
      </c>
      <c r="B6324" s="9" t="inlineStr">
        <is>
          <t>MSG</t>
        </is>
      </c>
      <c r="C6324" s="9" t="inlineStr">
        <is>
          <t>Session-range breakout + Fibonacci retracement-zone entry</t>
        </is>
      </c>
      <c r="D6324" s="9" t="inlineStr">
        <is>
          <t>Short</t>
        </is>
      </c>
      <c r="E6324" s="10" t="n">
        <v>46057.60555555556</v>
      </c>
      <c r="F6324" s="10" t="n">
        <v>46057.68888888889</v>
      </c>
      <c r="G6324" s="11" t="n">
        <v>143.12</v>
      </c>
      <c r="H6324" s="11">
        <f>H6323+G6324</f>
        <v/>
      </c>
    </row>
    <row r="6325">
      <c r="A6325" s="9" t="n">
        <v>6321</v>
      </c>
      <c r="B6325" s="9" t="inlineStr">
        <is>
          <t>Ratchet</t>
        </is>
      </c>
      <c r="C6325" s="9" t="inlineStr">
        <is>
          <t>Stochastic scalp with give-back trail exit</t>
        </is>
      </c>
      <c r="D6325" s="9" t="inlineStr">
        <is>
          <t>Long</t>
        </is>
      </c>
      <c r="E6325" s="10" t="n">
        <v>46058.11458333334</v>
      </c>
      <c r="F6325" s="10" t="n">
        <v>46058.125</v>
      </c>
      <c r="G6325" s="11" t="n">
        <v>-19.36</v>
      </c>
      <c r="H6325" s="11">
        <f>H6324+G6325</f>
        <v/>
      </c>
    </row>
    <row r="6326">
      <c r="A6326" s="9" t="n">
        <v>6322</v>
      </c>
      <c r="B6326" s="9" t="inlineStr">
        <is>
          <t>Ratchet</t>
        </is>
      </c>
      <c r="C6326" s="9" t="inlineStr">
        <is>
          <t>Stochastic scalp with give-back trail exit</t>
        </is>
      </c>
      <c r="D6326" s="9" t="inlineStr">
        <is>
          <t>Short</t>
        </is>
      </c>
      <c r="E6326" s="10" t="n">
        <v>46058.30902777778</v>
      </c>
      <c r="F6326" s="10" t="n">
        <v>46058.31597222222</v>
      </c>
      <c r="G6326" s="11" t="n">
        <v>3.02</v>
      </c>
      <c r="H6326" s="11">
        <f>H6325+G6326</f>
        <v/>
      </c>
    </row>
    <row r="6327">
      <c r="A6327" s="9" t="n">
        <v>6323</v>
      </c>
      <c r="B6327" s="9" t="inlineStr">
        <is>
          <t>Meridian</t>
        </is>
      </c>
      <c r="C6327" s="9" t="inlineStr">
        <is>
          <t>21/50 MA cross, 250-period confirm filter, VWAP</t>
        </is>
      </c>
      <c r="D6327" s="9" t="inlineStr">
        <is>
          <t>Short</t>
        </is>
      </c>
      <c r="E6327" s="10" t="n">
        <v>46058.17013888889</v>
      </c>
      <c r="F6327" s="10" t="n">
        <v>46058.36111111111</v>
      </c>
      <c r="G6327" s="11" t="n">
        <v>25.29</v>
      </c>
      <c r="H6327" s="11">
        <f>H6326+G6327</f>
        <v/>
      </c>
    </row>
    <row r="6328">
      <c r="A6328" s="9" t="n">
        <v>6324</v>
      </c>
      <c r="B6328" s="9" t="inlineStr">
        <is>
          <t>Aurelius_M15</t>
        </is>
      </c>
      <c r="C6328" s="9" t="inlineStr">
        <is>
          <t>MA alignment (EMA21&gt;EMA50&gt;SMA250&gt;SMMA500 vs EMA2400 trend filter) - M15 chart</t>
        </is>
      </c>
      <c r="D6328" s="9" t="inlineStr">
        <is>
          <t>Short</t>
        </is>
      </c>
      <c r="E6328" s="10" t="n">
        <v>46058.21875</v>
      </c>
      <c r="F6328" s="10" t="n">
        <v>46058.39583333334</v>
      </c>
      <c r="G6328" s="11" t="n">
        <v>-85.48</v>
      </c>
      <c r="H6328" s="11">
        <f>H6327+G6328</f>
        <v/>
      </c>
    </row>
    <row r="6329">
      <c r="A6329" s="9" t="n">
        <v>6325</v>
      </c>
      <c r="B6329" s="9" t="inlineStr">
        <is>
          <t>Ratchet</t>
        </is>
      </c>
      <c r="C6329" s="9" t="inlineStr">
        <is>
          <t>Stochastic scalp with give-back trail exit</t>
        </is>
      </c>
      <c r="D6329" s="9" t="inlineStr">
        <is>
          <t>Short</t>
        </is>
      </c>
      <c r="E6329" s="10" t="n">
        <v>46058.47916666666</v>
      </c>
      <c r="F6329" s="10" t="n">
        <v>46058.50694444445</v>
      </c>
      <c r="G6329" s="11" t="n">
        <v>5.68</v>
      </c>
      <c r="H6329" s="11">
        <f>H6328+G6329</f>
        <v/>
      </c>
    </row>
    <row r="6330">
      <c r="A6330" s="9" t="n">
        <v>6326</v>
      </c>
      <c r="B6330" s="9" t="inlineStr">
        <is>
          <t>Ratchet</t>
        </is>
      </c>
      <c r="C6330" s="9" t="inlineStr">
        <is>
          <t>Stochastic scalp with give-back trail exit</t>
        </is>
      </c>
      <c r="D6330" s="9" t="inlineStr">
        <is>
          <t>Short</t>
        </is>
      </c>
      <c r="E6330" s="10" t="n">
        <v>46058.58680555555</v>
      </c>
      <c r="F6330" s="10" t="n">
        <v>46058.60416666666</v>
      </c>
      <c r="G6330" s="11" t="n">
        <v>12.98</v>
      </c>
      <c r="H6330" s="11">
        <f>H6329+G6330</f>
        <v/>
      </c>
    </row>
    <row r="6331">
      <c r="A6331" s="9" t="n">
        <v>6327</v>
      </c>
      <c r="B6331" s="9" t="inlineStr">
        <is>
          <t>Ratchet</t>
        </is>
      </c>
      <c r="C6331" s="9" t="inlineStr">
        <is>
          <t>Stochastic scalp with give-back trail exit</t>
        </is>
      </c>
      <c r="D6331" s="9" t="inlineStr">
        <is>
          <t>Short</t>
        </is>
      </c>
      <c r="E6331" s="10" t="n">
        <v>46058.74652777778</v>
      </c>
      <c r="F6331" s="10" t="n">
        <v>46058.76736111111</v>
      </c>
      <c r="G6331" s="11" t="n">
        <v>-42.26</v>
      </c>
      <c r="H6331" s="11">
        <f>H6330+G6331</f>
        <v/>
      </c>
    </row>
    <row r="6332">
      <c r="A6332" s="9" t="n">
        <v>6328</v>
      </c>
      <c r="B6332" s="9" t="inlineStr">
        <is>
          <t>Aurelius_M5</t>
        </is>
      </c>
      <c r="C6332" s="9" t="inlineStr">
        <is>
          <t>MA alignment (EMA21&gt;EMA50&gt;SMA250&gt;SMMA500 vs EMA2400 trend filter)</t>
        </is>
      </c>
      <c r="D6332" s="9" t="inlineStr">
        <is>
          <t>Short</t>
        </is>
      </c>
      <c r="E6332" s="10" t="n">
        <v>46058.59375</v>
      </c>
      <c r="F6332" s="10" t="n">
        <v>46058.77777777778</v>
      </c>
      <c r="G6332" s="11" t="n">
        <v>-31.54</v>
      </c>
      <c r="H6332" s="11">
        <f>H6331+G6332</f>
        <v/>
      </c>
    </row>
    <row r="6333">
      <c r="A6333" s="9" t="n">
        <v>6329</v>
      </c>
      <c r="B6333" s="9" t="inlineStr">
        <is>
          <t>Meridian</t>
        </is>
      </c>
      <c r="C6333" s="9" t="inlineStr">
        <is>
          <t>21/50 MA cross, 250-period confirm filter, VWAP</t>
        </is>
      </c>
      <c r="D6333" s="9" t="inlineStr">
        <is>
          <t>Short</t>
        </is>
      </c>
      <c r="E6333" s="10" t="n">
        <v>46058.46875</v>
      </c>
      <c r="F6333" s="10" t="n">
        <v>46058.78472222222</v>
      </c>
      <c r="G6333" s="11" t="n">
        <v>-21.67</v>
      </c>
      <c r="H6333" s="11">
        <f>H6332+G6333</f>
        <v/>
      </c>
    </row>
    <row r="6334">
      <c r="A6334" s="9" t="n">
        <v>6330</v>
      </c>
      <c r="B6334" s="9" t="inlineStr">
        <is>
          <t>Ratchet</t>
        </is>
      </c>
      <c r="C6334" s="9" t="inlineStr">
        <is>
          <t>Stochastic scalp with give-back trail exit</t>
        </is>
      </c>
      <c r="D6334" s="9" t="inlineStr">
        <is>
          <t>Short</t>
        </is>
      </c>
      <c r="E6334" s="10" t="n">
        <v>46058.91666666666</v>
      </c>
      <c r="F6334" s="10" t="n">
        <v>46058.92013888889</v>
      </c>
      <c r="G6334" s="11" t="n">
        <v>2.56</v>
      </c>
      <c r="H6334" s="11">
        <f>H6333+G6334</f>
        <v/>
      </c>
    </row>
    <row r="6335">
      <c r="A6335" s="9" t="n">
        <v>6331</v>
      </c>
      <c r="B6335" s="9" t="inlineStr">
        <is>
          <t>Ratchet</t>
        </is>
      </c>
      <c r="C6335" s="9" t="inlineStr">
        <is>
          <t>Stochastic scalp with give-back trail exit</t>
        </is>
      </c>
      <c r="D6335" s="9" t="inlineStr">
        <is>
          <t>Short</t>
        </is>
      </c>
      <c r="E6335" s="10" t="n">
        <v>46058.92708333334</v>
      </c>
      <c r="F6335" s="10" t="n">
        <v>46058.9375</v>
      </c>
      <c r="G6335" s="11" t="n">
        <v>3.74</v>
      </c>
      <c r="H6335" s="11">
        <f>H6334+G6335</f>
        <v/>
      </c>
    </row>
    <row r="6336">
      <c r="A6336" s="9" t="n">
        <v>6332</v>
      </c>
      <c r="B6336" s="9" t="inlineStr">
        <is>
          <t>Ratchet</t>
        </is>
      </c>
      <c r="C6336" s="9" t="inlineStr">
        <is>
          <t>Stochastic scalp with give-back trail exit</t>
        </is>
      </c>
      <c r="D6336" s="9" t="inlineStr">
        <is>
          <t>Short</t>
        </is>
      </c>
      <c r="E6336" s="10" t="n">
        <v>46058.97569444445</v>
      </c>
      <c r="F6336" s="10" t="n">
        <v>46058.99652777778</v>
      </c>
      <c r="G6336" s="11" t="n">
        <v>24.08</v>
      </c>
      <c r="H6336" s="11">
        <f>H6335+G6336</f>
        <v/>
      </c>
    </row>
    <row r="6337">
      <c r="A6337" s="9" t="n">
        <v>6333</v>
      </c>
      <c r="B6337" s="9" t="inlineStr">
        <is>
          <t>Ratchet</t>
        </is>
      </c>
      <c r="C6337" s="9" t="inlineStr">
        <is>
          <t>Stochastic scalp with give-back trail exit</t>
        </is>
      </c>
      <c r="D6337" s="9" t="inlineStr">
        <is>
          <t>Short</t>
        </is>
      </c>
      <c r="E6337" s="10" t="n">
        <v>46059.14236111111</v>
      </c>
      <c r="F6337" s="10" t="n">
        <v>46059.15972222222</v>
      </c>
      <c r="G6337" s="11" t="n">
        <v>-53.28</v>
      </c>
      <c r="H6337" s="11">
        <f>H6336+G6337</f>
        <v/>
      </c>
    </row>
    <row r="6338">
      <c r="A6338" s="9" t="n">
        <v>6334</v>
      </c>
      <c r="B6338" s="9" t="inlineStr">
        <is>
          <t>Meridian</t>
        </is>
      </c>
      <c r="C6338" s="9" t="inlineStr">
        <is>
          <t>21/50 MA cross, 250-period confirm filter, VWAP</t>
        </is>
      </c>
      <c r="D6338" s="9" t="inlineStr">
        <is>
          <t>Short</t>
        </is>
      </c>
      <c r="E6338" s="10" t="n">
        <v>46058.89930555555</v>
      </c>
      <c r="F6338" s="10" t="n">
        <v>46059.1875</v>
      </c>
      <c r="G6338" s="11" t="n">
        <v>14.67</v>
      </c>
      <c r="H6338" s="11">
        <f>H6337+G6338</f>
        <v/>
      </c>
    </row>
    <row r="6339">
      <c r="A6339" s="9" t="n">
        <v>6335</v>
      </c>
      <c r="B6339" s="9" t="inlineStr">
        <is>
          <t>Aurelius_M15</t>
        </is>
      </c>
      <c r="C6339" s="9" t="inlineStr">
        <is>
          <t>MA alignment (EMA21&gt;EMA50&gt;SMA250&gt;SMMA500 vs EMA2400 trend filter) - M15 chart</t>
        </is>
      </c>
      <c r="D6339" s="9" t="inlineStr">
        <is>
          <t>Short</t>
        </is>
      </c>
      <c r="E6339" s="10" t="n">
        <v>46058.46875</v>
      </c>
      <c r="F6339" s="10" t="n">
        <v>46059.22916666666</v>
      </c>
      <c r="G6339" s="11" t="n">
        <v>51.36</v>
      </c>
      <c r="H6339" s="11">
        <f>H6338+G6339</f>
        <v/>
      </c>
    </row>
    <row r="6340">
      <c r="A6340" s="9" t="n">
        <v>6336</v>
      </c>
      <c r="B6340" s="9" t="inlineStr">
        <is>
          <t>Ratchet</t>
        </is>
      </c>
      <c r="C6340" s="9" t="inlineStr">
        <is>
          <t>Stochastic scalp with give-back trail exit</t>
        </is>
      </c>
      <c r="D6340" s="9" t="inlineStr">
        <is>
          <t>Long</t>
        </is>
      </c>
      <c r="E6340" s="10" t="n">
        <v>46062.36458333334</v>
      </c>
      <c r="F6340" s="10" t="n">
        <v>46062.37847222222</v>
      </c>
      <c r="G6340" s="11" t="n">
        <v>-16.16</v>
      </c>
      <c r="H6340" s="11">
        <f>H6339+G6340</f>
        <v/>
      </c>
    </row>
    <row r="6341">
      <c r="A6341" s="9" t="n">
        <v>6337</v>
      </c>
      <c r="B6341" s="9" t="inlineStr">
        <is>
          <t>Aurelius_M5</t>
        </is>
      </c>
      <c r="C6341" s="9" t="inlineStr">
        <is>
          <t>MA alignment (EMA21&gt;EMA50&gt;SMA250&gt;SMMA500 vs EMA2400 trend filter)</t>
        </is>
      </c>
      <c r="D6341" s="9" t="inlineStr">
        <is>
          <t>Long</t>
        </is>
      </c>
      <c r="E6341" s="10" t="n">
        <v>46062.31597222222</v>
      </c>
      <c r="F6341" s="10" t="n">
        <v>46062.38194444445</v>
      </c>
      <c r="G6341" s="11" t="n">
        <v>-19.01</v>
      </c>
      <c r="H6341" s="11">
        <f>H6340+G6341</f>
        <v/>
      </c>
    </row>
    <row r="6342">
      <c r="A6342" s="9" t="n">
        <v>6338</v>
      </c>
      <c r="B6342" s="9" t="inlineStr">
        <is>
          <t>Ratchet</t>
        </is>
      </c>
      <c r="C6342" s="9" t="inlineStr">
        <is>
          <t>Stochastic scalp with give-back trail exit</t>
        </is>
      </c>
      <c r="D6342" s="9" t="inlineStr">
        <is>
          <t>Long</t>
        </is>
      </c>
      <c r="E6342" s="10" t="n">
        <v>46062.44097222222</v>
      </c>
      <c r="F6342" s="10" t="n">
        <v>46062.46180555555</v>
      </c>
      <c r="G6342" s="11" t="n">
        <v>1.41</v>
      </c>
      <c r="H6342" s="11">
        <f>H6341+G6342</f>
        <v/>
      </c>
    </row>
    <row r="6343">
      <c r="A6343" s="9" t="n">
        <v>6339</v>
      </c>
      <c r="B6343" s="9" t="inlineStr">
        <is>
          <t>Meridian</t>
        </is>
      </c>
      <c r="C6343" s="9" t="inlineStr">
        <is>
          <t>21/50 MA cross, 250-period confirm filter, VWAP</t>
        </is>
      </c>
      <c r="D6343" s="9" t="inlineStr">
        <is>
          <t>Long</t>
        </is>
      </c>
      <c r="E6343" s="10" t="n">
        <v>46062.44097222222</v>
      </c>
      <c r="F6343" s="10" t="n">
        <v>46062.49305555555</v>
      </c>
      <c r="G6343" s="11" t="n">
        <v>-21.05</v>
      </c>
      <c r="H6343" s="11">
        <f>H6342+G6343</f>
        <v/>
      </c>
    </row>
    <row r="6344">
      <c r="A6344" s="9" t="n">
        <v>6340</v>
      </c>
      <c r="B6344" s="9" t="inlineStr">
        <is>
          <t>Aurelius_M5</t>
        </is>
      </c>
      <c r="C6344" s="9" t="inlineStr">
        <is>
          <t>MA alignment (EMA21&gt;EMA50&gt;SMA250&gt;SMMA500 vs EMA2400 trend filter)</t>
        </is>
      </c>
      <c r="D6344" s="9" t="inlineStr">
        <is>
          <t>Long</t>
        </is>
      </c>
      <c r="E6344" s="10" t="n">
        <v>46062.63541666666</v>
      </c>
      <c r="F6344" s="10" t="n">
        <v>46062.64930555555</v>
      </c>
      <c r="G6344" s="11" t="n">
        <v>-19.51</v>
      </c>
      <c r="H6344" s="11">
        <f>H6343+G6344</f>
        <v/>
      </c>
    </row>
    <row r="6345">
      <c r="A6345" s="9" t="n">
        <v>6341</v>
      </c>
      <c r="B6345" s="9" t="inlineStr">
        <is>
          <t>MSG</t>
        </is>
      </c>
      <c r="C6345" s="9" t="inlineStr">
        <is>
          <t>Session-range breakout + Fibonacci retracement-zone entry</t>
        </is>
      </c>
      <c r="D6345" s="9" t="inlineStr">
        <is>
          <t>Short</t>
        </is>
      </c>
      <c r="E6345" s="10" t="n">
        <v>46062.57152777778</v>
      </c>
      <c r="F6345" s="10" t="n">
        <v>46062.66736111111</v>
      </c>
      <c r="G6345" s="11" t="n">
        <v>15.48</v>
      </c>
      <c r="H6345" s="11">
        <f>H6344+G6345</f>
        <v/>
      </c>
    </row>
    <row r="6346">
      <c r="A6346" s="9" t="n">
        <v>6342</v>
      </c>
      <c r="B6346" s="9" t="inlineStr">
        <is>
          <t>Ratchet</t>
        </is>
      </c>
      <c r="C6346" s="9" t="inlineStr">
        <is>
          <t>Stochastic scalp with give-back trail exit</t>
        </is>
      </c>
      <c r="D6346" s="9" t="inlineStr">
        <is>
          <t>Long</t>
        </is>
      </c>
      <c r="E6346" s="10" t="n">
        <v>46062.68402777778</v>
      </c>
      <c r="F6346" s="10" t="n">
        <v>46062.6875</v>
      </c>
      <c r="G6346" s="11" t="n">
        <v>0</v>
      </c>
      <c r="H6346" s="11">
        <f>H6345+G6346</f>
        <v/>
      </c>
    </row>
    <row r="6347">
      <c r="A6347" s="9" t="n">
        <v>6343</v>
      </c>
      <c r="B6347" s="9" t="inlineStr">
        <is>
          <t>Ratchet</t>
        </is>
      </c>
      <c r="C6347" s="9" t="inlineStr">
        <is>
          <t>Stochastic scalp with give-back trail exit</t>
        </is>
      </c>
      <c r="D6347" s="9" t="inlineStr">
        <is>
          <t>Long</t>
        </is>
      </c>
      <c r="E6347" s="10" t="n">
        <v>46062.72916666666</v>
      </c>
      <c r="F6347" s="10" t="n">
        <v>46062.75</v>
      </c>
      <c r="G6347" s="11" t="n">
        <v>25.43</v>
      </c>
      <c r="H6347" s="11">
        <f>H6346+G6347</f>
        <v/>
      </c>
    </row>
    <row r="6348">
      <c r="A6348" s="9" t="n">
        <v>6344</v>
      </c>
      <c r="B6348" s="9" t="inlineStr">
        <is>
          <t>Vanguard_M5</t>
        </is>
      </c>
      <c r="C6348" s="9" t="inlineStr">
        <is>
          <t>Trendline breakout (fractal swing line) + VWAP/S-R distance gate</t>
        </is>
      </c>
      <c r="D6348" s="9" t="inlineStr">
        <is>
          <t>Long</t>
        </is>
      </c>
      <c r="E6348" s="10" t="n">
        <v>46062.70486111111</v>
      </c>
      <c r="F6348" s="10" t="n">
        <v>46062.88194444445</v>
      </c>
      <c r="G6348" s="11" t="n">
        <v>26.16</v>
      </c>
      <c r="H6348" s="11">
        <f>H6347+G6348</f>
        <v/>
      </c>
    </row>
    <row r="6349">
      <c r="A6349" s="9" t="n">
        <v>6345</v>
      </c>
      <c r="B6349" s="9" t="inlineStr">
        <is>
          <t>Vanguard_M15</t>
        </is>
      </c>
      <c r="C6349" s="9" t="inlineStr">
        <is>
          <t>Trendline breakout (fractal swing line) + VWAP/S-R distance gate - M15 chart</t>
        </is>
      </c>
      <c r="D6349" s="9" t="inlineStr">
        <is>
          <t>Long</t>
        </is>
      </c>
      <c r="E6349" s="10" t="n">
        <v>46062.70833333334</v>
      </c>
      <c r="F6349" s="10" t="n">
        <v>46062.9375</v>
      </c>
      <c r="G6349" s="11" t="n">
        <v>39.59</v>
      </c>
      <c r="H6349" s="11">
        <f>H6348+G6349</f>
        <v/>
      </c>
    </row>
    <row r="6350">
      <c r="A6350" s="9" t="n">
        <v>6346</v>
      </c>
      <c r="B6350" s="9" t="inlineStr">
        <is>
          <t>Ratchet</t>
        </is>
      </c>
      <c r="C6350" s="9" t="inlineStr">
        <is>
          <t>Stochastic scalp with give-back trail exit</t>
        </is>
      </c>
      <c r="D6350" s="9" t="inlineStr">
        <is>
          <t>Long</t>
        </is>
      </c>
      <c r="E6350" s="10" t="n">
        <v>46062.94444444445</v>
      </c>
      <c r="F6350" s="10" t="n">
        <v>46062.95486111111</v>
      </c>
      <c r="G6350" s="11" t="n">
        <v>1.14</v>
      </c>
      <c r="H6350" s="11">
        <f>H6349+G6350</f>
        <v/>
      </c>
    </row>
    <row r="6351">
      <c r="A6351" s="9" t="n">
        <v>6347</v>
      </c>
      <c r="B6351" s="9" t="inlineStr">
        <is>
          <t>Aurelius_M5</t>
        </is>
      </c>
      <c r="C6351" s="9" t="inlineStr">
        <is>
          <t>MA alignment (EMA21&gt;EMA50&gt;SMA250&gt;SMMA500 vs EMA2400 trend filter)</t>
        </is>
      </c>
      <c r="D6351" s="9" t="inlineStr">
        <is>
          <t>Long</t>
        </is>
      </c>
      <c r="E6351" s="10" t="n">
        <v>46062.70833333334</v>
      </c>
      <c r="F6351" s="10" t="n">
        <v>46062.98958333334</v>
      </c>
      <c r="G6351" s="11" t="n">
        <v>23.38</v>
      </c>
      <c r="H6351" s="11">
        <f>H6350+G6351</f>
        <v/>
      </c>
    </row>
    <row r="6352">
      <c r="A6352" s="9" t="n">
        <v>6348</v>
      </c>
      <c r="B6352" s="9" t="inlineStr">
        <is>
          <t>Meridian</t>
        </is>
      </c>
      <c r="C6352" s="9" t="inlineStr">
        <is>
          <t>21/50 MA cross, 250-period confirm filter, VWAP</t>
        </is>
      </c>
      <c r="D6352" s="9" t="inlineStr">
        <is>
          <t>Long</t>
        </is>
      </c>
      <c r="E6352" s="10" t="n">
        <v>46062.68402777778</v>
      </c>
      <c r="F6352" s="10" t="n">
        <v>46063.04861111111</v>
      </c>
      <c r="G6352" s="11" t="n">
        <v>0.04</v>
      </c>
      <c r="H6352" s="11">
        <f>H6351+G6352</f>
        <v/>
      </c>
    </row>
    <row r="6353">
      <c r="A6353" s="9" t="n">
        <v>6349</v>
      </c>
      <c r="B6353" s="9" t="inlineStr">
        <is>
          <t>Aurelius_M15</t>
        </is>
      </c>
      <c r="C6353" s="9" t="inlineStr">
        <is>
          <t>MA alignment (EMA21&gt;EMA50&gt;SMA250&gt;SMMA500 vs EMA2400 trend filter) - M15 chart</t>
        </is>
      </c>
      <c r="D6353" s="9" t="inlineStr">
        <is>
          <t>Long</t>
        </is>
      </c>
      <c r="E6353" s="10" t="n">
        <v>46062.63541666666</v>
      </c>
      <c r="F6353" s="10" t="n">
        <v>46063.26041666666</v>
      </c>
      <c r="G6353" s="11" t="n">
        <v>1.72</v>
      </c>
      <c r="H6353" s="11">
        <f>H6352+G6353</f>
        <v/>
      </c>
    </row>
    <row r="6354">
      <c r="A6354" s="9" t="n">
        <v>6350</v>
      </c>
      <c r="B6354" s="9" t="inlineStr">
        <is>
          <t>Meridian</t>
        </is>
      </c>
      <c r="C6354" s="9" t="inlineStr">
        <is>
          <t>21/50 MA cross, 250-period confirm filter, VWAP</t>
        </is>
      </c>
      <c r="D6354" s="9" t="inlineStr">
        <is>
          <t>Long</t>
        </is>
      </c>
      <c r="E6354" s="10" t="n">
        <v>46063.34375</v>
      </c>
      <c r="F6354" s="10" t="n">
        <v>46063.36805555555</v>
      </c>
      <c r="G6354" s="11" t="n">
        <v>-16.46</v>
      </c>
      <c r="H6354" s="11">
        <f>H6353+G6354</f>
        <v/>
      </c>
    </row>
    <row r="6355">
      <c r="A6355" s="9" t="n">
        <v>6351</v>
      </c>
      <c r="B6355" s="9" t="inlineStr">
        <is>
          <t>Ratchet</t>
        </is>
      </c>
      <c r="C6355" s="9" t="inlineStr">
        <is>
          <t>Stochastic scalp with give-back trail exit</t>
        </is>
      </c>
      <c r="D6355" s="9" t="inlineStr">
        <is>
          <t>Long</t>
        </is>
      </c>
      <c r="E6355" s="10" t="n">
        <v>46063.53472222222</v>
      </c>
      <c r="F6355" s="10" t="n">
        <v>46063.53819444445</v>
      </c>
      <c r="G6355" s="11" t="n">
        <v>-10.05</v>
      </c>
      <c r="H6355" s="11">
        <f>H6354+G6355</f>
        <v/>
      </c>
    </row>
    <row r="6356">
      <c r="A6356" s="9" t="n">
        <v>6352</v>
      </c>
      <c r="B6356" s="9" t="inlineStr">
        <is>
          <t>Ratchet</t>
        </is>
      </c>
      <c r="C6356" s="9" t="inlineStr">
        <is>
          <t>Stochastic scalp with give-back trail exit</t>
        </is>
      </c>
      <c r="D6356" s="9" t="inlineStr">
        <is>
          <t>Long</t>
        </is>
      </c>
      <c r="E6356" s="10" t="n">
        <v>46063.58333333334</v>
      </c>
      <c r="F6356" s="10" t="n">
        <v>46063.58680555555</v>
      </c>
      <c r="G6356" s="11" t="n">
        <v>-9.06</v>
      </c>
      <c r="H6356" s="11">
        <f>H6355+G6356</f>
        <v/>
      </c>
    </row>
    <row r="6357">
      <c r="A6357" s="9" t="n">
        <v>6353</v>
      </c>
      <c r="B6357" s="9" t="inlineStr">
        <is>
          <t>Meridian</t>
        </is>
      </c>
      <c r="C6357" s="9" t="inlineStr">
        <is>
          <t>21/50 MA cross, 250-period confirm filter, VWAP</t>
        </is>
      </c>
      <c r="D6357" s="9" t="inlineStr">
        <is>
          <t>Short</t>
        </is>
      </c>
      <c r="E6357" s="10" t="n">
        <v>46063.61805555555</v>
      </c>
      <c r="F6357" s="10" t="n">
        <v>46063.63541666666</v>
      </c>
      <c r="G6357" s="11" t="n">
        <v>-17.57</v>
      </c>
      <c r="H6357" s="11">
        <f>H6356+G6357</f>
        <v/>
      </c>
    </row>
    <row r="6358">
      <c r="A6358" s="9" t="n">
        <v>6354</v>
      </c>
      <c r="B6358" s="9" t="inlineStr">
        <is>
          <t>Meridian</t>
        </is>
      </c>
      <c r="C6358" s="9" t="inlineStr">
        <is>
          <t>21/50 MA cross, 250-period confirm filter, VWAP</t>
        </is>
      </c>
      <c r="D6358" s="9" t="inlineStr">
        <is>
          <t>Long</t>
        </is>
      </c>
      <c r="E6358" s="10" t="n">
        <v>46063.65972222222</v>
      </c>
      <c r="F6358" s="10" t="n">
        <v>46063.69791666666</v>
      </c>
      <c r="G6358" s="11" t="n">
        <v>-20.48</v>
      </c>
      <c r="H6358" s="11">
        <f>H6357+G6358</f>
        <v/>
      </c>
    </row>
    <row r="6359">
      <c r="A6359" s="9" t="n">
        <v>6355</v>
      </c>
      <c r="B6359" s="9" t="inlineStr">
        <is>
          <t>Aurelius_M5</t>
        </is>
      </c>
      <c r="C6359" s="9" t="inlineStr">
        <is>
          <t>MA alignment (EMA21&gt;EMA50&gt;SMA250&gt;SMMA500 vs EMA2400 trend filter)</t>
        </is>
      </c>
      <c r="D6359" s="9" t="inlineStr">
        <is>
          <t>Long</t>
        </is>
      </c>
      <c r="E6359" s="10" t="n">
        <v>46063.6875</v>
      </c>
      <c r="F6359" s="10" t="n">
        <v>46063.69791666666</v>
      </c>
      <c r="G6359" s="11" t="n">
        <v>-20.32</v>
      </c>
      <c r="H6359" s="11">
        <f>H6358+G6359</f>
        <v/>
      </c>
    </row>
    <row r="6360">
      <c r="A6360" s="9" t="n">
        <v>6356</v>
      </c>
      <c r="B6360" s="9" t="inlineStr">
        <is>
          <t>Aurelius_M15</t>
        </is>
      </c>
      <c r="C6360" s="9" t="inlineStr">
        <is>
          <t>MA alignment (EMA21&gt;EMA50&gt;SMA250&gt;SMMA500 vs EMA2400 trend filter) - M15 chart</t>
        </is>
      </c>
      <c r="D6360" s="9" t="inlineStr">
        <is>
          <t>Long</t>
        </is>
      </c>
      <c r="E6360" s="10" t="n">
        <v>46063.65625</v>
      </c>
      <c r="F6360" s="10" t="n">
        <v>46063.72916666666</v>
      </c>
      <c r="G6360" s="11" t="n">
        <v>-33.96</v>
      </c>
      <c r="H6360" s="11">
        <f>H6359+G6360</f>
        <v/>
      </c>
    </row>
    <row r="6361">
      <c r="A6361" s="9" t="n">
        <v>6357</v>
      </c>
      <c r="B6361" s="9" t="inlineStr">
        <is>
          <t>Vanguard_M15</t>
        </is>
      </c>
      <c r="C6361" s="9" t="inlineStr">
        <is>
          <t>Trendline breakout (fractal swing line) + VWAP/S-R distance gate - M15 chart</t>
        </is>
      </c>
      <c r="D6361" s="9" t="inlineStr">
        <is>
          <t>Long</t>
        </is>
      </c>
      <c r="E6361" s="10" t="n">
        <v>46063.07291666666</v>
      </c>
      <c r="F6361" s="10" t="n">
        <v>46063.85416666666</v>
      </c>
      <c r="G6361" s="11" t="n">
        <v>-24.46</v>
      </c>
      <c r="H6361" s="11">
        <f>H6360+G6361</f>
        <v/>
      </c>
    </row>
    <row r="6362">
      <c r="A6362" s="9" t="n">
        <v>6358</v>
      </c>
      <c r="B6362" s="9" t="inlineStr">
        <is>
          <t>Vanguard_M5</t>
        </is>
      </c>
      <c r="C6362" s="9" t="inlineStr">
        <is>
          <t>Trendline breakout (fractal swing line) + VWAP/S-R distance gate</t>
        </is>
      </c>
      <c r="D6362" s="9" t="inlineStr">
        <is>
          <t>Long</t>
        </is>
      </c>
      <c r="E6362" s="10" t="n">
        <v>46063.07291666666</v>
      </c>
      <c r="F6362" s="10" t="n">
        <v>46063.85416666666</v>
      </c>
      <c r="G6362" s="11" t="n">
        <v>-30</v>
      </c>
      <c r="H6362" s="11">
        <f>H6361+G6362</f>
        <v/>
      </c>
    </row>
    <row r="6363">
      <c r="A6363" s="9" t="n">
        <v>6359</v>
      </c>
      <c r="B6363" s="9" t="inlineStr">
        <is>
          <t>Meridian</t>
        </is>
      </c>
      <c r="C6363" s="9" t="inlineStr">
        <is>
          <t>21/50 MA cross, 250-period confirm filter, VWAP</t>
        </is>
      </c>
      <c r="D6363" s="9" t="inlineStr">
        <is>
          <t>Short</t>
        </is>
      </c>
      <c r="E6363" s="10" t="n">
        <v>46063.72916666666</v>
      </c>
      <c r="F6363" s="10" t="n">
        <v>46063.94444444445</v>
      </c>
      <c r="G6363" s="11" t="n">
        <v>2.84</v>
      </c>
      <c r="H6363" s="11">
        <f>H6362+G6363</f>
        <v/>
      </c>
    </row>
    <row r="6364">
      <c r="A6364" s="9" t="n">
        <v>6360</v>
      </c>
      <c r="B6364" s="9" t="inlineStr">
        <is>
          <t>Ratchet</t>
        </is>
      </c>
      <c r="C6364" s="9" t="inlineStr">
        <is>
          <t>Stochastic scalp with give-back trail exit</t>
        </is>
      </c>
      <c r="D6364" s="9" t="inlineStr">
        <is>
          <t>Long</t>
        </is>
      </c>
      <c r="E6364" s="10" t="n">
        <v>46064.22916666666</v>
      </c>
      <c r="F6364" s="10" t="n">
        <v>46064.24305555555</v>
      </c>
      <c r="G6364" s="11" t="n">
        <v>0</v>
      </c>
      <c r="H6364" s="11">
        <f>H6363+G6364</f>
        <v/>
      </c>
    </row>
    <row r="6365">
      <c r="A6365" s="9" t="n">
        <v>6361</v>
      </c>
      <c r="B6365" s="9" t="inlineStr">
        <is>
          <t>Ratchet</t>
        </is>
      </c>
      <c r="C6365" s="9" t="inlineStr">
        <is>
          <t>Stochastic scalp with give-back trail exit</t>
        </is>
      </c>
      <c r="D6365" s="9" t="inlineStr">
        <is>
          <t>Long</t>
        </is>
      </c>
      <c r="E6365" s="10" t="n">
        <v>46064.32291666666</v>
      </c>
      <c r="F6365" s="10" t="n">
        <v>46064.32291666666</v>
      </c>
      <c r="G6365" s="11" t="n">
        <v>-7.54</v>
      </c>
      <c r="H6365" s="11">
        <f>H6364+G6365</f>
        <v/>
      </c>
    </row>
    <row r="6366">
      <c r="A6366" s="9" t="n">
        <v>6362</v>
      </c>
      <c r="B6366" s="9" t="inlineStr">
        <is>
          <t>Aurelius_M5</t>
        </is>
      </c>
      <c r="C6366" s="9" t="inlineStr">
        <is>
          <t>MA alignment (EMA21&gt;EMA50&gt;SMA250&gt;SMMA500 vs EMA2400 trend filter)</t>
        </is>
      </c>
      <c r="D6366" s="9" t="inlineStr">
        <is>
          <t>Long</t>
        </is>
      </c>
      <c r="E6366" s="10" t="n">
        <v>46064.12847222222</v>
      </c>
      <c r="F6366" s="10" t="n">
        <v>46064.45833333334</v>
      </c>
      <c r="G6366" s="11" t="n">
        <v>9.09</v>
      </c>
      <c r="H6366" s="11">
        <f>H6365+G6366</f>
        <v/>
      </c>
    </row>
    <row r="6367">
      <c r="A6367" s="9" t="n">
        <v>6363</v>
      </c>
      <c r="B6367" s="9" t="inlineStr">
        <is>
          <t>Vanguard_M5</t>
        </is>
      </c>
      <c r="C6367" s="9" t="inlineStr">
        <is>
          <t>Trendline breakout (fractal swing line) + VWAP/S-R distance gate</t>
        </is>
      </c>
      <c r="D6367" s="9" t="inlineStr">
        <is>
          <t>Long</t>
        </is>
      </c>
      <c r="E6367" s="10" t="n">
        <v>46064.51388888889</v>
      </c>
      <c r="F6367" s="10" t="n">
        <v>46064.61111111111</v>
      </c>
      <c r="G6367" s="11" t="n">
        <v>-18.8</v>
      </c>
      <c r="H6367" s="11">
        <f>H6366+G6367</f>
        <v/>
      </c>
    </row>
    <row r="6368">
      <c r="A6368" s="9" t="n">
        <v>6364</v>
      </c>
      <c r="B6368" s="9" t="inlineStr">
        <is>
          <t>MSG</t>
        </is>
      </c>
      <c r="C6368" s="9" t="inlineStr">
        <is>
          <t>Session-range breakout + Fibonacci retracement-zone entry</t>
        </is>
      </c>
      <c r="D6368" s="9" t="inlineStr">
        <is>
          <t>Long</t>
        </is>
      </c>
      <c r="E6368" s="10" t="n">
        <v>46064.60833333333</v>
      </c>
      <c r="F6368" s="10" t="n">
        <v>46064.61180555556</v>
      </c>
      <c r="G6368" s="11" t="n">
        <v>-81.97</v>
      </c>
      <c r="H6368" s="11">
        <f>H6367+G6368</f>
        <v/>
      </c>
    </row>
    <row r="6369">
      <c r="A6369" s="9" t="n">
        <v>6365</v>
      </c>
      <c r="B6369" s="9" t="inlineStr">
        <is>
          <t>Meridian</t>
        </is>
      </c>
      <c r="C6369" s="9" t="inlineStr">
        <is>
          <t>21/50 MA cross, 250-period confirm filter, VWAP</t>
        </is>
      </c>
      <c r="D6369" s="9" t="inlineStr">
        <is>
          <t>Long</t>
        </is>
      </c>
      <c r="E6369" s="10" t="n">
        <v>46064.48611111111</v>
      </c>
      <c r="F6369" s="10" t="n">
        <v>46064.64583333334</v>
      </c>
      <c r="G6369" s="11" t="n">
        <v>-11.38</v>
      </c>
      <c r="H6369" s="11">
        <f>H6368+G6369</f>
        <v/>
      </c>
    </row>
    <row r="6370">
      <c r="A6370" s="9" t="n">
        <v>6366</v>
      </c>
      <c r="B6370" s="9" t="inlineStr">
        <is>
          <t>Vanguard_M15</t>
        </is>
      </c>
      <c r="C6370" s="9" t="inlineStr">
        <is>
          <t>Trendline breakout (fractal swing line) + VWAP/S-R distance gate - M15 chart</t>
        </is>
      </c>
      <c r="D6370" s="9" t="inlineStr">
        <is>
          <t>Long</t>
        </is>
      </c>
      <c r="E6370" s="10" t="n">
        <v>46064.52083333334</v>
      </c>
      <c r="F6370" s="10" t="n">
        <v>46064.64583333334</v>
      </c>
      <c r="G6370" s="11" t="n">
        <v>-26.91</v>
      </c>
      <c r="H6370" s="11">
        <f>H6369+G6370</f>
        <v/>
      </c>
    </row>
    <row r="6371">
      <c r="A6371" s="9" t="n">
        <v>6367</v>
      </c>
      <c r="B6371" s="9" t="inlineStr">
        <is>
          <t>Vanguard_M5</t>
        </is>
      </c>
      <c r="C6371" s="9" t="inlineStr">
        <is>
          <t>Trendline breakout (fractal swing line) + VWAP/S-R distance gate</t>
        </is>
      </c>
      <c r="D6371" s="9" t="inlineStr">
        <is>
          <t>Long</t>
        </is>
      </c>
      <c r="E6371" s="10" t="n">
        <v>46064.61805555555</v>
      </c>
      <c r="F6371" s="10" t="n">
        <v>46064.64583333334</v>
      </c>
      <c r="G6371" s="11" t="n">
        <v>-41.45</v>
      </c>
      <c r="H6371" s="11">
        <f>H6370+G6371</f>
        <v/>
      </c>
    </row>
    <row r="6372">
      <c r="A6372" s="9" t="n">
        <v>6368</v>
      </c>
      <c r="B6372" s="9" t="inlineStr">
        <is>
          <t>Ratchet</t>
        </is>
      </c>
      <c r="C6372" s="9" t="inlineStr">
        <is>
          <t>Stochastic scalp with give-back trail exit</t>
        </is>
      </c>
      <c r="D6372" s="9" t="inlineStr">
        <is>
          <t>Long</t>
        </is>
      </c>
      <c r="E6372" s="10" t="n">
        <v>46064.81944444445</v>
      </c>
      <c r="F6372" s="10" t="n">
        <v>46064.83333333334</v>
      </c>
      <c r="G6372" s="11" t="n">
        <v>3.69</v>
      </c>
      <c r="H6372" s="11">
        <f>H6371+G6372</f>
        <v/>
      </c>
    </row>
    <row r="6373">
      <c r="A6373" s="9" t="n">
        <v>6369</v>
      </c>
      <c r="B6373" s="9" t="inlineStr">
        <is>
          <t>Ratchet</t>
        </is>
      </c>
      <c r="C6373" s="9" t="inlineStr">
        <is>
          <t>Stochastic scalp with give-back trail exit</t>
        </is>
      </c>
      <c r="D6373" s="9" t="inlineStr">
        <is>
          <t>Long</t>
        </is>
      </c>
      <c r="E6373" s="10" t="n">
        <v>46064.86805555555</v>
      </c>
      <c r="F6373" s="10" t="n">
        <v>46064.87847222222</v>
      </c>
      <c r="G6373" s="11" t="n">
        <v>0</v>
      </c>
      <c r="H6373" s="11">
        <f>H6372+G6373</f>
        <v/>
      </c>
    </row>
    <row r="6374">
      <c r="A6374" s="9" t="n">
        <v>6370</v>
      </c>
      <c r="B6374" s="9" t="inlineStr">
        <is>
          <t>Ratchet</t>
        </is>
      </c>
      <c r="C6374" s="9" t="inlineStr">
        <is>
          <t>Stochastic scalp with give-back trail exit</t>
        </is>
      </c>
      <c r="D6374" s="9" t="inlineStr">
        <is>
          <t>Long</t>
        </is>
      </c>
      <c r="E6374" s="10" t="n">
        <v>46064.95138888889</v>
      </c>
      <c r="F6374" s="10" t="n">
        <v>46064.97569444445</v>
      </c>
      <c r="G6374" s="11" t="n">
        <v>1.07</v>
      </c>
      <c r="H6374" s="11">
        <f>H6373+G6374</f>
        <v/>
      </c>
    </row>
    <row r="6375">
      <c r="A6375" s="9" t="n">
        <v>6371</v>
      </c>
      <c r="B6375" s="9" t="inlineStr">
        <is>
          <t>Meridian</t>
        </is>
      </c>
      <c r="C6375" s="9" t="inlineStr">
        <is>
          <t>21/50 MA cross, 250-period confirm filter, VWAP</t>
        </is>
      </c>
      <c r="D6375" s="9" t="inlineStr">
        <is>
          <t>Short</t>
        </is>
      </c>
      <c r="E6375" s="10" t="n">
        <v>46065.05555555555</v>
      </c>
      <c r="F6375" s="10" t="n">
        <v>46065.30208333334</v>
      </c>
      <c r="G6375" s="11" t="n">
        <v>-8.220000000000001</v>
      </c>
      <c r="H6375" s="11">
        <f>H6374+G6375</f>
        <v/>
      </c>
    </row>
    <row r="6376">
      <c r="A6376" s="9" t="n">
        <v>6372</v>
      </c>
      <c r="B6376" s="9" t="inlineStr">
        <is>
          <t>Meridian</t>
        </is>
      </c>
      <c r="C6376" s="9" t="inlineStr">
        <is>
          <t>21/50 MA cross, 250-period confirm filter, VWAP</t>
        </is>
      </c>
      <c r="D6376" s="9" t="inlineStr">
        <is>
          <t>Short</t>
        </is>
      </c>
      <c r="E6376" s="10" t="n">
        <v>46065.35763888889</v>
      </c>
      <c r="F6376" s="10" t="n">
        <v>46065.38194444445</v>
      </c>
      <c r="G6376" s="11" t="n">
        <v>-15.41</v>
      </c>
      <c r="H6376" s="11">
        <f>H6375+G6376</f>
        <v/>
      </c>
    </row>
    <row r="6377">
      <c r="A6377" s="9" t="n">
        <v>6373</v>
      </c>
      <c r="B6377" s="9" t="inlineStr">
        <is>
          <t>Meridian</t>
        </is>
      </c>
      <c r="C6377" s="9" t="inlineStr">
        <is>
          <t>21/50 MA cross, 250-period confirm filter, VWAP</t>
        </is>
      </c>
      <c r="D6377" s="9" t="inlineStr">
        <is>
          <t>Short</t>
        </is>
      </c>
      <c r="E6377" s="10" t="n">
        <v>46065.44097222222</v>
      </c>
      <c r="F6377" s="10" t="n">
        <v>46065.45833333334</v>
      </c>
      <c r="G6377" s="11" t="n">
        <v>-8.09</v>
      </c>
      <c r="H6377" s="11">
        <f>H6376+G6377</f>
        <v/>
      </c>
    </row>
    <row r="6378">
      <c r="A6378" s="9" t="n">
        <v>6374</v>
      </c>
      <c r="B6378" s="9" t="inlineStr">
        <is>
          <t>Vanguard_M15</t>
        </is>
      </c>
      <c r="C6378" s="9" t="inlineStr">
        <is>
          <t>Trendline breakout (fractal swing line) + VWAP/S-R distance gate - M15 chart</t>
        </is>
      </c>
      <c r="D6378" s="9" t="inlineStr">
        <is>
          <t>Long</t>
        </is>
      </c>
      <c r="E6378" s="10" t="n">
        <v>46064.67708333334</v>
      </c>
      <c r="F6378" s="10" t="n">
        <v>46065.5</v>
      </c>
      <c r="G6378" s="11" t="n">
        <v>-7.88</v>
      </c>
      <c r="H6378" s="11">
        <f>H6377+G6378</f>
        <v/>
      </c>
    </row>
    <row r="6379">
      <c r="A6379" s="9" t="n">
        <v>6375</v>
      </c>
      <c r="B6379" s="9" t="inlineStr">
        <is>
          <t>Vanguard_M5</t>
        </is>
      </c>
      <c r="C6379" s="9" t="inlineStr">
        <is>
          <t>Trendline breakout (fractal swing line) + VWAP/S-R distance gate</t>
        </is>
      </c>
      <c r="D6379" s="9" t="inlineStr">
        <is>
          <t>Long</t>
        </is>
      </c>
      <c r="E6379" s="10" t="n">
        <v>46064.65972222222</v>
      </c>
      <c r="F6379" s="10" t="n">
        <v>46065.50694444445</v>
      </c>
      <c r="G6379" s="11" t="n">
        <v>-3.13</v>
      </c>
      <c r="H6379" s="11">
        <f>H6378+G6379</f>
        <v/>
      </c>
    </row>
    <row r="6380">
      <c r="A6380" s="9" t="n">
        <v>6376</v>
      </c>
      <c r="B6380" s="9" t="inlineStr">
        <is>
          <t>Meridian</t>
        </is>
      </c>
      <c r="C6380" s="9" t="inlineStr">
        <is>
          <t>21/50 MA cross, 250-period confirm filter, VWAP</t>
        </is>
      </c>
      <c r="D6380" s="9" t="inlineStr">
        <is>
          <t>Short</t>
        </is>
      </c>
      <c r="E6380" s="10" t="n">
        <v>46065.53472222222</v>
      </c>
      <c r="F6380" s="10" t="n">
        <v>46065.63541666666</v>
      </c>
      <c r="G6380" s="11" t="n">
        <v>-11.83</v>
      </c>
      <c r="H6380" s="11">
        <f>H6379+G6380</f>
        <v/>
      </c>
    </row>
    <row r="6381">
      <c r="A6381" s="9" t="n">
        <v>6377</v>
      </c>
      <c r="B6381" s="9" t="inlineStr">
        <is>
          <t>MSG</t>
        </is>
      </c>
      <c r="C6381" s="9" t="inlineStr">
        <is>
          <t>Session-range breakout + Fibonacci retracement-zone entry</t>
        </is>
      </c>
      <c r="D6381" s="9" t="inlineStr">
        <is>
          <t>Short</t>
        </is>
      </c>
      <c r="E6381" s="10" t="n">
        <v>46065.63472222222</v>
      </c>
      <c r="F6381" s="10" t="n">
        <v>46065.63819444444</v>
      </c>
      <c r="G6381" s="11" t="n">
        <v>-18.48</v>
      </c>
      <c r="H6381" s="11">
        <f>H6380+G6381</f>
        <v/>
      </c>
    </row>
    <row r="6382">
      <c r="A6382" s="9" t="n">
        <v>6378</v>
      </c>
      <c r="B6382" s="9" t="inlineStr">
        <is>
          <t>Meridian</t>
        </is>
      </c>
      <c r="C6382" s="9" t="inlineStr">
        <is>
          <t>21/50 MA cross, 250-period confirm filter, VWAP</t>
        </is>
      </c>
      <c r="D6382" s="9" t="inlineStr">
        <is>
          <t>Long</t>
        </is>
      </c>
      <c r="E6382" s="10" t="n">
        <v>46065.65277777778</v>
      </c>
      <c r="F6382" s="10" t="n">
        <v>46065.67708333334</v>
      </c>
      <c r="G6382" s="11" t="n">
        <v>-15.37</v>
      </c>
      <c r="H6382" s="11">
        <f>H6381+G6382</f>
        <v/>
      </c>
    </row>
    <row r="6383">
      <c r="A6383" s="9" t="n">
        <v>6379</v>
      </c>
      <c r="B6383" s="9" t="inlineStr">
        <is>
          <t>Vanguard_M15</t>
        </is>
      </c>
      <c r="C6383" s="9" t="inlineStr">
        <is>
          <t>Trendline breakout (fractal swing line) + VWAP/S-R distance gate - M15 chart</t>
        </is>
      </c>
      <c r="D6383" s="9" t="inlineStr">
        <is>
          <t>Long</t>
        </is>
      </c>
      <c r="E6383" s="10" t="n">
        <v>46065.65625</v>
      </c>
      <c r="F6383" s="10" t="n">
        <v>46065.69791666666</v>
      </c>
      <c r="G6383" s="11" t="n">
        <v>-29.05</v>
      </c>
      <c r="H6383" s="11">
        <f>H6382+G6383</f>
        <v/>
      </c>
    </row>
    <row r="6384">
      <c r="A6384" s="9" t="n">
        <v>6380</v>
      </c>
      <c r="B6384" s="9" t="inlineStr">
        <is>
          <t>Vanguard_M5</t>
        </is>
      </c>
      <c r="C6384" s="9" t="inlineStr">
        <is>
          <t>Trendline breakout (fractal swing line) + VWAP/S-R distance gate</t>
        </is>
      </c>
      <c r="D6384" s="9" t="inlineStr">
        <is>
          <t>Long</t>
        </is>
      </c>
      <c r="E6384" s="10" t="n">
        <v>46065.64930555555</v>
      </c>
      <c r="F6384" s="10" t="n">
        <v>46065.70486111111</v>
      </c>
      <c r="G6384" s="11" t="n">
        <v>-24.09</v>
      </c>
      <c r="H6384" s="11">
        <f>H6383+G6384</f>
        <v/>
      </c>
    </row>
    <row r="6385">
      <c r="A6385" s="9" t="n">
        <v>6381</v>
      </c>
      <c r="B6385" s="9" t="inlineStr">
        <is>
          <t>Meridian</t>
        </is>
      </c>
      <c r="C6385" s="9" t="inlineStr">
        <is>
          <t>21/50 MA cross, 250-period confirm filter, VWAP</t>
        </is>
      </c>
      <c r="D6385" s="9" t="inlineStr">
        <is>
          <t>Short</t>
        </is>
      </c>
      <c r="E6385" s="10" t="n">
        <v>46065.70138888889</v>
      </c>
      <c r="F6385" s="10" t="n">
        <v>46065.74305555555</v>
      </c>
      <c r="G6385" s="11" t="n">
        <v>-18.25</v>
      </c>
      <c r="H6385" s="11">
        <f>H6384+G6385</f>
        <v/>
      </c>
    </row>
    <row r="6386">
      <c r="A6386" s="9" t="n">
        <v>6382</v>
      </c>
      <c r="B6386" s="9" t="inlineStr">
        <is>
          <t>Vanguard_M15</t>
        </is>
      </c>
      <c r="C6386" s="9" t="inlineStr">
        <is>
          <t>Trendline breakout (fractal swing line) + VWAP/S-R distance gate - M15 chart</t>
        </is>
      </c>
      <c r="D6386" s="9" t="inlineStr">
        <is>
          <t>Long</t>
        </is>
      </c>
      <c r="E6386" s="10" t="n">
        <v>46065.73958333334</v>
      </c>
      <c r="F6386" s="10" t="n">
        <v>46065.75</v>
      </c>
      <c r="G6386" s="11" t="n">
        <v>-35.76</v>
      </c>
      <c r="H6386" s="11">
        <f>H6385+G6386</f>
        <v/>
      </c>
    </row>
    <row r="6387">
      <c r="A6387" s="9" t="n">
        <v>6383</v>
      </c>
      <c r="B6387" s="9" t="inlineStr">
        <is>
          <t>Vanguard_M5</t>
        </is>
      </c>
      <c r="C6387" s="9" t="inlineStr">
        <is>
          <t>Trendline breakout (fractal swing line) + VWAP/S-R distance gate</t>
        </is>
      </c>
      <c r="D6387" s="9" t="inlineStr">
        <is>
          <t>Long</t>
        </is>
      </c>
      <c r="E6387" s="10" t="n">
        <v>46065.73263888889</v>
      </c>
      <c r="F6387" s="10" t="n">
        <v>46065.75694444445</v>
      </c>
      <c r="G6387" s="11" t="n">
        <v>-32.36</v>
      </c>
      <c r="H6387" s="11">
        <f>H6386+G6387</f>
        <v/>
      </c>
    </row>
    <row r="6388">
      <c r="A6388" s="9" t="n">
        <v>6384</v>
      </c>
      <c r="B6388" s="9" t="inlineStr">
        <is>
          <t>Ratchet</t>
        </is>
      </c>
      <c r="C6388" s="9" t="inlineStr">
        <is>
          <t>Stochastic scalp with give-back trail exit</t>
        </is>
      </c>
      <c r="D6388" s="9" t="inlineStr">
        <is>
          <t>Short</t>
        </is>
      </c>
      <c r="E6388" s="10" t="n">
        <v>46065.78125</v>
      </c>
      <c r="F6388" s="10" t="n">
        <v>46065.78472222222</v>
      </c>
      <c r="G6388" s="11" t="n">
        <v>5.07</v>
      </c>
      <c r="H6388" s="11">
        <f>H6387+G6388</f>
        <v/>
      </c>
    </row>
    <row r="6389">
      <c r="A6389" s="9" t="n">
        <v>6385</v>
      </c>
      <c r="B6389" s="9" t="inlineStr">
        <is>
          <t>Ratchet</t>
        </is>
      </c>
      <c r="C6389" s="9" t="inlineStr">
        <is>
          <t>Stochastic scalp with give-back trail exit</t>
        </is>
      </c>
      <c r="D6389" s="9" t="inlineStr">
        <is>
          <t>Short</t>
        </is>
      </c>
      <c r="E6389" s="10" t="n">
        <v>46065.78819444445</v>
      </c>
      <c r="F6389" s="10" t="n">
        <v>46065.84722222222</v>
      </c>
      <c r="G6389" s="11" t="n">
        <v>8.19</v>
      </c>
      <c r="H6389" s="11">
        <f>H6388+G6389</f>
        <v/>
      </c>
    </row>
    <row r="6390">
      <c r="A6390" s="9" t="n">
        <v>6386</v>
      </c>
      <c r="B6390" s="9" t="inlineStr">
        <is>
          <t>Meridian</t>
        </is>
      </c>
      <c r="C6390" s="9" t="inlineStr">
        <is>
          <t>21/50 MA cross, 250-period confirm filter, VWAP</t>
        </is>
      </c>
      <c r="D6390" s="9" t="inlineStr">
        <is>
          <t>Short</t>
        </is>
      </c>
      <c r="E6390" s="10" t="n">
        <v>46065.75694444445</v>
      </c>
      <c r="F6390" s="10" t="n">
        <v>46066.12847222222</v>
      </c>
      <c r="G6390" s="11" t="n">
        <v>92.79000000000001</v>
      </c>
      <c r="H6390" s="11">
        <f>H6389+G6390</f>
        <v/>
      </c>
    </row>
    <row r="6391">
      <c r="A6391" s="9" t="n">
        <v>6387</v>
      </c>
      <c r="B6391" s="9" t="inlineStr">
        <is>
          <t>Meridian</t>
        </is>
      </c>
      <c r="C6391" s="9" t="inlineStr">
        <is>
          <t>21/50 MA cross, 250-period confirm filter, VWAP</t>
        </is>
      </c>
      <c r="D6391" s="9" t="inlineStr">
        <is>
          <t>Short</t>
        </is>
      </c>
      <c r="E6391" s="10" t="n">
        <v>46066.33333333334</v>
      </c>
      <c r="F6391" s="10" t="n">
        <v>46066.37152777778</v>
      </c>
      <c r="G6391" s="11" t="n">
        <v>-20.36</v>
      </c>
      <c r="H6391" s="11">
        <f>H6390+G6391</f>
        <v/>
      </c>
    </row>
    <row r="6392">
      <c r="A6392" s="9" t="n">
        <v>6388</v>
      </c>
      <c r="B6392" s="9" t="inlineStr">
        <is>
          <t>Aurelius_M5</t>
        </is>
      </c>
      <c r="C6392" s="9" t="inlineStr">
        <is>
          <t>MA alignment (EMA21&gt;EMA50&gt;SMA250&gt;SMMA500 vs EMA2400 trend filter)</t>
        </is>
      </c>
      <c r="D6392" s="9" t="inlineStr">
        <is>
          <t>Short</t>
        </is>
      </c>
      <c r="E6392" s="10" t="n">
        <v>46066.35416666666</v>
      </c>
      <c r="F6392" s="10" t="n">
        <v>46066.38541666666</v>
      </c>
      <c r="G6392" s="11" t="n">
        <v>-20.84</v>
      </c>
      <c r="H6392" s="11">
        <f>H6391+G6392</f>
        <v/>
      </c>
    </row>
    <row r="6393">
      <c r="A6393" s="9" t="n">
        <v>6389</v>
      </c>
      <c r="B6393" s="9" t="inlineStr">
        <is>
          <t>Ratchet</t>
        </is>
      </c>
      <c r="C6393" s="9" t="inlineStr">
        <is>
          <t>Stochastic scalp with give-back trail exit</t>
        </is>
      </c>
      <c r="D6393" s="9" t="inlineStr">
        <is>
          <t>Short</t>
        </is>
      </c>
      <c r="E6393" s="10" t="n">
        <v>46066.35416666666</v>
      </c>
      <c r="F6393" s="10" t="n">
        <v>46066.38541666666</v>
      </c>
      <c r="G6393" s="11" t="n">
        <v>-16.85</v>
      </c>
      <c r="H6393" s="11">
        <f>H6392+G6393</f>
        <v/>
      </c>
    </row>
    <row r="6394">
      <c r="A6394" s="9" t="n">
        <v>6390</v>
      </c>
      <c r="B6394" s="9" t="inlineStr">
        <is>
          <t>Ratchet</t>
        </is>
      </c>
      <c r="C6394" s="9" t="inlineStr">
        <is>
          <t>Stochastic scalp with give-back trail exit</t>
        </is>
      </c>
      <c r="D6394" s="9" t="inlineStr">
        <is>
          <t>Short</t>
        </is>
      </c>
      <c r="E6394" s="10" t="n">
        <v>46066.53819444445</v>
      </c>
      <c r="F6394" s="10" t="n">
        <v>46066.57986111111</v>
      </c>
      <c r="G6394" s="11" t="n">
        <v>6.8</v>
      </c>
      <c r="H6394" s="11">
        <f>H6393+G6394</f>
        <v/>
      </c>
    </row>
    <row r="6395">
      <c r="A6395" s="9" t="n">
        <v>6391</v>
      </c>
      <c r="B6395" s="9" t="inlineStr">
        <is>
          <t>Vanguard_M15</t>
        </is>
      </c>
      <c r="C6395" s="9" t="inlineStr">
        <is>
          <t>Trendline breakout (fractal swing line) + VWAP/S-R distance gate - M15 chart</t>
        </is>
      </c>
      <c r="D6395" s="9" t="inlineStr">
        <is>
          <t>Short</t>
        </is>
      </c>
      <c r="E6395" s="10" t="n">
        <v>46065.76041666666</v>
      </c>
      <c r="F6395" s="10" t="n">
        <v>46066.58333333334</v>
      </c>
      <c r="G6395" s="11" t="n">
        <v>-12.6</v>
      </c>
      <c r="H6395" s="11">
        <f>H6394+G6395</f>
        <v/>
      </c>
    </row>
    <row r="6396">
      <c r="A6396" s="9" t="n">
        <v>6392</v>
      </c>
      <c r="B6396" s="9" t="inlineStr">
        <is>
          <t>Vanguard_M5</t>
        </is>
      </c>
      <c r="C6396" s="9" t="inlineStr">
        <is>
          <t>Trendline breakout (fractal swing line) + VWAP/S-R distance gate</t>
        </is>
      </c>
      <c r="D6396" s="9" t="inlineStr">
        <is>
          <t>Short</t>
        </is>
      </c>
      <c r="E6396" s="10" t="n">
        <v>46065.76041666666</v>
      </c>
      <c r="F6396" s="10" t="n">
        <v>46066.58333333334</v>
      </c>
      <c r="G6396" s="11" t="n">
        <v>-7.27</v>
      </c>
      <c r="H6396" s="11">
        <f>H6395+G6396</f>
        <v/>
      </c>
    </row>
    <row r="6397">
      <c r="A6397" s="9" t="n">
        <v>6393</v>
      </c>
      <c r="B6397" s="9" t="inlineStr">
        <is>
          <t>Aurelius_M5</t>
        </is>
      </c>
      <c r="C6397" s="9" t="inlineStr">
        <is>
          <t>MA alignment (EMA21&gt;EMA50&gt;SMA250&gt;SMMA500 vs EMA2400 trend filter)</t>
        </is>
      </c>
      <c r="D6397" s="9" t="inlineStr">
        <is>
          <t>Short</t>
        </is>
      </c>
      <c r="E6397" s="10" t="n">
        <v>46066.54513888889</v>
      </c>
      <c r="F6397" s="10" t="n">
        <v>46066.59375</v>
      </c>
      <c r="G6397" s="11" t="n">
        <v>-20.02</v>
      </c>
      <c r="H6397" s="11">
        <f>H6396+G6397</f>
        <v/>
      </c>
    </row>
    <row r="6398">
      <c r="A6398" s="9" t="n">
        <v>6394</v>
      </c>
      <c r="B6398" s="9" t="inlineStr">
        <is>
          <t>MSG</t>
        </is>
      </c>
      <c r="C6398" s="9" t="inlineStr">
        <is>
          <t>Session-range breakout + Fibonacci retracement-zone entry</t>
        </is>
      </c>
      <c r="D6398" s="9" t="inlineStr">
        <is>
          <t>Short</t>
        </is>
      </c>
      <c r="E6398" s="10" t="n">
        <v>46066.58958333333</v>
      </c>
      <c r="F6398" s="10" t="n">
        <v>46066.64583333334</v>
      </c>
      <c r="G6398" s="11" t="n">
        <v>-46.12</v>
      </c>
      <c r="H6398" s="11">
        <f>H6397+G6398</f>
        <v/>
      </c>
    </row>
    <row r="6399">
      <c r="A6399" s="9" t="n">
        <v>6395</v>
      </c>
      <c r="B6399" s="9" t="inlineStr">
        <is>
          <t>Meridian</t>
        </is>
      </c>
      <c r="C6399" s="9" t="inlineStr">
        <is>
          <t>21/50 MA cross, 250-period confirm filter, VWAP</t>
        </is>
      </c>
      <c r="D6399" s="9" t="inlineStr">
        <is>
          <t>Long</t>
        </is>
      </c>
      <c r="E6399" s="10" t="n">
        <v>46066.62847222222</v>
      </c>
      <c r="F6399" s="10" t="n">
        <v>46066.91666666666</v>
      </c>
      <c r="G6399" s="11" t="n">
        <v>52.09</v>
      </c>
      <c r="H6399" s="11">
        <f>H6398+G6399</f>
        <v/>
      </c>
    </row>
    <row r="6400">
      <c r="A6400" s="9" t="n">
        <v>6396</v>
      </c>
      <c r="B6400" s="9" t="inlineStr">
        <is>
          <t>Meridian</t>
        </is>
      </c>
      <c r="C6400" s="9" t="inlineStr">
        <is>
          <t>21/50 MA cross, 250-period confirm filter, VWAP</t>
        </is>
      </c>
      <c r="D6400" s="9" t="inlineStr">
        <is>
          <t>Long</t>
        </is>
      </c>
      <c r="E6400" s="10" t="n">
        <v>46069.15972222222</v>
      </c>
      <c r="F6400" s="10" t="n">
        <v>46069.19097222222</v>
      </c>
      <c r="G6400" s="11" t="n">
        <v>-9.380000000000001</v>
      </c>
      <c r="H6400" s="11">
        <f>H6399+G6400</f>
        <v/>
      </c>
    </row>
    <row r="6401">
      <c r="A6401" s="9" t="n">
        <v>6397</v>
      </c>
      <c r="B6401" s="9" t="inlineStr">
        <is>
          <t>Vanguard_M15</t>
        </is>
      </c>
      <c r="C6401" s="9" t="inlineStr">
        <is>
          <t>Trendline breakout (fractal swing line) + VWAP/S-R distance gate - M15 chart</t>
        </is>
      </c>
      <c r="D6401" s="9" t="inlineStr">
        <is>
          <t>Long</t>
        </is>
      </c>
      <c r="E6401" s="10" t="n">
        <v>46066.61458333334</v>
      </c>
      <c r="F6401" s="10" t="n">
        <v>46069.25</v>
      </c>
      <c r="G6401" s="11" t="n">
        <v>10.38</v>
      </c>
      <c r="H6401" s="11">
        <f>H6400+G6401</f>
        <v/>
      </c>
    </row>
    <row r="6402">
      <c r="A6402" s="9" t="n">
        <v>6398</v>
      </c>
      <c r="B6402" s="9" t="inlineStr">
        <is>
          <t>Vanguard_M5</t>
        </is>
      </c>
      <c r="C6402" s="9" t="inlineStr">
        <is>
          <t>Trendline breakout (fractal swing line) + VWAP/S-R distance gate</t>
        </is>
      </c>
      <c r="D6402" s="9" t="inlineStr">
        <is>
          <t>Long</t>
        </is>
      </c>
      <c r="E6402" s="10" t="n">
        <v>46066.61111111111</v>
      </c>
      <c r="F6402" s="10" t="n">
        <v>46069.25347222222</v>
      </c>
      <c r="G6402" s="11" t="n">
        <v>7.43</v>
      </c>
      <c r="H6402" s="11">
        <f>H6401+G6402</f>
        <v/>
      </c>
    </row>
    <row r="6403">
      <c r="A6403" s="9" t="n">
        <v>6399</v>
      </c>
      <c r="B6403" s="9" t="inlineStr">
        <is>
          <t>Vanguard_M5</t>
        </is>
      </c>
      <c r="C6403" s="9" t="inlineStr">
        <is>
          <t>Trendline breakout (fractal swing line) + VWAP/S-R distance gate</t>
        </is>
      </c>
      <c r="D6403" s="9" t="inlineStr">
        <is>
          <t>Short</t>
        </is>
      </c>
      <c r="E6403" s="10" t="n">
        <v>46069.25694444445</v>
      </c>
      <c r="F6403" s="10" t="n">
        <v>46069.40277777778</v>
      </c>
      <c r="G6403" s="11" t="n">
        <v>-27.85</v>
      </c>
      <c r="H6403" s="11">
        <f>H6402+G6403</f>
        <v/>
      </c>
    </row>
    <row r="6404">
      <c r="A6404" s="9" t="n">
        <v>6400</v>
      </c>
      <c r="B6404" s="9" t="inlineStr">
        <is>
          <t>Vanguard_M15</t>
        </is>
      </c>
      <c r="C6404" s="9" t="inlineStr">
        <is>
          <t>Trendline breakout (fractal swing line) + VWAP/S-R distance gate - M15 chart</t>
        </is>
      </c>
      <c r="D6404" s="9" t="inlineStr">
        <is>
          <t>Short</t>
        </is>
      </c>
      <c r="E6404" s="10" t="n">
        <v>46069.26041666666</v>
      </c>
      <c r="F6404" s="10" t="n">
        <v>46069.41666666666</v>
      </c>
      <c r="G6404" s="11" t="n">
        <v>-36.45</v>
      </c>
      <c r="H6404" s="11">
        <f>H6403+G6404</f>
        <v/>
      </c>
    </row>
    <row r="6405">
      <c r="A6405" s="9" t="n">
        <v>6401</v>
      </c>
      <c r="B6405" s="9" t="inlineStr">
        <is>
          <t>Meridian</t>
        </is>
      </c>
      <c r="C6405" s="9" t="inlineStr">
        <is>
          <t>21/50 MA cross, 250-period confirm filter, VWAP</t>
        </is>
      </c>
      <c r="D6405" s="9" t="inlineStr">
        <is>
          <t>Short</t>
        </is>
      </c>
      <c r="E6405" s="10" t="n">
        <v>46069.59027777778</v>
      </c>
      <c r="F6405" s="10" t="n">
        <v>46069.82638888889</v>
      </c>
      <c r="G6405" s="11" t="n">
        <v>10.8</v>
      </c>
      <c r="H6405" s="11">
        <f>H6404+G6405</f>
        <v/>
      </c>
    </row>
    <row r="6406">
      <c r="A6406" s="9" t="n">
        <v>6402</v>
      </c>
      <c r="B6406" s="9" t="inlineStr">
        <is>
          <t>Ratchet</t>
        </is>
      </c>
      <c r="C6406" s="9" t="inlineStr">
        <is>
          <t>Stochastic scalp with give-back trail exit</t>
        </is>
      </c>
      <c r="D6406" s="9" t="inlineStr">
        <is>
          <t>Short</t>
        </is>
      </c>
      <c r="E6406" s="10" t="n">
        <v>46070.23263888889</v>
      </c>
      <c r="F6406" s="10" t="n">
        <v>46070.23611111111</v>
      </c>
      <c r="G6406" s="11" t="n">
        <v>1.04</v>
      </c>
      <c r="H6406" s="11">
        <f>H6405+G6406</f>
        <v/>
      </c>
    </row>
    <row r="6407">
      <c r="A6407" s="9" t="n">
        <v>6403</v>
      </c>
      <c r="B6407" s="9" t="inlineStr">
        <is>
          <t>Ratchet</t>
        </is>
      </c>
      <c r="C6407" s="9" t="inlineStr">
        <is>
          <t>Stochastic scalp with give-back trail exit</t>
        </is>
      </c>
      <c r="D6407" s="9" t="inlineStr">
        <is>
          <t>Short</t>
        </is>
      </c>
      <c r="E6407" s="10" t="n">
        <v>46070.28472222222</v>
      </c>
      <c r="F6407" s="10" t="n">
        <v>46070.42361111111</v>
      </c>
      <c r="G6407" s="11" t="n">
        <v>21.46</v>
      </c>
      <c r="H6407" s="11">
        <f>H6406+G6407</f>
        <v/>
      </c>
    </row>
    <row r="6408">
      <c r="A6408" s="9" t="n">
        <v>6404</v>
      </c>
      <c r="B6408" s="9" t="inlineStr">
        <is>
          <t>Meridian</t>
        </is>
      </c>
      <c r="C6408" s="9" t="inlineStr">
        <is>
          <t>21/50 MA cross, 250-period confirm filter, VWAP</t>
        </is>
      </c>
      <c r="D6408" s="9" t="inlineStr">
        <is>
          <t>Short</t>
        </is>
      </c>
      <c r="E6408" s="10" t="n">
        <v>46070.09027777778</v>
      </c>
      <c r="F6408" s="10" t="n">
        <v>46070.50347222222</v>
      </c>
      <c r="G6408" s="11" t="n">
        <v>50.77</v>
      </c>
      <c r="H6408" s="11">
        <f>H6407+G6408</f>
        <v/>
      </c>
    </row>
    <row r="6409">
      <c r="A6409" s="9" t="n">
        <v>6405</v>
      </c>
      <c r="B6409" s="9" t="inlineStr">
        <is>
          <t>Aurelius_M5</t>
        </is>
      </c>
      <c r="C6409" s="9" t="inlineStr">
        <is>
          <t>MA alignment (EMA21&gt;EMA50&gt;SMA250&gt;SMMA500 vs EMA2400 trend filter)</t>
        </is>
      </c>
      <c r="D6409" s="9" t="inlineStr">
        <is>
          <t>Short</t>
        </is>
      </c>
      <c r="E6409" s="10" t="n">
        <v>46070.10416666666</v>
      </c>
      <c r="F6409" s="10" t="n">
        <v>46070.50347222222</v>
      </c>
      <c r="G6409" s="11" t="n">
        <v>45.96</v>
      </c>
      <c r="H6409" s="11">
        <f>H6408+G6409</f>
        <v/>
      </c>
    </row>
    <row r="6410">
      <c r="A6410" s="9" t="n">
        <v>6406</v>
      </c>
      <c r="B6410" s="9" t="inlineStr">
        <is>
          <t>MSG</t>
        </is>
      </c>
      <c r="C6410" s="9" t="inlineStr">
        <is>
          <t>Session-range breakout + Fibonacci retracement-zone entry</t>
        </is>
      </c>
      <c r="D6410" s="9" t="inlineStr">
        <is>
          <t>Long</t>
        </is>
      </c>
      <c r="E6410" s="10" t="n">
        <v>46070.52569444444</v>
      </c>
      <c r="F6410" s="10" t="n">
        <v>46070.53541666667</v>
      </c>
      <c r="G6410" s="11" t="n">
        <v>-27.92</v>
      </c>
      <c r="H6410" s="11">
        <f>H6409+G6410</f>
        <v/>
      </c>
    </row>
    <row r="6411">
      <c r="A6411" s="9" t="n">
        <v>6407</v>
      </c>
      <c r="B6411" s="9" t="inlineStr">
        <is>
          <t>Meridian</t>
        </is>
      </c>
      <c r="C6411" s="9" t="inlineStr">
        <is>
          <t>21/50 MA cross, 250-period confirm filter, VWAP</t>
        </is>
      </c>
      <c r="D6411" s="9" t="inlineStr">
        <is>
          <t>Short</t>
        </is>
      </c>
      <c r="E6411" s="10" t="n">
        <v>46070.54166666666</v>
      </c>
      <c r="F6411" s="10" t="n">
        <v>46070.55208333334</v>
      </c>
      <c r="G6411" s="11" t="n">
        <v>-12.87</v>
      </c>
      <c r="H6411" s="11">
        <f>H6410+G6411</f>
        <v/>
      </c>
    </row>
    <row r="6412">
      <c r="A6412" s="9" t="n">
        <v>6408</v>
      </c>
      <c r="B6412" s="9" t="inlineStr">
        <is>
          <t>Ratchet</t>
        </is>
      </c>
      <c r="C6412" s="9" t="inlineStr">
        <is>
          <t>Stochastic scalp with give-back trail exit</t>
        </is>
      </c>
      <c r="D6412" s="9" t="inlineStr">
        <is>
          <t>Short</t>
        </is>
      </c>
      <c r="E6412" s="10" t="n">
        <v>46070.65972222222</v>
      </c>
      <c r="F6412" s="10" t="n">
        <v>46070.6875</v>
      </c>
      <c r="G6412" s="11" t="n">
        <v>14.72</v>
      </c>
      <c r="H6412" s="11">
        <f>H6411+G6412</f>
        <v/>
      </c>
    </row>
    <row r="6413">
      <c r="A6413" s="9" t="n">
        <v>6409</v>
      </c>
      <c r="B6413" s="9" t="inlineStr">
        <is>
          <t>Ratchet</t>
        </is>
      </c>
      <c r="C6413" s="9" t="inlineStr">
        <is>
          <t>Stochastic scalp with give-back trail exit</t>
        </is>
      </c>
      <c r="D6413" s="9" t="inlineStr">
        <is>
          <t>Short</t>
        </is>
      </c>
      <c r="E6413" s="10" t="n">
        <v>46070.69097222222</v>
      </c>
      <c r="F6413" s="10" t="n">
        <v>46070.75</v>
      </c>
      <c r="G6413" s="11" t="n">
        <v>13.02</v>
      </c>
      <c r="H6413" s="11">
        <f>H6412+G6413</f>
        <v/>
      </c>
    </row>
    <row r="6414">
      <c r="A6414" s="9" t="n">
        <v>6410</v>
      </c>
      <c r="B6414" s="9" t="inlineStr">
        <is>
          <t>Ratchet</t>
        </is>
      </c>
      <c r="C6414" s="9" t="inlineStr">
        <is>
          <t>Stochastic scalp with give-back trail exit</t>
        </is>
      </c>
      <c r="D6414" s="9" t="inlineStr">
        <is>
          <t>Short</t>
        </is>
      </c>
      <c r="E6414" s="10" t="n">
        <v>46070.79861111111</v>
      </c>
      <c r="F6414" s="10" t="n">
        <v>46070.80208333334</v>
      </c>
      <c r="G6414" s="11" t="n">
        <v>2.89</v>
      </c>
      <c r="H6414" s="11">
        <f>H6413+G6414</f>
        <v/>
      </c>
    </row>
    <row r="6415">
      <c r="A6415" s="9" t="n">
        <v>6411</v>
      </c>
      <c r="B6415" s="9" t="inlineStr">
        <is>
          <t>Ratchet</t>
        </is>
      </c>
      <c r="C6415" s="9" t="inlineStr">
        <is>
          <t>Stochastic scalp with give-back trail exit</t>
        </is>
      </c>
      <c r="D6415" s="9" t="inlineStr">
        <is>
          <t>Short</t>
        </is>
      </c>
      <c r="E6415" s="10" t="n">
        <v>46070.81944444445</v>
      </c>
      <c r="F6415" s="10" t="n">
        <v>46070.82638888889</v>
      </c>
      <c r="G6415" s="11" t="n">
        <v>-0</v>
      </c>
      <c r="H6415" s="11">
        <f>H6414+G6415</f>
        <v/>
      </c>
    </row>
    <row r="6416">
      <c r="A6416" s="9" t="n">
        <v>6412</v>
      </c>
      <c r="B6416" s="9" t="inlineStr">
        <is>
          <t>Aurelius_M5</t>
        </is>
      </c>
      <c r="C6416" s="9" t="inlineStr">
        <is>
          <t>MA alignment (EMA21&gt;EMA50&gt;SMA250&gt;SMMA500 vs EMA2400 trend filter)</t>
        </is>
      </c>
      <c r="D6416" s="9" t="inlineStr">
        <is>
          <t>Short</t>
        </is>
      </c>
      <c r="E6416" s="10" t="n">
        <v>46070.6875</v>
      </c>
      <c r="F6416" s="10" t="n">
        <v>46070.87152777778</v>
      </c>
      <c r="G6416" s="11" t="n">
        <v>4.19</v>
      </c>
      <c r="H6416" s="11">
        <f>H6415+G6416</f>
        <v/>
      </c>
    </row>
    <row r="6417">
      <c r="A6417" s="9" t="n">
        <v>6413</v>
      </c>
      <c r="B6417" s="9" t="inlineStr">
        <is>
          <t>Meridian</t>
        </is>
      </c>
      <c r="C6417" s="9" t="inlineStr">
        <is>
          <t>21/50 MA cross, 250-period confirm filter, VWAP</t>
        </is>
      </c>
      <c r="D6417" s="9" t="inlineStr">
        <is>
          <t>Short</t>
        </is>
      </c>
      <c r="E6417" s="10" t="n">
        <v>46070.64930555555</v>
      </c>
      <c r="F6417" s="10" t="n">
        <v>46070.87847222222</v>
      </c>
      <c r="G6417" s="11" t="n">
        <v>13.56</v>
      </c>
      <c r="H6417" s="11">
        <f>H6416+G6417</f>
        <v/>
      </c>
    </row>
    <row r="6418">
      <c r="A6418" s="9" t="n">
        <v>6414</v>
      </c>
      <c r="B6418" s="9" t="inlineStr">
        <is>
          <t>Ratchet</t>
        </is>
      </c>
      <c r="C6418" s="9" t="inlineStr">
        <is>
          <t>Stochastic scalp with give-back trail exit</t>
        </is>
      </c>
      <c r="D6418" s="9" t="inlineStr">
        <is>
          <t>Short</t>
        </is>
      </c>
      <c r="E6418" s="10" t="n">
        <v>46071.05902777778</v>
      </c>
      <c r="F6418" s="10" t="n">
        <v>46071.06597222222</v>
      </c>
      <c r="G6418" s="11" t="n">
        <v>-0</v>
      </c>
      <c r="H6418" s="11">
        <f>H6417+G6418</f>
        <v/>
      </c>
    </row>
    <row r="6419">
      <c r="A6419" s="9" t="n">
        <v>6415</v>
      </c>
      <c r="B6419" s="9" t="inlineStr">
        <is>
          <t>Meridian</t>
        </is>
      </c>
      <c r="C6419" s="9" t="inlineStr">
        <is>
          <t>21/50 MA cross, 250-period confirm filter, VWAP</t>
        </is>
      </c>
      <c r="D6419" s="9" t="inlineStr">
        <is>
          <t>Short</t>
        </is>
      </c>
      <c r="E6419" s="10" t="n">
        <v>46070.93402777778</v>
      </c>
      <c r="F6419" s="10" t="n">
        <v>46071.13194444445</v>
      </c>
      <c r="G6419" s="11" t="n">
        <v>-16.67</v>
      </c>
      <c r="H6419" s="11">
        <f>H6418+G6419</f>
        <v/>
      </c>
    </row>
    <row r="6420">
      <c r="A6420" s="9" t="n">
        <v>6416</v>
      </c>
      <c r="B6420" s="9" t="inlineStr">
        <is>
          <t>Aurelius_M15</t>
        </is>
      </c>
      <c r="C6420" s="9" t="inlineStr">
        <is>
          <t>MA alignment (EMA21&gt;EMA50&gt;SMA250&gt;SMMA500 vs EMA2400 trend filter) - M15 chart</t>
        </is>
      </c>
      <c r="D6420" s="9" t="inlineStr">
        <is>
          <t>Short</t>
        </is>
      </c>
      <c r="E6420" s="10" t="n">
        <v>46070.11458333334</v>
      </c>
      <c r="F6420" s="10" t="n">
        <v>46071.1875</v>
      </c>
      <c r="G6420" s="11" t="n">
        <v>69.23999999999999</v>
      </c>
      <c r="H6420" s="11">
        <f>H6419+G6420</f>
        <v/>
      </c>
    </row>
    <row r="6421">
      <c r="A6421" s="9" t="n">
        <v>6417</v>
      </c>
      <c r="B6421" s="9" t="inlineStr">
        <is>
          <t>MSG</t>
        </is>
      </c>
      <c r="C6421" s="9" t="inlineStr">
        <is>
          <t>Session-range breakout + Fibonacci retracement-zone entry</t>
        </is>
      </c>
      <c r="D6421" s="9" t="inlineStr">
        <is>
          <t>Short</t>
        </is>
      </c>
      <c r="E6421" s="10" t="n">
        <v>46071.59097222222</v>
      </c>
      <c r="F6421" s="10" t="n">
        <v>46071.61944444444</v>
      </c>
      <c r="G6421" s="11" t="n">
        <v>-26.55</v>
      </c>
      <c r="H6421" s="11">
        <f>H6420+G6421</f>
        <v/>
      </c>
    </row>
    <row r="6422">
      <c r="A6422" s="9" t="n">
        <v>6418</v>
      </c>
      <c r="B6422" s="9" t="inlineStr">
        <is>
          <t>Vanguard_M5</t>
        </is>
      </c>
      <c r="C6422" s="9" t="inlineStr">
        <is>
          <t>Trendline breakout (fractal swing line) + VWAP/S-R distance gate</t>
        </is>
      </c>
      <c r="D6422" s="9" t="inlineStr">
        <is>
          <t>Short</t>
        </is>
      </c>
      <c r="E6422" s="10" t="n">
        <v>46069.54861111111</v>
      </c>
      <c r="F6422" s="10" t="n">
        <v>46071.70833333334</v>
      </c>
      <c r="G6422" s="11" t="n">
        <v>-2.25</v>
      </c>
      <c r="H6422" s="11">
        <f>H6421+G6422</f>
        <v/>
      </c>
    </row>
    <row r="6423">
      <c r="A6423" s="9" t="n">
        <v>6419</v>
      </c>
      <c r="B6423" s="9" t="inlineStr">
        <is>
          <t>Vanguard_M15</t>
        </is>
      </c>
      <c r="C6423" s="9" t="inlineStr">
        <is>
          <t>Trendline breakout (fractal swing line) + VWAP/S-R distance gate - M15 chart</t>
        </is>
      </c>
      <c r="D6423" s="9" t="inlineStr">
        <is>
          <t>Short</t>
        </is>
      </c>
      <c r="E6423" s="10" t="n">
        <v>46069.55208333334</v>
      </c>
      <c r="F6423" s="10" t="n">
        <v>46071.70833333334</v>
      </c>
      <c r="G6423" s="11" t="n">
        <v>-3.03</v>
      </c>
      <c r="H6423" s="11">
        <f>H6422+G6423</f>
        <v/>
      </c>
    </row>
    <row r="6424">
      <c r="A6424" s="9" t="n">
        <v>6420</v>
      </c>
      <c r="B6424" s="9" t="inlineStr">
        <is>
          <t>Ratchet</t>
        </is>
      </c>
      <c r="C6424" s="9" t="inlineStr">
        <is>
          <t>Stochastic scalp with give-back trail exit</t>
        </is>
      </c>
      <c r="D6424" s="9" t="inlineStr">
        <is>
          <t>Long</t>
        </is>
      </c>
      <c r="E6424" s="10" t="n">
        <v>46071.77777777778</v>
      </c>
      <c r="F6424" s="10" t="n">
        <v>46071.78819444445</v>
      </c>
      <c r="G6424" s="11" t="n">
        <v>1.2</v>
      </c>
      <c r="H6424" s="11">
        <f>H6423+G6424</f>
        <v/>
      </c>
    </row>
    <row r="6425">
      <c r="A6425" s="9" t="n">
        <v>6421</v>
      </c>
      <c r="B6425" s="9" t="inlineStr">
        <is>
          <t>Meridian</t>
        </is>
      </c>
      <c r="C6425" s="9" t="inlineStr">
        <is>
          <t>21/50 MA cross, 250-period confirm filter, VWAP</t>
        </is>
      </c>
      <c r="D6425" s="9" t="inlineStr">
        <is>
          <t>Long</t>
        </is>
      </c>
      <c r="E6425" s="10" t="n">
        <v>46071.61458333334</v>
      </c>
      <c r="F6425" s="10" t="n">
        <v>46071.91319444445</v>
      </c>
      <c r="G6425" s="11" t="n">
        <v>50.91</v>
      </c>
      <c r="H6425" s="11">
        <f>H6424+G6425</f>
        <v/>
      </c>
    </row>
    <row r="6426">
      <c r="A6426" s="9" t="n">
        <v>6422</v>
      </c>
      <c r="B6426" s="9" t="inlineStr">
        <is>
          <t>Ratchet</t>
        </is>
      </c>
      <c r="C6426" s="9" t="inlineStr">
        <is>
          <t>Stochastic scalp with give-back trail exit</t>
        </is>
      </c>
      <c r="D6426" s="9" t="inlineStr">
        <is>
          <t>Long</t>
        </is>
      </c>
      <c r="E6426" s="10" t="n">
        <v>46072.43402777778</v>
      </c>
      <c r="F6426" s="10" t="n">
        <v>46072.45138888889</v>
      </c>
      <c r="G6426" s="11" t="n">
        <v>1.77</v>
      </c>
      <c r="H6426" s="11">
        <f>H6425+G6426</f>
        <v/>
      </c>
    </row>
    <row r="6427">
      <c r="A6427" s="9" t="n">
        <v>6423</v>
      </c>
      <c r="B6427" s="9" t="inlineStr">
        <is>
          <t>Ratchet</t>
        </is>
      </c>
      <c r="C6427" s="9" t="inlineStr">
        <is>
          <t>Stochastic scalp with give-back trail exit</t>
        </is>
      </c>
      <c r="D6427" s="9" t="inlineStr">
        <is>
          <t>Long</t>
        </is>
      </c>
      <c r="E6427" s="10" t="n">
        <v>46072.45833333334</v>
      </c>
      <c r="F6427" s="10" t="n">
        <v>46072.46875</v>
      </c>
      <c r="G6427" s="11" t="n">
        <v>0.68</v>
      </c>
      <c r="H6427" s="11">
        <f>H6426+G6427</f>
        <v/>
      </c>
    </row>
    <row r="6428">
      <c r="A6428" s="9" t="n">
        <v>6424</v>
      </c>
      <c r="B6428" s="9" t="inlineStr">
        <is>
          <t>Vanguard_M5</t>
        </is>
      </c>
      <c r="C6428" s="9" t="inlineStr">
        <is>
          <t>Trendline breakout (fractal swing line) + VWAP/S-R distance gate</t>
        </is>
      </c>
      <c r="D6428" s="9" t="inlineStr">
        <is>
          <t>Long</t>
        </is>
      </c>
      <c r="E6428" s="10" t="n">
        <v>46072.35763888889</v>
      </c>
      <c r="F6428" s="10" t="n">
        <v>46072.48263888889</v>
      </c>
      <c r="G6428" s="11" t="n">
        <v>-14.04</v>
      </c>
      <c r="H6428" s="11">
        <f>H6427+G6428</f>
        <v/>
      </c>
    </row>
    <row r="6429">
      <c r="A6429" s="9" t="n">
        <v>6425</v>
      </c>
      <c r="B6429" s="9" t="inlineStr">
        <is>
          <t>Vanguard_M15</t>
        </is>
      </c>
      <c r="C6429" s="9" t="inlineStr">
        <is>
          <t>Trendline breakout (fractal swing line) + VWAP/S-R distance gate - M15 chart</t>
        </is>
      </c>
      <c r="D6429" s="9" t="inlineStr">
        <is>
          <t>Long</t>
        </is>
      </c>
      <c r="E6429" s="10" t="n">
        <v>46072.36458333334</v>
      </c>
      <c r="F6429" s="10" t="n">
        <v>46072.5</v>
      </c>
      <c r="G6429" s="11" t="n">
        <v>-20.45</v>
      </c>
      <c r="H6429" s="11">
        <f>H6428+G6429</f>
        <v/>
      </c>
    </row>
    <row r="6430">
      <c r="A6430" s="9" t="n">
        <v>6426</v>
      </c>
      <c r="B6430" s="9" t="inlineStr">
        <is>
          <t>Meridian</t>
        </is>
      </c>
      <c r="C6430" s="9" t="inlineStr">
        <is>
          <t>21/50 MA cross, 250-period confirm filter, VWAP</t>
        </is>
      </c>
      <c r="D6430" s="9" t="inlineStr">
        <is>
          <t>Long</t>
        </is>
      </c>
      <c r="E6430" s="10" t="n">
        <v>46072.24305555555</v>
      </c>
      <c r="F6430" s="10" t="n">
        <v>46072.50694444445</v>
      </c>
      <c r="G6430" s="11" t="n">
        <v>8.08</v>
      </c>
      <c r="H6430" s="11">
        <f>H6429+G6430</f>
        <v/>
      </c>
    </row>
    <row r="6431">
      <c r="A6431" s="9" t="n">
        <v>6427</v>
      </c>
      <c r="B6431" s="9" t="inlineStr">
        <is>
          <t>Vanguard_M5</t>
        </is>
      </c>
      <c r="C6431" s="9" t="inlineStr">
        <is>
          <t>Trendline breakout (fractal swing line) + VWAP/S-R distance gate</t>
        </is>
      </c>
      <c r="D6431" s="9" t="inlineStr">
        <is>
          <t>Long</t>
        </is>
      </c>
      <c r="E6431" s="10" t="n">
        <v>46072.48958333334</v>
      </c>
      <c r="F6431" s="10" t="n">
        <v>46072.50694444445</v>
      </c>
      <c r="G6431" s="11" t="n">
        <v>-19.61</v>
      </c>
      <c r="H6431" s="11">
        <f>H6430+G6431</f>
        <v/>
      </c>
    </row>
    <row r="6432">
      <c r="A6432" s="9" t="n">
        <v>6428</v>
      </c>
      <c r="B6432" s="9" t="inlineStr">
        <is>
          <t>Vanguard_M5</t>
        </is>
      </c>
      <c r="C6432" s="9" t="inlineStr">
        <is>
          <t>Trendline breakout (fractal swing line) + VWAP/S-R distance gate</t>
        </is>
      </c>
      <c r="D6432" s="9" t="inlineStr">
        <is>
          <t>Short</t>
        </is>
      </c>
      <c r="E6432" s="10" t="n">
        <v>46072.67361111111</v>
      </c>
      <c r="F6432" s="10" t="n">
        <v>46072.69791666666</v>
      </c>
      <c r="G6432" s="11" t="n">
        <v>-20.43</v>
      </c>
      <c r="H6432" s="11">
        <f>H6431+G6432</f>
        <v/>
      </c>
    </row>
    <row r="6433">
      <c r="A6433" s="9" t="n">
        <v>6429</v>
      </c>
      <c r="B6433" s="9" t="inlineStr">
        <is>
          <t>Vanguard_M15</t>
        </is>
      </c>
      <c r="C6433" s="9" t="inlineStr">
        <is>
          <t>Trendline breakout (fractal swing line) + VWAP/S-R distance gate - M15 chart</t>
        </is>
      </c>
      <c r="D6433" s="9" t="inlineStr">
        <is>
          <t>Short</t>
        </is>
      </c>
      <c r="E6433" s="10" t="n">
        <v>46072.67708333334</v>
      </c>
      <c r="F6433" s="10" t="n">
        <v>46072.69791666666</v>
      </c>
      <c r="G6433" s="11" t="n">
        <v>-32.08</v>
      </c>
      <c r="H6433" s="11">
        <f>H6432+G6433</f>
        <v/>
      </c>
    </row>
    <row r="6434">
      <c r="A6434" s="9" t="n">
        <v>6430</v>
      </c>
      <c r="B6434" s="9" t="inlineStr">
        <is>
          <t>Ratchet</t>
        </is>
      </c>
      <c r="C6434" s="9" t="inlineStr">
        <is>
          <t>Stochastic scalp with give-back trail exit</t>
        </is>
      </c>
      <c r="D6434" s="9" t="inlineStr">
        <is>
          <t>Long</t>
        </is>
      </c>
      <c r="E6434" s="10" t="n">
        <v>46072.72222222222</v>
      </c>
      <c r="F6434" s="10" t="n">
        <v>46072.75347222222</v>
      </c>
      <c r="G6434" s="11" t="n">
        <v>6.37</v>
      </c>
      <c r="H6434" s="11">
        <f>H6433+G6434</f>
        <v/>
      </c>
    </row>
    <row r="6435">
      <c r="A6435" s="9" t="n">
        <v>6431</v>
      </c>
      <c r="B6435" s="9" t="inlineStr">
        <is>
          <t>Aurelius_M5</t>
        </is>
      </c>
      <c r="C6435" s="9" t="inlineStr">
        <is>
          <t>MA alignment (EMA21&gt;EMA50&gt;SMA250&gt;SMMA500 vs EMA2400 trend filter)</t>
        </is>
      </c>
      <c r="D6435" s="9" t="inlineStr">
        <is>
          <t>Long</t>
        </is>
      </c>
      <c r="E6435" s="10" t="n">
        <v>46072.73263888889</v>
      </c>
      <c r="F6435" s="10" t="n">
        <v>46072.76041666666</v>
      </c>
      <c r="G6435" s="11" t="n">
        <v>-21.69</v>
      </c>
      <c r="H6435" s="11">
        <f>H6434+G6435</f>
        <v/>
      </c>
    </row>
    <row r="6436">
      <c r="A6436" s="9" t="n">
        <v>6432</v>
      </c>
      <c r="B6436" s="9" t="inlineStr">
        <is>
          <t>Vanguard_M15</t>
        </is>
      </c>
      <c r="C6436" s="9" t="inlineStr">
        <is>
          <t>Trendline breakout (fractal swing line) + VWAP/S-R distance gate - M15 chart</t>
        </is>
      </c>
      <c r="D6436" s="9" t="inlineStr">
        <is>
          <t>Long</t>
        </is>
      </c>
      <c r="E6436" s="10" t="n">
        <v>46072.70833333334</v>
      </c>
      <c r="F6436" s="10" t="n">
        <v>46072.80208333334</v>
      </c>
      <c r="G6436" s="11" t="n">
        <v>-11.85</v>
      </c>
      <c r="H6436" s="11">
        <f>H6435+G6436</f>
        <v/>
      </c>
    </row>
    <row r="6437">
      <c r="A6437" s="9" t="n">
        <v>6433</v>
      </c>
      <c r="B6437" s="9" t="inlineStr">
        <is>
          <t>Vanguard_M5</t>
        </is>
      </c>
      <c r="C6437" s="9" t="inlineStr">
        <is>
          <t>Trendline breakout (fractal swing line) + VWAP/S-R distance gate</t>
        </is>
      </c>
      <c r="D6437" s="9" t="inlineStr">
        <is>
          <t>Long</t>
        </is>
      </c>
      <c r="E6437" s="10" t="n">
        <v>46072.70138888889</v>
      </c>
      <c r="F6437" s="10" t="n">
        <v>46072.80902777778</v>
      </c>
      <c r="G6437" s="11" t="n">
        <v>-5.91</v>
      </c>
      <c r="H6437" s="11">
        <f>H6436+G6437</f>
        <v/>
      </c>
    </row>
    <row r="6438">
      <c r="A6438" s="9" t="n">
        <v>6434</v>
      </c>
      <c r="B6438" s="9" t="inlineStr">
        <is>
          <t>Meridian</t>
        </is>
      </c>
      <c r="C6438" s="9" t="inlineStr">
        <is>
          <t>21/50 MA cross, 250-period confirm filter, VWAP</t>
        </is>
      </c>
      <c r="D6438" s="9" t="inlineStr">
        <is>
          <t>Long</t>
        </is>
      </c>
      <c r="E6438" s="10" t="n">
        <v>46072.71180555555</v>
      </c>
      <c r="F6438" s="10" t="n">
        <v>46072.82638888889</v>
      </c>
      <c r="G6438" s="11" t="n">
        <v>-12.97</v>
      </c>
      <c r="H6438" s="11">
        <f>H6437+G6438</f>
        <v/>
      </c>
    </row>
    <row r="6439">
      <c r="A6439" s="9" t="n">
        <v>6435</v>
      </c>
      <c r="B6439" s="9" t="inlineStr">
        <is>
          <t>Aurelius_M15</t>
        </is>
      </c>
      <c r="C6439" s="9" t="inlineStr">
        <is>
          <t>MA alignment (EMA21&gt;EMA50&gt;SMA250&gt;SMMA500 vs EMA2400 trend filter) - M15 chart</t>
        </is>
      </c>
      <c r="D6439" s="9" t="inlineStr">
        <is>
          <t>Long</t>
        </is>
      </c>
      <c r="E6439" s="10" t="n">
        <v>46072.78125</v>
      </c>
      <c r="F6439" s="10" t="n">
        <v>46072.90625</v>
      </c>
      <c r="G6439" s="11" t="n">
        <v>-21.53</v>
      </c>
      <c r="H6439" s="11">
        <f>H6438+G6439</f>
        <v/>
      </c>
    </row>
    <row r="6440">
      <c r="A6440" s="9" t="n">
        <v>6436</v>
      </c>
      <c r="B6440" s="9" t="inlineStr">
        <is>
          <t>Ratchet</t>
        </is>
      </c>
      <c r="C6440" s="9" t="inlineStr">
        <is>
          <t>Stochastic scalp with give-back trail exit</t>
        </is>
      </c>
      <c r="D6440" s="9" t="inlineStr">
        <is>
          <t>Long</t>
        </is>
      </c>
      <c r="E6440" s="10" t="n">
        <v>46072.95833333334</v>
      </c>
      <c r="F6440" s="10" t="n">
        <v>46072.97222222222</v>
      </c>
      <c r="G6440" s="11" t="n">
        <v>-5.33</v>
      </c>
      <c r="H6440" s="11">
        <f>H6439+G6440</f>
        <v/>
      </c>
    </row>
    <row r="6441">
      <c r="A6441" s="9" t="n">
        <v>6437</v>
      </c>
      <c r="B6441" s="9" t="inlineStr">
        <is>
          <t>Ratchet</t>
        </is>
      </c>
      <c r="C6441" s="9" t="inlineStr">
        <is>
          <t>Stochastic scalp with give-back trail exit</t>
        </is>
      </c>
      <c r="D6441" s="9" t="inlineStr">
        <is>
          <t>Long</t>
        </is>
      </c>
      <c r="E6441" s="10" t="n">
        <v>46073.05555555555</v>
      </c>
      <c r="F6441" s="10" t="n">
        <v>46073.07638888889</v>
      </c>
      <c r="G6441" s="11" t="n">
        <v>-8.99</v>
      </c>
      <c r="H6441" s="11">
        <f>H6440+G6441</f>
        <v/>
      </c>
    </row>
    <row r="6442">
      <c r="A6442" s="9" t="n">
        <v>6438</v>
      </c>
      <c r="B6442" s="9" t="inlineStr">
        <is>
          <t>Meridian</t>
        </is>
      </c>
      <c r="C6442" s="9" t="inlineStr">
        <is>
          <t>21/50 MA cross, 250-period confirm filter, VWAP</t>
        </is>
      </c>
      <c r="D6442" s="9" t="inlineStr">
        <is>
          <t>Long</t>
        </is>
      </c>
      <c r="E6442" s="10" t="n">
        <v>46072.94791666666</v>
      </c>
      <c r="F6442" s="10" t="n">
        <v>46073.07986111111</v>
      </c>
      <c r="G6442" s="11" t="n">
        <v>-9.890000000000001</v>
      </c>
      <c r="H6442" s="11">
        <f>H6441+G6442</f>
        <v/>
      </c>
    </row>
    <row r="6443">
      <c r="A6443" s="9" t="n">
        <v>6439</v>
      </c>
      <c r="B6443" s="9" t="inlineStr">
        <is>
          <t>Meridian</t>
        </is>
      </c>
      <c r="C6443" s="9" t="inlineStr">
        <is>
          <t>21/50 MA cross, 250-period confirm filter, VWAP</t>
        </is>
      </c>
      <c r="D6443" s="9" t="inlineStr">
        <is>
          <t>Short</t>
        </is>
      </c>
      <c r="E6443" s="10" t="n">
        <v>46073.10416666666</v>
      </c>
      <c r="F6443" s="10" t="n">
        <v>46073.12152777778</v>
      </c>
      <c r="G6443" s="11" t="n">
        <v>-10.25</v>
      </c>
      <c r="H6443" s="11">
        <f>H6442+G6443</f>
        <v/>
      </c>
    </row>
    <row r="6444">
      <c r="A6444" s="9" t="n">
        <v>6440</v>
      </c>
      <c r="B6444" s="9" t="inlineStr">
        <is>
          <t>Vanguard_M15</t>
        </is>
      </c>
      <c r="C6444" s="9" t="inlineStr">
        <is>
          <t>Trendline breakout (fractal swing line) + VWAP/S-R distance gate - M15 chart</t>
        </is>
      </c>
      <c r="D6444" s="9" t="inlineStr">
        <is>
          <t>Long</t>
        </is>
      </c>
      <c r="E6444" s="10" t="n">
        <v>46072.9375</v>
      </c>
      <c r="F6444" s="10" t="n">
        <v>46073.22916666666</v>
      </c>
      <c r="G6444" s="11" t="n">
        <v>-8.56</v>
      </c>
      <c r="H6444" s="11">
        <f>H6443+G6444</f>
        <v/>
      </c>
    </row>
    <row r="6445">
      <c r="A6445" s="9" t="n">
        <v>6441</v>
      </c>
      <c r="B6445" s="9" t="inlineStr">
        <is>
          <t>Vanguard_M5</t>
        </is>
      </c>
      <c r="C6445" s="9" t="inlineStr">
        <is>
          <t>Trendline breakout (fractal swing line) + VWAP/S-R distance gate</t>
        </is>
      </c>
      <c r="D6445" s="9" t="inlineStr">
        <is>
          <t>Long</t>
        </is>
      </c>
      <c r="E6445" s="10" t="n">
        <v>46072.81944444445</v>
      </c>
      <c r="F6445" s="10" t="n">
        <v>46073.23611111111</v>
      </c>
      <c r="G6445" s="11" t="n">
        <v>-8.32</v>
      </c>
      <c r="H6445" s="11">
        <f>H6444+G6445</f>
        <v/>
      </c>
    </row>
    <row r="6446">
      <c r="A6446" s="9" t="n">
        <v>6442</v>
      </c>
      <c r="B6446" s="9" t="inlineStr">
        <is>
          <t>Meridian</t>
        </is>
      </c>
      <c r="C6446" s="9" t="inlineStr">
        <is>
          <t>21/50 MA cross, 250-period confirm filter, VWAP</t>
        </is>
      </c>
      <c r="D6446" s="9" t="inlineStr">
        <is>
          <t>Short</t>
        </is>
      </c>
      <c r="E6446" s="10" t="n">
        <v>46073.21527777778</v>
      </c>
      <c r="F6446" s="10" t="n">
        <v>46073.29513888889</v>
      </c>
      <c r="G6446" s="11" t="n">
        <v>-12.03</v>
      </c>
      <c r="H6446" s="11">
        <f>H6445+G6446</f>
        <v/>
      </c>
    </row>
    <row r="6447">
      <c r="A6447" s="9" t="n">
        <v>6443</v>
      </c>
      <c r="B6447" s="9" t="inlineStr">
        <is>
          <t>Ratchet</t>
        </is>
      </c>
      <c r="C6447" s="9" t="inlineStr">
        <is>
          <t>Stochastic scalp with give-back trail exit</t>
        </is>
      </c>
      <c r="D6447" s="9" t="inlineStr">
        <is>
          <t>Long</t>
        </is>
      </c>
      <c r="E6447" s="10" t="n">
        <v>46073.3125</v>
      </c>
      <c r="F6447" s="10" t="n">
        <v>46073.31944444445</v>
      </c>
      <c r="G6447" s="11" t="n">
        <v>0</v>
      </c>
      <c r="H6447" s="11">
        <f>H6446+G6447</f>
        <v/>
      </c>
    </row>
    <row r="6448">
      <c r="A6448" s="9" t="n">
        <v>6444</v>
      </c>
      <c r="B6448" s="9" t="inlineStr">
        <is>
          <t>Vanguard_M5</t>
        </is>
      </c>
      <c r="C6448" s="9" t="inlineStr">
        <is>
          <t>Trendline breakout (fractal swing line) + VWAP/S-R distance gate</t>
        </is>
      </c>
      <c r="D6448" s="9" t="inlineStr">
        <is>
          <t>Short</t>
        </is>
      </c>
      <c r="E6448" s="10" t="n">
        <v>46073.23958333334</v>
      </c>
      <c r="F6448" s="10" t="n">
        <v>46073.32986111111</v>
      </c>
      <c r="G6448" s="11" t="n">
        <v>-21.94</v>
      </c>
      <c r="H6448" s="11">
        <f>H6447+G6448</f>
        <v/>
      </c>
    </row>
    <row r="6449">
      <c r="A6449" s="9" t="n">
        <v>6445</v>
      </c>
      <c r="B6449" s="9" t="inlineStr">
        <is>
          <t>Vanguard_M15</t>
        </is>
      </c>
      <c r="C6449" s="9" t="inlineStr">
        <is>
          <t>Trendline breakout (fractal swing line) + VWAP/S-R distance gate - M15 chart</t>
        </is>
      </c>
      <c r="D6449" s="9" t="inlineStr">
        <is>
          <t>Short</t>
        </is>
      </c>
      <c r="E6449" s="10" t="n">
        <v>46073.23958333334</v>
      </c>
      <c r="F6449" s="10" t="n">
        <v>46073.33333333334</v>
      </c>
      <c r="G6449" s="11" t="n">
        <v>-28.7</v>
      </c>
      <c r="H6449" s="11">
        <f>H6448+G6449</f>
        <v/>
      </c>
    </row>
    <row r="6450">
      <c r="A6450" s="9" t="n">
        <v>6446</v>
      </c>
      <c r="B6450" s="9" t="inlineStr">
        <is>
          <t>Ratchet</t>
        </is>
      </c>
      <c r="C6450" s="9" t="inlineStr">
        <is>
          <t>Stochastic scalp with give-back trail exit</t>
        </is>
      </c>
      <c r="D6450" s="9" t="inlineStr">
        <is>
          <t>Long</t>
        </is>
      </c>
      <c r="E6450" s="10" t="n">
        <v>46073.37847222222</v>
      </c>
      <c r="F6450" s="10" t="n">
        <v>46073.38194444445</v>
      </c>
      <c r="G6450" s="11" t="n">
        <v>1.23</v>
      </c>
      <c r="H6450" s="11">
        <f>H6449+G6450</f>
        <v/>
      </c>
    </row>
    <row r="6451">
      <c r="A6451" s="9" t="n">
        <v>6447</v>
      </c>
      <c r="B6451" s="9" t="inlineStr">
        <is>
          <t>Aurelius_M5</t>
        </is>
      </c>
      <c r="C6451" s="9" t="inlineStr">
        <is>
          <t>MA alignment (EMA21&gt;EMA50&gt;SMA250&gt;SMMA500 vs EMA2400 trend filter)</t>
        </is>
      </c>
      <c r="D6451" s="9" t="inlineStr">
        <is>
          <t>Long</t>
        </is>
      </c>
      <c r="E6451" s="10" t="n">
        <v>46073.32638888889</v>
      </c>
      <c r="F6451" s="10" t="n">
        <v>46073.60069444445</v>
      </c>
      <c r="G6451" s="11" t="n">
        <v>8.59</v>
      </c>
      <c r="H6451" s="11">
        <f>H6450+G6451</f>
        <v/>
      </c>
    </row>
    <row r="6452">
      <c r="A6452" s="9" t="n">
        <v>6448</v>
      </c>
      <c r="B6452" s="9" t="inlineStr">
        <is>
          <t>Ratchet</t>
        </is>
      </c>
      <c r="C6452" s="9" t="inlineStr">
        <is>
          <t>Stochastic scalp with give-back trail exit</t>
        </is>
      </c>
      <c r="D6452" s="9" t="inlineStr">
        <is>
          <t>Long</t>
        </is>
      </c>
      <c r="E6452" s="10" t="n">
        <v>46073.64236111111</v>
      </c>
      <c r="F6452" s="10" t="n">
        <v>46073.64583333334</v>
      </c>
      <c r="G6452" s="11" t="n">
        <v>-9.050000000000001</v>
      </c>
      <c r="H6452" s="11">
        <f>H6451+G6452</f>
        <v/>
      </c>
    </row>
    <row r="6453">
      <c r="A6453" s="9" t="n">
        <v>6449</v>
      </c>
      <c r="B6453" s="9" t="inlineStr">
        <is>
          <t>Meridian</t>
        </is>
      </c>
      <c r="C6453" s="9" t="inlineStr">
        <is>
          <t>21/50 MA cross, 250-period confirm filter, VWAP</t>
        </is>
      </c>
      <c r="D6453" s="9" t="inlineStr">
        <is>
          <t>Long</t>
        </is>
      </c>
      <c r="E6453" s="10" t="n">
        <v>46073.63888888889</v>
      </c>
      <c r="F6453" s="10" t="n">
        <v>46073.70833333334</v>
      </c>
      <c r="G6453" s="11" t="n">
        <v>-12.61</v>
      </c>
      <c r="H6453" s="11">
        <f>H6452+G6453</f>
        <v/>
      </c>
    </row>
    <row r="6454">
      <c r="A6454" s="9" t="n">
        <v>6450</v>
      </c>
      <c r="B6454" s="9" t="inlineStr">
        <is>
          <t>Ratchet</t>
        </is>
      </c>
      <c r="C6454" s="9" t="inlineStr">
        <is>
          <t>Stochastic scalp with give-back trail exit</t>
        </is>
      </c>
      <c r="D6454" s="9" t="inlineStr">
        <is>
          <t>Long</t>
        </is>
      </c>
      <c r="E6454" s="10" t="n">
        <v>46073.65625</v>
      </c>
      <c r="F6454" s="10" t="n">
        <v>46073.70833333334</v>
      </c>
      <c r="G6454" s="11" t="n">
        <v>8.33</v>
      </c>
      <c r="H6454" s="11">
        <f>H6453+G6454</f>
        <v/>
      </c>
    </row>
    <row r="6455">
      <c r="A6455" s="9" t="n">
        <v>6451</v>
      </c>
      <c r="B6455" s="9" t="inlineStr">
        <is>
          <t>Aurelius_M5</t>
        </is>
      </c>
      <c r="C6455" s="9" t="inlineStr">
        <is>
          <t>MA alignment (EMA21&gt;EMA50&gt;SMA250&gt;SMMA500 vs EMA2400 trend filter)</t>
        </is>
      </c>
      <c r="D6455" s="9" t="inlineStr">
        <is>
          <t>Long</t>
        </is>
      </c>
      <c r="E6455" s="10" t="n">
        <v>46073.67013888889</v>
      </c>
      <c r="F6455" s="10" t="n">
        <v>46073.70833333334</v>
      </c>
      <c r="G6455" s="11" t="n">
        <v>-15.53</v>
      </c>
      <c r="H6455" s="11">
        <f>H6454+G6455</f>
        <v/>
      </c>
    </row>
    <row r="6456">
      <c r="A6456" s="9" t="n">
        <v>6452</v>
      </c>
      <c r="B6456" s="9" t="inlineStr">
        <is>
          <t>Ratchet</t>
        </is>
      </c>
      <c r="C6456" s="9" t="inlineStr">
        <is>
          <t>Stochastic scalp with give-back trail exit</t>
        </is>
      </c>
      <c r="D6456" s="9" t="inlineStr">
        <is>
          <t>Long</t>
        </is>
      </c>
      <c r="E6456" s="10" t="n">
        <v>46073.76736111111</v>
      </c>
      <c r="F6456" s="10" t="n">
        <v>46073.80555555555</v>
      </c>
      <c r="G6456" s="11" t="n">
        <v>5.84</v>
      </c>
      <c r="H6456" s="11">
        <f>H6455+G6456</f>
        <v/>
      </c>
    </row>
    <row r="6457">
      <c r="A6457" s="9" t="n">
        <v>6453</v>
      </c>
      <c r="B6457" s="9" t="inlineStr">
        <is>
          <t>Ratchet</t>
        </is>
      </c>
      <c r="C6457" s="9" t="inlineStr">
        <is>
          <t>Stochastic scalp with give-back trail exit</t>
        </is>
      </c>
      <c r="D6457" s="9" t="inlineStr">
        <is>
          <t>Long</t>
        </is>
      </c>
      <c r="E6457" s="10" t="n">
        <v>46073.81597222222</v>
      </c>
      <c r="F6457" s="10" t="n">
        <v>46073.83680555555</v>
      </c>
      <c r="G6457" s="11" t="n">
        <v>3.12</v>
      </c>
      <c r="H6457" s="11">
        <f>H6456+G6457</f>
        <v/>
      </c>
    </row>
    <row r="6458">
      <c r="A6458" s="9" t="n">
        <v>6454</v>
      </c>
      <c r="B6458" s="9" t="inlineStr">
        <is>
          <t>Aurelius_M5</t>
        </is>
      </c>
      <c r="C6458" s="9" t="inlineStr">
        <is>
          <t>MA alignment (EMA21&gt;EMA50&gt;SMA250&gt;SMMA500 vs EMA2400 trend filter)</t>
        </is>
      </c>
      <c r="D6458" s="9" t="inlineStr">
        <is>
          <t>Long</t>
        </is>
      </c>
      <c r="E6458" s="10" t="n">
        <v>46073.76041666666</v>
      </c>
      <c r="F6458" s="10" t="n">
        <v>46073.92013888889</v>
      </c>
      <c r="G6458" s="11" t="n">
        <v>23.42</v>
      </c>
      <c r="H6458" s="11">
        <f>H6457+G6458</f>
        <v/>
      </c>
    </row>
    <row r="6459">
      <c r="A6459" s="9" t="n">
        <v>6455</v>
      </c>
      <c r="B6459" s="9" t="inlineStr">
        <is>
          <t>Aurelius_M15</t>
        </is>
      </c>
      <c r="C6459" s="9" t="inlineStr">
        <is>
          <t>MA alignment (EMA21&gt;EMA50&gt;SMA250&gt;SMMA500 vs EMA2400 trend filter) - M15 chart</t>
        </is>
      </c>
      <c r="D6459" s="9" t="inlineStr">
        <is>
          <t>Long</t>
        </is>
      </c>
      <c r="E6459" s="10" t="n">
        <v>46073.14583333334</v>
      </c>
      <c r="F6459" s="10" t="n">
        <v>46073.92708333334</v>
      </c>
      <c r="G6459" s="11" t="n">
        <v>79.89</v>
      </c>
      <c r="H6459" s="11">
        <f>H6458+G6459</f>
        <v/>
      </c>
    </row>
    <row r="6460">
      <c r="A6460" s="9" t="n">
        <v>6456</v>
      </c>
      <c r="B6460" s="9" t="inlineStr">
        <is>
          <t>Ratchet</t>
        </is>
      </c>
      <c r="C6460" s="9" t="inlineStr">
        <is>
          <t>Stochastic scalp with give-back trail exit</t>
        </is>
      </c>
      <c r="D6460" s="9" t="inlineStr">
        <is>
          <t>Long</t>
        </is>
      </c>
      <c r="E6460" s="10" t="n">
        <v>46076.23958333334</v>
      </c>
      <c r="F6460" s="10" t="n">
        <v>46076.25347222222</v>
      </c>
      <c r="G6460" s="11" t="n">
        <v>-11.21</v>
      </c>
      <c r="H6460" s="11">
        <f>H6459+G6460</f>
        <v/>
      </c>
    </row>
    <row r="6461">
      <c r="A6461" s="9" t="n">
        <v>6457</v>
      </c>
      <c r="B6461" s="9" t="inlineStr">
        <is>
          <t>Ratchet</t>
        </is>
      </c>
      <c r="C6461" s="9" t="inlineStr">
        <is>
          <t>Stochastic scalp with give-back trail exit</t>
        </is>
      </c>
      <c r="D6461" s="9" t="inlineStr">
        <is>
          <t>Long</t>
        </is>
      </c>
      <c r="E6461" s="10" t="n">
        <v>46076.51736111111</v>
      </c>
      <c r="F6461" s="10" t="n">
        <v>46076.52083333334</v>
      </c>
      <c r="G6461" s="11" t="n">
        <v>0.66</v>
      </c>
      <c r="H6461" s="11">
        <f>H6460+G6461</f>
        <v/>
      </c>
    </row>
    <row r="6462">
      <c r="A6462" s="9" t="n">
        <v>6458</v>
      </c>
      <c r="B6462" s="9" t="inlineStr">
        <is>
          <t>Ratchet</t>
        </is>
      </c>
      <c r="C6462" s="9" t="inlineStr">
        <is>
          <t>Stochastic scalp with give-back trail exit</t>
        </is>
      </c>
      <c r="D6462" s="9" t="inlineStr">
        <is>
          <t>Long</t>
        </is>
      </c>
      <c r="E6462" s="10" t="n">
        <v>46076.75</v>
      </c>
      <c r="F6462" s="10" t="n">
        <v>46076.75</v>
      </c>
      <c r="G6462" s="11" t="n">
        <v>-17.81</v>
      </c>
      <c r="H6462" s="11">
        <f>H6461+G6462</f>
        <v/>
      </c>
    </row>
    <row r="6463">
      <c r="A6463" s="9" t="n">
        <v>6459</v>
      </c>
      <c r="B6463" s="9" t="inlineStr">
        <is>
          <t>Aurelius_M5</t>
        </is>
      </c>
      <c r="C6463" s="9" t="inlineStr">
        <is>
          <t>MA alignment (EMA21&gt;EMA50&gt;SMA250&gt;SMMA500 vs EMA2400 trend filter)</t>
        </is>
      </c>
      <c r="D6463" s="9" t="inlineStr">
        <is>
          <t>Long</t>
        </is>
      </c>
      <c r="E6463" s="10" t="n">
        <v>46076.52430555555</v>
      </c>
      <c r="F6463" s="10" t="n">
        <v>46077.04166666666</v>
      </c>
      <c r="G6463" s="11" t="n">
        <v>78.36</v>
      </c>
      <c r="H6463" s="11">
        <f>H6462+G6463</f>
        <v/>
      </c>
    </row>
    <row r="6464">
      <c r="A6464" s="9" t="n">
        <v>6460</v>
      </c>
      <c r="B6464" s="9" t="inlineStr">
        <is>
          <t>Ratchet</t>
        </is>
      </c>
      <c r="C6464" s="9" t="inlineStr">
        <is>
          <t>Stochastic scalp with give-back trail exit</t>
        </is>
      </c>
      <c r="D6464" s="9" t="inlineStr">
        <is>
          <t>Long</t>
        </is>
      </c>
      <c r="E6464" s="10" t="n">
        <v>46077.07291666666</v>
      </c>
      <c r="F6464" s="10" t="n">
        <v>46077.08333333334</v>
      </c>
      <c r="G6464" s="11" t="n">
        <v>-13.8</v>
      </c>
      <c r="H6464" s="11">
        <f>H6463+G6464</f>
        <v/>
      </c>
    </row>
    <row r="6465">
      <c r="A6465" s="9" t="n">
        <v>6461</v>
      </c>
      <c r="B6465" s="9" t="inlineStr">
        <is>
          <t>Meridian</t>
        </is>
      </c>
      <c r="C6465" s="9" t="inlineStr">
        <is>
          <t>21/50 MA cross, 250-period confirm filter, VWAP</t>
        </is>
      </c>
      <c r="D6465" s="9" t="inlineStr">
        <is>
          <t>Short</t>
        </is>
      </c>
      <c r="E6465" s="10" t="n">
        <v>46077.99652777778</v>
      </c>
      <c r="F6465" s="10" t="n">
        <v>46078.125</v>
      </c>
      <c r="G6465" s="11" t="n">
        <v>-13.08</v>
      </c>
      <c r="H6465" s="11">
        <f>H6464+G6465</f>
        <v/>
      </c>
    </row>
    <row r="6466">
      <c r="A6466" s="9" t="n">
        <v>6462</v>
      </c>
      <c r="B6466" s="9" t="inlineStr">
        <is>
          <t>Ratchet</t>
        </is>
      </c>
      <c r="C6466" s="9" t="inlineStr">
        <is>
          <t>Stochastic scalp with give-back trail exit</t>
        </is>
      </c>
      <c r="D6466" s="9" t="inlineStr">
        <is>
          <t>Long</t>
        </is>
      </c>
      <c r="E6466" s="10" t="n">
        <v>46078.43402777778</v>
      </c>
      <c r="F6466" s="10" t="n">
        <v>46078.44444444445</v>
      </c>
      <c r="G6466" s="11" t="n">
        <v>0</v>
      </c>
      <c r="H6466" s="11">
        <f>H6465+G6466</f>
        <v/>
      </c>
    </row>
    <row r="6467">
      <c r="A6467" s="9" t="n">
        <v>6463</v>
      </c>
      <c r="B6467" s="9" t="inlineStr">
        <is>
          <t>Meridian</t>
        </is>
      </c>
      <c r="C6467" s="9" t="inlineStr">
        <is>
          <t>21/50 MA cross, 250-period confirm filter, VWAP</t>
        </is>
      </c>
      <c r="D6467" s="9" t="inlineStr">
        <is>
          <t>Long</t>
        </is>
      </c>
      <c r="E6467" s="10" t="n">
        <v>46078.13541666666</v>
      </c>
      <c r="F6467" s="10" t="n">
        <v>46078.47916666666</v>
      </c>
      <c r="G6467" s="11" t="n">
        <v>12.44</v>
      </c>
      <c r="H6467" s="11">
        <f>H6466+G6467</f>
        <v/>
      </c>
    </row>
    <row r="6468">
      <c r="A6468" s="9" t="n">
        <v>6464</v>
      </c>
      <c r="B6468" s="9" t="inlineStr">
        <is>
          <t>Meridian</t>
        </is>
      </c>
      <c r="C6468" s="9" t="inlineStr">
        <is>
          <t>21/50 MA cross, 250-period confirm filter, VWAP</t>
        </is>
      </c>
      <c r="D6468" s="9" t="inlineStr">
        <is>
          <t>Long</t>
        </is>
      </c>
      <c r="E6468" s="10" t="n">
        <v>46078.48263888889</v>
      </c>
      <c r="F6468" s="10" t="n">
        <v>46078.51041666666</v>
      </c>
      <c r="G6468" s="11" t="n">
        <v>-11.36</v>
      </c>
      <c r="H6468" s="11">
        <f>H6467+G6468</f>
        <v/>
      </c>
    </row>
    <row r="6469">
      <c r="A6469" s="9" t="n">
        <v>6465</v>
      </c>
      <c r="B6469" s="9" t="inlineStr">
        <is>
          <t>MSG</t>
        </is>
      </c>
      <c r="C6469" s="9" t="inlineStr">
        <is>
          <t>Session-range breakout + Fibonacci retracement-zone entry</t>
        </is>
      </c>
      <c r="D6469" s="9" t="inlineStr">
        <is>
          <t>Short</t>
        </is>
      </c>
      <c r="E6469" s="10" t="n">
        <v>46078.58055555556</v>
      </c>
      <c r="F6469" s="10" t="n">
        <v>46078.64097222222</v>
      </c>
      <c r="G6469" s="11" t="n">
        <v>-42.2</v>
      </c>
      <c r="H6469" s="11">
        <f>H6468+G6469</f>
        <v/>
      </c>
    </row>
    <row r="6470">
      <c r="A6470" s="9" t="n">
        <v>6466</v>
      </c>
      <c r="B6470" s="9" t="inlineStr">
        <is>
          <t>Ratchet</t>
        </is>
      </c>
      <c r="C6470" s="9" t="inlineStr">
        <is>
          <t>Stochastic scalp with give-back trail exit</t>
        </is>
      </c>
      <c r="D6470" s="9" t="inlineStr">
        <is>
          <t>Long</t>
        </is>
      </c>
      <c r="E6470" s="10" t="n">
        <v>46078.64930555555</v>
      </c>
      <c r="F6470" s="10" t="n">
        <v>46078.67361111111</v>
      </c>
      <c r="G6470" s="11" t="n">
        <v>0</v>
      </c>
      <c r="H6470" s="11">
        <f>H6469+G6470</f>
        <v/>
      </c>
    </row>
    <row r="6471">
      <c r="A6471" s="9" t="n">
        <v>6467</v>
      </c>
      <c r="B6471" s="9" t="inlineStr">
        <is>
          <t>Aurelius_M5</t>
        </is>
      </c>
      <c r="C6471" s="9" t="inlineStr">
        <is>
          <t>MA alignment (EMA21&gt;EMA50&gt;SMA250&gt;SMMA500 vs EMA2400 trend filter)</t>
        </is>
      </c>
      <c r="D6471" s="9" t="inlineStr">
        <is>
          <t>Long</t>
        </is>
      </c>
      <c r="E6471" s="10" t="n">
        <v>46078.64236111111</v>
      </c>
      <c r="F6471" s="10" t="n">
        <v>46078.68055555555</v>
      </c>
      <c r="G6471" s="11" t="n">
        <v>-11.5</v>
      </c>
      <c r="H6471" s="11">
        <f>H6470+G6471</f>
        <v/>
      </c>
    </row>
    <row r="6472">
      <c r="A6472" s="9" t="n">
        <v>6468</v>
      </c>
      <c r="B6472" s="9" t="inlineStr">
        <is>
          <t>Meridian</t>
        </is>
      </c>
      <c r="C6472" s="9" t="inlineStr">
        <is>
          <t>21/50 MA cross, 250-period confirm filter, VWAP</t>
        </is>
      </c>
      <c r="D6472" s="9" t="inlineStr">
        <is>
          <t>Long</t>
        </is>
      </c>
      <c r="E6472" s="10" t="n">
        <v>46078.63194444445</v>
      </c>
      <c r="F6472" s="10" t="n">
        <v>46078.68402777778</v>
      </c>
      <c r="G6472" s="11" t="n">
        <v>-11.7</v>
      </c>
      <c r="H6472" s="11">
        <f>H6471+G6472</f>
        <v/>
      </c>
    </row>
    <row r="6473">
      <c r="A6473" s="9" t="n">
        <v>6469</v>
      </c>
      <c r="B6473" s="9" t="inlineStr">
        <is>
          <t>Meridian</t>
        </is>
      </c>
      <c r="C6473" s="9" t="inlineStr">
        <is>
          <t>21/50 MA cross, 250-period confirm filter, VWAP</t>
        </is>
      </c>
      <c r="D6473" s="9" t="inlineStr">
        <is>
          <t>Short</t>
        </is>
      </c>
      <c r="E6473" s="10" t="n">
        <v>46078.69444444445</v>
      </c>
      <c r="F6473" s="10" t="n">
        <v>46078.69444444445</v>
      </c>
      <c r="G6473" s="11" t="n">
        <v>-15.21</v>
      </c>
      <c r="H6473" s="11">
        <f>H6472+G6473</f>
        <v/>
      </c>
    </row>
    <row r="6474">
      <c r="A6474" s="9" t="n">
        <v>6470</v>
      </c>
      <c r="B6474" s="9" t="inlineStr">
        <is>
          <t>Vanguard_M5</t>
        </is>
      </c>
      <c r="C6474" s="9" t="inlineStr">
        <is>
          <t>Trendline breakout (fractal swing line) + VWAP/S-R distance gate</t>
        </is>
      </c>
      <c r="D6474" s="9" t="inlineStr">
        <is>
          <t>Short</t>
        </is>
      </c>
      <c r="E6474" s="10" t="n">
        <v>46077.07986111111</v>
      </c>
      <c r="F6474" s="10" t="n">
        <v>46078.70833333334</v>
      </c>
      <c r="G6474" s="11" t="n">
        <v>35.84</v>
      </c>
      <c r="H6474" s="11">
        <f>H6473+G6474</f>
        <v/>
      </c>
    </row>
    <row r="6475">
      <c r="A6475" s="9" t="n">
        <v>6471</v>
      </c>
      <c r="B6475" s="9" t="inlineStr">
        <is>
          <t>Meridian</t>
        </is>
      </c>
      <c r="C6475" s="9" t="inlineStr">
        <is>
          <t>21/50 MA cross, 250-period confirm filter, VWAP</t>
        </is>
      </c>
      <c r="D6475" s="9" t="inlineStr">
        <is>
          <t>Long</t>
        </is>
      </c>
      <c r="E6475" s="10" t="n">
        <v>46078.70833333334</v>
      </c>
      <c r="F6475" s="10" t="n">
        <v>46078.72569444445</v>
      </c>
      <c r="G6475" s="11" t="n">
        <v>-17.34</v>
      </c>
      <c r="H6475" s="11">
        <f>H6474+G6475</f>
        <v/>
      </c>
    </row>
    <row r="6476">
      <c r="A6476" s="9" t="n">
        <v>6472</v>
      </c>
      <c r="B6476" s="9" t="inlineStr">
        <is>
          <t>Vanguard_M15</t>
        </is>
      </c>
      <c r="C6476" s="9" t="inlineStr">
        <is>
          <t>Trendline breakout (fractal swing line) + VWAP/S-R distance gate - M15 chart</t>
        </is>
      </c>
      <c r="D6476" s="9" t="inlineStr">
        <is>
          <t>Short</t>
        </is>
      </c>
      <c r="E6476" s="10" t="n">
        <v>46077.08333333334</v>
      </c>
      <c r="F6476" s="10" t="n">
        <v>46078.76041666666</v>
      </c>
      <c r="G6476" s="11" t="n">
        <v>32.52</v>
      </c>
      <c r="H6476" s="11">
        <f>H6475+G6476</f>
        <v/>
      </c>
    </row>
    <row r="6477">
      <c r="A6477" s="9" t="n">
        <v>6473</v>
      </c>
      <c r="B6477" s="9" t="inlineStr">
        <is>
          <t>Aurelius_M5</t>
        </is>
      </c>
      <c r="C6477" s="9" t="inlineStr">
        <is>
          <t>MA alignment (EMA21&gt;EMA50&gt;SMA250&gt;SMMA500 vs EMA2400 trend filter)</t>
        </is>
      </c>
      <c r="D6477" s="9" t="inlineStr">
        <is>
          <t>Long</t>
        </is>
      </c>
      <c r="E6477" s="10" t="n">
        <v>46078.76736111111</v>
      </c>
      <c r="F6477" s="10" t="n">
        <v>46078.92708333334</v>
      </c>
      <c r="G6477" s="11" t="n">
        <v>-18.02</v>
      </c>
      <c r="H6477" s="11">
        <f>H6476+G6477</f>
        <v/>
      </c>
    </row>
    <row r="6478">
      <c r="A6478" s="9" t="n">
        <v>6474</v>
      </c>
      <c r="B6478" s="9" t="inlineStr">
        <is>
          <t>Vanguard_M15</t>
        </is>
      </c>
      <c r="C6478" s="9" t="inlineStr">
        <is>
          <t>Trendline breakout (fractal swing line) + VWAP/S-R distance gate - M15 chart</t>
        </is>
      </c>
      <c r="D6478" s="9" t="inlineStr">
        <is>
          <t>Long</t>
        </is>
      </c>
      <c r="E6478" s="10" t="n">
        <v>46078.77083333334</v>
      </c>
      <c r="F6478" s="10" t="n">
        <v>46078.9375</v>
      </c>
      <c r="G6478" s="11" t="n">
        <v>-21.79</v>
      </c>
      <c r="H6478" s="11">
        <f>H6477+G6478</f>
        <v/>
      </c>
    </row>
    <row r="6479">
      <c r="A6479" s="9" t="n">
        <v>6475</v>
      </c>
      <c r="B6479" s="9" t="inlineStr">
        <is>
          <t>Vanguard_M5</t>
        </is>
      </c>
      <c r="C6479" s="9" t="inlineStr">
        <is>
          <t>Trendline breakout (fractal swing line) + VWAP/S-R distance gate</t>
        </is>
      </c>
      <c r="D6479" s="9" t="inlineStr">
        <is>
          <t>Long</t>
        </is>
      </c>
      <c r="E6479" s="10" t="n">
        <v>46078.71180555555</v>
      </c>
      <c r="F6479" s="10" t="n">
        <v>46078.94097222222</v>
      </c>
      <c r="G6479" s="11" t="n">
        <v>-15.32</v>
      </c>
      <c r="H6479" s="11">
        <f>H6478+G6479</f>
        <v/>
      </c>
    </row>
    <row r="6480">
      <c r="A6480" s="9" t="n">
        <v>6476</v>
      </c>
      <c r="B6480" s="9" t="inlineStr">
        <is>
          <t>Vanguard_M15</t>
        </is>
      </c>
      <c r="C6480" s="9" t="inlineStr">
        <is>
          <t>Trendline breakout (fractal swing line) + VWAP/S-R distance gate - M15 chart</t>
        </is>
      </c>
      <c r="D6480" s="9" t="inlineStr">
        <is>
          <t>Short</t>
        </is>
      </c>
      <c r="E6480" s="10" t="n">
        <v>46078.94791666666</v>
      </c>
      <c r="F6480" s="10" t="n">
        <v>46079.10416666666</v>
      </c>
      <c r="G6480" s="11" t="n">
        <v>-7.21</v>
      </c>
      <c r="H6480" s="11">
        <f>H6479+G6480</f>
        <v/>
      </c>
    </row>
    <row r="6481">
      <c r="A6481" s="9" t="n">
        <v>6477</v>
      </c>
      <c r="B6481" s="9" t="inlineStr">
        <is>
          <t>Vanguard_M5</t>
        </is>
      </c>
      <c r="C6481" s="9" t="inlineStr">
        <is>
          <t>Trendline breakout (fractal swing line) + VWAP/S-R distance gate</t>
        </is>
      </c>
      <c r="D6481" s="9" t="inlineStr">
        <is>
          <t>Short</t>
        </is>
      </c>
      <c r="E6481" s="10" t="n">
        <v>46078.94444444445</v>
      </c>
      <c r="F6481" s="10" t="n">
        <v>46079.11111111111</v>
      </c>
      <c r="G6481" s="11" t="n">
        <v>-5.13</v>
      </c>
      <c r="H6481" s="11">
        <f>H6480+G6481</f>
        <v/>
      </c>
    </row>
    <row r="6482">
      <c r="A6482" s="9" t="n">
        <v>6478</v>
      </c>
      <c r="B6482" s="9" t="inlineStr">
        <is>
          <t>Vanguard_M5</t>
        </is>
      </c>
      <c r="C6482" s="9" t="inlineStr">
        <is>
          <t>Trendline breakout (fractal swing line) + VWAP/S-R distance gate</t>
        </is>
      </c>
      <c r="D6482" s="9" t="inlineStr">
        <is>
          <t>Long</t>
        </is>
      </c>
      <c r="E6482" s="10" t="n">
        <v>46079.11458333334</v>
      </c>
      <c r="F6482" s="10" t="n">
        <v>46079.12847222222</v>
      </c>
      <c r="G6482" s="11" t="n">
        <v>-4.7</v>
      </c>
      <c r="H6482" s="11">
        <f>H6481+G6482</f>
        <v/>
      </c>
    </row>
    <row r="6483">
      <c r="A6483" s="9" t="n">
        <v>6479</v>
      </c>
      <c r="B6483" s="9" t="inlineStr">
        <is>
          <t>Ratchet</t>
        </is>
      </c>
      <c r="C6483" s="9" t="inlineStr">
        <is>
          <t>Stochastic scalp with give-back trail exit</t>
        </is>
      </c>
      <c r="D6483" s="9" t="inlineStr">
        <is>
          <t>Long</t>
        </is>
      </c>
      <c r="E6483" s="10" t="n">
        <v>46079.26736111111</v>
      </c>
      <c r="F6483" s="10" t="n">
        <v>46079.28125</v>
      </c>
      <c r="G6483" s="11" t="n">
        <v>0</v>
      </c>
      <c r="H6483" s="11">
        <f>H6482+G6483</f>
        <v/>
      </c>
    </row>
    <row r="6484">
      <c r="A6484" s="9" t="n">
        <v>6480</v>
      </c>
      <c r="B6484" s="9" t="inlineStr">
        <is>
          <t>MSG</t>
        </is>
      </c>
      <c r="C6484" s="9" t="inlineStr">
        <is>
          <t>Session-range breakout + Fibonacci retracement-zone entry</t>
        </is>
      </c>
      <c r="D6484" s="9" t="inlineStr">
        <is>
          <t>Short</t>
        </is>
      </c>
      <c r="E6484" s="10" t="n">
        <v>46079.60069444445</v>
      </c>
      <c r="F6484" s="10" t="n">
        <v>46079.6125</v>
      </c>
      <c r="G6484" s="11" t="n">
        <v>-30.52</v>
      </c>
      <c r="H6484" s="11">
        <f>H6483+G6484</f>
        <v/>
      </c>
    </row>
    <row r="6485">
      <c r="A6485" s="9" t="n">
        <v>6481</v>
      </c>
      <c r="B6485" s="9" t="inlineStr">
        <is>
          <t>Vanguard_M15</t>
        </is>
      </c>
      <c r="C6485" s="9" t="inlineStr">
        <is>
          <t>Trendline breakout (fractal swing line) + VWAP/S-R distance gate - M15 chart</t>
        </is>
      </c>
      <c r="D6485" s="9" t="inlineStr">
        <is>
          <t>Long</t>
        </is>
      </c>
      <c r="E6485" s="10" t="n">
        <v>46079.11458333334</v>
      </c>
      <c r="F6485" s="10" t="n">
        <v>46079.6875</v>
      </c>
      <c r="G6485" s="11" t="n">
        <v>-38.3</v>
      </c>
      <c r="H6485" s="11">
        <f>H6484+G6485</f>
        <v/>
      </c>
    </row>
    <row r="6486">
      <c r="A6486" s="9" t="n">
        <v>6482</v>
      </c>
      <c r="B6486" s="9" t="inlineStr">
        <is>
          <t>Vanguard_M5</t>
        </is>
      </c>
      <c r="C6486" s="9" t="inlineStr">
        <is>
          <t>Trendline breakout (fractal swing line) + VWAP/S-R distance gate</t>
        </is>
      </c>
      <c r="D6486" s="9" t="inlineStr">
        <is>
          <t>Long</t>
        </is>
      </c>
      <c r="E6486" s="10" t="n">
        <v>46079.13541666666</v>
      </c>
      <c r="F6486" s="10" t="n">
        <v>46079.6875</v>
      </c>
      <c r="G6486" s="11" t="n">
        <v>-32.21</v>
      </c>
      <c r="H6486" s="11">
        <f>H6485+G6486</f>
        <v/>
      </c>
    </row>
    <row r="6487">
      <c r="A6487" s="9" t="n">
        <v>6483</v>
      </c>
      <c r="B6487" s="9" t="inlineStr">
        <is>
          <t>Meridian</t>
        </is>
      </c>
      <c r="C6487" s="9" t="inlineStr">
        <is>
          <t>21/50 MA cross, 250-period confirm filter, VWAP</t>
        </is>
      </c>
      <c r="D6487" s="9" t="inlineStr">
        <is>
          <t>Short</t>
        </is>
      </c>
      <c r="E6487" s="10" t="n">
        <v>46079.39583333334</v>
      </c>
      <c r="F6487" s="10" t="n">
        <v>46079.76041666666</v>
      </c>
      <c r="G6487" s="11" t="n">
        <v>8.109999999999999</v>
      </c>
      <c r="H6487" s="11">
        <f>H6486+G6487</f>
        <v/>
      </c>
    </row>
    <row r="6488">
      <c r="A6488" s="9" t="n">
        <v>6484</v>
      </c>
      <c r="B6488" s="9" t="inlineStr">
        <is>
          <t>Meridian</t>
        </is>
      </c>
      <c r="C6488" s="9" t="inlineStr">
        <is>
          <t>21/50 MA cross, 250-period confirm filter, VWAP</t>
        </is>
      </c>
      <c r="D6488" s="9" t="inlineStr">
        <is>
          <t>Short</t>
        </is>
      </c>
      <c r="E6488" s="10" t="n">
        <v>46079.83680555555</v>
      </c>
      <c r="F6488" s="10" t="n">
        <v>46079.86458333334</v>
      </c>
      <c r="G6488" s="11" t="n">
        <v>-12.34</v>
      </c>
      <c r="H6488" s="11">
        <f>H6487+G6488</f>
        <v/>
      </c>
    </row>
    <row r="6489">
      <c r="A6489" s="9" t="n">
        <v>6485</v>
      </c>
      <c r="B6489" s="9" t="inlineStr">
        <is>
          <t>Ratchet</t>
        </is>
      </c>
      <c r="C6489" s="9" t="inlineStr">
        <is>
          <t>Stochastic scalp with give-back trail exit</t>
        </is>
      </c>
      <c r="D6489" s="9" t="inlineStr">
        <is>
          <t>Long</t>
        </is>
      </c>
      <c r="E6489" s="10" t="n">
        <v>46079.94097222222</v>
      </c>
      <c r="F6489" s="10" t="n">
        <v>46079.95138888889</v>
      </c>
      <c r="G6489" s="11" t="n">
        <v>1.63</v>
      </c>
      <c r="H6489" s="11">
        <f>H6488+G6489</f>
        <v/>
      </c>
    </row>
    <row r="6490">
      <c r="A6490" s="9" t="n">
        <v>6486</v>
      </c>
      <c r="B6490" s="9" t="inlineStr">
        <is>
          <t>Meridian</t>
        </is>
      </c>
      <c r="C6490" s="9" t="inlineStr">
        <is>
          <t>21/50 MA cross, 250-period confirm filter, VWAP</t>
        </is>
      </c>
      <c r="D6490" s="9" t="inlineStr">
        <is>
          <t>Long</t>
        </is>
      </c>
      <c r="E6490" s="10" t="n">
        <v>46080.10069444445</v>
      </c>
      <c r="F6490" s="10" t="n">
        <v>46080.10416666666</v>
      </c>
      <c r="G6490" s="11" t="n">
        <v>-12.17</v>
      </c>
      <c r="H6490" s="11">
        <f>H6489+G6490</f>
        <v/>
      </c>
    </row>
    <row r="6491">
      <c r="A6491" s="9" t="n">
        <v>6487</v>
      </c>
      <c r="B6491" s="9" t="inlineStr">
        <is>
          <t>Meridian</t>
        </is>
      </c>
      <c r="C6491" s="9" t="inlineStr">
        <is>
          <t>21/50 MA cross, 250-period confirm filter, VWAP</t>
        </is>
      </c>
      <c r="D6491" s="9" t="inlineStr">
        <is>
          <t>Long</t>
        </is>
      </c>
      <c r="E6491" s="10" t="n">
        <v>46080.17013888889</v>
      </c>
      <c r="F6491" s="10" t="n">
        <v>46080.19097222222</v>
      </c>
      <c r="G6491" s="11" t="n">
        <v>-14.03</v>
      </c>
      <c r="H6491" s="11">
        <f>H6490+G6491</f>
        <v/>
      </c>
    </row>
    <row r="6492">
      <c r="A6492" s="9" t="n">
        <v>6488</v>
      </c>
      <c r="B6492" s="9" t="inlineStr">
        <is>
          <t>Meridian</t>
        </is>
      </c>
      <c r="C6492" s="9" t="inlineStr">
        <is>
          <t>21/50 MA cross, 250-period confirm filter, VWAP</t>
        </is>
      </c>
      <c r="D6492" s="9" t="inlineStr">
        <is>
          <t>Short</t>
        </is>
      </c>
      <c r="E6492" s="10" t="n">
        <v>46080.20486111111</v>
      </c>
      <c r="F6492" s="10" t="n">
        <v>46080.23611111111</v>
      </c>
      <c r="G6492" s="11" t="n">
        <v>-8.890000000000001</v>
      </c>
      <c r="H6492" s="11">
        <f>H6491+G6492</f>
        <v/>
      </c>
    </row>
    <row r="6493">
      <c r="A6493" s="9" t="n">
        <v>6489</v>
      </c>
      <c r="B6493" s="9" t="inlineStr">
        <is>
          <t>Aurelius_M5</t>
        </is>
      </c>
      <c r="C6493" s="9" t="inlineStr">
        <is>
          <t>MA alignment (EMA21&gt;EMA50&gt;SMA250&gt;SMMA500 vs EMA2400 trend filter)</t>
        </is>
      </c>
      <c r="D6493" s="9" t="inlineStr">
        <is>
          <t>Long</t>
        </is>
      </c>
      <c r="E6493" s="10" t="n">
        <v>46080.32291666666</v>
      </c>
      <c r="F6493" s="10" t="n">
        <v>46080.375</v>
      </c>
      <c r="G6493" s="11" t="n">
        <v>-8.93</v>
      </c>
      <c r="H6493" s="11">
        <f>H6492+G6493</f>
        <v/>
      </c>
    </row>
    <row r="6494">
      <c r="A6494" s="9" t="n">
        <v>6490</v>
      </c>
      <c r="B6494" s="9" t="inlineStr">
        <is>
          <t>Vanguard_M5</t>
        </is>
      </c>
      <c r="C6494" s="9" t="inlineStr">
        <is>
          <t>Trendline breakout (fractal swing line) + VWAP/S-R distance gate</t>
        </is>
      </c>
      <c r="D6494" s="9" t="inlineStr">
        <is>
          <t>Long</t>
        </is>
      </c>
      <c r="E6494" s="10" t="n">
        <v>46080.34375</v>
      </c>
      <c r="F6494" s="10" t="n">
        <v>46080.38194444445</v>
      </c>
      <c r="G6494" s="11" t="n">
        <v>-15.5</v>
      </c>
      <c r="H6494" s="11">
        <f>H6493+G6494</f>
        <v/>
      </c>
    </row>
    <row r="6495">
      <c r="A6495" s="9" t="n">
        <v>6491</v>
      </c>
      <c r="B6495" s="9" t="inlineStr">
        <is>
          <t>Aurelius_M15</t>
        </is>
      </c>
      <c r="C6495" s="9" t="inlineStr">
        <is>
          <t>MA alignment (EMA21&gt;EMA50&gt;SMA250&gt;SMMA500 vs EMA2400 trend filter) - M15 chart</t>
        </is>
      </c>
      <c r="D6495" s="9" t="inlineStr">
        <is>
          <t>Long</t>
        </is>
      </c>
      <c r="E6495" s="10" t="n">
        <v>46080.17708333334</v>
      </c>
      <c r="F6495" s="10" t="n">
        <v>46080.45833333334</v>
      </c>
      <c r="G6495" s="11" t="n">
        <v>-16.06</v>
      </c>
      <c r="H6495" s="11">
        <f>H6494+G6495</f>
        <v/>
      </c>
    </row>
    <row r="6496">
      <c r="A6496" s="9" t="n">
        <v>6492</v>
      </c>
      <c r="B6496" s="9" t="inlineStr">
        <is>
          <t>MSG</t>
        </is>
      </c>
      <c r="C6496" s="9" t="inlineStr">
        <is>
          <t>Session-range breakout + Fibonacci retracement-zone entry</t>
        </is>
      </c>
      <c r="D6496" s="9" t="inlineStr">
        <is>
          <t>Short</t>
        </is>
      </c>
      <c r="E6496" s="10" t="n">
        <v>46080.51875</v>
      </c>
      <c r="F6496" s="10" t="n">
        <v>46080.525</v>
      </c>
      <c r="G6496" s="11" t="n">
        <v>22.61</v>
      </c>
      <c r="H6496" s="11">
        <f>H6495+G6496</f>
        <v/>
      </c>
    </row>
    <row r="6497">
      <c r="A6497" s="9" t="n">
        <v>6493</v>
      </c>
      <c r="B6497" s="9" t="inlineStr">
        <is>
          <t>Meridian</t>
        </is>
      </c>
      <c r="C6497" s="9" t="inlineStr">
        <is>
          <t>21/50 MA cross, 250-period confirm filter, VWAP</t>
        </is>
      </c>
      <c r="D6497" s="9" t="inlineStr">
        <is>
          <t>Long</t>
        </is>
      </c>
      <c r="E6497" s="10" t="n">
        <v>46080.59027777778</v>
      </c>
      <c r="F6497" s="10" t="n">
        <v>46080.91666666666</v>
      </c>
      <c r="G6497" s="11" t="n">
        <v>61.93</v>
      </c>
      <c r="H6497" s="11">
        <f>H6496+G6497</f>
        <v/>
      </c>
    </row>
    <row r="6498">
      <c r="A6498" s="9" t="n">
        <v>6494</v>
      </c>
      <c r="B6498" s="9" t="inlineStr">
        <is>
          <t>Aurelius_M15</t>
        </is>
      </c>
      <c r="C6498" s="9" t="inlineStr">
        <is>
          <t>MA alignment (EMA21&gt;EMA50&gt;SMA250&gt;SMMA500 vs EMA2400 trend filter) - M15 chart</t>
        </is>
      </c>
      <c r="D6498" s="9" t="inlineStr">
        <is>
          <t>Long</t>
        </is>
      </c>
      <c r="E6498" s="10" t="n">
        <v>46080.65625</v>
      </c>
      <c r="F6498" s="10" t="n">
        <v>46080.92708333334</v>
      </c>
      <c r="G6498" s="11" t="n">
        <v>34.99</v>
      </c>
      <c r="H6498" s="11">
        <f>H6497+G6498</f>
        <v/>
      </c>
    </row>
    <row r="6499">
      <c r="A6499" s="9" t="n">
        <v>6495</v>
      </c>
      <c r="B6499" s="9" t="inlineStr">
        <is>
          <t>Ratchet</t>
        </is>
      </c>
      <c r="C6499" s="9" t="inlineStr">
        <is>
          <t>Stochastic scalp with give-back trail exit</t>
        </is>
      </c>
      <c r="D6499" s="9" t="inlineStr">
        <is>
          <t>Long</t>
        </is>
      </c>
      <c r="E6499" s="10" t="n">
        <v>46083.10069444445</v>
      </c>
      <c r="F6499" s="10" t="n">
        <v>46083.11111111111</v>
      </c>
      <c r="G6499" s="11" t="n">
        <v>2.6</v>
      </c>
      <c r="H6499" s="11">
        <f>H6498+G6499</f>
        <v/>
      </c>
    </row>
    <row r="6500">
      <c r="A6500" s="9" t="n">
        <v>6496</v>
      </c>
      <c r="B6500" s="9" t="inlineStr">
        <is>
          <t>MSG</t>
        </is>
      </c>
      <c r="C6500" s="9" t="inlineStr">
        <is>
          <t>Session-range breakout + Fibonacci retracement-zone entry</t>
        </is>
      </c>
      <c r="D6500" s="9" t="inlineStr">
        <is>
          <t>Short</t>
        </is>
      </c>
      <c r="E6500" s="10" t="n">
        <v>46083.53125</v>
      </c>
      <c r="F6500" s="10" t="n">
        <v>46083.5375</v>
      </c>
      <c r="G6500" s="11" t="n">
        <v>39.05</v>
      </c>
      <c r="H6500" s="11">
        <f>H6499+G6500</f>
        <v/>
      </c>
    </row>
    <row r="6501">
      <c r="A6501" s="9" t="n">
        <v>6497</v>
      </c>
      <c r="B6501" s="9" t="inlineStr">
        <is>
          <t>Aurelius_M5</t>
        </is>
      </c>
      <c r="C6501" s="9" t="inlineStr">
        <is>
          <t>MA alignment (EMA21&gt;EMA50&gt;SMA250&gt;SMMA500 vs EMA2400 trend filter)</t>
        </is>
      </c>
      <c r="D6501" s="9" t="inlineStr">
        <is>
          <t>Long</t>
        </is>
      </c>
      <c r="E6501" s="10" t="n">
        <v>46083.17361111111</v>
      </c>
      <c r="F6501" s="10" t="n">
        <v>46083.57986111111</v>
      </c>
      <c r="G6501" s="11" t="n">
        <v>50.62</v>
      </c>
      <c r="H6501" s="11">
        <f>H6500+G6501</f>
        <v/>
      </c>
    </row>
    <row r="6502">
      <c r="A6502" s="9" t="n">
        <v>6498</v>
      </c>
      <c r="B6502" s="9" t="inlineStr">
        <is>
          <t>Ratchet</t>
        </is>
      </c>
      <c r="C6502" s="9" t="inlineStr">
        <is>
          <t>Stochastic scalp with give-back trail exit</t>
        </is>
      </c>
      <c r="D6502" s="9" t="inlineStr">
        <is>
          <t>Long</t>
        </is>
      </c>
      <c r="E6502" s="10" t="n">
        <v>46083.62847222222</v>
      </c>
      <c r="F6502" s="10" t="n">
        <v>46083.63194444445</v>
      </c>
      <c r="G6502" s="11" t="n">
        <v>-12.71</v>
      </c>
      <c r="H6502" s="11">
        <f>H6501+G6502</f>
        <v/>
      </c>
    </row>
    <row r="6503">
      <c r="A6503" s="9" t="n">
        <v>6499</v>
      </c>
      <c r="B6503" s="9" t="inlineStr">
        <is>
          <t>Meridian</t>
        </is>
      </c>
      <c r="C6503" s="9" t="inlineStr">
        <is>
          <t>21/50 MA cross, 250-period confirm filter, VWAP</t>
        </is>
      </c>
      <c r="D6503" s="9" t="inlineStr">
        <is>
          <t>Long</t>
        </is>
      </c>
      <c r="E6503" s="10" t="n">
        <v>46083.60763888889</v>
      </c>
      <c r="F6503" s="10" t="n">
        <v>46083.66666666666</v>
      </c>
      <c r="G6503" s="11" t="n">
        <v>-17.91</v>
      </c>
      <c r="H6503" s="11">
        <f>H6502+G6503</f>
        <v/>
      </c>
    </row>
    <row r="6504">
      <c r="A6504" s="9" t="n">
        <v>6500</v>
      </c>
      <c r="B6504" s="9" t="inlineStr">
        <is>
          <t>Ratchet</t>
        </is>
      </c>
      <c r="C6504" s="9" t="inlineStr">
        <is>
          <t>Stochastic scalp with give-back trail exit</t>
        </is>
      </c>
      <c r="D6504" s="9" t="inlineStr">
        <is>
          <t>Long</t>
        </is>
      </c>
      <c r="E6504" s="10" t="n">
        <v>46084.20486111111</v>
      </c>
      <c r="F6504" s="10" t="n">
        <v>46084.21527777778</v>
      </c>
      <c r="G6504" s="11" t="n">
        <v>1.8</v>
      </c>
      <c r="H6504" s="11">
        <f>H6503+G6504</f>
        <v/>
      </c>
    </row>
    <row r="6505">
      <c r="A6505" s="9" t="n">
        <v>6501</v>
      </c>
      <c r="B6505" s="9" t="inlineStr">
        <is>
          <t>Aurelius_M15</t>
        </is>
      </c>
      <c r="C6505" s="9" t="inlineStr">
        <is>
          <t>MA alignment (EMA21&gt;EMA50&gt;SMA250&gt;SMMA500 vs EMA2400 trend filter) - M15 chart</t>
        </is>
      </c>
      <c r="D6505" s="9" t="inlineStr">
        <is>
          <t>Long</t>
        </is>
      </c>
      <c r="E6505" s="10" t="n">
        <v>46084.17708333334</v>
      </c>
      <c r="F6505" s="10" t="n">
        <v>46084.32291666666</v>
      </c>
      <c r="G6505" s="11" t="n">
        <v>-41.97</v>
      </c>
      <c r="H6505" s="11">
        <f>H6504+G6505</f>
        <v/>
      </c>
    </row>
    <row r="6506">
      <c r="A6506" s="9" t="n">
        <v>6502</v>
      </c>
      <c r="B6506" s="9" t="inlineStr">
        <is>
          <t>Vanguard_M15</t>
        </is>
      </c>
      <c r="C6506" s="9" t="inlineStr">
        <is>
          <t>Trendline breakout (fractal swing line) + VWAP/S-R distance gate - M15 chart</t>
        </is>
      </c>
      <c r="D6506" s="9" t="inlineStr">
        <is>
          <t>Long</t>
        </is>
      </c>
      <c r="E6506" s="10" t="n">
        <v>46080.63541666666</v>
      </c>
      <c r="F6506" s="10" t="n">
        <v>46084.33333333334</v>
      </c>
      <c r="G6506" s="11" t="n">
        <v>76.61</v>
      </c>
      <c r="H6506" s="11">
        <f>H6505+G6506</f>
        <v/>
      </c>
    </row>
    <row r="6507">
      <c r="A6507" s="9" t="n">
        <v>6503</v>
      </c>
      <c r="B6507" s="9" t="inlineStr">
        <is>
          <t>Vanguard_M5</t>
        </is>
      </c>
      <c r="C6507" s="9" t="inlineStr">
        <is>
          <t>Trendline breakout (fractal swing line) + VWAP/S-R distance gate</t>
        </is>
      </c>
      <c r="D6507" s="9" t="inlineStr">
        <is>
          <t>Long</t>
        </is>
      </c>
      <c r="E6507" s="10" t="n">
        <v>46080.62847222222</v>
      </c>
      <c r="F6507" s="10" t="n">
        <v>46084.34027777778</v>
      </c>
      <c r="G6507" s="11" t="n">
        <v>94.36</v>
      </c>
      <c r="H6507" s="11">
        <f>H6506+G6507</f>
        <v/>
      </c>
    </row>
    <row r="6508">
      <c r="A6508" s="9" t="n">
        <v>6504</v>
      </c>
      <c r="B6508" s="9" t="inlineStr">
        <is>
          <t>Ratchet</t>
        </is>
      </c>
      <c r="C6508" s="9" t="inlineStr">
        <is>
          <t>Stochastic scalp with give-back trail exit</t>
        </is>
      </c>
      <c r="D6508" s="9" t="inlineStr">
        <is>
          <t>Short</t>
        </is>
      </c>
      <c r="E6508" s="10" t="n">
        <v>46084.64236111111</v>
      </c>
      <c r="F6508" s="10" t="n">
        <v>46084.66666666666</v>
      </c>
      <c r="G6508" s="11" t="n">
        <v>8.800000000000001</v>
      </c>
      <c r="H6508" s="11">
        <f>H6507+G6508</f>
        <v/>
      </c>
    </row>
    <row r="6509">
      <c r="A6509" s="9" t="n">
        <v>6505</v>
      </c>
      <c r="B6509" s="9" t="inlineStr">
        <is>
          <t>MSG</t>
        </is>
      </c>
      <c r="C6509" s="9" t="inlineStr">
        <is>
          <t>Session-range breakout + Fibonacci retracement-zone entry</t>
        </is>
      </c>
      <c r="D6509" s="9" t="inlineStr">
        <is>
          <t>Short</t>
        </is>
      </c>
      <c r="E6509" s="10" t="n">
        <v>46084.60277777778</v>
      </c>
      <c r="F6509" s="10" t="n">
        <v>46084.71944444445</v>
      </c>
      <c r="G6509" s="11" t="n">
        <v>433.4</v>
      </c>
      <c r="H6509" s="11">
        <f>H6508+G6509</f>
        <v/>
      </c>
    </row>
    <row r="6510">
      <c r="A6510" s="9" t="n">
        <v>6506</v>
      </c>
      <c r="B6510" s="9" t="inlineStr">
        <is>
          <t>Meridian</t>
        </is>
      </c>
      <c r="C6510" s="9" t="inlineStr">
        <is>
          <t>21/50 MA cross, 250-period confirm filter, VWAP</t>
        </is>
      </c>
      <c r="D6510" s="9" t="inlineStr">
        <is>
          <t>Short</t>
        </is>
      </c>
      <c r="E6510" s="10" t="n">
        <v>46084.32291666666</v>
      </c>
      <c r="F6510" s="10" t="n">
        <v>46084.875</v>
      </c>
      <c r="G6510" s="11" t="n">
        <v>209.24</v>
      </c>
      <c r="H6510" s="11">
        <f>H6509+G6510</f>
        <v/>
      </c>
    </row>
    <row r="6511">
      <c r="A6511" s="9" t="n">
        <v>6507</v>
      </c>
      <c r="B6511" s="9" t="inlineStr">
        <is>
          <t>Meridian</t>
        </is>
      </c>
      <c r="C6511" s="9" t="inlineStr">
        <is>
          <t>21/50 MA cross, 250-period confirm filter, VWAP</t>
        </is>
      </c>
      <c r="D6511" s="9" t="inlineStr">
        <is>
          <t>Short</t>
        </is>
      </c>
      <c r="E6511" s="10" t="n">
        <v>46084.95486111111</v>
      </c>
      <c r="F6511" s="10" t="n">
        <v>46085.05208333334</v>
      </c>
      <c r="G6511" s="11" t="n">
        <v>-32.32</v>
      </c>
      <c r="H6511" s="11">
        <f>H6510+G6511</f>
        <v/>
      </c>
    </row>
    <row r="6512">
      <c r="A6512" s="9" t="n">
        <v>6508</v>
      </c>
      <c r="B6512" s="9" t="inlineStr">
        <is>
          <t>Meridian</t>
        </is>
      </c>
      <c r="C6512" s="9" t="inlineStr">
        <is>
          <t>21/50 MA cross, 250-period confirm filter, VWAP</t>
        </is>
      </c>
      <c r="D6512" s="9" t="inlineStr">
        <is>
          <t>Short</t>
        </is>
      </c>
      <c r="E6512" s="10" t="n">
        <v>46085.34375</v>
      </c>
      <c r="F6512" s="10" t="n">
        <v>46085.375</v>
      </c>
      <c r="G6512" s="11" t="n">
        <v>-26.07</v>
      </c>
      <c r="H6512" s="11">
        <f>H6511+G6512</f>
        <v/>
      </c>
    </row>
    <row r="6513">
      <c r="A6513" s="9" t="n">
        <v>6509</v>
      </c>
      <c r="B6513" s="9" t="inlineStr">
        <is>
          <t>MSG</t>
        </is>
      </c>
      <c r="C6513" s="9" t="inlineStr">
        <is>
          <t>Session-range breakout + Fibonacci retracement-zone entry</t>
        </is>
      </c>
      <c r="D6513" s="9" t="inlineStr">
        <is>
          <t>Long</t>
        </is>
      </c>
      <c r="E6513" s="10" t="n">
        <v>46085.60277777778</v>
      </c>
      <c r="F6513" s="10" t="n">
        <v>46085.61180555556</v>
      </c>
      <c r="G6513" s="11" t="n">
        <v>-51.64</v>
      </c>
      <c r="H6513" s="11">
        <f>H6512+G6513</f>
        <v/>
      </c>
    </row>
    <row r="6514">
      <c r="A6514" s="9" t="n">
        <v>6510</v>
      </c>
      <c r="B6514" s="9" t="inlineStr">
        <is>
          <t>Meridian</t>
        </is>
      </c>
      <c r="C6514" s="9" t="inlineStr">
        <is>
          <t>21/50 MA cross, 250-period confirm filter, VWAP</t>
        </is>
      </c>
      <c r="D6514" s="9" t="inlineStr">
        <is>
          <t>Long</t>
        </is>
      </c>
      <c r="E6514" s="10" t="n">
        <v>46085.38541666666</v>
      </c>
      <c r="F6514" s="10" t="n">
        <v>46085.625</v>
      </c>
      <c r="G6514" s="11" t="n">
        <v>3.46</v>
      </c>
      <c r="H6514" s="11">
        <f>H6513+G6514</f>
        <v/>
      </c>
    </row>
    <row r="6515">
      <c r="A6515" s="9" t="n">
        <v>6511</v>
      </c>
      <c r="B6515" s="9" t="inlineStr">
        <is>
          <t>Meridian</t>
        </is>
      </c>
      <c r="C6515" s="9" t="inlineStr">
        <is>
          <t>21/50 MA cross, 250-period confirm filter, VWAP</t>
        </is>
      </c>
      <c r="D6515" s="9" t="inlineStr">
        <is>
          <t>Long</t>
        </is>
      </c>
      <c r="E6515" s="10" t="n">
        <v>46085.63194444445</v>
      </c>
      <c r="F6515" s="10" t="n">
        <v>46085.66666666666</v>
      </c>
      <c r="G6515" s="11" t="n">
        <v>-21.18</v>
      </c>
      <c r="H6515" s="11">
        <f>H6514+G6515</f>
        <v/>
      </c>
    </row>
    <row r="6516">
      <c r="A6516" s="9" t="n">
        <v>6512</v>
      </c>
      <c r="B6516" s="9" t="inlineStr">
        <is>
          <t>Ratchet</t>
        </is>
      </c>
      <c r="C6516" s="9" t="inlineStr">
        <is>
          <t>Stochastic scalp with give-back trail exit</t>
        </is>
      </c>
      <c r="D6516" s="9" t="inlineStr">
        <is>
          <t>Short</t>
        </is>
      </c>
      <c r="E6516" s="10" t="n">
        <v>46085.76041666666</v>
      </c>
      <c r="F6516" s="10" t="n">
        <v>46085.76736111111</v>
      </c>
      <c r="G6516" s="11" t="n">
        <v>2.18</v>
      </c>
      <c r="H6516" s="11">
        <f>H6515+G6516</f>
        <v/>
      </c>
    </row>
    <row r="6517">
      <c r="A6517" s="9" t="n">
        <v>6513</v>
      </c>
      <c r="B6517" s="9" t="inlineStr">
        <is>
          <t>Ratchet</t>
        </is>
      </c>
      <c r="C6517" s="9" t="inlineStr">
        <is>
          <t>Stochastic scalp with give-back trail exit</t>
        </is>
      </c>
      <c r="D6517" s="9" t="inlineStr">
        <is>
          <t>Short</t>
        </is>
      </c>
      <c r="E6517" s="10" t="n">
        <v>46085.89236111111</v>
      </c>
      <c r="F6517" s="10" t="n">
        <v>46085.94097222222</v>
      </c>
      <c r="G6517" s="11" t="n">
        <v>-14.75</v>
      </c>
      <c r="H6517" s="11">
        <f>H6516+G6517</f>
        <v/>
      </c>
    </row>
    <row r="6518">
      <c r="A6518" s="9" t="n">
        <v>6514</v>
      </c>
      <c r="B6518" s="9" t="inlineStr">
        <is>
          <t>Vanguard_M15</t>
        </is>
      </c>
      <c r="C6518" s="9" t="inlineStr">
        <is>
          <t>Trendline breakout (fractal swing line) + VWAP/S-R distance gate - M15 chart</t>
        </is>
      </c>
      <c r="D6518" s="9" t="inlineStr">
        <is>
          <t>Short</t>
        </is>
      </c>
      <c r="E6518" s="10" t="n">
        <v>46084.34375</v>
      </c>
      <c r="F6518" s="10" t="n">
        <v>46086.05208333334</v>
      </c>
      <c r="G6518" s="11" t="n">
        <v>135.01</v>
      </c>
      <c r="H6518" s="11">
        <f>H6517+G6518</f>
        <v/>
      </c>
    </row>
    <row r="6519">
      <c r="A6519" s="9" t="n">
        <v>6515</v>
      </c>
      <c r="B6519" s="9" t="inlineStr">
        <is>
          <t>Vanguard_M5</t>
        </is>
      </c>
      <c r="C6519" s="9" t="inlineStr">
        <is>
          <t>Trendline breakout (fractal swing line) + VWAP/S-R distance gate</t>
        </is>
      </c>
      <c r="D6519" s="9" t="inlineStr">
        <is>
          <t>Short</t>
        </is>
      </c>
      <c r="E6519" s="10" t="n">
        <v>46084.34375</v>
      </c>
      <c r="F6519" s="10" t="n">
        <v>46086.05208333334</v>
      </c>
      <c r="G6519" s="11" t="n">
        <v>135.82</v>
      </c>
      <c r="H6519" s="11">
        <f>H6518+G6519</f>
        <v/>
      </c>
    </row>
    <row r="6520">
      <c r="A6520" s="9" t="n">
        <v>6516</v>
      </c>
      <c r="B6520" s="9" t="inlineStr">
        <is>
          <t>Vanguard_M15</t>
        </is>
      </c>
      <c r="C6520" s="9" t="inlineStr">
        <is>
          <t>Trendline breakout (fractal swing line) + VWAP/S-R distance gate - M15 chart</t>
        </is>
      </c>
      <c r="D6520" s="9" t="inlineStr">
        <is>
          <t>Long</t>
        </is>
      </c>
      <c r="E6520" s="10" t="n">
        <v>46086.0625</v>
      </c>
      <c r="F6520" s="10" t="n">
        <v>46086.32291666666</v>
      </c>
      <c r="G6520" s="11" t="n">
        <v>-6.26</v>
      </c>
      <c r="H6520" s="11">
        <f>H6519+G6520</f>
        <v/>
      </c>
    </row>
    <row r="6521">
      <c r="A6521" s="9" t="n">
        <v>6517</v>
      </c>
      <c r="B6521" s="9" t="inlineStr">
        <is>
          <t>Vanguard_M5</t>
        </is>
      </c>
      <c r="C6521" s="9" t="inlineStr">
        <is>
          <t>Trendline breakout (fractal swing line) + VWAP/S-R distance gate</t>
        </is>
      </c>
      <c r="D6521" s="9" t="inlineStr">
        <is>
          <t>Long</t>
        </is>
      </c>
      <c r="E6521" s="10" t="n">
        <v>46086.05555555555</v>
      </c>
      <c r="F6521" s="10" t="n">
        <v>46086.32986111111</v>
      </c>
      <c r="G6521" s="11" t="n">
        <v>-5.5</v>
      </c>
      <c r="H6521" s="11">
        <f>H6520+G6521</f>
        <v/>
      </c>
    </row>
    <row r="6522">
      <c r="A6522" s="9" t="n">
        <v>6518</v>
      </c>
      <c r="B6522" s="9" t="inlineStr">
        <is>
          <t>Aurelius_M5</t>
        </is>
      </c>
      <c r="C6522" s="9" t="inlineStr">
        <is>
          <t>MA alignment (EMA21&gt;EMA50&gt;SMA250&gt;SMMA500 vs EMA2400 trend filter)</t>
        </is>
      </c>
      <c r="D6522" s="9" t="inlineStr">
        <is>
          <t>Short</t>
        </is>
      </c>
      <c r="E6522" s="10" t="n">
        <v>46086.43055555555</v>
      </c>
      <c r="F6522" s="10" t="n">
        <v>46086.44097222222</v>
      </c>
      <c r="G6522" s="11" t="n">
        <v>-17.92</v>
      </c>
      <c r="H6522" s="11">
        <f>H6521+G6522</f>
        <v/>
      </c>
    </row>
    <row r="6523">
      <c r="A6523" s="9" t="n">
        <v>6519</v>
      </c>
      <c r="B6523" s="9" t="inlineStr">
        <is>
          <t>Vanguard_M5</t>
        </is>
      </c>
      <c r="C6523" s="9" t="inlineStr">
        <is>
          <t>Trendline breakout (fractal swing line) + VWAP/S-R distance gate</t>
        </is>
      </c>
      <c r="D6523" s="9" t="inlineStr">
        <is>
          <t>Short</t>
        </is>
      </c>
      <c r="E6523" s="10" t="n">
        <v>46086.33333333334</v>
      </c>
      <c r="F6523" s="10" t="n">
        <v>46086.46180555555</v>
      </c>
      <c r="G6523" s="11" t="n">
        <v>-24.62</v>
      </c>
      <c r="H6523" s="11">
        <f>H6522+G6523</f>
        <v/>
      </c>
    </row>
    <row r="6524">
      <c r="A6524" s="9" t="n">
        <v>6520</v>
      </c>
      <c r="B6524" s="9" t="inlineStr">
        <is>
          <t>Meridian</t>
        </is>
      </c>
      <c r="C6524" s="9" t="inlineStr">
        <is>
          <t>21/50 MA cross, 250-period confirm filter, VWAP</t>
        </is>
      </c>
      <c r="D6524" s="9" t="inlineStr">
        <is>
          <t>Long</t>
        </is>
      </c>
      <c r="E6524" s="10" t="n">
        <v>46086.46875</v>
      </c>
      <c r="F6524" s="10" t="n">
        <v>46086.48263888889</v>
      </c>
      <c r="G6524" s="11" t="n">
        <v>-19.74</v>
      </c>
      <c r="H6524" s="11">
        <f>H6523+G6524</f>
        <v/>
      </c>
    </row>
    <row r="6525">
      <c r="A6525" s="9" t="n">
        <v>6521</v>
      </c>
      <c r="B6525" s="9" t="inlineStr">
        <is>
          <t>Ratchet</t>
        </is>
      </c>
      <c r="C6525" s="9" t="inlineStr">
        <is>
          <t>Stochastic scalp with give-back trail exit</t>
        </is>
      </c>
      <c r="D6525" s="9" t="inlineStr">
        <is>
          <t>Short</t>
        </is>
      </c>
      <c r="E6525" s="10" t="n">
        <v>46086.51388888889</v>
      </c>
      <c r="F6525" s="10" t="n">
        <v>46086.53472222222</v>
      </c>
      <c r="G6525" s="11" t="n">
        <v>-12.76</v>
      </c>
      <c r="H6525" s="11">
        <f>H6524+G6525</f>
        <v/>
      </c>
    </row>
    <row r="6526">
      <c r="A6526" s="9" t="n">
        <v>6522</v>
      </c>
      <c r="B6526" s="9" t="inlineStr">
        <is>
          <t>Meridian</t>
        </is>
      </c>
      <c r="C6526" s="9" t="inlineStr">
        <is>
          <t>21/50 MA cross, 250-period confirm filter, VWAP</t>
        </is>
      </c>
      <c r="D6526" s="9" t="inlineStr">
        <is>
          <t>Short</t>
        </is>
      </c>
      <c r="E6526" s="10" t="n">
        <v>46086.50347222222</v>
      </c>
      <c r="F6526" s="10" t="n">
        <v>46086.55902777778</v>
      </c>
      <c r="G6526" s="11" t="n">
        <v>-14.8</v>
      </c>
      <c r="H6526" s="11">
        <f>H6525+G6526</f>
        <v/>
      </c>
    </row>
    <row r="6527">
      <c r="A6527" s="9" t="n">
        <v>6523</v>
      </c>
      <c r="B6527" s="9" t="inlineStr">
        <is>
          <t>MSG</t>
        </is>
      </c>
      <c r="C6527" s="9" t="inlineStr">
        <is>
          <t>Session-range breakout + Fibonacci retracement-zone entry</t>
        </is>
      </c>
      <c r="D6527" s="9" t="inlineStr">
        <is>
          <t>Short</t>
        </is>
      </c>
      <c r="E6527" s="10" t="n">
        <v>46086.65347222222</v>
      </c>
      <c r="F6527" s="10" t="n">
        <v>46086.71388888889</v>
      </c>
      <c r="G6527" s="11" t="n">
        <v>169.3</v>
      </c>
      <c r="H6527" s="11">
        <f>H6526+G6527</f>
        <v/>
      </c>
    </row>
    <row r="6528">
      <c r="A6528" s="9" t="n">
        <v>6524</v>
      </c>
      <c r="B6528" s="9" t="inlineStr">
        <is>
          <t>Ratchet</t>
        </is>
      </c>
      <c r="C6528" s="9" t="inlineStr">
        <is>
          <t>Stochastic scalp with give-back trail exit</t>
        </is>
      </c>
      <c r="D6528" s="9" t="inlineStr">
        <is>
          <t>Short</t>
        </is>
      </c>
      <c r="E6528" s="10" t="n">
        <v>46086.71180555555</v>
      </c>
      <c r="F6528" s="10" t="n">
        <v>46086.71875</v>
      </c>
      <c r="G6528" s="11" t="n">
        <v>7.91</v>
      </c>
      <c r="H6528" s="11">
        <f>H6527+G6528</f>
        <v/>
      </c>
    </row>
    <row r="6529">
      <c r="A6529" s="9" t="n">
        <v>6525</v>
      </c>
      <c r="B6529" s="9" t="inlineStr">
        <is>
          <t>Ratchet</t>
        </is>
      </c>
      <c r="C6529" s="9" t="inlineStr">
        <is>
          <t>Stochastic scalp with give-back trail exit</t>
        </is>
      </c>
      <c r="D6529" s="9" t="inlineStr">
        <is>
          <t>Short</t>
        </is>
      </c>
      <c r="E6529" s="10" t="n">
        <v>46086.91319444445</v>
      </c>
      <c r="F6529" s="10" t="n">
        <v>46086.92361111111</v>
      </c>
      <c r="G6529" s="11" t="n">
        <v>-13.85</v>
      </c>
      <c r="H6529" s="11">
        <f>H6528+G6529</f>
        <v/>
      </c>
    </row>
    <row r="6530">
      <c r="A6530" s="9" t="n">
        <v>6526</v>
      </c>
      <c r="B6530" s="9" t="inlineStr">
        <is>
          <t>Aurelius_M5</t>
        </is>
      </c>
      <c r="C6530" s="9" t="inlineStr">
        <is>
          <t>MA alignment (EMA21&gt;EMA50&gt;SMA250&gt;SMMA500 vs EMA2400 trend filter)</t>
        </is>
      </c>
      <c r="D6530" s="9" t="inlineStr">
        <is>
          <t>Short</t>
        </is>
      </c>
      <c r="E6530" s="10" t="n">
        <v>46086.64930555555</v>
      </c>
      <c r="F6530" s="10" t="n">
        <v>46087.04166666666</v>
      </c>
      <c r="G6530" s="11" t="n">
        <v>48.05</v>
      </c>
      <c r="H6530" s="11">
        <f>H6529+G6530</f>
        <v/>
      </c>
    </row>
    <row r="6531">
      <c r="A6531" s="9" t="n">
        <v>6527</v>
      </c>
      <c r="B6531" s="9" t="inlineStr">
        <is>
          <t>Meridian</t>
        </is>
      </c>
      <c r="C6531" s="9" t="inlineStr">
        <is>
          <t>21/50 MA cross, 250-period confirm filter, VWAP</t>
        </is>
      </c>
      <c r="D6531" s="9" t="inlineStr">
        <is>
          <t>Short</t>
        </is>
      </c>
      <c r="E6531" s="10" t="n">
        <v>46086.63194444445</v>
      </c>
      <c r="F6531" s="10" t="n">
        <v>46087.04513888889</v>
      </c>
      <c r="G6531" s="11" t="n">
        <v>58.55</v>
      </c>
      <c r="H6531" s="11">
        <f>H6530+G6531</f>
        <v/>
      </c>
    </row>
    <row r="6532">
      <c r="A6532" s="9" t="n">
        <v>6528</v>
      </c>
      <c r="B6532" s="9" t="inlineStr">
        <is>
          <t>Aurelius_M15</t>
        </is>
      </c>
      <c r="C6532" s="9" t="inlineStr">
        <is>
          <t>MA alignment (EMA21&gt;EMA50&gt;SMA250&gt;SMMA500 vs EMA2400 trend filter) - M15 chart</t>
        </is>
      </c>
      <c r="D6532" s="9" t="inlineStr">
        <is>
          <t>Short</t>
        </is>
      </c>
      <c r="E6532" s="10" t="n">
        <v>46086.66666666666</v>
      </c>
      <c r="F6532" s="10" t="n">
        <v>46087.22916666666</v>
      </c>
      <c r="G6532" s="11" t="n">
        <v>-18.85</v>
      </c>
      <c r="H6532" s="11">
        <f>H6531+G6532</f>
        <v/>
      </c>
    </row>
    <row r="6533">
      <c r="A6533" s="9" t="n">
        <v>6529</v>
      </c>
      <c r="B6533" s="9" t="inlineStr">
        <is>
          <t>Ratchet</t>
        </is>
      </c>
      <c r="C6533" s="9" t="inlineStr">
        <is>
          <t>Stochastic scalp with give-back trail exit</t>
        </is>
      </c>
      <c r="D6533" s="9" t="inlineStr">
        <is>
          <t>Short</t>
        </is>
      </c>
      <c r="E6533" s="10" t="n">
        <v>46087.52430555555</v>
      </c>
      <c r="F6533" s="10" t="n">
        <v>46087.53125</v>
      </c>
      <c r="G6533" s="11" t="n">
        <v>-0</v>
      </c>
      <c r="H6533" s="11">
        <f>H6532+G6533</f>
        <v/>
      </c>
    </row>
    <row r="6534">
      <c r="A6534" s="9" t="n">
        <v>6530</v>
      </c>
      <c r="B6534" s="9" t="inlineStr">
        <is>
          <t>MSG</t>
        </is>
      </c>
      <c r="C6534" s="9" t="inlineStr">
        <is>
          <t>Session-range breakout + Fibonacci retracement-zone entry</t>
        </is>
      </c>
      <c r="D6534" s="9" t="inlineStr">
        <is>
          <t>Short</t>
        </is>
      </c>
      <c r="E6534" s="10" t="n">
        <v>46087.59722222222</v>
      </c>
      <c r="F6534" s="10" t="n">
        <v>46087.63888888889</v>
      </c>
      <c r="G6534" s="11" t="n">
        <v>55.28</v>
      </c>
      <c r="H6534" s="11">
        <f>H6533+G6534</f>
        <v/>
      </c>
    </row>
    <row r="6535">
      <c r="A6535" s="9" t="n">
        <v>6531</v>
      </c>
      <c r="B6535" s="9" t="inlineStr">
        <is>
          <t>Ratchet</t>
        </is>
      </c>
      <c r="C6535" s="9" t="inlineStr">
        <is>
          <t>Stochastic scalp with give-back trail exit</t>
        </is>
      </c>
      <c r="D6535" s="9" t="inlineStr">
        <is>
          <t>Short</t>
        </is>
      </c>
      <c r="E6535" s="10" t="n">
        <v>46087.625</v>
      </c>
      <c r="F6535" s="10" t="n">
        <v>46087.63888888889</v>
      </c>
      <c r="G6535" s="11" t="n">
        <v>3.88</v>
      </c>
      <c r="H6535" s="11">
        <f>H6534+G6535</f>
        <v/>
      </c>
    </row>
    <row r="6536">
      <c r="A6536" s="9" t="n">
        <v>6532</v>
      </c>
      <c r="B6536" s="9" t="inlineStr">
        <is>
          <t>Vanguard_M15</t>
        </is>
      </c>
      <c r="C6536" s="9" t="inlineStr">
        <is>
          <t>Trendline breakout (fractal swing line) + VWAP/S-R distance gate - M15 chart</t>
        </is>
      </c>
      <c r="D6536" s="9" t="inlineStr">
        <is>
          <t>Short</t>
        </is>
      </c>
      <c r="E6536" s="10" t="n">
        <v>46086.33333333334</v>
      </c>
      <c r="F6536" s="10" t="n">
        <v>46087.64583333334</v>
      </c>
      <c r="G6536" s="11" t="n">
        <v>26.32</v>
      </c>
      <c r="H6536" s="11">
        <f>H6535+G6536</f>
        <v/>
      </c>
    </row>
    <row r="6537">
      <c r="A6537" s="9" t="n">
        <v>6533</v>
      </c>
      <c r="B6537" s="9" t="inlineStr">
        <is>
          <t>Vanguard_M5</t>
        </is>
      </c>
      <c r="C6537" s="9" t="inlineStr">
        <is>
          <t>Trendline breakout (fractal swing line) + VWAP/S-R distance gate</t>
        </is>
      </c>
      <c r="D6537" s="9" t="inlineStr">
        <is>
          <t>Short</t>
        </is>
      </c>
      <c r="E6537" s="10" t="n">
        <v>46086.48263888889</v>
      </c>
      <c r="F6537" s="10" t="n">
        <v>46087.64583333334</v>
      </c>
      <c r="G6537" s="11" t="n">
        <v>41.71</v>
      </c>
      <c r="H6537" s="11">
        <f>H6536+G6537</f>
        <v/>
      </c>
    </row>
    <row r="6538">
      <c r="A6538" s="9" t="n">
        <v>6534</v>
      </c>
      <c r="B6538" s="9" t="inlineStr">
        <is>
          <t>Aurelius_M5</t>
        </is>
      </c>
      <c r="C6538" s="9" t="inlineStr">
        <is>
          <t>MA alignment (EMA21&gt;EMA50&gt;SMA250&gt;SMMA500 vs EMA2400 trend filter)</t>
        </is>
      </c>
      <c r="D6538" s="9" t="inlineStr">
        <is>
          <t>Short</t>
        </is>
      </c>
      <c r="E6538" s="10" t="n">
        <v>46087.60069444445</v>
      </c>
      <c r="F6538" s="10" t="n">
        <v>46087.64583333334</v>
      </c>
      <c r="G6538" s="11" t="n">
        <v>-19.33</v>
      </c>
      <c r="H6538" s="11">
        <f>H6537+G6538</f>
        <v/>
      </c>
    </row>
    <row r="6539">
      <c r="A6539" s="9" t="n">
        <v>6535</v>
      </c>
      <c r="B6539" s="9" t="inlineStr">
        <is>
          <t>Aurelius_M15</t>
        </is>
      </c>
      <c r="C6539" s="9" t="inlineStr">
        <is>
          <t>MA alignment (EMA21&gt;EMA50&gt;SMA250&gt;SMMA500 vs EMA2400 trend filter) - M15 chart</t>
        </is>
      </c>
      <c r="D6539" s="9" t="inlineStr">
        <is>
          <t>Short</t>
        </is>
      </c>
      <c r="E6539" s="10" t="n">
        <v>46087.63541666666</v>
      </c>
      <c r="F6539" s="10" t="n">
        <v>46087.64583333334</v>
      </c>
      <c r="G6539" s="11" t="n">
        <v>-33.43</v>
      </c>
      <c r="H6539" s="11">
        <f>H6538+G6539</f>
        <v/>
      </c>
    </row>
    <row r="6540">
      <c r="A6540" s="9" t="n">
        <v>6536</v>
      </c>
      <c r="B6540" s="9" t="inlineStr">
        <is>
          <t>Vanguard_M15</t>
        </is>
      </c>
      <c r="C6540" s="9" t="inlineStr">
        <is>
          <t>Trendline breakout (fractal swing line) + VWAP/S-R distance gate - M15 chart</t>
        </is>
      </c>
      <c r="D6540" s="9" t="inlineStr">
        <is>
          <t>Long</t>
        </is>
      </c>
      <c r="E6540" s="10" t="n">
        <v>46087.65625</v>
      </c>
      <c r="F6540" s="10" t="n">
        <v>46087.65625</v>
      </c>
      <c r="G6540" s="11" t="n">
        <v>-48.06</v>
      </c>
      <c r="H6540" s="11">
        <f>H6539+G6540</f>
        <v/>
      </c>
    </row>
    <row r="6541">
      <c r="A6541" s="9" t="n">
        <v>6537</v>
      </c>
      <c r="B6541" s="9" t="inlineStr">
        <is>
          <t>Vanguard_M5</t>
        </is>
      </c>
      <c r="C6541" s="9" t="inlineStr">
        <is>
          <t>Trendline breakout (fractal swing line) + VWAP/S-R distance gate</t>
        </is>
      </c>
      <c r="D6541" s="9" t="inlineStr">
        <is>
          <t>Long</t>
        </is>
      </c>
      <c r="E6541" s="10" t="n">
        <v>46087.64930555555</v>
      </c>
      <c r="F6541" s="10" t="n">
        <v>46087.66319444445</v>
      </c>
      <c r="G6541" s="11" t="n">
        <v>-42.3</v>
      </c>
      <c r="H6541" s="11">
        <f>H6540+G6541</f>
        <v/>
      </c>
    </row>
    <row r="6542">
      <c r="A6542" s="9" t="n">
        <v>6538</v>
      </c>
      <c r="B6542" s="9" t="inlineStr">
        <is>
          <t>Meridian</t>
        </is>
      </c>
      <c r="C6542" s="9" t="inlineStr">
        <is>
          <t>21/50 MA cross, 250-period confirm filter, VWAP</t>
        </is>
      </c>
      <c r="D6542" s="9" t="inlineStr">
        <is>
          <t>Long</t>
        </is>
      </c>
      <c r="E6542" s="10" t="n">
        <v>46087.65625</v>
      </c>
      <c r="F6542" s="10" t="n">
        <v>46087.66319444445</v>
      </c>
      <c r="G6542" s="11" t="n">
        <v>-26.93</v>
      </c>
      <c r="H6542" s="11">
        <f>H6541+G6542</f>
        <v/>
      </c>
    </row>
    <row r="6543">
      <c r="A6543" s="9" t="n">
        <v>6539</v>
      </c>
      <c r="B6543" s="9" t="inlineStr">
        <is>
          <t>Aurelius_M15</t>
        </is>
      </c>
      <c r="C6543" s="9" t="inlineStr">
        <is>
          <t>MA alignment (EMA21&gt;EMA50&gt;SMA250&gt;SMMA500 vs EMA2400 trend filter) - M15 chart</t>
        </is>
      </c>
      <c r="D6543" s="9" t="inlineStr">
        <is>
          <t>Short</t>
        </is>
      </c>
      <c r="E6543" s="10" t="n">
        <v>46087.69791666666</v>
      </c>
      <c r="F6543" s="10" t="n">
        <v>46087.70833333334</v>
      </c>
      <c r="G6543" s="11" t="n">
        <v>-49.15</v>
      </c>
      <c r="H6543" s="11">
        <f>H6542+G6543</f>
        <v/>
      </c>
    </row>
    <row r="6544">
      <c r="A6544" s="9" t="n">
        <v>6540</v>
      </c>
      <c r="B6544" s="9" t="inlineStr">
        <is>
          <t>Vanguard_M15</t>
        </is>
      </c>
      <c r="C6544" s="9" t="inlineStr">
        <is>
          <t>Trendline breakout (fractal swing line) + VWAP/S-R distance gate - M15 chart</t>
        </is>
      </c>
      <c r="D6544" s="9" t="inlineStr">
        <is>
          <t>Long</t>
        </is>
      </c>
      <c r="E6544" s="10" t="n">
        <v>46087.70833333334</v>
      </c>
      <c r="F6544" s="10" t="n">
        <v>46090.0625</v>
      </c>
      <c r="G6544" s="11" t="n">
        <v>-64.28</v>
      </c>
      <c r="H6544" s="11">
        <f>H6543+G6544</f>
        <v/>
      </c>
    </row>
    <row r="6545">
      <c r="A6545" s="9" t="n">
        <v>6541</v>
      </c>
      <c r="B6545" s="9" t="inlineStr">
        <is>
          <t>Vanguard_M5</t>
        </is>
      </c>
      <c r="C6545" s="9" t="inlineStr">
        <is>
          <t>Trendline breakout (fractal swing line) + VWAP/S-R distance gate</t>
        </is>
      </c>
      <c r="D6545" s="9" t="inlineStr">
        <is>
          <t>Long</t>
        </is>
      </c>
      <c r="E6545" s="10" t="n">
        <v>46087.70833333334</v>
      </c>
      <c r="F6545" s="10" t="n">
        <v>46090.06597222222</v>
      </c>
      <c r="G6545" s="11" t="n">
        <v>-57.64</v>
      </c>
      <c r="H6545" s="11">
        <f>H6544+G6545</f>
        <v/>
      </c>
    </row>
    <row r="6546">
      <c r="A6546" s="9" t="n">
        <v>6542</v>
      </c>
      <c r="B6546" s="9" t="inlineStr">
        <is>
          <t>Vanguard_M15</t>
        </is>
      </c>
      <c r="C6546" s="9" t="inlineStr">
        <is>
          <t>Trendline breakout (fractal swing line) + VWAP/S-R distance gate - M15 chart</t>
        </is>
      </c>
      <c r="D6546" s="9" t="inlineStr">
        <is>
          <t>Short</t>
        </is>
      </c>
      <c r="E6546" s="10" t="n">
        <v>46090.09375</v>
      </c>
      <c r="F6546" s="10" t="n">
        <v>46090.16666666666</v>
      </c>
      <c r="G6546" s="11" t="n">
        <v>-58.26</v>
      </c>
      <c r="H6546" s="11">
        <f>H6545+G6546</f>
        <v/>
      </c>
    </row>
    <row r="6547">
      <c r="A6547" s="9" t="n">
        <v>6543</v>
      </c>
      <c r="B6547" s="9" t="inlineStr">
        <is>
          <t>Vanguard_M5</t>
        </is>
      </c>
      <c r="C6547" s="9" t="inlineStr">
        <is>
          <t>Trendline breakout (fractal swing line) + VWAP/S-R distance gate</t>
        </is>
      </c>
      <c r="D6547" s="9" t="inlineStr">
        <is>
          <t>Short</t>
        </is>
      </c>
      <c r="E6547" s="10" t="n">
        <v>46090.06944444445</v>
      </c>
      <c r="F6547" s="10" t="n">
        <v>46090.17361111111</v>
      </c>
      <c r="G6547" s="11" t="n">
        <v>-23.94</v>
      </c>
      <c r="H6547" s="11">
        <f>H6546+G6547</f>
        <v/>
      </c>
    </row>
    <row r="6548">
      <c r="A6548" s="9" t="n">
        <v>6544</v>
      </c>
      <c r="B6548" s="9" t="inlineStr">
        <is>
          <t>Aurelius_M5</t>
        </is>
      </c>
      <c r="C6548" s="9" t="inlineStr">
        <is>
          <t>MA alignment (EMA21&gt;EMA50&gt;SMA250&gt;SMMA500 vs EMA2400 trend filter)</t>
        </is>
      </c>
      <c r="D6548" s="9" t="inlineStr">
        <is>
          <t>Short</t>
        </is>
      </c>
      <c r="E6548" s="10" t="n">
        <v>46090.19097222222</v>
      </c>
      <c r="F6548" s="10" t="n">
        <v>46090.21875</v>
      </c>
      <c r="G6548" s="11" t="n">
        <v>-5.9</v>
      </c>
      <c r="H6548" s="11">
        <f>H6547+G6548</f>
        <v/>
      </c>
    </row>
    <row r="6549">
      <c r="A6549" s="9" t="n">
        <v>6545</v>
      </c>
      <c r="B6549" s="9" t="inlineStr">
        <is>
          <t>Meridian</t>
        </is>
      </c>
      <c r="C6549" s="9" t="inlineStr">
        <is>
          <t>21/50 MA cross, 250-period confirm filter, VWAP</t>
        </is>
      </c>
      <c r="D6549" s="9" t="inlineStr">
        <is>
          <t>Short</t>
        </is>
      </c>
      <c r="E6549" s="10" t="n">
        <v>46090.4375</v>
      </c>
      <c r="F6549" s="10" t="n">
        <v>46090.46527777778</v>
      </c>
      <c r="G6549" s="11" t="n">
        <v>-20.65</v>
      </c>
      <c r="H6549" s="11">
        <f>H6548+G6549</f>
        <v/>
      </c>
    </row>
    <row r="6550">
      <c r="A6550" s="9" t="n">
        <v>6546</v>
      </c>
      <c r="B6550" s="9" t="inlineStr">
        <is>
          <t>Meridian</t>
        </is>
      </c>
      <c r="C6550" s="9" t="inlineStr">
        <is>
          <t>21/50 MA cross, 250-period confirm filter, VWAP</t>
        </is>
      </c>
      <c r="D6550" s="9" t="inlineStr">
        <is>
          <t>Long</t>
        </is>
      </c>
      <c r="E6550" s="10" t="n">
        <v>46090.47222222222</v>
      </c>
      <c r="F6550" s="10" t="n">
        <v>46090.52083333334</v>
      </c>
      <c r="G6550" s="11" t="n">
        <v>-21.74</v>
      </c>
      <c r="H6550" s="11">
        <f>H6549+G6550</f>
        <v/>
      </c>
    </row>
    <row r="6551">
      <c r="A6551" s="9" t="n">
        <v>6547</v>
      </c>
      <c r="B6551" s="9" t="inlineStr">
        <is>
          <t>Ratchet</t>
        </is>
      </c>
      <c r="C6551" s="9" t="inlineStr">
        <is>
          <t>Stochastic scalp with give-back trail exit</t>
        </is>
      </c>
      <c r="D6551" s="9" t="inlineStr">
        <is>
          <t>Short</t>
        </is>
      </c>
      <c r="E6551" s="10" t="n">
        <v>46090.625</v>
      </c>
      <c r="F6551" s="10" t="n">
        <v>46090.63194444445</v>
      </c>
      <c r="G6551" s="11" t="n">
        <v>-0</v>
      </c>
      <c r="H6551" s="11">
        <f>H6550+G6551</f>
        <v/>
      </c>
    </row>
    <row r="6552">
      <c r="A6552" s="9" t="n">
        <v>6548</v>
      </c>
      <c r="B6552" s="9" t="inlineStr">
        <is>
          <t>MSG</t>
        </is>
      </c>
      <c r="C6552" s="9" t="inlineStr">
        <is>
          <t>Session-range breakout + Fibonacci retracement-zone entry</t>
        </is>
      </c>
      <c r="D6552" s="9" t="inlineStr">
        <is>
          <t>Short</t>
        </is>
      </c>
      <c r="E6552" s="10" t="n">
        <v>46090.60347222222</v>
      </c>
      <c r="F6552" s="10" t="n">
        <v>46090.63680555556</v>
      </c>
      <c r="G6552" s="11" t="n">
        <v>36.35</v>
      </c>
      <c r="H6552" s="11">
        <f>H6551+G6552</f>
        <v/>
      </c>
    </row>
    <row r="6553">
      <c r="A6553" s="9" t="n">
        <v>6549</v>
      </c>
      <c r="B6553" s="9" t="inlineStr">
        <is>
          <t>Aurelius_M15</t>
        </is>
      </c>
      <c r="C6553" s="9" t="inlineStr">
        <is>
          <t>MA alignment (EMA21&gt;EMA50&gt;SMA250&gt;SMMA500 vs EMA2400 trend filter) - M15 chart</t>
        </is>
      </c>
      <c r="D6553" s="9" t="inlineStr">
        <is>
          <t>Short</t>
        </is>
      </c>
      <c r="E6553" s="10" t="n">
        <v>46090.65625</v>
      </c>
      <c r="F6553" s="10" t="n">
        <v>46090.6875</v>
      </c>
      <c r="G6553" s="11" t="n">
        <v>-37.72</v>
      </c>
      <c r="H6553" s="11">
        <f>H6552+G6553</f>
        <v/>
      </c>
    </row>
    <row r="6554">
      <c r="A6554" s="9" t="n">
        <v>6550</v>
      </c>
      <c r="B6554" s="9" t="inlineStr">
        <is>
          <t>Ratchet</t>
        </is>
      </c>
      <c r="C6554" s="9" t="inlineStr">
        <is>
          <t>Stochastic scalp with give-back trail exit</t>
        </is>
      </c>
      <c r="D6554" s="9" t="inlineStr">
        <is>
          <t>Short</t>
        </is>
      </c>
      <c r="E6554" s="10" t="n">
        <v>46090.66666666666</v>
      </c>
      <c r="F6554" s="10" t="n">
        <v>46090.69097222222</v>
      </c>
      <c r="G6554" s="11" t="n">
        <v>-19.98</v>
      </c>
      <c r="H6554" s="11">
        <f>H6553+G6554</f>
        <v/>
      </c>
    </row>
    <row r="6555">
      <c r="A6555" s="9" t="n">
        <v>6551</v>
      </c>
      <c r="B6555" s="9" t="inlineStr">
        <is>
          <t>Aurelius_M5</t>
        </is>
      </c>
      <c r="C6555" s="9" t="inlineStr">
        <is>
          <t>MA alignment (EMA21&gt;EMA50&gt;SMA250&gt;SMMA500 vs EMA2400 trend filter)</t>
        </is>
      </c>
      <c r="D6555" s="9" t="inlineStr">
        <is>
          <t>Short</t>
        </is>
      </c>
      <c r="E6555" s="10" t="n">
        <v>46090.67708333334</v>
      </c>
      <c r="F6555" s="10" t="n">
        <v>46090.69444444445</v>
      </c>
      <c r="G6555" s="11" t="n">
        <v>-29.26</v>
      </c>
      <c r="H6555" s="11">
        <f>H6554+G6555</f>
        <v/>
      </c>
    </row>
    <row r="6556">
      <c r="A6556" s="9" t="n">
        <v>6552</v>
      </c>
      <c r="B6556" s="9" t="inlineStr">
        <is>
          <t>Aurelius_M5</t>
        </is>
      </c>
      <c r="C6556" s="9" t="inlineStr">
        <is>
          <t>MA alignment (EMA21&gt;EMA50&gt;SMA250&gt;SMMA500 vs EMA2400 trend filter)</t>
        </is>
      </c>
      <c r="D6556" s="9" t="inlineStr">
        <is>
          <t>Short</t>
        </is>
      </c>
      <c r="E6556" s="10" t="n">
        <v>46090.71180555555</v>
      </c>
      <c r="F6556" s="10" t="n">
        <v>46090.74652777778</v>
      </c>
      <c r="G6556" s="11" t="n">
        <v>-13.63</v>
      </c>
      <c r="H6556" s="11">
        <f>H6555+G6556</f>
        <v/>
      </c>
    </row>
    <row r="6557">
      <c r="A6557" s="9" t="n">
        <v>6553</v>
      </c>
      <c r="B6557" s="9" t="inlineStr">
        <is>
          <t>Ratchet</t>
        </is>
      </c>
      <c r="C6557" s="9" t="inlineStr">
        <is>
          <t>Stochastic scalp with give-back trail exit</t>
        </is>
      </c>
      <c r="D6557" s="9" t="inlineStr">
        <is>
          <t>Long</t>
        </is>
      </c>
      <c r="E6557" s="10" t="n">
        <v>46091.37152777778</v>
      </c>
      <c r="F6557" s="10" t="n">
        <v>46091.38541666666</v>
      </c>
      <c r="G6557" s="11" t="n">
        <v>-7.58</v>
      </c>
      <c r="H6557" s="11">
        <f>H6556+G6557</f>
        <v/>
      </c>
    </row>
    <row r="6558">
      <c r="A6558" s="9" t="n">
        <v>6554</v>
      </c>
      <c r="B6558" s="9" t="inlineStr">
        <is>
          <t>Ratchet</t>
        </is>
      </c>
      <c r="C6558" s="9" t="inlineStr">
        <is>
          <t>Stochastic scalp with give-back trail exit</t>
        </is>
      </c>
      <c r="D6558" s="9" t="inlineStr">
        <is>
          <t>Long</t>
        </is>
      </c>
      <c r="E6558" s="10" t="n">
        <v>46091.43055555555</v>
      </c>
      <c r="F6558" s="10" t="n">
        <v>46091.45486111111</v>
      </c>
      <c r="G6558" s="11" t="n">
        <v>4.31</v>
      </c>
      <c r="H6558" s="11">
        <f>H6557+G6558</f>
        <v/>
      </c>
    </row>
    <row r="6559">
      <c r="A6559" s="9" t="n">
        <v>6555</v>
      </c>
      <c r="B6559" s="9" t="inlineStr">
        <is>
          <t>Meridian</t>
        </is>
      </c>
      <c r="C6559" s="9" t="inlineStr">
        <is>
          <t>21/50 MA cross, 250-period confirm filter, VWAP</t>
        </is>
      </c>
      <c r="D6559" s="9" t="inlineStr">
        <is>
          <t>Long</t>
        </is>
      </c>
      <c r="E6559" s="10" t="n">
        <v>46091.54861111111</v>
      </c>
      <c r="F6559" s="10" t="n">
        <v>46091.56944444445</v>
      </c>
      <c r="G6559" s="11" t="n">
        <v>-16.9</v>
      </c>
      <c r="H6559" s="11">
        <f>H6558+G6559</f>
        <v/>
      </c>
    </row>
    <row r="6560">
      <c r="A6560" s="9" t="n">
        <v>6556</v>
      </c>
      <c r="B6560" s="9" t="inlineStr">
        <is>
          <t>Aurelius_M5</t>
        </is>
      </c>
      <c r="C6560" s="9" t="inlineStr">
        <is>
          <t>MA alignment (EMA21&gt;EMA50&gt;SMA250&gt;SMMA500 vs EMA2400 trend filter)</t>
        </is>
      </c>
      <c r="D6560" s="9" t="inlineStr">
        <is>
          <t>Long</t>
        </is>
      </c>
      <c r="E6560" s="10" t="n">
        <v>46091.63888888889</v>
      </c>
      <c r="F6560" s="10" t="n">
        <v>46091.65625</v>
      </c>
      <c r="G6560" s="11" t="n">
        <v>-18.11</v>
      </c>
      <c r="H6560" s="11">
        <f>H6559+G6560</f>
        <v/>
      </c>
    </row>
    <row r="6561">
      <c r="A6561" s="9" t="n">
        <v>6557</v>
      </c>
      <c r="B6561" s="9" t="inlineStr">
        <is>
          <t>MSG</t>
        </is>
      </c>
      <c r="C6561" s="9" t="inlineStr">
        <is>
          <t>Session-range breakout + Fibonacci retracement-zone entry</t>
        </is>
      </c>
      <c r="D6561" s="9" t="inlineStr">
        <is>
          <t>Long</t>
        </is>
      </c>
      <c r="E6561" s="10" t="n">
        <v>46091.67222222222</v>
      </c>
      <c r="F6561" s="10" t="n">
        <v>46091.72986111111</v>
      </c>
      <c r="G6561" s="11" t="n">
        <v>90.92</v>
      </c>
      <c r="H6561" s="11">
        <f>H6560+G6561</f>
        <v/>
      </c>
    </row>
    <row r="6562">
      <c r="A6562" s="9" t="n">
        <v>6558</v>
      </c>
      <c r="B6562" s="9" t="inlineStr">
        <is>
          <t>Ratchet</t>
        </is>
      </c>
      <c r="C6562" s="9" t="inlineStr">
        <is>
          <t>Stochastic scalp with give-back trail exit</t>
        </is>
      </c>
      <c r="D6562" s="9" t="inlineStr">
        <is>
          <t>Long</t>
        </is>
      </c>
      <c r="E6562" s="10" t="n">
        <v>46091.77430555555</v>
      </c>
      <c r="F6562" s="10" t="n">
        <v>46091.83333333334</v>
      </c>
      <c r="G6562" s="11" t="n">
        <v>-10.96</v>
      </c>
      <c r="H6562" s="11">
        <f>H6561+G6562</f>
        <v/>
      </c>
    </row>
    <row r="6563">
      <c r="A6563" s="9" t="n">
        <v>6559</v>
      </c>
      <c r="B6563" s="9" t="inlineStr">
        <is>
          <t>Meridian</t>
        </is>
      </c>
      <c r="C6563" s="9" t="inlineStr">
        <is>
          <t>21/50 MA cross, 250-period confirm filter, VWAP</t>
        </is>
      </c>
      <c r="D6563" s="9" t="inlineStr">
        <is>
          <t>Long</t>
        </is>
      </c>
      <c r="E6563" s="10" t="n">
        <v>46091.61805555555</v>
      </c>
      <c r="F6563" s="10" t="n">
        <v>46091.84375</v>
      </c>
      <c r="G6563" s="11" t="n">
        <v>-14.81</v>
      </c>
      <c r="H6563" s="11">
        <f>H6562+G6563</f>
        <v/>
      </c>
    </row>
    <row r="6564">
      <c r="A6564" s="9" t="n">
        <v>6560</v>
      </c>
      <c r="B6564" s="9" t="inlineStr">
        <is>
          <t>Ratchet</t>
        </is>
      </c>
      <c r="C6564" s="9" t="inlineStr">
        <is>
          <t>Stochastic scalp with give-back trail exit</t>
        </is>
      </c>
      <c r="D6564" s="9" t="inlineStr">
        <is>
          <t>Long</t>
        </is>
      </c>
      <c r="E6564" s="10" t="n">
        <v>46092.11458333334</v>
      </c>
      <c r="F6564" s="10" t="n">
        <v>46092.12847222222</v>
      </c>
      <c r="G6564" s="11" t="n">
        <v>1.98</v>
      </c>
      <c r="H6564" s="11">
        <f>H6563+G6564</f>
        <v/>
      </c>
    </row>
    <row r="6565">
      <c r="A6565" s="9" t="n">
        <v>6561</v>
      </c>
      <c r="B6565" s="9" t="inlineStr">
        <is>
          <t>Aurelius_M5</t>
        </is>
      </c>
      <c r="C6565" s="9" t="inlineStr">
        <is>
          <t>MA alignment (EMA21&gt;EMA50&gt;SMA250&gt;SMMA500 vs EMA2400 trend filter)</t>
        </is>
      </c>
      <c r="D6565" s="9" t="inlineStr">
        <is>
          <t>Long</t>
        </is>
      </c>
      <c r="E6565" s="10" t="n">
        <v>46092.12847222222</v>
      </c>
      <c r="F6565" s="10" t="n">
        <v>46092.16666666666</v>
      </c>
      <c r="G6565" s="11" t="n">
        <v>-14.88</v>
      </c>
      <c r="H6565" s="11">
        <f>H6564+G6565</f>
        <v/>
      </c>
    </row>
    <row r="6566">
      <c r="A6566" s="9" t="n">
        <v>6562</v>
      </c>
      <c r="B6566" s="9" t="inlineStr">
        <is>
          <t>Meridian</t>
        </is>
      </c>
      <c r="C6566" s="9" t="inlineStr">
        <is>
          <t>21/50 MA cross, 250-period confirm filter, VWAP</t>
        </is>
      </c>
      <c r="D6566" s="9" t="inlineStr">
        <is>
          <t>Long</t>
        </is>
      </c>
      <c r="E6566" s="10" t="n">
        <v>46092.10763888889</v>
      </c>
      <c r="F6566" s="10" t="n">
        <v>46092.17361111111</v>
      </c>
      <c r="G6566" s="11" t="n">
        <v>-15.35</v>
      </c>
      <c r="H6566" s="11">
        <f>H6565+G6566</f>
        <v/>
      </c>
    </row>
    <row r="6567">
      <c r="A6567" s="9" t="n">
        <v>6563</v>
      </c>
      <c r="B6567" s="9" t="inlineStr">
        <is>
          <t>Ratchet</t>
        </is>
      </c>
      <c r="C6567" s="9" t="inlineStr">
        <is>
          <t>Stochastic scalp with give-back trail exit</t>
        </is>
      </c>
      <c r="D6567" s="9" t="inlineStr">
        <is>
          <t>Long</t>
        </is>
      </c>
      <c r="E6567" s="10" t="n">
        <v>46092.21875</v>
      </c>
      <c r="F6567" s="10" t="n">
        <v>46092.22569444445</v>
      </c>
      <c r="G6567" s="11" t="n">
        <v>-8.65</v>
      </c>
      <c r="H6567" s="11">
        <f>H6566+G6567</f>
        <v/>
      </c>
    </row>
    <row r="6568">
      <c r="A6568" s="9" t="n">
        <v>6564</v>
      </c>
      <c r="B6568" s="9" t="inlineStr">
        <is>
          <t>Vanguard_M15</t>
        </is>
      </c>
      <c r="C6568" s="9" t="inlineStr">
        <is>
          <t>Trendline breakout (fractal swing line) + VWAP/S-R distance gate - M15 chart</t>
        </is>
      </c>
      <c r="D6568" s="9" t="inlineStr">
        <is>
          <t>Long</t>
        </is>
      </c>
      <c r="E6568" s="10" t="n">
        <v>46090.17708333334</v>
      </c>
      <c r="F6568" s="10" t="n">
        <v>46092.35416666666</v>
      </c>
      <c r="G6568" s="11" t="n">
        <v>100.27</v>
      </c>
      <c r="H6568" s="11">
        <f>H6567+G6568</f>
        <v/>
      </c>
    </row>
    <row r="6569">
      <c r="A6569" s="9" t="n">
        <v>6565</v>
      </c>
      <c r="B6569" s="9" t="inlineStr">
        <is>
          <t>Vanguard_M5</t>
        </is>
      </c>
      <c r="C6569" s="9" t="inlineStr">
        <is>
          <t>Trendline breakout (fractal swing line) + VWAP/S-R distance gate</t>
        </is>
      </c>
      <c r="D6569" s="9" t="inlineStr">
        <is>
          <t>Long</t>
        </is>
      </c>
      <c r="E6569" s="10" t="n">
        <v>46090.17708333334</v>
      </c>
      <c r="F6569" s="10" t="n">
        <v>46092.36111111111</v>
      </c>
      <c r="G6569" s="11" t="n">
        <v>100.28</v>
      </c>
      <c r="H6569" s="11">
        <f>H6568+G6569</f>
        <v/>
      </c>
    </row>
    <row r="6570">
      <c r="A6570" s="9" t="n">
        <v>6566</v>
      </c>
      <c r="B6570" s="9" t="inlineStr">
        <is>
          <t>MSG</t>
        </is>
      </c>
      <c r="C6570" s="9" t="inlineStr">
        <is>
          <t>Session-range breakout + Fibonacci retracement-zone entry</t>
        </is>
      </c>
      <c r="D6570" s="9" t="inlineStr">
        <is>
          <t>Short</t>
        </is>
      </c>
      <c r="E6570" s="10" t="n">
        <v>46092.66597222222</v>
      </c>
      <c r="F6570" s="10" t="n">
        <v>46092.68680555555</v>
      </c>
      <c r="G6570" s="11" t="n">
        <v>-53.67</v>
      </c>
      <c r="H6570" s="11">
        <f>H6569+G6570</f>
        <v/>
      </c>
    </row>
    <row r="6571">
      <c r="A6571" s="9" t="n">
        <v>6567</v>
      </c>
      <c r="B6571" s="9" t="inlineStr">
        <is>
          <t>Meridian</t>
        </is>
      </c>
      <c r="C6571" s="9" t="inlineStr">
        <is>
          <t>21/50 MA cross, 250-period confirm filter, VWAP</t>
        </is>
      </c>
      <c r="D6571" s="9" t="inlineStr">
        <is>
          <t>Short</t>
        </is>
      </c>
      <c r="E6571" s="10" t="n">
        <v>46092.70833333334</v>
      </c>
      <c r="F6571" s="10" t="n">
        <v>46092.90277777778</v>
      </c>
      <c r="G6571" s="11" t="n">
        <v>5.02</v>
      </c>
      <c r="H6571" s="11">
        <f>H6570+G6571</f>
        <v/>
      </c>
    </row>
    <row r="6572">
      <c r="A6572" s="9" t="n">
        <v>6568</v>
      </c>
      <c r="B6572" s="9" t="inlineStr">
        <is>
          <t>Ratchet</t>
        </is>
      </c>
      <c r="C6572" s="9" t="inlineStr">
        <is>
          <t>Stochastic scalp with give-back trail exit</t>
        </is>
      </c>
      <c r="D6572" s="9" t="inlineStr">
        <is>
          <t>Short</t>
        </is>
      </c>
      <c r="E6572" s="10" t="n">
        <v>46093.20833333334</v>
      </c>
      <c r="F6572" s="10" t="n">
        <v>46093.29861111111</v>
      </c>
      <c r="G6572" s="11" t="n">
        <v>2.34</v>
      </c>
      <c r="H6572" s="11">
        <f>H6571+G6572</f>
        <v/>
      </c>
    </row>
    <row r="6573">
      <c r="A6573" s="9" t="n">
        <v>6569</v>
      </c>
      <c r="B6573" s="9" t="inlineStr">
        <is>
          <t>Ratchet</t>
        </is>
      </c>
      <c r="C6573" s="9" t="inlineStr">
        <is>
          <t>Stochastic scalp with give-back trail exit</t>
        </is>
      </c>
      <c r="D6573" s="9" t="inlineStr">
        <is>
          <t>Short</t>
        </is>
      </c>
      <c r="E6573" s="10" t="n">
        <v>46093.30208333334</v>
      </c>
      <c r="F6573" s="10" t="n">
        <v>46093.3125</v>
      </c>
      <c r="G6573" s="11" t="n">
        <v>1.39</v>
      </c>
      <c r="H6573" s="11">
        <f>H6572+G6573</f>
        <v/>
      </c>
    </row>
    <row r="6574">
      <c r="A6574" s="9" t="n">
        <v>6570</v>
      </c>
      <c r="B6574" s="9" t="inlineStr">
        <is>
          <t>Meridian</t>
        </is>
      </c>
      <c r="C6574" s="9" t="inlineStr">
        <is>
          <t>21/50 MA cross, 250-period confirm filter, VWAP</t>
        </is>
      </c>
      <c r="D6574" s="9" t="inlineStr">
        <is>
          <t>Short</t>
        </is>
      </c>
      <c r="E6574" s="10" t="n">
        <v>46093.20833333334</v>
      </c>
      <c r="F6574" s="10" t="n">
        <v>46093.36111111111</v>
      </c>
      <c r="G6574" s="11" t="n">
        <v>-14.37</v>
      </c>
      <c r="H6574" s="11">
        <f>H6573+G6574</f>
        <v/>
      </c>
    </row>
    <row r="6575">
      <c r="A6575" s="9" t="n">
        <v>6571</v>
      </c>
      <c r="B6575" s="9" t="inlineStr">
        <is>
          <t>Aurelius_M5</t>
        </is>
      </c>
      <c r="C6575" s="9" t="inlineStr">
        <is>
          <t>MA alignment (EMA21&gt;EMA50&gt;SMA250&gt;SMMA500 vs EMA2400 trend filter)</t>
        </is>
      </c>
      <c r="D6575" s="9" t="inlineStr">
        <is>
          <t>Long</t>
        </is>
      </c>
      <c r="E6575" s="10" t="n">
        <v>46093.57638888889</v>
      </c>
      <c r="F6575" s="10" t="n">
        <v>46093.58680555555</v>
      </c>
      <c r="G6575" s="11" t="n">
        <v>-10</v>
      </c>
      <c r="H6575" s="11">
        <f>H6574+G6575</f>
        <v/>
      </c>
    </row>
    <row r="6576">
      <c r="A6576" s="9" t="n">
        <v>6572</v>
      </c>
      <c r="B6576" s="9" t="inlineStr">
        <is>
          <t>Meridian</t>
        </is>
      </c>
      <c r="C6576" s="9" t="inlineStr">
        <is>
          <t>21/50 MA cross, 250-period confirm filter, VWAP</t>
        </is>
      </c>
      <c r="D6576" s="9" t="inlineStr">
        <is>
          <t>Long</t>
        </is>
      </c>
      <c r="E6576" s="10" t="n">
        <v>46093.625</v>
      </c>
      <c r="F6576" s="10" t="n">
        <v>46093.63888888889</v>
      </c>
      <c r="G6576" s="11" t="n">
        <v>-12.8</v>
      </c>
      <c r="H6576" s="11">
        <f>H6575+G6576</f>
        <v/>
      </c>
    </row>
    <row r="6577">
      <c r="A6577" s="9" t="n">
        <v>6573</v>
      </c>
      <c r="B6577" s="9" t="inlineStr">
        <is>
          <t>Ratchet</t>
        </is>
      </c>
      <c r="C6577" s="9" t="inlineStr">
        <is>
          <t>Stochastic scalp with give-back trail exit</t>
        </is>
      </c>
      <c r="D6577" s="9" t="inlineStr">
        <is>
          <t>Short</t>
        </is>
      </c>
      <c r="E6577" s="10" t="n">
        <v>46093.68402777778</v>
      </c>
      <c r="F6577" s="10" t="n">
        <v>46093.69097222222</v>
      </c>
      <c r="G6577" s="11" t="n">
        <v>1.89</v>
      </c>
      <c r="H6577" s="11">
        <f>H6576+G6577</f>
        <v/>
      </c>
    </row>
    <row r="6578">
      <c r="A6578" s="9" t="n">
        <v>6574</v>
      </c>
      <c r="B6578" s="9" t="inlineStr">
        <is>
          <t>Ratchet</t>
        </is>
      </c>
      <c r="C6578" s="9" t="inlineStr">
        <is>
          <t>Stochastic scalp with give-back trail exit</t>
        </is>
      </c>
      <c r="D6578" s="9" t="inlineStr">
        <is>
          <t>Short</t>
        </is>
      </c>
      <c r="E6578" s="10" t="n">
        <v>46093.69444444445</v>
      </c>
      <c r="F6578" s="10" t="n">
        <v>46094.04166666666</v>
      </c>
      <c r="G6578" s="11" t="n">
        <v>48.58</v>
      </c>
      <c r="H6578" s="11">
        <f>H6577+G6578</f>
        <v/>
      </c>
    </row>
    <row r="6579">
      <c r="A6579" s="9" t="n">
        <v>6575</v>
      </c>
      <c r="B6579" s="9" t="inlineStr">
        <is>
          <t>Ratchet</t>
        </is>
      </c>
      <c r="C6579" s="9" t="inlineStr">
        <is>
          <t>Stochastic scalp with give-back trail exit</t>
        </is>
      </c>
      <c r="D6579" s="9" t="inlineStr">
        <is>
          <t>Short</t>
        </is>
      </c>
      <c r="E6579" s="10" t="n">
        <v>46094.28125</v>
      </c>
      <c r="F6579" s="10" t="n">
        <v>46094.3125</v>
      </c>
      <c r="G6579" s="11" t="n">
        <v>-6.48</v>
      </c>
      <c r="H6579" s="11">
        <f>H6578+G6579</f>
        <v/>
      </c>
    </row>
    <row r="6580">
      <c r="A6580" s="9" t="n">
        <v>6576</v>
      </c>
      <c r="B6580" s="9" t="inlineStr">
        <is>
          <t>Meridian</t>
        </is>
      </c>
      <c r="C6580" s="9" t="inlineStr">
        <is>
          <t>21/50 MA cross, 250-period confirm filter, VWAP</t>
        </is>
      </c>
      <c r="D6580" s="9" t="inlineStr">
        <is>
          <t>Short</t>
        </is>
      </c>
      <c r="E6580" s="10" t="n">
        <v>46094.28125</v>
      </c>
      <c r="F6580" s="10" t="n">
        <v>46094.54513888889</v>
      </c>
      <c r="G6580" s="11" t="n">
        <v>9.32</v>
      </c>
      <c r="H6580" s="11">
        <f>H6579+G6580</f>
        <v/>
      </c>
    </row>
    <row r="6581">
      <c r="A6581" s="9" t="n">
        <v>6577</v>
      </c>
      <c r="B6581" s="9" t="inlineStr">
        <is>
          <t>Aurelius_M5</t>
        </is>
      </c>
      <c r="C6581" s="9" t="inlineStr">
        <is>
          <t>MA alignment (EMA21&gt;EMA50&gt;SMA250&gt;SMMA500 vs EMA2400 trend filter)</t>
        </is>
      </c>
      <c r="D6581" s="9" t="inlineStr">
        <is>
          <t>Short</t>
        </is>
      </c>
      <c r="E6581" s="10" t="n">
        <v>46094.31597222222</v>
      </c>
      <c r="F6581" s="10" t="n">
        <v>46094.54513888889</v>
      </c>
      <c r="G6581" s="11" t="n">
        <v>13.57</v>
      </c>
      <c r="H6581" s="11">
        <f>H6580+G6581</f>
        <v/>
      </c>
    </row>
    <row r="6582">
      <c r="A6582" s="9" t="n">
        <v>6578</v>
      </c>
      <c r="B6582" s="9" t="inlineStr">
        <is>
          <t>Aurelius_M15</t>
        </is>
      </c>
      <c r="C6582" s="9" t="inlineStr">
        <is>
          <t>MA alignment (EMA21&gt;EMA50&gt;SMA250&gt;SMMA500 vs EMA2400 trend filter) - M15 chart</t>
        </is>
      </c>
      <c r="D6582" s="9" t="inlineStr">
        <is>
          <t>Short</t>
        </is>
      </c>
      <c r="E6582" s="10" t="n">
        <v>46094.375</v>
      </c>
      <c r="F6582" s="10" t="n">
        <v>46094.58333333334</v>
      </c>
      <c r="G6582" s="11" t="n">
        <v>-20.8</v>
      </c>
      <c r="H6582" s="11">
        <f>H6581+G6582</f>
        <v/>
      </c>
    </row>
    <row r="6583">
      <c r="A6583" s="9" t="n">
        <v>6579</v>
      </c>
      <c r="B6583" s="9" t="inlineStr">
        <is>
          <t>MSG</t>
        </is>
      </c>
      <c r="C6583" s="9" t="inlineStr">
        <is>
          <t>Session-range breakout + Fibonacci retracement-zone entry</t>
        </is>
      </c>
      <c r="D6583" s="9" t="inlineStr">
        <is>
          <t>Long</t>
        </is>
      </c>
      <c r="E6583" s="10" t="n">
        <v>46094.67708333334</v>
      </c>
      <c r="F6583" s="10" t="n">
        <v>46094.69861111111</v>
      </c>
      <c r="G6583" s="11" t="n">
        <v>-55.3</v>
      </c>
      <c r="H6583" s="11">
        <f>H6582+G6583</f>
        <v/>
      </c>
    </row>
    <row r="6584">
      <c r="A6584" s="9" t="n">
        <v>6580</v>
      </c>
      <c r="B6584" s="9" t="inlineStr">
        <is>
          <t>Meridian</t>
        </is>
      </c>
      <c r="C6584" s="9" t="inlineStr">
        <is>
          <t>21/50 MA cross, 250-period confirm filter, VWAP</t>
        </is>
      </c>
      <c r="D6584" s="9" t="inlineStr">
        <is>
          <t>Short</t>
        </is>
      </c>
      <c r="E6584" s="10" t="n">
        <v>46094.69097222222</v>
      </c>
      <c r="F6584" s="10" t="n">
        <v>46094.91666666666</v>
      </c>
      <c r="G6584" s="11" t="n">
        <v>73.37</v>
      </c>
      <c r="H6584" s="11">
        <f>H6583+G6584</f>
        <v/>
      </c>
    </row>
    <row r="6585">
      <c r="A6585" s="9" t="n">
        <v>6581</v>
      </c>
      <c r="B6585" s="9" t="inlineStr">
        <is>
          <t>Ratchet</t>
        </is>
      </c>
      <c r="C6585" s="9" t="inlineStr">
        <is>
          <t>Stochastic scalp with give-back trail exit</t>
        </is>
      </c>
      <c r="D6585" s="9" t="inlineStr">
        <is>
          <t>Short</t>
        </is>
      </c>
      <c r="E6585" s="10" t="n">
        <v>46097.21180555555</v>
      </c>
      <c r="F6585" s="10" t="n">
        <v>46097.22222222222</v>
      </c>
      <c r="G6585" s="11" t="n">
        <v>1.06</v>
      </c>
      <c r="H6585" s="11">
        <f>H6584+G6585</f>
        <v/>
      </c>
    </row>
    <row r="6586">
      <c r="A6586" s="9" t="n">
        <v>6582</v>
      </c>
      <c r="B6586" s="9" t="inlineStr">
        <is>
          <t>Ratchet</t>
        </is>
      </c>
      <c r="C6586" s="9" t="inlineStr">
        <is>
          <t>Stochastic scalp with give-back trail exit</t>
        </is>
      </c>
      <c r="D6586" s="9" t="inlineStr">
        <is>
          <t>Short</t>
        </is>
      </c>
      <c r="E6586" s="10" t="n">
        <v>46097.39583333334</v>
      </c>
      <c r="F6586" s="10" t="n">
        <v>46097.40625</v>
      </c>
      <c r="G6586" s="11" t="n">
        <v>2.79</v>
      </c>
      <c r="H6586" s="11">
        <f>H6585+G6586</f>
        <v/>
      </c>
    </row>
    <row r="6587">
      <c r="A6587" s="9" t="n">
        <v>6583</v>
      </c>
      <c r="B6587" s="9" t="inlineStr">
        <is>
          <t>Ratchet</t>
        </is>
      </c>
      <c r="C6587" s="9" t="inlineStr">
        <is>
          <t>Stochastic scalp with give-back trail exit</t>
        </is>
      </c>
      <c r="D6587" s="9" t="inlineStr">
        <is>
          <t>Short</t>
        </is>
      </c>
      <c r="E6587" s="10" t="n">
        <v>46097.48263888889</v>
      </c>
      <c r="F6587" s="10" t="n">
        <v>46097.51388888889</v>
      </c>
      <c r="G6587" s="11" t="n">
        <v>4.13</v>
      </c>
      <c r="H6587" s="11">
        <f>H6586+G6587</f>
        <v/>
      </c>
    </row>
    <row r="6588">
      <c r="A6588" s="9" t="n">
        <v>6584</v>
      </c>
      <c r="B6588" s="9" t="inlineStr">
        <is>
          <t>Meridian</t>
        </is>
      </c>
      <c r="C6588" s="9" t="inlineStr">
        <is>
          <t>21/50 MA cross, 250-period confirm filter, VWAP</t>
        </is>
      </c>
      <c r="D6588" s="9" t="inlineStr">
        <is>
          <t>Short</t>
        </is>
      </c>
      <c r="E6588" s="10" t="n">
        <v>46097.39236111111</v>
      </c>
      <c r="F6588" s="10" t="n">
        <v>46097.55555555555</v>
      </c>
      <c r="G6588" s="11" t="n">
        <v>-15.47</v>
      </c>
      <c r="H6588" s="11">
        <f>H6587+G6588</f>
        <v/>
      </c>
    </row>
    <row r="6589">
      <c r="A6589" s="9" t="n">
        <v>6585</v>
      </c>
      <c r="B6589" s="9" t="inlineStr">
        <is>
          <t>MSG</t>
        </is>
      </c>
      <c r="C6589" s="9" t="inlineStr">
        <is>
          <t>Session-range breakout + Fibonacci retracement-zone entry</t>
        </is>
      </c>
      <c r="D6589" s="9" t="inlineStr">
        <is>
          <t>Long</t>
        </is>
      </c>
      <c r="E6589" s="10" t="n">
        <v>46097.58194444444</v>
      </c>
      <c r="F6589" s="10" t="n">
        <v>46097.60277777778</v>
      </c>
      <c r="G6589" s="11" t="n">
        <v>54.25</v>
      </c>
      <c r="H6589" s="11">
        <f>H6588+G6589</f>
        <v/>
      </c>
    </row>
    <row r="6590">
      <c r="A6590" s="9" t="n">
        <v>6586</v>
      </c>
      <c r="B6590" s="9" t="inlineStr">
        <is>
          <t>Ratchet</t>
        </is>
      </c>
      <c r="C6590" s="9" t="inlineStr">
        <is>
          <t>Stochastic scalp with give-back trail exit</t>
        </is>
      </c>
      <c r="D6590" s="9" t="inlineStr">
        <is>
          <t>Short</t>
        </is>
      </c>
      <c r="E6590" s="10" t="n">
        <v>46097.74305555555</v>
      </c>
      <c r="F6590" s="10" t="n">
        <v>46097.75347222222</v>
      </c>
      <c r="G6590" s="11" t="n">
        <v>2.37</v>
      </c>
      <c r="H6590" s="11">
        <f>H6589+G6590</f>
        <v/>
      </c>
    </row>
    <row r="6591">
      <c r="A6591" s="9" t="n">
        <v>6587</v>
      </c>
      <c r="B6591" s="9" t="inlineStr">
        <is>
          <t>Ratchet</t>
        </is>
      </c>
      <c r="C6591" s="9" t="inlineStr">
        <is>
          <t>Stochastic scalp with give-back trail exit</t>
        </is>
      </c>
      <c r="D6591" s="9" t="inlineStr">
        <is>
          <t>Short</t>
        </is>
      </c>
      <c r="E6591" s="10" t="n">
        <v>46097.82638888889</v>
      </c>
      <c r="F6591" s="10" t="n">
        <v>46097.83333333334</v>
      </c>
      <c r="G6591" s="11" t="n">
        <v>-9.550000000000001</v>
      </c>
      <c r="H6591" s="11">
        <f>H6590+G6591</f>
        <v/>
      </c>
    </row>
    <row r="6592">
      <c r="A6592" s="9" t="n">
        <v>6588</v>
      </c>
      <c r="B6592" s="9" t="inlineStr">
        <is>
          <t>Meridian</t>
        </is>
      </c>
      <c r="C6592" s="9" t="inlineStr">
        <is>
          <t>21/50 MA cross, 250-period confirm filter, VWAP</t>
        </is>
      </c>
      <c r="D6592" s="9" t="inlineStr">
        <is>
          <t>Short</t>
        </is>
      </c>
      <c r="E6592" s="10" t="n">
        <v>46097.71180555555</v>
      </c>
      <c r="F6592" s="10" t="n">
        <v>46097.86458333334</v>
      </c>
      <c r="G6592" s="11" t="n">
        <v>-15.76</v>
      </c>
      <c r="H6592" s="11">
        <f>H6591+G6592</f>
        <v/>
      </c>
    </row>
    <row r="6593">
      <c r="A6593" s="9" t="n">
        <v>6589</v>
      </c>
      <c r="B6593" s="9" t="inlineStr">
        <is>
          <t>Vanguard_M15</t>
        </is>
      </c>
      <c r="C6593" s="9" t="inlineStr">
        <is>
          <t>Trendline breakout (fractal swing line) + VWAP/S-R distance gate - M15 chart</t>
        </is>
      </c>
      <c r="D6593" s="9" t="inlineStr">
        <is>
          <t>Short</t>
        </is>
      </c>
      <c r="E6593" s="10" t="n">
        <v>46092.36458333334</v>
      </c>
      <c r="F6593" s="10" t="n">
        <v>46098.05208333334</v>
      </c>
      <c r="G6593" s="11" t="n">
        <v>185.13</v>
      </c>
      <c r="H6593" s="11">
        <f>H6592+G6593</f>
        <v/>
      </c>
    </row>
    <row r="6594">
      <c r="A6594" s="9" t="n">
        <v>6590</v>
      </c>
      <c r="B6594" s="9" t="inlineStr">
        <is>
          <t>Vanguard_M5</t>
        </is>
      </c>
      <c r="C6594" s="9" t="inlineStr">
        <is>
          <t>Trendline breakout (fractal swing line) + VWAP/S-R distance gate</t>
        </is>
      </c>
      <c r="D6594" s="9" t="inlineStr">
        <is>
          <t>Short</t>
        </is>
      </c>
      <c r="E6594" s="10" t="n">
        <v>46092.36458333334</v>
      </c>
      <c r="F6594" s="10" t="n">
        <v>46098.05902777778</v>
      </c>
      <c r="G6594" s="11" t="n">
        <v>185.14</v>
      </c>
      <c r="H6594" s="11">
        <f>H6593+G6594</f>
        <v/>
      </c>
    </row>
    <row r="6595">
      <c r="A6595" s="9" t="n">
        <v>6591</v>
      </c>
      <c r="B6595" s="9" t="inlineStr">
        <is>
          <t>Meridian</t>
        </is>
      </c>
      <c r="C6595" s="9" t="inlineStr">
        <is>
          <t>21/50 MA cross, 250-period confirm filter, VWAP</t>
        </is>
      </c>
      <c r="D6595" s="9" t="inlineStr">
        <is>
          <t>Long</t>
        </is>
      </c>
      <c r="E6595" s="10" t="n">
        <v>46098.06597222222</v>
      </c>
      <c r="F6595" s="10" t="n">
        <v>46098.08680555555</v>
      </c>
      <c r="G6595" s="11" t="n">
        <v>-9.970000000000001</v>
      </c>
      <c r="H6595" s="11">
        <f>H6594+G6595</f>
        <v/>
      </c>
    </row>
    <row r="6596">
      <c r="A6596" s="9" t="n">
        <v>6592</v>
      </c>
      <c r="B6596" s="9" t="inlineStr">
        <is>
          <t>Ratchet</t>
        </is>
      </c>
      <c r="C6596" s="9" t="inlineStr">
        <is>
          <t>Stochastic scalp with give-back trail exit</t>
        </is>
      </c>
      <c r="D6596" s="9" t="inlineStr">
        <is>
          <t>Short</t>
        </is>
      </c>
      <c r="E6596" s="10" t="n">
        <v>46098.11805555555</v>
      </c>
      <c r="F6596" s="10" t="n">
        <v>46098.12847222222</v>
      </c>
      <c r="G6596" s="11" t="n">
        <v>-8.880000000000001</v>
      </c>
      <c r="H6596" s="11">
        <f>H6595+G6596</f>
        <v/>
      </c>
    </row>
    <row r="6597">
      <c r="A6597" s="9" t="n">
        <v>6593</v>
      </c>
      <c r="B6597" s="9" t="inlineStr">
        <is>
          <t>Meridian</t>
        </is>
      </c>
      <c r="C6597" s="9" t="inlineStr">
        <is>
          <t>21/50 MA cross, 250-period confirm filter, VWAP</t>
        </is>
      </c>
      <c r="D6597" s="9" t="inlineStr">
        <is>
          <t>Short</t>
        </is>
      </c>
      <c r="E6597" s="10" t="n">
        <v>46098.10763888889</v>
      </c>
      <c r="F6597" s="10" t="n">
        <v>46098.13541666666</v>
      </c>
      <c r="G6597" s="11" t="n">
        <v>-11.47</v>
      </c>
      <c r="H6597" s="11">
        <f>H6596+G6597</f>
        <v/>
      </c>
    </row>
    <row r="6598">
      <c r="A6598" s="9" t="n">
        <v>6594</v>
      </c>
      <c r="B6598" s="9" t="inlineStr">
        <is>
          <t>Meridian</t>
        </is>
      </c>
      <c r="C6598" s="9" t="inlineStr">
        <is>
          <t>21/50 MA cross, 250-period confirm filter, VWAP</t>
        </is>
      </c>
      <c r="D6598" s="9" t="inlineStr">
        <is>
          <t>Long</t>
        </is>
      </c>
      <c r="E6598" s="10" t="n">
        <v>46098.14583333334</v>
      </c>
      <c r="F6598" s="10" t="n">
        <v>46098.34722222222</v>
      </c>
      <c r="G6598" s="11" t="n">
        <v>-1.48</v>
      </c>
      <c r="H6598" s="11">
        <f>H6597+G6598</f>
        <v/>
      </c>
    </row>
    <row r="6599">
      <c r="A6599" s="9" t="n">
        <v>6595</v>
      </c>
      <c r="B6599" s="9" t="inlineStr">
        <is>
          <t>Meridian</t>
        </is>
      </c>
      <c r="C6599" s="9" t="inlineStr">
        <is>
          <t>21/50 MA cross, 250-period confirm filter, VWAP</t>
        </is>
      </c>
      <c r="D6599" s="9" t="inlineStr">
        <is>
          <t>Long</t>
        </is>
      </c>
      <c r="E6599" s="10" t="n">
        <v>46098.45833333334</v>
      </c>
      <c r="F6599" s="10" t="n">
        <v>46098.46527777778</v>
      </c>
      <c r="G6599" s="11" t="n">
        <v>-6.39</v>
      </c>
      <c r="H6599" s="11">
        <f>H6598+G6599</f>
        <v/>
      </c>
    </row>
    <row r="6600">
      <c r="A6600" s="9" t="n">
        <v>6596</v>
      </c>
      <c r="B6600" s="9" t="inlineStr">
        <is>
          <t>Vanguard_M5</t>
        </is>
      </c>
      <c r="C6600" s="9" t="inlineStr">
        <is>
          <t>Trendline breakout (fractal swing line) + VWAP/S-R distance gate</t>
        </is>
      </c>
      <c r="D6600" s="9" t="inlineStr">
        <is>
          <t>Long</t>
        </is>
      </c>
      <c r="E6600" s="10" t="n">
        <v>46098.0625</v>
      </c>
      <c r="F6600" s="10" t="n">
        <v>46098.52777777778</v>
      </c>
      <c r="G6600" s="11" t="n">
        <v>-16</v>
      </c>
      <c r="H6600" s="11">
        <f>H6599+G6600</f>
        <v/>
      </c>
    </row>
    <row r="6601">
      <c r="A6601" s="9" t="n">
        <v>6597</v>
      </c>
      <c r="B6601" s="9" t="inlineStr">
        <is>
          <t>Ratchet</t>
        </is>
      </c>
      <c r="C6601" s="9" t="inlineStr">
        <is>
          <t>Stochastic scalp with give-back trail exit</t>
        </is>
      </c>
      <c r="D6601" s="9" t="inlineStr">
        <is>
          <t>Short</t>
        </is>
      </c>
      <c r="E6601" s="10" t="n">
        <v>46098.53472222222</v>
      </c>
      <c r="F6601" s="10" t="n">
        <v>46098.55208333334</v>
      </c>
      <c r="G6601" s="11" t="n">
        <v>-9.56</v>
      </c>
      <c r="H6601" s="11">
        <f>H6600+G6601</f>
        <v/>
      </c>
    </row>
    <row r="6602">
      <c r="A6602" s="9" t="n">
        <v>6598</v>
      </c>
      <c r="B6602" s="9" t="inlineStr">
        <is>
          <t>MSG</t>
        </is>
      </c>
      <c r="C6602" s="9" t="inlineStr">
        <is>
          <t>Session-range breakout + Fibonacci retracement-zone entry</t>
        </is>
      </c>
      <c r="D6602" s="9" t="inlineStr">
        <is>
          <t>Short</t>
        </is>
      </c>
      <c r="E6602" s="10" t="n">
        <v>46098.57361111111</v>
      </c>
      <c r="F6602" s="10" t="n">
        <v>46098.60555555556</v>
      </c>
      <c r="G6602" s="11" t="n">
        <v>-36.76</v>
      </c>
      <c r="H6602" s="11">
        <f>H6601+G6602</f>
        <v/>
      </c>
    </row>
    <row r="6603">
      <c r="A6603" s="9" t="n">
        <v>6599</v>
      </c>
      <c r="B6603" s="9" t="inlineStr">
        <is>
          <t>Meridian</t>
        </is>
      </c>
      <c r="C6603" s="9" t="inlineStr">
        <is>
          <t>21/50 MA cross, 250-period confirm filter, VWAP</t>
        </is>
      </c>
      <c r="D6603" s="9" t="inlineStr">
        <is>
          <t>Long</t>
        </is>
      </c>
      <c r="E6603" s="10" t="n">
        <v>46098.62847222222</v>
      </c>
      <c r="F6603" s="10" t="n">
        <v>46098.6875</v>
      </c>
      <c r="G6603" s="11" t="n">
        <v>-12</v>
      </c>
      <c r="H6603" s="11">
        <f>H6602+G6603</f>
        <v/>
      </c>
    </row>
    <row r="6604">
      <c r="A6604" s="9" t="n">
        <v>6600</v>
      </c>
      <c r="B6604" s="9" t="inlineStr">
        <is>
          <t>Vanguard_M15</t>
        </is>
      </c>
      <c r="C6604" s="9" t="inlineStr">
        <is>
          <t>Trendline breakout (fractal swing line) + VWAP/S-R distance gate - M15 chart</t>
        </is>
      </c>
      <c r="D6604" s="9" t="inlineStr">
        <is>
          <t>Long</t>
        </is>
      </c>
      <c r="E6604" s="10" t="n">
        <v>46098.0625</v>
      </c>
      <c r="F6604" s="10" t="n">
        <v>46098.72916666666</v>
      </c>
      <c r="G6604" s="11" t="n">
        <v>-26.76</v>
      </c>
      <c r="H6604" s="11">
        <f>H6603+G6604</f>
        <v/>
      </c>
    </row>
    <row r="6605">
      <c r="A6605" s="9" t="n">
        <v>6601</v>
      </c>
      <c r="B6605" s="9" t="inlineStr">
        <is>
          <t>Aurelius_M5</t>
        </is>
      </c>
      <c r="C6605" s="9" t="inlineStr">
        <is>
          <t>MA alignment (EMA21&gt;EMA50&gt;SMA250&gt;SMMA500 vs EMA2400 trend filter)</t>
        </is>
      </c>
      <c r="D6605" s="9" t="inlineStr">
        <is>
          <t>Short</t>
        </is>
      </c>
      <c r="E6605" s="10" t="n">
        <v>46098.73611111111</v>
      </c>
      <c r="F6605" s="10" t="n">
        <v>46098.76041666666</v>
      </c>
      <c r="G6605" s="11" t="n">
        <v>-20.47</v>
      </c>
      <c r="H6605" s="11">
        <f>H6604+G6605</f>
        <v/>
      </c>
    </row>
    <row r="6606">
      <c r="A6606" s="9" t="n">
        <v>6602</v>
      </c>
      <c r="B6606" s="9" t="inlineStr">
        <is>
          <t>Ratchet</t>
        </is>
      </c>
      <c r="C6606" s="9" t="inlineStr">
        <is>
          <t>Stochastic scalp with give-back trail exit</t>
        </is>
      </c>
      <c r="D6606" s="9" t="inlineStr">
        <is>
          <t>Short</t>
        </is>
      </c>
      <c r="E6606" s="10" t="n">
        <v>46098.89236111111</v>
      </c>
      <c r="F6606" s="10" t="n">
        <v>46098.89930555555</v>
      </c>
      <c r="G6606" s="11" t="n">
        <v>-0</v>
      </c>
      <c r="H6606" s="11">
        <f>H6605+G6606</f>
        <v/>
      </c>
    </row>
    <row r="6607">
      <c r="A6607" s="9" t="n">
        <v>6603</v>
      </c>
      <c r="B6607" s="9" t="inlineStr">
        <is>
          <t>Meridian</t>
        </is>
      </c>
      <c r="C6607" s="9" t="inlineStr">
        <is>
          <t>21/50 MA cross, 250-period confirm filter, VWAP</t>
        </is>
      </c>
      <c r="D6607" s="9" t="inlineStr">
        <is>
          <t>Short</t>
        </is>
      </c>
      <c r="E6607" s="10" t="n">
        <v>46098.70833333334</v>
      </c>
      <c r="F6607" s="10" t="n">
        <v>46099.09027777778</v>
      </c>
      <c r="G6607" s="11" t="n">
        <v>-4.98</v>
      </c>
      <c r="H6607" s="11">
        <f>H6606+G6607</f>
        <v/>
      </c>
    </row>
    <row r="6608">
      <c r="A6608" s="9" t="n">
        <v>6604</v>
      </c>
      <c r="B6608" s="9" t="inlineStr">
        <is>
          <t>Ratchet</t>
        </is>
      </c>
      <c r="C6608" s="9" t="inlineStr">
        <is>
          <t>Stochastic scalp with give-back trail exit</t>
        </is>
      </c>
      <c r="D6608" s="9" t="inlineStr">
        <is>
          <t>Short</t>
        </is>
      </c>
      <c r="E6608" s="10" t="n">
        <v>46099.17013888889</v>
      </c>
      <c r="F6608" s="10" t="n">
        <v>46099.18055555555</v>
      </c>
      <c r="G6608" s="11" t="n">
        <v>-8.619999999999999</v>
      </c>
      <c r="H6608" s="11">
        <f>H6607+G6608</f>
        <v/>
      </c>
    </row>
    <row r="6609">
      <c r="A6609" s="9" t="n">
        <v>6605</v>
      </c>
      <c r="B6609" s="9" t="inlineStr">
        <is>
          <t>Ratchet</t>
        </is>
      </c>
      <c r="C6609" s="9" t="inlineStr">
        <is>
          <t>Stochastic scalp with give-back trail exit</t>
        </is>
      </c>
      <c r="D6609" s="9" t="inlineStr">
        <is>
          <t>Short</t>
        </is>
      </c>
      <c r="E6609" s="10" t="n">
        <v>46099.23611111111</v>
      </c>
      <c r="F6609" s="10" t="n">
        <v>46099.29861111111</v>
      </c>
      <c r="G6609" s="11" t="n">
        <v>3.72</v>
      </c>
      <c r="H6609" s="11">
        <f>H6608+G6609</f>
        <v/>
      </c>
    </row>
    <row r="6610">
      <c r="A6610" s="9" t="n">
        <v>6606</v>
      </c>
      <c r="B6610" s="9" t="inlineStr">
        <is>
          <t>Aurelius_M5</t>
        </is>
      </c>
      <c r="C6610" s="9" t="inlineStr">
        <is>
          <t>MA alignment (EMA21&gt;EMA50&gt;SMA250&gt;SMMA500 vs EMA2400 trend filter)</t>
        </is>
      </c>
      <c r="D6610" s="9" t="inlineStr">
        <is>
          <t>Short</t>
        </is>
      </c>
      <c r="E6610" s="10" t="n">
        <v>46099.20833333334</v>
      </c>
      <c r="F6610" s="10" t="n">
        <v>46099.32291666666</v>
      </c>
      <c r="G6610" s="11" t="n">
        <v>-10.55</v>
      </c>
      <c r="H6610" s="11">
        <f>H6609+G6610</f>
        <v/>
      </c>
    </row>
    <row r="6611">
      <c r="A6611" s="9" t="n">
        <v>6607</v>
      </c>
      <c r="B6611" s="9" t="inlineStr">
        <is>
          <t>Meridian</t>
        </is>
      </c>
      <c r="C6611" s="9" t="inlineStr">
        <is>
          <t>21/50 MA cross, 250-period confirm filter, VWAP</t>
        </is>
      </c>
      <c r="D6611" s="9" t="inlineStr">
        <is>
          <t>Short</t>
        </is>
      </c>
      <c r="E6611" s="10" t="n">
        <v>46099.17013888889</v>
      </c>
      <c r="F6611" s="10" t="n">
        <v>46099.34027777778</v>
      </c>
      <c r="G6611" s="11" t="n">
        <v>-10.8</v>
      </c>
      <c r="H6611" s="11">
        <f>H6610+G6611</f>
        <v/>
      </c>
    </row>
    <row r="6612">
      <c r="A6612" s="9" t="n">
        <v>6608</v>
      </c>
      <c r="B6612" s="9" t="inlineStr">
        <is>
          <t>Ratchet</t>
        </is>
      </c>
      <c r="C6612" s="9" t="inlineStr">
        <is>
          <t>Stochastic scalp with give-back trail exit</t>
        </is>
      </c>
      <c r="D6612" s="9" t="inlineStr">
        <is>
          <t>Short</t>
        </is>
      </c>
      <c r="E6612" s="10" t="n">
        <v>46099.51736111111</v>
      </c>
      <c r="F6612" s="10" t="n">
        <v>46099.52083333334</v>
      </c>
      <c r="G6612" s="11" t="n">
        <v>1.87</v>
      </c>
      <c r="H6612" s="11">
        <f>H6611+G6612</f>
        <v/>
      </c>
    </row>
    <row r="6613">
      <c r="A6613" s="9" t="n">
        <v>6609</v>
      </c>
      <c r="B6613" s="9" t="inlineStr">
        <is>
          <t>Ratchet</t>
        </is>
      </c>
      <c r="C6613" s="9" t="inlineStr">
        <is>
          <t>Stochastic scalp with give-back trail exit</t>
        </is>
      </c>
      <c r="D6613" s="9" t="inlineStr">
        <is>
          <t>Short</t>
        </is>
      </c>
      <c r="E6613" s="10" t="n">
        <v>46099.65972222222</v>
      </c>
      <c r="F6613" s="10" t="n">
        <v>46099.69791666666</v>
      </c>
      <c r="G6613" s="11" t="n">
        <v>3.3</v>
      </c>
      <c r="H6613" s="11">
        <f>H6612+G6613</f>
        <v/>
      </c>
    </row>
    <row r="6614">
      <c r="A6614" s="9" t="n">
        <v>6610</v>
      </c>
      <c r="B6614" s="9" t="inlineStr">
        <is>
          <t>Aurelius_M5</t>
        </is>
      </c>
      <c r="C6614" s="9" t="inlineStr">
        <is>
          <t>MA alignment (EMA21&gt;EMA50&gt;SMA250&gt;SMMA500 vs EMA2400 trend filter)</t>
        </is>
      </c>
      <c r="D6614" s="9" t="inlineStr">
        <is>
          <t>Short</t>
        </is>
      </c>
      <c r="E6614" s="10" t="n">
        <v>46099.52777777778</v>
      </c>
      <c r="F6614" s="10" t="n">
        <v>46099.80208333334</v>
      </c>
      <c r="G6614" s="11" t="n">
        <v>89.92</v>
      </c>
      <c r="H6614" s="11">
        <f>H6613+G6614</f>
        <v/>
      </c>
    </row>
    <row r="6615">
      <c r="A6615" s="9" t="n">
        <v>6611</v>
      </c>
      <c r="B6615" s="9" t="inlineStr">
        <is>
          <t>Meridian</t>
        </is>
      </c>
      <c r="C6615" s="9" t="inlineStr">
        <is>
          <t>21/50 MA cross, 250-period confirm filter, VWAP</t>
        </is>
      </c>
      <c r="D6615" s="9" t="inlineStr">
        <is>
          <t>Short</t>
        </is>
      </c>
      <c r="E6615" s="10" t="n">
        <v>46099.43055555555</v>
      </c>
      <c r="F6615" s="10" t="n">
        <v>46099.82638888889</v>
      </c>
      <c r="G6615" s="11" t="n">
        <v>98.97</v>
      </c>
      <c r="H6615" s="11">
        <f>H6614+G6615</f>
        <v/>
      </c>
    </row>
    <row r="6616">
      <c r="A6616" s="9" t="n">
        <v>6612</v>
      </c>
      <c r="B6616" s="9" t="inlineStr">
        <is>
          <t>Aurelius_M15</t>
        </is>
      </c>
      <c r="C6616" s="9" t="inlineStr">
        <is>
          <t>MA alignment (EMA21&gt;EMA50&gt;SMA250&gt;SMMA500 vs EMA2400 trend filter) - M15 chart</t>
        </is>
      </c>
      <c r="D6616" s="9" t="inlineStr">
        <is>
          <t>Short</t>
        </is>
      </c>
      <c r="E6616" s="10" t="n">
        <v>46098.6875</v>
      </c>
      <c r="F6616" s="10" t="n">
        <v>46100.10416666666</v>
      </c>
      <c r="G6616" s="11" t="n">
        <v>165.87</v>
      </c>
      <c r="H6616" s="11">
        <f>H6615+G6616</f>
        <v/>
      </c>
    </row>
    <row r="6617">
      <c r="A6617" s="9" t="n">
        <v>6613</v>
      </c>
      <c r="B6617" s="9" t="inlineStr">
        <is>
          <t>Meridian</t>
        </is>
      </c>
      <c r="C6617" s="9" t="inlineStr">
        <is>
          <t>21/50 MA cross, 250-period confirm filter, VWAP</t>
        </is>
      </c>
      <c r="D6617" s="9" t="inlineStr">
        <is>
          <t>Short</t>
        </is>
      </c>
      <c r="E6617" s="10" t="n">
        <v>46099.85069444445</v>
      </c>
      <c r="F6617" s="10" t="n">
        <v>46100.15277777778</v>
      </c>
      <c r="G6617" s="11" t="n">
        <v>18.49</v>
      </c>
      <c r="H6617" s="11">
        <f>H6616+G6617</f>
        <v/>
      </c>
    </row>
    <row r="6618">
      <c r="A6618" s="9" t="n">
        <v>6614</v>
      </c>
      <c r="B6618" s="9" t="inlineStr">
        <is>
          <t>Ratchet</t>
        </is>
      </c>
      <c r="C6618" s="9" t="inlineStr">
        <is>
          <t>Stochastic scalp with give-back trail exit</t>
        </is>
      </c>
      <c r="D6618" s="9" t="inlineStr">
        <is>
          <t>Short</t>
        </is>
      </c>
      <c r="E6618" s="10" t="n">
        <v>46100.34375</v>
      </c>
      <c r="F6618" s="10" t="n">
        <v>46100.62152777778</v>
      </c>
      <c r="G6618" s="11" t="n">
        <v>259.36</v>
      </c>
      <c r="H6618" s="11">
        <f>H6617+G6618</f>
        <v/>
      </c>
    </row>
    <row r="6619">
      <c r="A6619" s="9" t="n">
        <v>6615</v>
      </c>
      <c r="B6619" s="9" t="inlineStr">
        <is>
          <t>Ratchet</t>
        </is>
      </c>
      <c r="C6619" s="9" t="inlineStr">
        <is>
          <t>Stochastic scalp with give-back trail exit</t>
        </is>
      </c>
      <c r="D6619" s="9" t="inlineStr">
        <is>
          <t>Short</t>
        </is>
      </c>
      <c r="E6619" s="10" t="n">
        <v>46100.79166666666</v>
      </c>
      <c r="F6619" s="10" t="n">
        <v>46100.79861111111</v>
      </c>
      <c r="G6619" s="11" t="n">
        <v>-0</v>
      </c>
      <c r="H6619" s="11">
        <f>H6618+G6619</f>
        <v/>
      </c>
    </row>
    <row r="6620">
      <c r="A6620" s="9" t="n">
        <v>6616</v>
      </c>
      <c r="B6620" s="9" t="inlineStr">
        <is>
          <t>Meridian</t>
        </is>
      </c>
      <c r="C6620" s="9" t="inlineStr">
        <is>
          <t>21/50 MA cross, 250-period confirm filter, VWAP</t>
        </is>
      </c>
      <c r="D6620" s="9" t="inlineStr">
        <is>
          <t>Short</t>
        </is>
      </c>
      <c r="E6620" s="10" t="n">
        <v>46100.31597222222</v>
      </c>
      <c r="F6620" s="10" t="n">
        <v>46100.875</v>
      </c>
      <c r="G6620" s="11" t="n">
        <v>217.5</v>
      </c>
      <c r="H6620" s="11">
        <f>H6619+G6620</f>
        <v/>
      </c>
    </row>
    <row r="6621">
      <c r="A6621" s="9" t="n">
        <v>6617</v>
      </c>
      <c r="B6621" s="9" t="inlineStr">
        <is>
          <t>Aurelius_M5</t>
        </is>
      </c>
      <c r="C6621" s="9" t="inlineStr">
        <is>
          <t>MA alignment (EMA21&gt;EMA50&gt;SMA250&gt;SMMA500 vs EMA2400 trend filter)</t>
        </is>
      </c>
      <c r="D6621" s="9" t="inlineStr">
        <is>
          <t>Short</t>
        </is>
      </c>
      <c r="E6621" s="10" t="n">
        <v>46100.32291666666</v>
      </c>
      <c r="F6621" s="10" t="n">
        <v>46100.875</v>
      </c>
      <c r="G6621" s="11" t="n">
        <v>210.45</v>
      </c>
      <c r="H6621" s="11">
        <f>H6620+G6621</f>
        <v/>
      </c>
    </row>
    <row r="6622">
      <c r="A6622" s="9" t="n">
        <v>6618</v>
      </c>
      <c r="B6622" s="9" t="inlineStr">
        <is>
          <t>Aurelius_M15</t>
        </is>
      </c>
      <c r="C6622" s="9" t="inlineStr">
        <is>
          <t>MA alignment (EMA21&gt;EMA50&gt;SMA250&gt;SMMA500 vs EMA2400 trend filter) - M15 chart</t>
        </is>
      </c>
      <c r="D6622" s="9" t="inlineStr">
        <is>
          <t>Short</t>
        </is>
      </c>
      <c r="E6622" s="10" t="n">
        <v>46100.36458333334</v>
      </c>
      <c r="F6622" s="10" t="n">
        <v>46101.21875</v>
      </c>
      <c r="G6622" s="11" t="n">
        <v>68.70999999999999</v>
      </c>
      <c r="H6622" s="11">
        <f>H6621+G6622</f>
        <v/>
      </c>
    </row>
    <row r="6623">
      <c r="A6623" s="9" t="n">
        <v>6619</v>
      </c>
      <c r="B6623" s="9" t="inlineStr">
        <is>
          <t>Meridian</t>
        </is>
      </c>
      <c r="C6623" s="9" t="inlineStr">
        <is>
          <t>21/50 MA cross, 250-period confirm filter, VWAP</t>
        </is>
      </c>
      <c r="D6623" s="9" t="inlineStr">
        <is>
          <t>Long</t>
        </is>
      </c>
      <c r="E6623" s="10" t="n">
        <v>46101.42708333334</v>
      </c>
      <c r="F6623" s="10" t="n">
        <v>46101.44791666666</v>
      </c>
      <c r="G6623" s="11" t="n">
        <v>-19.31</v>
      </c>
      <c r="H6623" s="11">
        <f>H6622+G6623</f>
        <v/>
      </c>
    </row>
    <row r="6624">
      <c r="A6624" s="9" t="n">
        <v>6620</v>
      </c>
      <c r="B6624" s="9" t="inlineStr">
        <is>
          <t>Vanguard_M5</t>
        </is>
      </c>
      <c r="C6624" s="9" t="inlineStr">
        <is>
          <t>Trendline breakout (fractal swing line) + VWAP/S-R distance gate</t>
        </is>
      </c>
      <c r="D6624" s="9" t="inlineStr">
        <is>
          <t>Short</t>
        </is>
      </c>
      <c r="E6624" s="10" t="n">
        <v>46099.53819444445</v>
      </c>
      <c r="F6624" s="10" t="n">
        <v>46101.58680555555</v>
      </c>
      <c r="G6624" s="11" t="n">
        <v>284.6</v>
      </c>
      <c r="H6624" s="11">
        <f>H6623+G6624</f>
        <v/>
      </c>
    </row>
    <row r="6625">
      <c r="A6625" s="9" t="n">
        <v>6621</v>
      </c>
      <c r="B6625" s="9" t="inlineStr">
        <is>
          <t>Vanguard_M5</t>
        </is>
      </c>
      <c r="C6625" s="9" t="inlineStr">
        <is>
          <t>Trendline breakout (fractal swing line) + VWAP/S-R distance gate</t>
        </is>
      </c>
      <c r="D6625" s="9" t="inlineStr">
        <is>
          <t>Long</t>
        </is>
      </c>
      <c r="E6625" s="10" t="n">
        <v>46101.59027777778</v>
      </c>
      <c r="F6625" s="10" t="n">
        <v>46101.64583333334</v>
      </c>
      <c r="G6625" s="11" t="n">
        <v>-39.72</v>
      </c>
      <c r="H6625" s="11">
        <f>H6624+G6625</f>
        <v/>
      </c>
    </row>
    <row r="6626">
      <c r="A6626" s="9" t="n">
        <v>6622</v>
      </c>
      <c r="B6626" s="9" t="inlineStr">
        <is>
          <t>Ratchet</t>
        </is>
      </c>
      <c r="C6626" s="9" t="inlineStr">
        <is>
          <t>Stochastic scalp with give-back trail exit</t>
        </is>
      </c>
      <c r="D6626" s="9" t="inlineStr">
        <is>
          <t>Short</t>
        </is>
      </c>
      <c r="E6626" s="10" t="n">
        <v>46101.64236111111</v>
      </c>
      <c r="F6626" s="10" t="n">
        <v>46101.64930555555</v>
      </c>
      <c r="G6626" s="11" t="n">
        <v>5.06</v>
      </c>
      <c r="H6626" s="11">
        <f>H6625+G6626</f>
        <v/>
      </c>
    </row>
    <row r="6627">
      <c r="A6627" s="9" t="n">
        <v>6623</v>
      </c>
      <c r="B6627" s="9" t="inlineStr">
        <is>
          <t>Vanguard_M15</t>
        </is>
      </c>
      <c r="C6627" s="9" t="inlineStr">
        <is>
          <t>Trendline breakout (fractal swing line) + VWAP/S-R distance gate - M15 chart</t>
        </is>
      </c>
      <c r="D6627" s="9" t="inlineStr">
        <is>
          <t>Long</t>
        </is>
      </c>
      <c r="E6627" s="10" t="n">
        <v>46101.59375</v>
      </c>
      <c r="F6627" s="10" t="n">
        <v>46101.65625</v>
      </c>
      <c r="G6627" s="11" t="n">
        <v>-53.96</v>
      </c>
      <c r="H6627" s="11">
        <f>H6626+G6627</f>
        <v/>
      </c>
    </row>
    <row r="6628">
      <c r="A6628" s="9" t="n">
        <v>6624</v>
      </c>
      <c r="B6628" s="9" t="inlineStr">
        <is>
          <t>Aurelius_M5</t>
        </is>
      </c>
      <c r="C6628" s="9" t="inlineStr">
        <is>
          <t>MA alignment (EMA21&gt;EMA50&gt;SMA250&gt;SMMA500 vs EMA2400 trend filter)</t>
        </is>
      </c>
      <c r="D6628" s="9" t="inlineStr">
        <is>
          <t>Short</t>
        </is>
      </c>
      <c r="E6628" s="10" t="n">
        <v>46101.66666666666</v>
      </c>
      <c r="F6628" s="10" t="n">
        <v>46101.87847222222</v>
      </c>
      <c r="G6628" s="11" t="n">
        <v>115.7</v>
      </c>
      <c r="H6628" s="11">
        <f>H6627+G6628</f>
        <v/>
      </c>
    </row>
    <row r="6629">
      <c r="A6629" s="9" t="n">
        <v>6625</v>
      </c>
      <c r="B6629" s="9" t="inlineStr">
        <is>
          <t>Aurelius_M15</t>
        </is>
      </c>
      <c r="C6629" s="9" t="inlineStr">
        <is>
          <t>MA alignment (EMA21&gt;EMA50&gt;SMA250&gt;SMMA500 vs EMA2400 trend filter) - M15 chart</t>
        </is>
      </c>
      <c r="D6629" s="9" t="inlineStr">
        <is>
          <t>Short</t>
        </is>
      </c>
      <c r="E6629" s="10" t="n">
        <v>46101.63541666666</v>
      </c>
      <c r="F6629" s="10" t="n">
        <v>46101.88541666666</v>
      </c>
      <c r="G6629" s="11" t="n">
        <v>161.29</v>
      </c>
      <c r="H6629" s="11">
        <f>H6628+G6629</f>
        <v/>
      </c>
    </row>
    <row r="6630">
      <c r="A6630" s="9" t="n">
        <v>6626</v>
      </c>
      <c r="B6630" s="9" t="inlineStr">
        <is>
          <t>MSG</t>
        </is>
      </c>
      <c r="C6630" s="9" t="inlineStr">
        <is>
          <t>Session-range breakout + Fibonacci retracement-zone entry</t>
        </is>
      </c>
      <c r="D6630" s="9" t="inlineStr">
        <is>
          <t>Short</t>
        </is>
      </c>
      <c r="E6630" s="10" t="n">
        <v>46100.675</v>
      </c>
      <c r="F6630" s="10" t="n">
        <v>46104</v>
      </c>
      <c r="G6630" s="11" t="n">
        <v>468.12</v>
      </c>
      <c r="H6630" s="11">
        <f>H6629+G6630</f>
        <v/>
      </c>
    </row>
    <row r="6631">
      <c r="A6631" s="9" t="n">
        <v>6627</v>
      </c>
      <c r="B6631" s="9" t="inlineStr">
        <is>
          <t>Ratchet</t>
        </is>
      </c>
      <c r="C6631" s="9" t="inlineStr">
        <is>
          <t>Stochastic scalp with give-back trail exit</t>
        </is>
      </c>
      <c r="D6631" s="9" t="inlineStr">
        <is>
          <t>Short</t>
        </is>
      </c>
      <c r="E6631" s="10" t="n">
        <v>46104.04861111111</v>
      </c>
      <c r="F6631" s="10" t="n">
        <v>46104.06944444445</v>
      </c>
      <c r="G6631" s="11" t="n">
        <v>4.84</v>
      </c>
      <c r="H6631" s="11">
        <f>H6630+G6631</f>
        <v/>
      </c>
    </row>
    <row r="6632">
      <c r="A6632" s="9" t="n">
        <v>6628</v>
      </c>
      <c r="B6632" s="9" t="inlineStr">
        <is>
          <t>Ratchet</t>
        </is>
      </c>
      <c r="C6632" s="9" t="inlineStr">
        <is>
          <t>Stochastic scalp with give-back trail exit</t>
        </is>
      </c>
      <c r="D6632" s="9" t="inlineStr">
        <is>
          <t>Short</t>
        </is>
      </c>
      <c r="E6632" s="10" t="n">
        <v>46104.1875</v>
      </c>
      <c r="F6632" s="10" t="n">
        <v>46104.33333333334</v>
      </c>
      <c r="G6632" s="11" t="n">
        <v>88.92</v>
      </c>
      <c r="H6632" s="11">
        <f>H6631+G6632</f>
        <v/>
      </c>
    </row>
    <row r="6633">
      <c r="A6633" s="9" t="n">
        <v>6629</v>
      </c>
      <c r="B6633" s="9" t="inlineStr">
        <is>
          <t>Meridian</t>
        </is>
      </c>
      <c r="C6633" s="9" t="inlineStr">
        <is>
          <t>21/50 MA cross, 250-period confirm filter, VWAP</t>
        </is>
      </c>
      <c r="D6633" s="9" t="inlineStr">
        <is>
          <t>Long</t>
        </is>
      </c>
      <c r="E6633" s="10" t="n">
        <v>46104.83333333334</v>
      </c>
      <c r="F6633" s="10" t="n">
        <v>46104.92013888889</v>
      </c>
      <c r="G6633" s="11" t="n">
        <v>-33.79</v>
      </c>
      <c r="H6633" s="11">
        <f>H6632+G6633</f>
        <v/>
      </c>
    </row>
    <row r="6634">
      <c r="A6634" s="9" t="n">
        <v>6630</v>
      </c>
      <c r="B6634" s="9" t="inlineStr">
        <is>
          <t>Meridian</t>
        </is>
      </c>
      <c r="C6634" s="9" t="inlineStr">
        <is>
          <t>21/50 MA cross, 250-period confirm filter, VWAP</t>
        </is>
      </c>
      <c r="D6634" s="9" t="inlineStr">
        <is>
          <t>Long</t>
        </is>
      </c>
      <c r="E6634" s="10" t="n">
        <v>46105.04513888889</v>
      </c>
      <c r="F6634" s="10" t="n">
        <v>46105.10069444445</v>
      </c>
      <c r="G6634" s="11" t="n">
        <v>-32.38</v>
      </c>
      <c r="H6634" s="11">
        <f>H6633+G6634</f>
        <v/>
      </c>
    </row>
    <row r="6635">
      <c r="A6635" s="9" t="n">
        <v>6631</v>
      </c>
      <c r="B6635" s="9" t="inlineStr">
        <is>
          <t>Ratchet</t>
        </is>
      </c>
      <c r="C6635" s="9" t="inlineStr">
        <is>
          <t>Stochastic scalp with give-back trail exit</t>
        </is>
      </c>
      <c r="D6635" s="9" t="inlineStr">
        <is>
          <t>Short</t>
        </is>
      </c>
      <c r="E6635" s="10" t="n">
        <v>46105.13541666666</v>
      </c>
      <c r="F6635" s="10" t="n">
        <v>46105.15972222222</v>
      </c>
      <c r="G6635" s="11" t="n">
        <v>4.84</v>
      </c>
      <c r="H6635" s="11">
        <f>H6634+G6635</f>
        <v/>
      </c>
    </row>
    <row r="6636">
      <c r="A6636" s="9" t="n">
        <v>6632</v>
      </c>
      <c r="B6636" s="9" t="inlineStr">
        <is>
          <t>Ratchet</t>
        </is>
      </c>
      <c r="C6636" s="9" t="inlineStr">
        <is>
          <t>Stochastic scalp with give-back trail exit</t>
        </is>
      </c>
      <c r="D6636" s="9" t="inlineStr">
        <is>
          <t>Short</t>
        </is>
      </c>
      <c r="E6636" s="10" t="n">
        <v>46105.23958333334</v>
      </c>
      <c r="F6636" s="10" t="n">
        <v>46105.26736111111</v>
      </c>
      <c r="G6636" s="11" t="n">
        <v>3.35</v>
      </c>
      <c r="H6636" s="11">
        <f>H6635+G6636</f>
        <v/>
      </c>
    </row>
    <row r="6637">
      <c r="A6637" s="9" t="n">
        <v>6633</v>
      </c>
      <c r="B6637" s="9" t="inlineStr">
        <is>
          <t>Vanguard_M15</t>
        </is>
      </c>
      <c r="C6637" s="9" t="inlineStr">
        <is>
          <t>Trendline breakout (fractal swing line) + VWAP/S-R distance gate - M15 chart</t>
        </is>
      </c>
      <c r="D6637" s="9" t="inlineStr">
        <is>
          <t>Long</t>
        </is>
      </c>
      <c r="E6637" s="10" t="n">
        <v>46105.38541666666</v>
      </c>
      <c r="F6637" s="10" t="n">
        <v>46105.55208333334</v>
      </c>
      <c r="G6637" s="11" t="n">
        <v>-11.78</v>
      </c>
      <c r="H6637" s="11">
        <f>H6636+G6637</f>
        <v/>
      </c>
    </row>
    <row r="6638">
      <c r="A6638" s="9" t="n">
        <v>6634</v>
      </c>
      <c r="B6638" s="9" t="inlineStr">
        <is>
          <t>Vanguard_M5</t>
        </is>
      </c>
      <c r="C6638" s="9" t="inlineStr">
        <is>
          <t>Trendline breakout (fractal swing line) + VWAP/S-R distance gate</t>
        </is>
      </c>
      <c r="D6638" s="9" t="inlineStr">
        <is>
          <t>Long</t>
        </is>
      </c>
      <c r="E6638" s="10" t="n">
        <v>46105.38194444445</v>
      </c>
      <c r="F6638" s="10" t="n">
        <v>46105.55902777778</v>
      </c>
      <c r="G6638" s="11" t="n">
        <v>-2.57</v>
      </c>
      <c r="H6638" s="11">
        <f>H6637+G6638</f>
        <v/>
      </c>
    </row>
    <row r="6639">
      <c r="A6639" s="9" t="n">
        <v>6635</v>
      </c>
      <c r="B6639" s="9" t="inlineStr">
        <is>
          <t>Meridian</t>
        </is>
      </c>
      <c r="C6639" s="9" t="inlineStr">
        <is>
          <t>21/50 MA cross, 250-period confirm filter, VWAP</t>
        </is>
      </c>
      <c r="D6639" s="9" t="inlineStr">
        <is>
          <t>Long</t>
        </is>
      </c>
      <c r="E6639" s="10" t="n">
        <v>46105.35069444445</v>
      </c>
      <c r="F6639" s="10" t="n">
        <v>46105.61111111111</v>
      </c>
      <c r="G6639" s="11" t="n">
        <v>-20.5</v>
      </c>
      <c r="H6639" s="11">
        <f>H6638+G6639</f>
        <v/>
      </c>
    </row>
    <row r="6640">
      <c r="A6640" s="9" t="n">
        <v>6636</v>
      </c>
      <c r="B6640" s="9" t="inlineStr">
        <is>
          <t>Ratchet</t>
        </is>
      </c>
      <c r="C6640" s="9" t="inlineStr">
        <is>
          <t>Stochastic scalp with give-back trail exit</t>
        </is>
      </c>
      <c r="D6640" s="9" t="inlineStr">
        <is>
          <t>Short</t>
        </is>
      </c>
      <c r="E6640" s="10" t="n">
        <v>46105.65972222222</v>
      </c>
      <c r="F6640" s="10" t="n">
        <v>46105.66319444445</v>
      </c>
      <c r="G6640" s="11" t="n">
        <v>-26.9</v>
      </c>
      <c r="H6640" s="11">
        <f>H6639+G6640</f>
        <v/>
      </c>
    </row>
    <row r="6641">
      <c r="A6641" s="9" t="n">
        <v>6637</v>
      </c>
      <c r="B6641" s="9" t="inlineStr">
        <is>
          <t>MSG</t>
        </is>
      </c>
      <c r="C6641" s="9" t="inlineStr">
        <is>
          <t>Session-range breakout + Fibonacci retracement-zone entry</t>
        </is>
      </c>
      <c r="D6641" s="9" t="inlineStr">
        <is>
          <t>Short</t>
        </is>
      </c>
      <c r="E6641" s="10" t="n">
        <v>46105.66944444444</v>
      </c>
      <c r="F6641" s="10" t="n">
        <v>46105.69583333333</v>
      </c>
      <c r="G6641" s="11" t="n">
        <v>-76.69</v>
      </c>
      <c r="H6641" s="11">
        <f>H6640+G6641</f>
        <v/>
      </c>
    </row>
    <row r="6642">
      <c r="A6642" s="9" t="n">
        <v>6638</v>
      </c>
      <c r="B6642" s="9" t="inlineStr">
        <is>
          <t>Meridian</t>
        </is>
      </c>
      <c r="C6642" s="9" t="inlineStr">
        <is>
          <t>21/50 MA cross, 250-period confirm filter, VWAP</t>
        </is>
      </c>
      <c r="D6642" s="9" t="inlineStr">
        <is>
          <t>Long</t>
        </is>
      </c>
      <c r="E6642" s="10" t="n">
        <v>46105.70486111111</v>
      </c>
      <c r="F6642" s="10" t="n">
        <v>46105.8125</v>
      </c>
      <c r="G6642" s="11" t="n">
        <v>-41.28</v>
      </c>
      <c r="H6642" s="11">
        <f>H6641+G6642</f>
        <v/>
      </c>
    </row>
    <row r="6643">
      <c r="A6643" s="9" t="n">
        <v>6639</v>
      </c>
      <c r="B6643" s="9" t="inlineStr">
        <is>
          <t>Meridian</t>
        </is>
      </c>
      <c r="C6643" s="9" t="inlineStr">
        <is>
          <t>21/50 MA cross, 250-period confirm filter, VWAP</t>
        </is>
      </c>
      <c r="D6643" s="9" t="inlineStr">
        <is>
          <t>Short</t>
        </is>
      </c>
      <c r="E6643" s="10" t="n">
        <v>46105.81944444445</v>
      </c>
      <c r="F6643" s="10" t="n">
        <v>46105.85416666666</v>
      </c>
      <c r="G6643" s="11" t="n">
        <v>-28.25</v>
      </c>
      <c r="H6643" s="11">
        <f>H6642+G6643</f>
        <v/>
      </c>
    </row>
    <row r="6644">
      <c r="A6644" s="9" t="n">
        <v>6640</v>
      </c>
      <c r="B6644" s="9" t="inlineStr">
        <is>
          <t>Vanguard_M5</t>
        </is>
      </c>
      <c r="C6644" s="9" t="inlineStr">
        <is>
          <t>Trendline breakout (fractal swing line) + VWAP/S-R distance gate</t>
        </is>
      </c>
      <c r="D6644" s="9" t="inlineStr">
        <is>
          <t>Long</t>
        </is>
      </c>
      <c r="E6644" s="10" t="n">
        <v>46105.93055555555</v>
      </c>
      <c r="F6644" s="10" t="n">
        <v>46106.06944444445</v>
      </c>
      <c r="G6644" s="11" t="n">
        <v>129.82</v>
      </c>
      <c r="H6644" s="11">
        <f>H6643+G6644</f>
        <v/>
      </c>
    </row>
    <row r="6645">
      <c r="A6645" s="9" t="n">
        <v>6641</v>
      </c>
      <c r="B6645" s="9" t="inlineStr">
        <is>
          <t>Vanguard_M15</t>
        </is>
      </c>
      <c r="C6645" s="9" t="inlineStr">
        <is>
          <t>Trendline breakout (fractal swing line) + VWAP/S-R distance gate - M15 chart</t>
        </is>
      </c>
      <c r="D6645" s="9" t="inlineStr">
        <is>
          <t>Long</t>
        </is>
      </c>
      <c r="E6645" s="10" t="n">
        <v>46105.9375</v>
      </c>
      <c r="F6645" s="10" t="n">
        <v>46106.20833333334</v>
      </c>
      <c r="G6645" s="11" t="n">
        <v>120.75</v>
      </c>
      <c r="H6645" s="11">
        <f>H6644+G6645</f>
        <v/>
      </c>
    </row>
    <row r="6646">
      <c r="A6646" s="9" t="n">
        <v>6642</v>
      </c>
      <c r="B6646" s="9" t="inlineStr">
        <is>
          <t>Meridian</t>
        </is>
      </c>
      <c r="C6646" s="9" t="inlineStr">
        <is>
          <t>21/50 MA cross, 250-period confirm filter, VWAP</t>
        </is>
      </c>
      <c r="D6646" s="9" t="inlineStr">
        <is>
          <t>Long</t>
        </is>
      </c>
      <c r="E6646" s="10" t="n">
        <v>46105.93402777778</v>
      </c>
      <c r="F6646" s="10" t="n">
        <v>46106.33680555555</v>
      </c>
      <c r="G6646" s="11" t="n">
        <v>86.48</v>
      </c>
      <c r="H6646" s="11">
        <f>H6645+G6646</f>
        <v/>
      </c>
    </row>
    <row r="6647">
      <c r="A6647" s="9" t="n">
        <v>6643</v>
      </c>
      <c r="B6647" s="9" t="inlineStr">
        <is>
          <t>Meridian</t>
        </is>
      </c>
      <c r="C6647" s="9" t="inlineStr">
        <is>
          <t>21/50 MA cross, 250-period confirm filter, VWAP</t>
        </is>
      </c>
      <c r="D6647" s="9" t="inlineStr">
        <is>
          <t>Long</t>
        </is>
      </c>
      <c r="E6647" s="10" t="n">
        <v>46106.44791666666</v>
      </c>
      <c r="F6647" s="10" t="n">
        <v>46106.48958333334</v>
      </c>
      <c r="G6647" s="11" t="n">
        <v>-19.09</v>
      </c>
      <c r="H6647" s="11">
        <f>H6646+G6647</f>
        <v/>
      </c>
    </row>
    <row r="6648">
      <c r="A6648" s="9" t="n">
        <v>6644</v>
      </c>
      <c r="B6648" s="9" t="inlineStr">
        <is>
          <t>Meridian</t>
        </is>
      </c>
      <c r="C6648" s="9" t="inlineStr">
        <is>
          <t>21/50 MA cross, 250-period confirm filter, VWAP</t>
        </is>
      </c>
      <c r="D6648" s="9" t="inlineStr">
        <is>
          <t>Long</t>
        </is>
      </c>
      <c r="E6648" s="10" t="n">
        <v>46106.54513888889</v>
      </c>
      <c r="F6648" s="10" t="n">
        <v>46106.60069444445</v>
      </c>
      <c r="G6648" s="11" t="n">
        <v>-17.82</v>
      </c>
      <c r="H6648" s="11">
        <f>H6647+G6648</f>
        <v/>
      </c>
    </row>
    <row r="6649">
      <c r="A6649" s="9" t="n">
        <v>6645</v>
      </c>
      <c r="B6649" s="9" t="inlineStr">
        <is>
          <t>MSG</t>
        </is>
      </c>
      <c r="C6649" s="9" t="inlineStr">
        <is>
          <t>Session-range breakout + Fibonacci retracement-zone entry</t>
        </is>
      </c>
      <c r="D6649" s="9" t="inlineStr">
        <is>
          <t>Long</t>
        </is>
      </c>
      <c r="E6649" s="10" t="n">
        <v>46106.60069444445</v>
      </c>
      <c r="F6649" s="10" t="n">
        <v>46106.60347222222</v>
      </c>
      <c r="G6649" s="11" t="n">
        <v>-49.44</v>
      </c>
      <c r="H6649" s="11">
        <f>H6648+G6649</f>
        <v/>
      </c>
    </row>
    <row r="6650">
      <c r="A6650" s="9" t="n">
        <v>6646</v>
      </c>
      <c r="B6650" s="9" t="inlineStr">
        <is>
          <t>Meridian</t>
        </is>
      </c>
      <c r="C6650" s="9" t="inlineStr">
        <is>
          <t>21/50 MA cross, 250-period confirm filter, VWAP</t>
        </is>
      </c>
      <c r="D6650" s="9" t="inlineStr">
        <is>
          <t>Long</t>
        </is>
      </c>
      <c r="E6650" s="10" t="n">
        <v>46106.70486111111</v>
      </c>
      <c r="F6650" s="10" t="n">
        <v>46106.71875</v>
      </c>
      <c r="G6650" s="11" t="n">
        <v>-18.47</v>
      </c>
      <c r="H6650" s="11">
        <f>H6649+G6650</f>
        <v/>
      </c>
    </row>
    <row r="6651">
      <c r="A6651" s="9" t="n">
        <v>6647</v>
      </c>
      <c r="B6651" s="9" t="inlineStr">
        <is>
          <t>Ratchet</t>
        </is>
      </c>
      <c r="C6651" s="9" t="inlineStr">
        <is>
          <t>Stochastic scalp with give-back trail exit</t>
        </is>
      </c>
      <c r="D6651" s="9" t="inlineStr">
        <is>
          <t>Short</t>
        </is>
      </c>
      <c r="E6651" s="10" t="n">
        <v>46107.46180555555</v>
      </c>
      <c r="F6651" s="10" t="n">
        <v>46107.49305555555</v>
      </c>
      <c r="G6651" s="11" t="n">
        <v>-0</v>
      </c>
      <c r="H6651" s="11">
        <f>H6650+G6651</f>
        <v/>
      </c>
    </row>
    <row r="6652">
      <c r="A6652" s="9" t="n">
        <v>6648</v>
      </c>
      <c r="B6652" s="9" t="inlineStr">
        <is>
          <t>Meridian</t>
        </is>
      </c>
      <c r="C6652" s="9" t="inlineStr">
        <is>
          <t>21/50 MA cross, 250-period confirm filter, VWAP</t>
        </is>
      </c>
      <c r="D6652" s="9" t="inlineStr">
        <is>
          <t>Short</t>
        </is>
      </c>
      <c r="E6652" s="10" t="n">
        <v>46107.20833333334</v>
      </c>
      <c r="F6652" s="10" t="n">
        <v>46107.65625</v>
      </c>
      <c r="G6652" s="11" t="n">
        <v>54.88</v>
      </c>
      <c r="H6652" s="11">
        <f>H6651+G6652</f>
        <v/>
      </c>
    </row>
    <row r="6653">
      <c r="A6653" s="9" t="n">
        <v>6649</v>
      </c>
      <c r="B6653" s="9" t="inlineStr">
        <is>
          <t>Aurelius_M5</t>
        </is>
      </c>
      <c r="C6653" s="9" t="inlineStr">
        <is>
          <t>MA alignment (EMA21&gt;EMA50&gt;SMA250&gt;SMMA500 vs EMA2400 trend filter)</t>
        </is>
      </c>
      <c r="D6653" s="9" t="inlineStr">
        <is>
          <t>Short</t>
        </is>
      </c>
      <c r="E6653" s="10" t="n">
        <v>46107.77430555555</v>
      </c>
      <c r="F6653" s="10" t="n">
        <v>46107.95138888889</v>
      </c>
      <c r="G6653" s="11" t="n">
        <v>-8.800000000000001</v>
      </c>
      <c r="H6653" s="11">
        <f>H6652+G6653</f>
        <v/>
      </c>
    </row>
    <row r="6654">
      <c r="A6654" s="9" t="n">
        <v>6650</v>
      </c>
      <c r="B6654" s="9" t="inlineStr">
        <is>
          <t>Meridian</t>
        </is>
      </c>
      <c r="C6654" s="9" t="inlineStr">
        <is>
          <t>21/50 MA cross, 250-period confirm filter, VWAP</t>
        </is>
      </c>
      <c r="D6654" s="9" t="inlineStr">
        <is>
          <t>Short</t>
        </is>
      </c>
      <c r="E6654" s="10" t="n">
        <v>46107.75694444445</v>
      </c>
      <c r="F6654" s="10" t="n">
        <v>46108.15277777778</v>
      </c>
      <c r="G6654" s="11" t="n">
        <v>21.87</v>
      </c>
      <c r="H6654" s="11">
        <f>H6653+G6654</f>
        <v/>
      </c>
    </row>
    <row r="6655">
      <c r="A6655" s="9" t="n">
        <v>6651</v>
      </c>
      <c r="B6655" s="9" t="inlineStr">
        <is>
          <t>Aurelius_M15</t>
        </is>
      </c>
      <c r="C6655" s="9" t="inlineStr">
        <is>
          <t>MA alignment (EMA21&gt;EMA50&gt;SMA250&gt;SMMA500 vs EMA2400 trend filter) - M15 chart</t>
        </is>
      </c>
      <c r="D6655" s="9" t="inlineStr">
        <is>
          <t>Short</t>
        </is>
      </c>
      <c r="E6655" s="10" t="n">
        <v>46107.75</v>
      </c>
      <c r="F6655" s="10" t="n">
        <v>46108.21875</v>
      </c>
      <c r="G6655" s="11" t="n">
        <v>8.48</v>
      </c>
      <c r="H6655" s="11">
        <f>H6654+G6655</f>
        <v/>
      </c>
    </row>
    <row r="6656">
      <c r="A6656" s="9" t="n">
        <v>6652</v>
      </c>
      <c r="B6656" s="9" t="inlineStr">
        <is>
          <t>Vanguard_M5</t>
        </is>
      </c>
      <c r="C6656" s="9" t="inlineStr">
        <is>
          <t>Trendline breakout (fractal swing line) + VWAP/S-R distance gate</t>
        </is>
      </c>
      <c r="D6656" s="9" t="inlineStr">
        <is>
          <t>Long</t>
        </is>
      </c>
      <c r="E6656" s="10" t="n">
        <v>46108.22916666666</v>
      </c>
      <c r="F6656" s="10" t="n">
        <v>46108.54513888889</v>
      </c>
      <c r="G6656" s="11" t="n">
        <v>-30.42</v>
      </c>
      <c r="H6656" s="11">
        <f>H6655+G6656</f>
        <v/>
      </c>
    </row>
    <row r="6657">
      <c r="A6657" s="9" t="n">
        <v>6653</v>
      </c>
      <c r="B6657" s="9" t="inlineStr">
        <is>
          <t>Ratchet</t>
        </is>
      </c>
      <c r="C6657" s="9" t="inlineStr">
        <is>
          <t>Stochastic scalp with give-back trail exit</t>
        </is>
      </c>
      <c r="D6657" s="9" t="inlineStr">
        <is>
          <t>Short</t>
        </is>
      </c>
      <c r="E6657" s="10" t="n">
        <v>46108.55555555555</v>
      </c>
      <c r="F6657" s="10" t="n">
        <v>46108.57291666666</v>
      </c>
      <c r="G6657" s="11" t="n">
        <v>-11.65</v>
      </c>
      <c r="H6657" s="11">
        <f>H6656+G6657</f>
        <v/>
      </c>
    </row>
    <row r="6658">
      <c r="A6658" s="9" t="n">
        <v>6654</v>
      </c>
      <c r="B6658" s="9" t="inlineStr">
        <is>
          <t>Meridian</t>
        </is>
      </c>
      <c r="C6658" s="9" t="inlineStr">
        <is>
          <t>21/50 MA cross, 250-period confirm filter, VWAP</t>
        </is>
      </c>
      <c r="D6658" s="9" t="inlineStr">
        <is>
          <t>Long</t>
        </is>
      </c>
      <c r="E6658" s="10" t="n">
        <v>46108.62847222222</v>
      </c>
      <c r="F6658" s="10" t="n">
        <v>46108.64583333334</v>
      </c>
      <c r="G6658" s="11" t="n">
        <v>-18.25</v>
      </c>
      <c r="H6658" s="11">
        <f>H6657+G6658</f>
        <v/>
      </c>
    </row>
    <row r="6659">
      <c r="A6659" s="9" t="n">
        <v>6655</v>
      </c>
      <c r="B6659" s="9" t="inlineStr">
        <is>
          <t>MSG</t>
        </is>
      </c>
      <c r="C6659" s="9" t="inlineStr">
        <is>
          <t>Session-range breakout + Fibonacci retracement-zone entry</t>
        </is>
      </c>
      <c r="D6659" s="9" t="inlineStr">
        <is>
          <t>Short</t>
        </is>
      </c>
      <c r="E6659" s="10" t="n">
        <v>46108.61041666667</v>
      </c>
      <c r="F6659" s="10" t="n">
        <v>46108.65625</v>
      </c>
      <c r="G6659" s="11" t="n">
        <v>17.92</v>
      </c>
      <c r="H6659" s="11">
        <f>H6658+G6659</f>
        <v/>
      </c>
    </row>
    <row r="6660">
      <c r="A6660" s="9" t="n">
        <v>6656</v>
      </c>
      <c r="B6660" s="9" t="inlineStr">
        <is>
          <t>Meridian</t>
        </is>
      </c>
      <c r="C6660" s="9" t="inlineStr">
        <is>
          <t>21/50 MA cross, 250-period confirm filter, VWAP</t>
        </is>
      </c>
      <c r="D6660" s="9" t="inlineStr">
        <is>
          <t>Long</t>
        </is>
      </c>
      <c r="E6660" s="10" t="n">
        <v>46108.65972222222</v>
      </c>
      <c r="F6660" s="10" t="n">
        <v>46108.66319444445</v>
      </c>
      <c r="G6660" s="11" t="n">
        <v>-7.64</v>
      </c>
      <c r="H6660" s="11">
        <f>H6659+G6660</f>
        <v/>
      </c>
    </row>
    <row r="6661">
      <c r="A6661" s="9" t="n">
        <v>6657</v>
      </c>
      <c r="B6661" s="9" t="inlineStr">
        <is>
          <t>Meridian</t>
        </is>
      </c>
      <c r="C6661" s="9" t="inlineStr">
        <is>
          <t>21/50 MA cross, 250-period confirm filter, VWAP</t>
        </is>
      </c>
      <c r="D6661" s="9" t="inlineStr">
        <is>
          <t>Long</t>
        </is>
      </c>
      <c r="E6661" s="10" t="n">
        <v>46108.66666666666</v>
      </c>
      <c r="F6661" s="10" t="n">
        <v>46108.91666666666</v>
      </c>
      <c r="G6661" s="11" t="n">
        <v>83.11</v>
      </c>
      <c r="H6661" s="11">
        <f>H6660+G6661</f>
        <v/>
      </c>
    </row>
    <row r="6662">
      <c r="A6662" s="9" t="n">
        <v>6658</v>
      </c>
      <c r="B6662" s="9" t="inlineStr">
        <is>
          <t>Vanguard_M15</t>
        </is>
      </c>
      <c r="C6662" s="9" t="inlineStr">
        <is>
          <t>Trendline breakout (fractal swing line) + VWAP/S-R distance gate - M15 chart</t>
        </is>
      </c>
      <c r="D6662" s="9" t="inlineStr">
        <is>
          <t>Long</t>
        </is>
      </c>
      <c r="E6662" s="10" t="n">
        <v>46108.22916666666</v>
      </c>
      <c r="F6662" s="10" t="n">
        <v>46111.11458333334</v>
      </c>
      <c r="G6662" s="11" t="n">
        <v>13.38</v>
      </c>
      <c r="H6662" s="11">
        <f>H6661+G6662</f>
        <v/>
      </c>
    </row>
    <row r="6663">
      <c r="A6663" s="9" t="n">
        <v>6659</v>
      </c>
      <c r="B6663" s="9" t="inlineStr">
        <is>
          <t>Vanguard_M5</t>
        </is>
      </c>
      <c r="C6663" s="9" t="inlineStr">
        <is>
          <t>Trendline breakout (fractal swing line) + VWAP/S-R distance gate</t>
        </is>
      </c>
      <c r="D6663" s="9" t="inlineStr">
        <is>
          <t>Long</t>
        </is>
      </c>
      <c r="E6663" s="10" t="n">
        <v>46108.70138888889</v>
      </c>
      <c r="F6663" s="10" t="n">
        <v>46111.11458333334</v>
      </c>
      <c r="G6663" s="11" t="n">
        <v>-28.67</v>
      </c>
      <c r="H6663" s="11">
        <f>H6662+G6663</f>
        <v/>
      </c>
    </row>
    <row r="6664">
      <c r="A6664" s="9" t="n">
        <v>6660</v>
      </c>
      <c r="B6664" s="9" t="inlineStr">
        <is>
          <t>Vanguard_M5</t>
        </is>
      </c>
      <c r="C6664" s="9" t="inlineStr">
        <is>
          <t>Trendline breakout (fractal swing line) + VWAP/S-R distance gate</t>
        </is>
      </c>
      <c r="D6664" s="9" t="inlineStr">
        <is>
          <t>Short</t>
        </is>
      </c>
      <c r="E6664" s="10" t="n">
        <v>46111.11805555555</v>
      </c>
      <c r="F6664" s="10" t="n">
        <v>46111.23611111111</v>
      </c>
      <c r="G6664" s="11" t="n">
        <v>-46.99</v>
      </c>
      <c r="H6664" s="11">
        <f>H6663+G6664</f>
        <v/>
      </c>
    </row>
    <row r="6665">
      <c r="A6665" s="9" t="n">
        <v>6661</v>
      </c>
      <c r="B6665" s="9" t="inlineStr">
        <is>
          <t>Vanguard_M15</t>
        </is>
      </c>
      <c r="C6665" s="9" t="inlineStr">
        <is>
          <t>Trendline breakout (fractal swing line) + VWAP/S-R distance gate - M15 chart</t>
        </is>
      </c>
      <c r="D6665" s="9" t="inlineStr">
        <is>
          <t>Short</t>
        </is>
      </c>
      <c r="E6665" s="10" t="n">
        <v>46111.125</v>
      </c>
      <c r="F6665" s="10" t="n">
        <v>46111.25</v>
      </c>
      <c r="G6665" s="11" t="n">
        <v>-56.44</v>
      </c>
      <c r="H6665" s="11">
        <f>H6664+G6665</f>
        <v/>
      </c>
    </row>
    <row r="6666">
      <c r="A6666" s="9" t="n">
        <v>6662</v>
      </c>
      <c r="B6666" s="9" t="inlineStr">
        <is>
          <t>Meridian</t>
        </is>
      </c>
      <c r="C6666" s="9" t="inlineStr">
        <is>
          <t>21/50 MA cross, 250-period confirm filter, VWAP</t>
        </is>
      </c>
      <c r="D6666" s="9" t="inlineStr">
        <is>
          <t>Long</t>
        </is>
      </c>
      <c r="E6666" s="10" t="n">
        <v>46111.24305555555</v>
      </c>
      <c r="F6666" s="10" t="n">
        <v>46111.71875</v>
      </c>
      <c r="G6666" s="11" t="n">
        <v>41.77</v>
      </c>
      <c r="H6666" s="11">
        <f>H6665+G6666</f>
        <v/>
      </c>
    </row>
    <row r="6667">
      <c r="A6667" s="9" t="n">
        <v>6663</v>
      </c>
      <c r="B6667" s="9" t="inlineStr">
        <is>
          <t>Meridian</t>
        </is>
      </c>
      <c r="C6667" s="9" t="inlineStr">
        <is>
          <t>21/50 MA cross, 250-period confirm filter, VWAP</t>
        </is>
      </c>
      <c r="D6667" s="9" t="inlineStr">
        <is>
          <t>Short</t>
        </is>
      </c>
      <c r="E6667" s="10" t="n">
        <v>46112.13888888889</v>
      </c>
      <c r="F6667" s="10" t="n">
        <v>46112.14930555555</v>
      </c>
      <c r="G6667" s="11" t="n">
        <v>-21.88</v>
      </c>
      <c r="H6667" s="11">
        <f>H6666+G6667</f>
        <v/>
      </c>
    </row>
    <row r="6668">
      <c r="A6668" s="9" t="n">
        <v>6664</v>
      </c>
      <c r="B6668" s="9" t="inlineStr">
        <is>
          <t>Ratchet</t>
        </is>
      </c>
      <c r="C6668" s="9" t="inlineStr">
        <is>
          <t>Stochastic scalp with give-back trail exit</t>
        </is>
      </c>
      <c r="D6668" s="9" t="inlineStr">
        <is>
          <t>Long</t>
        </is>
      </c>
      <c r="E6668" s="10" t="n">
        <v>46112.19097222222</v>
      </c>
      <c r="F6668" s="10" t="n">
        <v>46112.20833333334</v>
      </c>
      <c r="G6668" s="11" t="n">
        <v>10.59</v>
      </c>
      <c r="H6668" s="11">
        <f>H6667+G6668</f>
        <v/>
      </c>
    </row>
    <row r="6669">
      <c r="A6669" s="9" t="n">
        <v>6665</v>
      </c>
      <c r="B6669" s="9" t="inlineStr">
        <is>
          <t>Ratchet</t>
        </is>
      </c>
      <c r="C6669" s="9" t="inlineStr">
        <is>
          <t>Stochastic scalp with give-back trail exit</t>
        </is>
      </c>
      <c r="D6669" s="9" t="inlineStr">
        <is>
          <t>Long</t>
        </is>
      </c>
      <c r="E6669" s="10" t="n">
        <v>46112.23958333334</v>
      </c>
      <c r="F6669" s="10" t="n">
        <v>46112.26041666666</v>
      </c>
      <c r="G6669" s="11" t="n">
        <v>-22.58</v>
      </c>
      <c r="H6669" s="11">
        <f>H6668+G6669</f>
        <v/>
      </c>
    </row>
    <row r="6670">
      <c r="A6670" s="9" t="n">
        <v>6666</v>
      </c>
      <c r="B6670" s="9" t="inlineStr">
        <is>
          <t>Meridian</t>
        </is>
      </c>
      <c r="C6670" s="9" t="inlineStr">
        <is>
          <t>21/50 MA cross, 250-period confirm filter, VWAP</t>
        </is>
      </c>
      <c r="D6670" s="9" t="inlineStr">
        <is>
          <t>Long</t>
        </is>
      </c>
      <c r="E6670" s="10" t="n">
        <v>46112.46875</v>
      </c>
      <c r="F6670" s="10" t="n">
        <v>46112.53819444445</v>
      </c>
      <c r="G6670" s="11" t="n">
        <v>-9.609999999999999</v>
      </c>
      <c r="H6670" s="11">
        <f>H6669+G6670</f>
        <v/>
      </c>
    </row>
    <row r="6671">
      <c r="A6671" s="9" t="n">
        <v>6667</v>
      </c>
      <c r="B6671" s="9" t="inlineStr">
        <is>
          <t>MSG</t>
        </is>
      </c>
      <c r="C6671" s="9" t="inlineStr">
        <is>
          <t>Session-range breakout + Fibonacci retracement-zone entry</t>
        </is>
      </c>
      <c r="D6671" s="9" t="inlineStr">
        <is>
          <t>Short</t>
        </is>
      </c>
      <c r="E6671" s="10" t="n">
        <v>46112.59444444445</v>
      </c>
      <c r="F6671" s="10" t="n">
        <v>46112.59513888889</v>
      </c>
      <c r="G6671" s="11" t="n">
        <v>-21.15</v>
      </c>
      <c r="H6671" s="11">
        <f>H6670+G6671</f>
        <v/>
      </c>
    </row>
    <row r="6672">
      <c r="A6672" s="9" t="n">
        <v>6668</v>
      </c>
      <c r="B6672" s="9" t="inlineStr">
        <is>
          <t>Ratchet</t>
        </is>
      </c>
      <c r="C6672" s="9" t="inlineStr">
        <is>
          <t>Stochastic scalp with give-back trail exit</t>
        </is>
      </c>
      <c r="D6672" s="9" t="inlineStr">
        <is>
          <t>Long</t>
        </is>
      </c>
      <c r="E6672" s="10" t="n">
        <v>46112.625</v>
      </c>
      <c r="F6672" s="10" t="n">
        <v>46112.63194444445</v>
      </c>
      <c r="G6672" s="11" t="n">
        <v>2.74</v>
      </c>
      <c r="H6672" s="11">
        <f>H6671+G6672</f>
        <v/>
      </c>
    </row>
    <row r="6673">
      <c r="A6673" s="9" t="n">
        <v>6669</v>
      </c>
      <c r="B6673" s="9" t="inlineStr">
        <is>
          <t>Ratchet</t>
        </is>
      </c>
      <c r="C6673" s="9" t="inlineStr">
        <is>
          <t>Stochastic scalp with give-back trail exit</t>
        </is>
      </c>
      <c r="D6673" s="9" t="inlineStr">
        <is>
          <t>Long</t>
        </is>
      </c>
      <c r="E6673" s="10" t="n">
        <v>46112.67708333334</v>
      </c>
      <c r="F6673" s="10" t="n">
        <v>46112.95486111111</v>
      </c>
      <c r="G6673" s="11" t="n">
        <v>102.71</v>
      </c>
      <c r="H6673" s="11">
        <f>H6672+G6673</f>
        <v/>
      </c>
    </row>
    <row r="6674">
      <c r="A6674" s="9" t="n">
        <v>6670</v>
      </c>
      <c r="B6674" s="9" t="inlineStr">
        <is>
          <t>Aurelius_M5</t>
        </is>
      </c>
      <c r="C6674" s="9" t="inlineStr">
        <is>
          <t>MA alignment (EMA21&gt;EMA50&gt;SMA250&gt;SMMA500 vs EMA2400 trend filter)</t>
        </is>
      </c>
      <c r="D6674" s="9" t="inlineStr">
        <is>
          <t>Long</t>
        </is>
      </c>
      <c r="E6674" s="10" t="n">
        <v>46112.70486111111</v>
      </c>
      <c r="F6674" s="10" t="n">
        <v>46113.04166666666</v>
      </c>
      <c r="G6674" s="11" t="n">
        <v>60.38</v>
      </c>
      <c r="H6674" s="11">
        <f>H6673+G6674</f>
        <v/>
      </c>
    </row>
    <row r="6675">
      <c r="A6675" s="9" t="n">
        <v>6671</v>
      </c>
      <c r="B6675" s="9" t="inlineStr">
        <is>
          <t>Ratchet</t>
        </is>
      </c>
      <c r="C6675" s="9" t="inlineStr">
        <is>
          <t>Stochastic scalp with give-back trail exit</t>
        </is>
      </c>
      <c r="D6675" s="9" t="inlineStr">
        <is>
          <t>Long</t>
        </is>
      </c>
      <c r="E6675" s="10" t="n">
        <v>46113.17708333334</v>
      </c>
      <c r="F6675" s="10" t="n">
        <v>46113.19097222222</v>
      </c>
      <c r="G6675" s="11" t="n">
        <v>-18.77</v>
      </c>
      <c r="H6675" s="11">
        <f>H6674+G6675</f>
        <v/>
      </c>
    </row>
    <row r="6676">
      <c r="A6676" s="9" t="n">
        <v>6672</v>
      </c>
      <c r="B6676" s="9" t="inlineStr">
        <is>
          <t>Meridian</t>
        </is>
      </c>
      <c r="C6676" s="9" t="inlineStr">
        <is>
          <t>21/50 MA cross, 250-period confirm filter, VWAP</t>
        </is>
      </c>
      <c r="D6676" s="9" t="inlineStr">
        <is>
          <t>Long</t>
        </is>
      </c>
      <c r="E6676" s="10" t="n">
        <v>46112.61111111111</v>
      </c>
      <c r="F6676" s="10" t="n">
        <v>46113.27430555555</v>
      </c>
      <c r="G6676" s="11" t="n">
        <v>97.76000000000001</v>
      </c>
      <c r="H6676" s="11">
        <f>H6675+G6676</f>
        <v/>
      </c>
    </row>
    <row r="6677">
      <c r="A6677" s="9" t="n">
        <v>6673</v>
      </c>
      <c r="B6677" s="9" t="inlineStr">
        <is>
          <t>Meridian</t>
        </is>
      </c>
      <c r="C6677" s="9" t="inlineStr">
        <is>
          <t>21/50 MA cross, 250-period confirm filter, VWAP</t>
        </is>
      </c>
      <c r="D6677" s="9" t="inlineStr">
        <is>
          <t>Long</t>
        </is>
      </c>
      <c r="E6677" s="10" t="n">
        <v>46113.36458333334</v>
      </c>
      <c r="F6677" s="10" t="n">
        <v>46113.37152777778</v>
      </c>
      <c r="G6677" s="11" t="n">
        <v>-14.31</v>
      </c>
      <c r="H6677" s="11">
        <f>H6676+G6677</f>
        <v/>
      </c>
    </row>
    <row r="6678">
      <c r="A6678" s="9" t="n">
        <v>6674</v>
      </c>
      <c r="B6678" s="9" t="inlineStr">
        <is>
          <t>Ratchet</t>
        </is>
      </c>
      <c r="C6678" s="9" t="inlineStr">
        <is>
          <t>Stochastic scalp with give-back trail exit</t>
        </is>
      </c>
      <c r="D6678" s="9" t="inlineStr">
        <is>
          <t>Long</t>
        </is>
      </c>
      <c r="E6678" s="10" t="n">
        <v>46113.39583333334</v>
      </c>
      <c r="F6678" s="10" t="n">
        <v>46113.42013888889</v>
      </c>
      <c r="G6678" s="11" t="n">
        <v>6.39</v>
      </c>
      <c r="H6678" s="11">
        <f>H6677+G6678</f>
        <v/>
      </c>
    </row>
    <row r="6679">
      <c r="A6679" s="9" t="n">
        <v>6675</v>
      </c>
      <c r="B6679" s="9" t="inlineStr">
        <is>
          <t>Ratchet</t>
        </is>
      </c>
      <c r="C6679" s="9" t="inlineStr">
        <is>
          <t>Stochastic scalp with give-back trail exit</t>
        </is>
      </c>
      <c r="D6679" s="9" t="inlineStr">
        <is>
          <t>Long</t>
        </is>
      </c>
      <c r="E6679" s="10" t="n">
        <v>46113.48263888889</v>
      </c>
      <c r="F6679" s="10" t="n">
        <v>46113.48611111111</v>
      </c>
      <c r="G6679" s="11" t="n">
        <v>0</v>
      </c>
      <c r="H6679" s="11">
        <f>H6678+G6679</f>
        <v/>
      </c>
    </row>
    <row r="6680">
      <c r="A6680" s="9" t="n">
        <v>6676</v>
      </c>
      <c r="B6680" s="9" t="inlineStr">
        <is>
          <t>MSG</t>
        </is>
      </c>
      <c r="C6680" s="9" t="inlineStr">
        <is>
          <t>Session-range breakout + Fibonacci retracement-zone entry</t>
        </is>
      </c>
      <c r="D6680" s="9" t="inlineStr">
        <is>
          <t>Long</t>
        </is>
      </c>
      <c r="E6680" s="10" t="n">
        <v>46113.66736111111</v>
      </c>
      <c r="F6680" s="10" t="n">
        <v>46113.725</v>
      </c>
      <c r="G6680" s="11" t="n">
        <v>64.63</v>
      </c>
      <c r="H6680" s="11">
        <f>H6679+G6680</f>
        <v/>
      </c>
    </row>
    <row r="6681">
      <c r="A6681" s="9" t="n">
        <v>6677</v>
      </c>
      <c r="B6681" s="9" t="inlineStr">
        <is>
          <t>Ratchet</t>
        </is>
      </c>
      <c r="C6681" s="9" t="inlineStr">
        <is>
          <t>Stochastic scalp with give-back trail exit</t>
        </is>
      </c>
      <c r="D6681" s="9" t="inlineStr">
        <is>
          <t>Long</t>
        </is>
      </c>
      <c r="E6681" s="10" t="n">
        <v>46113.72222222222</v>
      </c>
      <c r="F6681" s="10" t="n">
        <v>46113.875</v>
      </c>
      <c r="G6681" s="11" t="n">
        <v>13.04</v>
      </c>
      <c r="H6681" s="11">
        <f>H6680+G6681</f>
        <v/>
      </c>
    </row>
    <row r="6682">
      <c r="A6682" s="9" t="n">
        <v>6678</v>
      </c>
      <c r="B6682" s="9" t="inlineStr">
        <is>
          <t>Aurelius_M5</t>
        </is>
      </c>
      <c r="C6682" s="9" t="inlineStr">
        <is>
          <t>MA alignment (EMA21&gt;EMA50&gt;SMA250&gt;SMMA500 vs EMA2400 trend filter)</t>
        </is>
      </c>
      <c r="D6682" s="9" t="inlineStr">
        <is>
          <t>Long</t>
        </is>
      </c>
      <c r="E6682" s="10" t="n">
        <v>46113.39236111111</v>
      </c>
      <c r="F6682" s="10" t="n">
        <v>46113.89930555555</v>
      </c>
      <c r="G6682" s="11" t="n">
        <v>46.56</v>
      </c>
      <c r="H6682" s="11">
        <f>H6681+G6682</f>
        <v/>
      </c>
    </row>
    <row r="6683">
      <c r="A6683" s="9" t="n">
        <v>6679</v>
      </c>
      <c r="B6683" s="9" t="inlineStr">
        <is>
          <t>Ratchet</t>
        </is>
      </c>
      <c r="C6683" s="9" t="inlineStr">
        <is>
          <t>Stochastic scalp with give-back trail exit</t>
        </is>
      </c>
      <c r="D6683" s="9" t="inlineStr">
        <is>
          <t>Long</t>
        </is>
      </c>
      <c r="E6683" s="10" t="n">
        <v>46114.07291666666</v>
      </c>
      <c r="F6683" s="10" t="n">
        <v>46114.07638888889</v>
      </c>
      <c r="G6683" s="11" t="n">
        <v>1.15</v>
      </c>
      <c r="H6683" s="11">
        <f>H6682+G6683</f>
        <v/>
      </c>
    </row>
    <row r="6684">
      <c r="A6684" s="9" t="n">
        <v>6680</v>
      </c>
      <c r="B6684" s="9" t="inlineStr">
        <is>
          <t>Ratchet</t>
        </is>
      </c>
      <c r="C6684" s="9" t="inlineStr">
        <is>
          <t>Stochastic scalp with give-back trail exit</t>
        </is>
      </c>
      <c r="D6684" s="9" t="inlineStr">
        <is>
          <t>Long</t>
        </is>
      </c>
      <c r="E6684" s="10" t="n">
        <v>46114.08680555555</v>
      </c>
      <c r="F6684" s="10" t="n">
        <v>46114.11458333334</v>
      </c>
      <c r="G6684" s="11" t="n">
        <v>5.21</v>
      </c>
      <c r="H6684" s="11">
        <f>H6683+G6684</f>
        <v/>
      </c>
    </row>
    <row r="6685">
      <c r="A6685" s="9" t="n">
        <v>6681</v>
      </c>
      <c r="B6685" s="9" t="inlineStr">
        <is>
          <t>Meridian</t>
        </is>
      </c>
      <c r="C6685" s="9" t="inlineStr">
        <is>
          <t>21/50 MA cross, 250-period confirm filter, VWAP</t>
        </is>
      </c>
      <c r="D6685" s="9" t="inlineStr">
        <is>
          <t>Long</t>
        </is>
      </c>
      <c r="E6685" s="10" t="n">
        <v>46114.06944444445</v>
      </c>
      <c r="F6685" s="10" t="n">
        <v>46114.16666666666</v>
      </c>
      <c r="G6685" s="11" t="n">
        <v>-15.59</v>
      </c>
      <c r="H6685" s="11">
        <f>H6684+G6685</f>
        <v/>
      </c>
    </row>
    <row r="6686">
      <c r="A6686" s="9" t="n">
        <v>6682</v>
      </c>
      <c r="B6686" s="9" t="inlineStr">
        <is>
          <t>Ratchet</t>
        </is>
      </c>
      <c r="C6686" s="9" t="inlineStr">
        <is>
          <t>Stochastic scalp with give-back trail exit</t>
        </is>
      </c>
      <c r="D6686" s="9" t="inlineStr">
        <is>
          <t>Long</t>
        </is>
      </c>
      <c r="E6686" s="10" t="n">
        <v>46114.14930555555</v>
      </c>
      <c r="F6686" s="10" t="n">
        <v>46114.16666666666</v>
      </c>
      <c r="G6686" s="11" t="n">
        <v>-11.55</v>
      </c>
      <c r="H6686" s="11">
        <f>H6685+G6686</f>
        <v/>
      </c>
    </row>
    <row r="6687">
      <c r="A6687" s="9" t="n">
        <v>6683</v>
      </c>
      <c r="B6687" s="9" t="inlineStr">
        <is>
          <t>Ratchet</t>
        </is>
      </c>
      <c r="C6687" s="9" t="inlineStr">
        <is>
          <t>Stochastic scalp with give-back trail exit</t>
        </is>
      </c>
      <c r="D6687" s="9" t="inlineStr">
        <is>
          <t>Short</t>
        </is>
      </c>
      <c r="E6687" s="10" t="n">
        <v>46114.50347222222</v>
      </c>
      <c r="F6687" s="10" t="n">
        <v>46114.54513888889</v>
      </c>
      <c r="G6687" s="11" t="n">
        <v>-15.84</v>
      </c>
      <c r="H6687" s="11">
        <f>H6686+G6687</f>
        <v/>
      </c>
    </row>
    <row r="6688">
      <c r="A6688" s="9" t="n">
        <v>6684</v>
      </c>
      <c r="B6688" s="9" t="inlineStr">
        <is>
          <t>Ratchet</t>
        </is>
      </c>
      <c r="C6688" s="9" t="inlineStr">
        <is>
          <t>Stochastic scalp with give-back trail exit</t>
        </is>
      </c>
      <c r="D6688" s="9" t="inlineStr">
        <is>
          <t>Short</t>
        </is>
      </c>
      <c r="E6688" s="10" t="n">
        <v>46114.56944444445</v>
      </c>
      <c r="F6688" s="10" t="n">
        <v>46114.56944444445</v>
      </c>
      <c r="G6688" s="11" t="n">
        <v>-14.39</v>
      </c>
      <c r="H6688" s="11">
        <f>H6687+G6688</f>
        <v/>
      </c>
    </row>
    <row r="6689">
      <c r="A6689" s="9" t="n">
        <v>6685</v>
      </c>
      <c r="B6689" s="9" t="inlineStr">
        <is>
          <t>Meridian</t>
        </is>
      </c>
      <c r="C6689" s="9" t="inlineStr">
        <is>
          <t>21/50 MA cross, 250-period confirm filter, VWAP</t>
        </is>
      </c>
      <c r="D6689" s="9" t="inlineStr">
        <is>
          <t>Short</t>
        </is>
      </c>
      <c r="E6689" s="10" t="n">
        <v>46114.18055555555</v>
      </c>
      <c r="F6689" s="10" t="n">
        <v>46114.71527777778</v>
      </c>
      <c r="G6689" s="11" t="n">
        <v>79.22</v>
      </c>
      <c r="H6689" s="11">
        <f>H6688+G6689</f>
        <v/>
      </c>
    </row>
    <row r="6690">
      <c r="A6690" s="9" t="n">
        <v>6686</v>
      </c>
      <c r="B6690" s="9" t="inlineStr">
        <is>
          <t>Meridian</t>
        </is>
      </c>
      <c r="C6690" s="9" t="inlineStr">
        <is>
          <t>21/50 MA cross, 250-period confirm filter, VWAP</t>
        </is>
      </c>
      <c r="D6690" s="9" t="inlineStr">
        <is>
          <t>Short</t>
        </is>
      </c>
      <c r="E6690" s="10" t="n">
        <v>46118.05208333334</v>
      </c>
      <c r="F6690" s="10" t="n">
        <v>46118.07986111111</v>
      </c>
      <c r="G6690" s="11" t="n">
        <v>-23.54</v>
      </c>
      <c r="H6690" s="11">
        <f>H6689+G6690</f>
        <v/>
      </c>
    </row>
    <row r="6691">
      <c r="A6691" s="9" t="n">
        <v>6687</v>
      </c>
      <c r="B6691" s="9" t="inlineStr">
        <is>
          <t>Ratchet</t>
        </is>
      </c>
      <c r="C6691" s="9" t="inlineStr">
        <is>
          <t>Stochastic scalp with give-back trail exit</t>
        </is>
      </c>
      <c r="D6691" s="9" t="inlineStr">
        <is>
          <t>Short</t>
        </is>
      </c>
      <c r="E6691" s="10" t="n">
        <v>46118.11111111111</v>
      </c>
      <c r="F6691" s="10" t="n">
        <v>46118.11458333334</v>
      </c>
      <c r="G6691" s="11" t="n">
        <v>-0</v>
      </c>
      <c r="H6691" s="11">
        <f>H6690+G6691</f>
        <v/>
      </c>
    </row>
    <row r="6692">
      <c r="A6692" s="9" t="n">
        <v>6688</v>
      </c>
      <c r="B6692" s="9" t="inlineStr">
        <is>
          <t>Vanguard_M15</t>
        </is>
      </c>
      <c r="C6692" s="9" t="inlineStr">
        <is>
          <t>Trendline breakout (fractal swing line) + VWAP/S-R distance gate - M15 chart</t>
        </is>
      </c>
      <c r="D6692" s="9" t="inlineStr">
        <is>
          <t>Short</t>
        </is>
      </c>
      <c r="E6692" s="10" t="n">
        <v>46114.1875</v>
      </c>
      <c r="F6692" s="10" t="n">
        <v>46118.16666666666</v>
      </c>
      <c r="G6692" s="11" t="n">
        <v>54.84</v>
      </c>
      <c r="H6692" s="11">
        <f>H6691+G6692</f>
        <v/>
      </c>
    </row>
    <row r="6693">
      <c r="A6693" s="9" t="n">
        <v>6689</v>
      </c>
      <c r="B6693" s="9" t="inlineStr">
        <is>
          <t>Vanguard_M5</t>
        </is>
      </c>
      <c r="C6693" s="9" t="inlineStr">
        <is>
          <t>Trendline breakout (fractal swing line) + VWAP/S-R distance gate</t>
        </is>
      </c>
      <c r="D6693" s="9" t="inlineStr">
        <is>
          <t>Short</t>
        </is>
      </c>
      <c r="E6693" s="10" t="n">
        <v>46114.19097222222</v>
      </c>
      <c r="F6693" s="10" t="n">
        <v>46118.17013888889</v>
      </c>
      <c r="G6693" s="11" t="n">
        <v>43.83</v>
      </c>
      <c r="H6693" s="11">
        <f>H6692+G6693</f>
        <v/>
      </c>
    </row>
    <row r="6694">
      <c r="A6694" s="9" t="n">
        <v>6690</v>
      </c>
      <c r="B6694" s="9" t="inlineStr">
        <is>
          <t>Meridian</t>
        </is>
      </c>
      <c r="C6694" s="9" t="inlineStr">
        <is>
          <t>21/50 MA cross, 250-period confirm filter, VWAP</t>
        </is>
      </c>
      <c r="D6694" s="9" t="inlineStr">
        <is>
          <t>Long</t>
        </is>
      </c>
      <c r="E6694" s="10" t="n">
        <v>46118.22569444445</v>
      </c>
      <c r="F6694" s="10" t="n">
        <v>46118.25</v>
      </c>
      <c r="G6694" s="11" t="n">
        <v>-26.62</v>
      </c>
      <c r="H6694" s="11">
        <f>H6693+G6694</f>
        <v/>
      </c>
    </row>
    <row r="6695">
      <c r="A6695" s="9" t="n">
        <v>6691</v>
      </c>
      <c r="B6695" s="9" t="inlineStr">
        <is>
          <t>Meridian</t>
        </is>
      </c>
      <c r="C6695" s="9" t="inlineStr">
        <is>
          <t>21/50 MA cross, 250-period confirm filter, VWAP</t>
        </is>
      </c>
      <c r="D6695" s="9" t="inlineStr">
        <is>
          <t>Long</t>
        </is>
      </c>
      <c r="E6695" s="10" t="n">
        <v>46118.29166666666</v>
      </c>
      <c r="F6695" s="10" t="n">
        <v>46118.63888888889</v>
      </c>
      <c r="G6695" s="11" t="n">
        <v>32.35</v>
      </c>
      <c r="H6695" s="11">
        <f>H6694+G6695</f>
        <v/>
      </c>
    </row>
    <row r="6696">
      <c r="A6696" s="9" t="n">
        <v>6692</v>
      </c>
      <c r="B6696" s="9" t="inlineStr">
        <is>
          <t>Aurelius_M5</t>
        </is>
      </c>
      <c r="C6696" s="9" t="inlineStr">
        <is>
          <t>MA alignment (EMA21&gt;EMA50&gt;SMA250&gt;SMMA500 vs EMA2400 trend filter)</t>
        </is>
      </c>
      <c r="D6696" s="9" t="inlineStr">
        <is>
          <t>Long</t>
        </is>
      </c>
      <c r="E6696" s="10" t="n">
        <v>46118.45486111111</v>
      </c>
      <c r="F6696" s="10" t="n">
        <v>46118.63888888889</v>
      </c>
      <c r="G6696" s="11" t="n">
        <v>-8.02</v>
      </c>
      <c r="H6696" s="11">
        <f>H6695+G6696</f>
        <v/>
      </c>
    </row>
    <row r="6697">
      <c r="A6697" s="9" t="n">
        <v>6693</v>
      </c>
      <c r="B6697" s="9" t="inlineStr">
        <is>
          <t>MSG</t>
        </is>
      </c>
      <c r="C6697" s="9" t="inlineStr">
        <is>
          <t>Session-range breakout + Fibonacci retracement-zone entry</t>
        </is>
      </c>
      <c r="D6697" s="9" t="inlineStr">
        <is>
          <t>Long</t>
        </is>
      </c>
      <c r="E6697" s="10" t="n">
        <v>46118.63333333333</v>
      </c>
      <c r="F6697" s="10" t="n">
        <v>46118.64236111111</v>
      </c>
      <c r="G6697" s="11" t="n">
        <v>-43.46</v>
      </c>
      <c r="H6697" s="11">
        <f>H6696+G6697</f>
        <v/>
      </c>
    </row>
    <row r="6698">
      <c r="A6698" s="9" t="n">
        <v>6694</v>
      </c>
      <c r="B6698" s="9" t="inlineStr">
        <is>
          <t>Meridian</t>
        </is>
      </c>
      <c r="C6698" s="9" t="inlineStr">
        <is>
          <t>21/50 MA cross, 250-period confirm filter, VWAP</t>
        </is>
      </c>
      <c r="D6698" s="9" t="inlineStr">
        <is>
          <t>Long</t>
        </is>
      </c>
      <c r="E6698" s="10" t="n">
        <v>46118.74652777778</v>
      </c>
      <c r="F6698" s="10" t="n">
        <v>46118.75694444445</v>
      </c>
      <c r="G6698" s="11" t="n">
        <v>-17.49</v>
      </c>
      <c r="H6698" s="11">
        <f>H6697+G6698</f>
        <v/>
      </c>
    </row>
    <row r="6699">
      <c r="A6699" s="9" t="n">
        <v>6695</v>
      </c>
      <c r="B6699" s="9" t="inlineStr">
        <is>
          <t>Aurelius_M15</t>
        </is>
      </c>
      <c r="C6699" s="9" t="inlineStr">
        <is>
          <t>MA alignment (EMA21&gt;EMA50&gt;SMA250&gt;SMMA500 vs EMA2400 trend filter) - M15 chart</t>
        </is>
      </c>
      <c r="D6699" s="9" t="inlineStr">
        <is>
          <t>Long</t>
        </is>
      </c>
      <c r="E6699" s="10" t="n">
        <v>46118.72916666666</v>
      </c>
      <c r="F6699" s="10" t="n">
        <v>46118.76041666666</v>
      </c>
      <c r="G6699" s="11" t="n">
        <v>-24.07</v>
      </c>
      <c r="H6699" s="11">
        <f>H6698+G6699</f>
        <v/>
      </c>
    </row>
    <row r="6700">
      <c r="A6700" s="9" t="n">
        <v>6696</v>
      </c>
      <c r="B6700" s="9" t="inlineStr">
        <is>
          <t>Vanguard_M15</t>
        </is>
      </c>
      <c r="C6700" s="9" t="inlineStr">
        <is>
          <t>Trendline breakout (fractal swing line) + VWAP/S-R distance gate - M15 chart</t>
        </is>
      </c>
      <c r="D6700" s="9" t="inlineStr">
        <is>
          <t>Long</t>
        </is>
      </c>
      <c r="E6700" s="10" t="n">
        <v>46118.17708333334</v>
      </c>
      <c r="F6700" s="10" t="n">
        <v>46118.89583333334</v>
      </c>
      <c r="G6700" s="11" t="n">
        <v>8.140000000000001</v>
      </c>
      <c r="H6700" s="11">
        <f>H6699+G6700</f>
        <v/>
      </c>
    </row>
    <row r="6701">
      <c r="A6701" s="9" t="n">
        <v>6697</v>
      </c>
      <c r="B6701" s="9" t="inlineStr">
        <is>
          <t>Vanguard_M5</t>
        </is>
      </c>
      <c r="C6701" s="9" t="inlineStr">
        <is>
          <t>Trendline breakout (fractal swing line) + VWAP/S-R distance gate</t>
        </is>
      </c>
      <c r="D6701" s="9" t="inlineStr">
        <is>
          <t>Long</t>
        </is>
      </c>
      <c r="E6701" s="10" t="n">
        <v>46118.17361111111</v>
      </c>
      <c r="F6701" s="10" t="n">
        <v>46118.89930555555</v>
      </c>
      <c r="G6701" s="11" t="n">
        <v>11.7</v>
      </c>
      <c r="H6701" s="11">
        <f>H6700+G6701</f>
        <v/>
      </c>
    </row>
    <row r="6702">
      <c r="A6702" s="9" t="n">
        <v>6698</v>
      </c>
      <c r="B6702" s="9" t="inlineStr">
        <is>
          <t>Meridian</t>
        </is>
      </c>
      <c r="C6702" s="9" t="inlineStr">
        <is>
          <t>21/50 MA cross, 250-period confirm filter, VWAP</t>
        </is>
      </c>
      <c r="D6702" s="9" t="inlineStr">
        <is>
          <t>Short</t>
        </is>
      </c>
      <c r="E6702" s="10" t="n">
        <v>46119.10416666666</v>
      </c>
      <c r="F6702" s="10" t="n">
        <v>46119.15277777778</v>
      </c>
      <c r="G6702" s="11" t="n">
        <v>-5.8</v>
      </c>
      <c r="H6702" s="11">
        <f>H6701+G6702</f>
        <v/>
      </c>
    </row>
    <row r="6703">
      <c r="A6703" s="9" t="n">
        <v>6699</v>
      </c>
      <c r="B6703" s="9" t="inlineStr">
        <is>
          <t>Meridian</t>
        </is>
      </c>
      <c r="C6703" s="9" t="inlineStr">
        <is>
          <t>21/50 MA cross, 250-period confirm filter, VWAP</t>
        </is>
      </c>
      <c r="D6703" s="9" t="inlineStr">
        <is>
          <t>Short</t>
        </is>
      </c>
      <c r="E6703" s="10" t="n">
        <v>46119.16666666666</v>
      </c>
      <c r="F6703" s="10" t="n">
        <v>46119.17013888889</v>
      </c>
      <c r="G6703" s="11" t="n">
        <v>-6.88</v>
      </c>
      <c r="H6703" s="11">
        <f>H6702+G6703</f>
        <v/>
      </c>
    </row>
    <row r="6704">
      <c r="A6704" s="9" t="n">
        <v>6700</v>
      </c>
      <c r="B6704" s="9" t="inlineStr">
        <is>
          <t>Meridian</t>
        </is>
      </c>
      <c r="C6704" s="9" t="inlineStr">
        <is>
          <t>21/50 MA cross, 250-period confirm filter, VWAP</t>
        </is>
      </c>
      <c r="D6704" s="9" t="inlineStr">
        <is>
          <t>Short</t>
        </is>
      </c>
      <c r="E6704" s="10" t="n">
        <v>46119.17361111111</v>
      </c>
      <c r="F6704" s="10" t="n">
        <v>46119.1875</v>
      </c>
      <c r="G6704" s="11" t="n">
        <v>-18.41</v>
      </c>
      <c r="H6704" s="11">
        <f>H6703+G6704</f>
        <v/>
      </c>
    </row>
    <row r="6705">
      <c r="A6705" s="9" t="n">
        <v>6701</v>
      </c>
      <c r="B6705" s="9" t="inlineStr">
        <is>
          <t>Ratchet</t>
        </is>
      </c>
      <c r="C6705" s="9" t="inlineStr">
        <is>
          <t>Stochastic scalp with give-back trail exit</t>
        </is>
      </c>
      <c r="D6705" s="9" t="inlineStr">
        <is>
          <t>Short</t>
        </is>
      </c>
      <c r="E6705" s="10" t="n">
        <v>46119.22569444445</v>
      </c>
      <c r="F6705" s="10" t="n">
        <v>46119.23958333334</v>
      </c>
      <c r="G6705" s="11" t="n">
        <v>-21.57</v>
      </c>
      <c r="H6705" s="11">
        <f>H6704+G6705</f>
        <v/>
      </c>
    </row>
    <row r="6706">
      <c r="A6706" s="9" t="n">
        <v>6702</v>
      </c>
      <c r="B6706" s="9" t="inlineStr">
        <is>
          <t>Meridian</t>
        </is>
      </c>
      <c r="C6706" s="9" t="inlineStr">
        <is>
          <t>21/50 MA cross, 250-period confirm filter, VWAP</t>
        </is>
      </c>
      <c r="D6706" s="9" t="inlineStr">
        <is>
          <t>Short</t>
        </is>
      </c>
      <c r="E6706" s="10" t="n">
        <v>46119.36111111111</v>
      </c>
      <c r="F6706" s="10" t="n">
        <v>46119.41319444445</v>
      </c>
      <c r="G6706" s="11" t="n">
        <v>-16.91</v>
      </c>
      <c r="H6706" s="11">
        <f>H6705+G6706</f>
        <v/>
      </c>
    </row>
    <row r="6707">
      <c r="A6707" s="9" t="n">
        <v>6703</v>
      </c>
      <c r="B6707" s="9" t="inlineStr">
        <is>
          <t>Meridian</t>
        </is>
      </c>
      <c r="C6707" s="9" t="inlineStr">
        <is>
          <t>21/50 MA cross, 250-period confirm filter, VWAP</t>
        </is>
      </c>
      <c r="D6707" s="9" t="inlineStr">
        <is>
          <t>Short</t>
        </is>
      </c>
      <c r="E6707" s="10" t="n">
        <v>46119.44097222222</v>
      </c>
      <c r="F6707" s="10" t="n">
        <v>46119.45833333334</v>
      </c>
      <c r="G6707" s="11" t="n">
        <v>-16.89</v>
      </c>
      <c r="H6707" s="11">
        <f>H6706+G6707</f>
        <v/>
      </c>
    </row>
    <row r="6708">
      <c r="A6708" s="9" t="n">
        <v>6704</v>
      </c>
      <c r="B6708" s="9" t="inlineStr">
        <is>
          <t>Vanguard_M15</t>
        </is>
      </c>
      <c r="C6708" s="9" t="inlineStr">
        <is>
          <t>Trendline breakout (fractal swing line) + VWAP/S-R distance gate - M15 chart</t>
        </is>
      </c>
      <c r="D6708" s="9" t="inlineStr">
        <is>
          <t>Short</t>
        </is>
      </c>
      <c r="E6708" s="10" t="n">
        <v>46118.90625</v>
      </c>
      <c r="F6708" s="10" t="n">
        <v>46119.46875</v>
      </c>
      <c r="G6708" s="11" t="n">
        <v>-36.33</v>
      </c>
      <c r="H6708" s="11">
        <f>H6707+G6708</f>
        <v/>
      </c>
    </row>
    <row r="6709">
      <c r="A6709" s="9" t="n">
        <v>6705</v>
      </c>
      <c r="B6709" s="9" t="inlineStr">
        <is>
          <t>Vanguard_M5</t>
        </is>
      </c>
      <c r="C6709" s="9" t="inlineStr">
        <is>
          <t>Trendline breakout (fractal swing line) + VWAP/S-R distance gate</t>
        </is>
      </c>
      <c r="D6709" s="9" t="inlineStr">
        <is>
          <t>Short</t>
        </is>
      </c>
      <c r="E6709" s="10" t="n">
        <v>46118.90277777778</v>
      </c>
      <c r="F6709" s="10" t="n">
        <v>46119.47222222222</v>
      </c>
      <c r="G6709" s="11" t="n">
        <v>-24.36</v>
      </c>
      <c r="H6709" s="11">
        <f>H6708+G6709</f>
        <v/>
      </c>
    </row>
    <row r="6710">
      <c r="A6710" s="9" t="n">
        <v>6706</v>
      </c>
      <c r="B6710" s="9" t="inlineStr">
        <is>
          <t>Ratchet</t>
        </is>
      </c>
      <c r="C6710" s="9" t="inlineStr">
        <is>
          <t>Stochastic scalp with give-back trail exit</t>
        </is>
      </c>
      <c r="D6710" s="9" t="inlineStr">
        <is>
          <t>Long</t>
        </is>
      </c>
      <c r="E6710" s="10" t="n">
        <v>46119.48958333334</v>
      </c>
      <c r="F6710" s="10" t="n">
        <v>46119.51736111111</v>
      </c>
      <c r="G6710" s="11" t="n">
        <v>3.2</v>
      </c>
      <c r="H6710" s="11">
        <f>H6709+G6710</f>
        <v/>
      </c>
    </row>
    <row r="6711">
      <c r="A6711" s="9" t="n">
        <v>6707</v>
      </c>
      <c r="B6711" s="9" t="inlineStr">
        <is>
          <t>Meridian</t>
        </is>
      </c>
      <c r="C6711" s="9" t="inlineStr">
        <is>
          <t>21/50 MA cross, 250-period confirm filter, VWAP</t>
        </is>
      </c>
      <c r="D6711" s="9" t="inlineStr">
        <is>
          <t>Long</t>
        </is>
      </c>
      <c r="E6711" s="10" t="n">
        <v>46119.46875</v>
      </c>
      <c r="F6711" s="10" t="n">
        <v>46119.59027777778</v>
      </c>
      <c r="G6711" s="11" t="n">
        <v>-12.49</v>
      </c>
      <c r="H6711" s="11">
        <f>H6710+G6711</f>
        <v/>
      </c>
    </row>
    <row r="6712">
      <c r="A6712" s="9" t="n">
        <v>6708</v>
      </c>
      <c r="B6712" s="9" t="inlineStr">
        <is>
          <t>Vanguard_M5</t>
        </is>
      </c>
      <c r="C6712" s="9" t="inlineStr">
        <is>
          <t>Trendline breakout (fractal swing line) + VWAP/S-R distance gate</t>
        </is>
      </c>
      <c r="D6712" s="9" t="inlineStr">
        <is>
          <t>Short</t>
        </is>
      </c>
      <c r="E6712" s="10" t="n">
        <v>46119.71527777778</v>
      </c>
      <c r="F6712" s="10" t="n">
        <v>46119.73263888889</v>
      </c>
      <c r="G6712" s="11" t="n">
        <v>-44.42</v>
      </c>
      <c r="H6712" s="11">
        <f>H6711+G6712</f>
        <v/>
      </c>
    </row>
    <row r="6713">
      <c r="A6713" s="9" t="n">
        <v>6709</v>
      </c>
      <c r="B6713" s="9" t="inlineStr">
        <is>
          <t>Vanguard_M15</t>
        </is>
      </c>
      <c r="C6713" s="9" t="inlineStr">
        <is>
          <t>Trendline breakout (fractal swing line) + VWAP/S-R distance gate - M15 chart</t>
        </is>
      </c>
      <c r="D6713" s="9" t="inlineStr">
        <is>
          <t>Short</t>
        </is>
      </c>
      <c r="E6713" s="10" t="n">
        <v>46119.71875</v>
      </c>
      <c r="F6713" s="10" t="n">
        <v>46119.85416666666</v>
      </c>
      <c r="G6713" s="11" t="n">
        <v>-52.22</v>
      </c>
      <c r="H6713" s="11">
        <f>H6712+G6713</f>
        <v/>
      </c>
    </row>
    <row r="6714">
      <c r="A6714" s="9" t="n">
        <v>6710</v>
      </c>
      <c r="B6714" s="9" t="inlineStr">
        <is>
          <t>Aurelius_M5</t>
        </is>
      </c>
      <c r="C6714" s="9" t="inlineStr">
        <is>
          <t>MA alignment (EMA21&gt;EMA50&gt;SMA250&gt;SMMA500 vs EMA2400 trend filter)</t>
        </is>
      </c>
      <c r="D6714" s="9" t="inlineStr">
        <is>
          <t>Long</t>
        </is>
      </c>
      <c r="E6714" s="10" t="n">
        <v>46119.86111111111</v>
      </c>
      <c r="F6714" s="10" t="n">
        <v>46119.91319444445</v>
      </c>
      <c r="G6714" s="11" t="n">
        <v>-21.51</v>
      </c>
      <c r="H6714" s="11">
        <f>H6713+G6714</f>
        <v/>
      </c>
    </row>
    <row r="6715">
      <c r="A6715" s="9" t="n">
        <v>6711</v>
      </c>
      <c r="B6715" s="9" t="inlineStr">
        <is>
          <t>Ratchet</t>
        </is>
      </c>
      <c r="C6715" s="9" t="inlineStr">
        <is>
          <t>Stochastic scalp with give-back trail exit</t>
        </is>
      </c>
      <c r="D6715" s="9" t="inlineStr">
        <is>
          <t>Long</t>
        </is>
      </c>
      <c r="E6715" s="10" t="n">
        <v>46120.07638888889</v>
      </c>
      <c r="F6715" s="10" t="n">
        <v>46120.18055555555</v>
      </c>
      <c r="G6715" s="11" t="n">
        <v>21.94</v>
      </c>
      <c r="H6715" s="11">
        <f>H6714+G6715</f>
        <v/>
      </c>
    </row>
    <row r="6716">
      <c r="A6716" s="9" t="n">
        <v>6712</v>
      </c>
      <c r="B6716" s="9" t="inlineStr">
        <is>
          <t>Ratchet</t>
        </is>
      </c>
      <c r="C6716" s="9" t="inlineStr">
        <is>
          <t>Stochastic scalp with give-back trail exit</t>
        </is>
      </c>
      <c r="D6716" s="9" t="inlineStr">
        <is>
          <t>Long</t>
        </is>
      </c>
      <c r="E6716" s="10" t="n">
        <v>46120.34722222222</v>
      </c>
      <c r="F6716" s="10" t="n">
        <v>46120.41666666666</v>
      </c>
      <c r="G6716" s="11" t="n">
        <v>8.02</v>
      </c>
      <c r="H6716" s="11">
        <f>H6715+G6716</f>
        <v/>
      </c>
    </row>
    <row r="6717">
      <c r="A6717" s="9" t="n">
        <v>6713</v>
      </c>
      <c r="B6717" s="9" t="inlineStr">
        <is>
          <t>Meridian</t>
        </is>
      </c>
      <c r="C6717" s="9" t="inlineStr">
        <is>
          <t>21/50 MA cross, 250-period confirm filter, VWAP</t>
        </is>
      </c>
      <c r="D6717" s="9" t="inlineStr">
        <is>
          <t>Long</t>
        </is>
      </c>
      <c r="E6717" s="10" t="n">
        <v>46119.80555555555</v>
      </c>
      <c r="F6717" s="10" t="n">
        <v>46120.48611111111</v>
      </c>
      <c r="G6717" s="11" t="n">
        <v>144.97</v>
      </c>
      <c r="H6717" s="11">
        <f>H6716+G6717</f>
        <v/>
      </c>
    </row>
    <row r="6718">
      <c r="A6718" s="9" t="n">
        <v>6714</v>
      </c>
      <c r="B6718" s="9" t="inlineStr">
        <is>
          <t>Aurelius_M15</t>
        </is>
      </c>
      <c r="C6718" s="9" t="inlineStr">
        <is>
          <t>MA alignment (EMA21&gt;EMA50&gt;SMA250&gt;SMMA500 vs EMA2400 trend filter) - M15 chart</t>
        </is>
      </c>
      <c r="D6718" s="9" t="inlineStr">
        <is>
          <t>Long</t>
        </is>
      </c>
      <c r="E6718" s="10" t="n">
        <v>46119.92708333334</v>
      </c>
      <c r="F6718" s="10" t="n">
        <v>46120.5625</v>
      </c>
      <c r="G6718" s="11" t="n">
        <v>114.63</v>
      </c>
      <c r="H6718" s="11">
        <f>H6717+G6718</f>
        <v/>
      </c>
    </row>
    <row r="6719">
      <c r="A6719" s="9" t="n">
        <v>6715</v>
      </c>
      <c r="B6719" s="9" t="inlineStr">
        <is>
          <t>MSG</t>
        </is>
      </c>
      <c r="C6719" s="9" t="inlineStr">
        <is>
          <t>Session-range breakout + Fibonacci retracement-zone entry</t>
        </is>
      </c>
      <c r="D6719" s="9" t="inlineStr">
        <is>
          <t>Short</t>
        </is>
      </c>
      <c r="E6719" s="10" t="n">
        <v>46120.63472222222</v>
      </c>
      <c r="F6719" s="10" t="n">
        <v>46120.64583333334</v>
      </c>
      <c r="G6719" s="11" t="n">
        <v>76.01000000000001</v>
      </c>
      <c r="H6719" s="11">
        <f>H6718+G6719</f>
        <v/>
      </c>
    </row>
    <row r="6720">
      <c r="A6720" s="9" t="n">
        <v>6716</v>
      </c>
      <c r="B6720" s="9" t="inlineStr">
        <is>
          <t>Meridian</t>
        </is>
      </c>
      <c r="C6720" s="9" t="inlineStr">
        <is>
          <t>21/50 MA cross, 250-period confirm filter, VWAP</t>
        </is>
      </c>
      <c r="D6720" s="9" t="inlineStr">
        <is>
          <t>Short</t>
        </is>
      </c>
      <c r="E6720" s="10" t="n">
        <v>46121.26736111111</v>
      </c>
      <c r="F6720" s="10" t="n">
        <v>46121.30208333334</v>
      </c>
      <c r="G6720" s="11" t="n">
        <v>-14.71</v>
      </c>
      <c r="H6720" s="11">
        <f>H6719+G6720</f>
        <v/>
      </c>
    </row>
    <row r="6721">
      <c r="A6721" s="9" t="n">
        <v>6717</v>
      </c>
      <c r="B6721" s="9" t="inlineStr">
        <is>
          <t>Meridian</t>
        </is>
      </c>
      <c r="C6721" s="9" t="inlineStr">
        <is>
          <t>21/50 MA cross, 250-period confirm filter, VWAP</t>
        </is>
      </c>
      <c r="D6721" s="9" t="inlineStr">
        <is>
          <t>Short</t>
        </is>
      </c>
      <c r="E6721" s="10" t="n">
        <v>46121.375</v>
      </c>
      <c r="F6721" s="10" t="n">
        <v>46121.38194444445</v>
      </c>
      <c r="G6721" s="11" t="n">
        <v>-7.65</v>
      </c>
      <c r="H6721" s="11">
        <f>H6720+G6721</f>
        <v/>
      </c>
    </row>
    <row r="6722">
      <c r="A6722" s="9" t="n">
        <v>6718</v>
      </c>
      <c r="B6722" s="9" t="inlineStr">
        <is>
          <t>Meridian</t>
        </is>
      </c>
      <c r="C6722" s="9" t="inlineStr">
        <is>
          <t>21/50 MA cross, 250-period confirm filter, VWAP</t>
        </is>
      </c>
      <c r="D6722" s="9" t="inlineStr">
        <is>
          <t>Short</t>
        </is>
      </c>
      <c r="E6722" s="10" t="n">
        <v>46121.39236111111</v>
      </c>
      <c r="F6722" s="10" t="n">
        <v>46121.42361111111</v>
      </c>
      <c r="G6722" s="11" t="n">
        <v>-15.48</v>
      </c>
      <c r="H6722" s="11">
        <f>H6721+G6722</f>
        <v/>
      </c>
    </row>
    <row r="6723">
      <c r="A6723" s="9" t="n">
        <v>6719</v>
      </c>
      <c r="B6723" s="9" t="inlineStr">
        <is>
          <t>Vanguard_M5</t>
        </is>
      </c>
      <c r="C6723" s="9" t="inlineStr">
        <is>
          <t>Trendline breakout (fractal swing line) + VWAP/S-R distance gate</t>
        </is>
      </c>
      <c r="D6723" s="9" t="inlineStr">
        <is>
          <t>Long</t>
        </is>
      </c>
      <c r="E6723" s="10" t="n">
        <v>46119.93055555555</v>
      </c>
      <c r="F6723" s="10" t="n">
        <v>46121.54861111111</v>
      </c>
      <c r="G6723" s="11" t="n">
        <v>36.99</v>
      </c>
      <c r="H6723" s="11">
        <f>H6722+G6723</f>
        <v/>
      </c>
    </row>
    <row r="6724">
      <c r="A6724" s="9" t="n">
        <v>6720</v>
      </c>
      <c r="B6724" s="9" t="inlineStr">
        <is>
          <t>Ratchet</t>
        </is>
      </c>
      <c r="C6724" s="9" t="inlineStr">
        <is>
          <t>Stochastic scalp with give-back trail exit</t>
        </is>
      </c>
      <c r="D6724" s="9" t="inlineStr">
        <is>
          <t>Long</t>
        </is>
      </c>
      <c r="E6724" s="10" t="n">
        <v>46121.84375</v>
      </c>
      <c r="F6724" s="10" t="n">
        <v>46121.84722222222</v>
      </c>
      <c r="G6724" s="11" t="n">
        <v>1.27</v>
      </c>
      <c r="H6724" s="11">
        <f>H6723+G6724</f>
        <v/>
      </c>
    </row>
    <row r="6725">
      <c r="A6725" s="9" t="n">
        <v>6721</v>
      </c>
      <c r="B6725" s="9" t="inlineStr">
        <is>
          <t>Ratchet</t>
        </is>
      </c>
      <c r="C6725" s="9" t="inlineStr">
        <is>
          <t>Stochastic scalp with give-back trail exit</t>
        </is>
      </c>
      <c r="D6725" s="9" t="inlineStr">
        <is>
          <t>Long</t>
        </is>
      </c>
      <c r="E6725" s="10" t="n">
        <v>46121.85416666666</v>
      </c>
      <c r="F6725" s="10" t="n">
        <v>46121.86111111111</v>
      </c>
      <c r="G6725" s="11" t="n">
        <v>1.76</v>
      </c>
      <c r="H6725" s="11">
        <f>H6724+G6725</f>
        <v/>
      </c>
    </row>
    <row r="6726">
      <c r="A6726" s="9" t="n">
        <v>6722</v>
      </c>
      <c r="B6726" s="9" t="inlineStr">
        <is>
          <t>Vanguard_M15</t>
        </is>
      </c>
      <c r="C6726" s="9" t="inlineStr">
        <is>
          <t>Trendline breakout (fractal swing line) + VWAP/S-R distance gate - M15 chart</t>
        </is>
      </c>
      <c r="D6726" s="9" t="inlineStr">
        <is>
          <t>Long</t>
        </is>
      </c>
      <c r="E6726" s="10" t="n">
        <v>46119.95833333334</v>
      </c>
      <c r="F6726" s="10" t="n">
        <v>46122.08333333334</v>
      </c>
      <c r="G6726" s="11" t="n">
        <v>58.55</v>
      </c>
      <c r="H6726" s="11">
        <f>H6725+G6726</f>
        <v/>
      </c>
    </row>
    <row r="6727">
      <c r="A6727" s="9" t="n">
        <v>6723</v>
      </c>
      <c r="B6727" s="9" t="inlineStr">
        <is>
          <t>Aurelius_M15</t>
        </is>
      </c>
      <c r="C6727" s="9" t="inlineStr">
        <is>
          <t>MA alignment (EMA21&gt;EMA50&gt;SMA250&gt;SMMA500 vs EMA2400 trend filter) - M15 chart</t>
        </is>
      </c>
      <c r="D6727" s="9" t="inlineStr">
        <is>
          <t>Long</t>
        </is>
      </c>
      <c r="E6727" s="10" t="n">
        <v>46121.69791666666</v>
      </c>
      <c r="F6727" s="10" t="n">
        <v>46122.21875</v>
      </c>
      <c r="G6727" s="11" t="n">
        <v>-29.1</v>
      </c>
      <c r="H6727" s="11">
        <f>H6726+G6727</f>
        <v/>
      </c>
    </row>
    <row r="6728">
      <c r="A6728" s="9" t="n">
        <v>6724</v>
      </c>
      <c r="B6728" s="9" t="inlineStr">
        <is>
          <t>Meridian</t>
        </is>
      </c>
      <c r="C6728" s="9" t="inlineStr">
        <is>
          <t>21/50 MA cross, 250-period confirm filter, VWAP</t>
        </is>
      </c>
      <c r="D6728" s="9" t="inlineStr">
        <is>
          <t>Long</t>
        </is>
      </c>
      <c r="E6728" s="10" t="n">
        <v>46122.29166666666</v>
      </c>
      <c r="F6728" s="10" t="n">
        <v>46122.38541666666</v>
      </c>
      <c r="G6728" s="11" t="n">
        <v>-12.3</v>
      </c>
      <c r="H6728" s="11">
        <f>H6727+G6728</f>
        <v/>
      </c>
    </row>
    <row r="6729">
      <c r="A6729" s="9" t="n">
        <v>6725</v>
      </c>
      <c r="B6729" s="9" t="inlineStr">
        <is>
          <t>Aurelius_M5</t>
        </is>
      </c>
      <c r="C6729" s="9" t="inlineStr">
        <is>
          <t>MA alignment (EMA21&gt;EMA50&gt;SMA250&gt;SMMA500 vs EMA2400 trend filter)</t>
        </is>
      </c>
      <c r="D6729" s="9" t="inlineStr">
        <is>
          <t>Long</t>
        </is>
      </c>
      <c r="E6729" s="10" t="n">
        <v>46122.35763888889</v>
      </c>
      <c r="F6729" s="10" t="n">
        <v>46122.38541666666</v>
      </c>
      <c r="G6729" s="11" t="n">
        <v>-9.710000000000001</v>
      </c>
      <c r="H6729" s="11">
        <f>H6728+G6729</f>
        <v/>
      </c>
    </row>
    <row r="6730">
      <c r="A6730" s="9" t="n">
        <v>6726</v>
      </c>
      <c r="B6730" s="9" t="inlineStr">
        <is>
          <t>Vanguard_M5</t>
        </is>
      </c>
      <c r="C6730" s="9" t="inlineStr">
        <is>
          <t>Trendline breakout (fractal swing line) + VWAP/S-R distance gate</t>
        </is>
      </c>
      <c r="D6730" s="9" t="inlineStr">
        <is>
          <t>Short</t>
        </is>
      </c>
      <c r="E6730" s="10" t="n">
        <v>46122.06944444445</v>
      </c>
      <c r="F6730" s="10" t="n">
        <v>46122.64583333334</v>
      </c>
      <c r="G6730" s="11" t="n">
        <v>-21.04</v>
      </c>
      <c r="H6730" s="11">
        <f>H6729+G6730</f>
        <v/>
      </c>
    </row>
    <row r="6731">
      <c r="A6731" s="9" t="n">
        <v>6727</v>
      </c>
      <c r="B6731" s="9" t="inlineStr">
        <is>
          <t>Vanguard_M15</t>
        </is>
      </c>
      <c r="C6731" s="9" t="inlineStr">
        <is>
          <t>Trendline breakout (fractal swing line) + VWAP/S-R distance gate - M15 chart</t>
        </is>
      </c>
      <c r="D6731" s="9" t="inlineStr">
        <is>
          <t>Short</t>
        </is>
      </c>
      <c r="E6731" s="10" t="n">
        <v>46122.09375</v>
      </c>
      <c r="F6731" s="10" t="n">
        <v>46122.67708333334</v>
      </c>
      <c r="G6731" s="11" t="n">
        <v>-16.4</v>
      </c>
      <c r="H6731" s="11">
        <f>H6730+G6731</f>
        <v/>
      </c>
    </row>
    <row r="6732">
      <c r="A6732" s="9" t="n">
        <v>6728</v>
      </c>
      <c r="B6732" s="9" t="inlineStr">
        <is>
          <t>Ratchet</t>
        </is>
      </c>
      <c r="C6732" s="9" t="inlineStr">
        <is>
          <t>Stochastic scalp with give-back trail exit</t>
        </is>
      </c>
      <c r="D6732" s="9" t="inlineStr">
        <is>
          <t>Long</t>
        </is>
      </c>
      <c r="E6732" s="10" t="n">
        <v>46122.71180555555</v>
      </c>
      <c r="F6732" s="10" t="n">
        <v>46122.73611111111</v>
      </c>
      <c r="G6732" s="11" t="n">
        <v>4.07</v>
      </c>
      <c r="H6732" s="11">
        <f>H6731+G6732</f>
        <v/>
      </c>
    </row>
    <row r="6733">
      <c r="A6733" s="9" t="n">
        <v>6729</v>
      </c>
      <c r="B6733" s="9" t="inlineStr">
        <is>
          <t>Vanguard_M5</t>
        </is>
      </c>
      <c r="C6733" s="9" t="inlineStr">
        <is>
          <t>Trendline breakout (fractal swing line) + VWAP/S-R distance gate</t>
        </is>
      </c>
      <c r="D6733" s="9" t="inlineStr">
        <is>
          <t>Long</t>
        </is>
      </c>
      <c r="E6733" s="10" t="n">
        <v>46122.64930555555</v>
      </c>
      <c r="F6733" s="10" t="n">
        <v>46122.77430555555</v>
      </c>
      <c r="G6733" s="11" t="n">
        <v>-23.13</v>
      </c>
      <c r="H6733" s="11">
        <f>H6732+G6733</f>
        <v/>
      </c>
    </row>
    <row r="6734">
      <c r="A6734" s="9" t="n">
        <v>6730</v>
      </c>
      <c r="B6734" s="9" t="inlineStr">
        <is>
          <t>Meridian</t>
        </is>
      </c>
      <c r="C6734" s="9" t="inlineStr">
        <is>
          <t>21/50 MA cross, 250-period confirm filter, VWAP</t>
        </is>
      </c>
      <c r="D6734" s="9" t="inlineStr">
        <is>
          <t>Short</t>
        </is>
      </c>
      <c r="E6734" s="10" t="n">
        <v>46122.79861111111</v>
      </c>
      <c r="F6734" s="10" t="n">
        <v>46122.91666666666</v>
      </c>
      <c r="G6734" s="11" t="n">
        <v>-9.1</v>
      </c>
      <c r="H6734" s="11">
        <f>H6733+G6734</f>
        <v/>
      </c>
    </row>
    <row r="6735">
      <c r="A6735" s="9" t="n">
        <v>6731</v>
      </c>
      <c r="B6735" s="9" t="inlineStr">
        <is>
          <t>Aurelius_M15</t>
        </is>
      </c>
      <c r="C6735" s="9" t="inlineStr">
        <is>
          <t>MA alignment (EMA21&gt;EMA50&gt;SMA250&gt;SMMA500 vs EMA2400 trend filter) - M15 chart</t>
        </is>
      </c>
      <c r="D6735" s="9" t="inlineStr">
        <is>
          <t>Long</t>
        </is>
      </c>
      <c r="E6735" s="10" t="n">
        <v>46122.69791666666</v>
      </c>
      <c r="F6735" s="10" t="n">
        <v>46122.92708333334</v>
      </c>
      <c r="G6735" s="11" t="n">
        <v>-2.53</v>
      </c>
      <c r="H6735" s="11">
        <f>H6734+G6735</f>
        <v/>
      </c>
    </row>
    <row r="6736">
      <c r="A6736" s="9" t="n">
        <v>6732</v>
      </c>
      <c r="B6736" s="9" t="inlineStr">
        <is>
          <t>Vanguard_M15</t>
        </is>
      </c>
      <c r="C6736" s="9" t="inlineStr">
        <is>
          <t>Trendline breakout (fractal swing line) + VWAP/S-R distance gate - M15 chart</t>
        </is>
      </c>
      <c r="D6736" s="9" t="inlineStr">
        <is>
          <t>Long</t>
        </is>
      </c>
      <c r="E6736" s="10" t="n">
        <v>46122.6875</v>
      </c>
      <c r="F6736" s="10" t="n">
        <v>46122.96875</v>
      </c>
      <c r="G6736" s="11" t="n">
        <v>-28.94</v>
      </c>
      <c r="H6736" s="11">
        <f>H6735+G6736</f>
        <v/>
      </c>
    </row>
    <row r="6737">
      <c r="A6737" s="9" t="n">
        <v>6733</v>
      </c>
      <c r="B6737" s="9" t="inlineStr">
        <is>
          <t>Vanguard_M5</t>
        </is>
      </c>
      <c r="C6737" s="9" t="inlineStr">
        <is>
          <t>Trendline breakout (fractal swing line) + VWAP/S-R distance gate</t>
        </is>
      </c>
      <c r="D6737" s="9" t="inlineStr">
        <is>
          <t>Long</t>
        </is>
      </c>
      <c r="E6737" s="10" t="n">
        <v>46122.89930555555</v>
      </c>
      <c r="F6737" s="10" t="n">
        <v>46122.97569444445</v>
      </c>
      <c r="G6737" s="11" t="n">
        <v>-23.39</v>
      </c>
      <c r="H6737" s="11">
        <f>H6736+G6737</f>
        <v/>
      </c>
    </row>
    <row r="6738">
      <c r="A6738" s="9" t="n">
        <v>6734</v>
      </c>
      <c r="B6738" s="9" t="inlineStr">
        <is>
          <t>MSG</t>
        </is>
      </c>
      <c r="C6738" s="9" t="inlineStr">
        <is>
          <t>Session-range breakout + Fibonacci retracement-zone entry</t>
        </is>
      </c>
      <c r="D6738" s="9" t="inlineStr">
        <is>
          <t>Short</t>
        </is>
      </c>
      <c r="E6738" s="10" t="n">
        <v>46125.58611111111</v>
      </c>
      <c r="F6738" s="10" t="n">
        <v>46125.61388888889</v>
      </c>
      <c r="G6738" s="11" t="n">
        <v>44.06</v>
      </c>
      <c r="H6738" s="11">
        <f>H6737+G6738</f>
        <v/>
      </c>
    </row>
    <row r="6739">
      <c r="A6739" s="9" t="n">
        <v>6735</v>
      </c>
      <c r="B6739" s="9" t="inlineStr">
        <is>
          <t>Meridian</t>
        </is>
      </c>
      <c r="C6739" s="9" t="inlineStr">
        <is>
          <t>21/50 MA cross, 250-period confirm filter, VWAP</t>
        </is>
      </c>
      <c r="D6739" s="9" t="inlineStr">
        <is>
          <t>Long</t>
        </is>
      </c>
      <c r="E6739" s="10" t="n">
        <v>46125.67708333334</v>
      </c>
      <c r="F6739" s="10" t="n">
        <v>46125.71875</v>
      </c>
      <c r="G6739" s="11" t="n">
        <v>-15.24</v>
      </c>
      <c r="H6739" s="11">
        <f>H6738+G6739</f>
        <v/>
      </c>
    </row>
    <row r="6740">
      <c r="A6740" s="9" t="n">
        <v>6736</v>
      </c>
      <c r="B6740" s="9" t="inlineStr">
        <is>
          <t>Ratchet</t>
        </is>
      </c>
      <c r="C6740" s="9" t="inlineStr">
        <is>
          <t>Stochastic scalp with give-back trail exit</t>
        </is>
      </c>
      <c r="D6740" s="9" t="inlineStr">
        <is>
          <t>Long</t>
        </is>
      </c>
      <c r="E6740" s="10" t="n">
        <v>46126.17708333334</v>
      </c>
      <c r="F6740" s="10" t="n">
        <v>46126.1875</v>
      </c>
      <c r="G6740" s="11" t="n">
        <v>-9.720000000000001</v>
      </c>
      <c r="H6740" s="11">
        <f>H6739+G6740</f>
        <v/>
      </c>
    </row>
    <row r="6741">
      <c r="A6741" s="9" t="n">
        <v>6737</v>
      </c>
      <c r="B6741" s="9" t="inlineStr">
        <is>
          <t>Ratchet</t>
        </is>
      </c>
      <c r="C6741" s="9" t="inlineStr">
        <is>
          <t>Stochastic scalp with give-back trail exit</t>
        </is>
      </c>
      <c r="D6741" s="9" t="inlineStr">
        <is>
          <t>Long</t>
        </is>
      </c>
      <c r="E6741" s="10" t="n">
        <v>46126.25</v>
      </c>
      <c r="F6741" s="10" t="n">
        <v>46126.26041666666</v>
      </c>
      <c r="G6741" s="11" t="n">
        <v>-7.28</v>
      </c>
      <c r="H6741" s="11">
        <f>H6740+G6741</f>
        <v/>
      </c>
    </row>
    <row r="6742">
      <c r="A6742" s="9" t="n">
        <v>6738</v>
      </c>
      <c r="B6742" s="9" t="inlineStr">
        <is>
          <t>Ratchet</t>
        </is>
      </c>
      <c r="C6742" s="9" t="inlineStr">
        <is>
          <t>Stochastic scalp with give-back trail exit</t>
        </is>
      </c>
      <c r="D6742" s="9" t="inlineStr">
        <is>
          <t>Long</t>
        </is>
      </c>
      <c r="E6742" s="10" t="n">
        <v>46126.28819444445</v>
      </c>
      <c r="F6742" s="10" t="n">
        <v>46126.31597222222</v>
      </c>
      <c r="G6742" s="11" t="n">
        <v>1.3</v>
      </c>
      <c r="H6742" s="11">
        <f>H6741+G6742</f>
        <v/>
      </c>
    </row>
    <row r="6743">
      <c r="A6743" s="9" t="n">
        <v>6739</v>
      </c>
      <c r="B6743" s="9" t="inlineStr">
        <is>
          <t>Ratchet</t>
        </is>
      </c>
      <c r="C6743" s="9" t="inlineStr">
        <is>
          <t>Stochastic scalp with give-back trail exit</t>
        </is>
      </c>
      <c r="D6743" s="9" t="inlineStr">
        <is>
          <t>Long</t>
        </is>
      </c>
      <c r="E6743" s="10" t="n">
        <v>46126.32291666666</v>
      </c>
      <c r="F6743" s="10" t="n">
        <v>46126.32638888889</v>
      </c>
      <c r="G6743" s="11" t="n">
        <v>0.55</v>
      </c>
      <c r="H6743" s="11">
        <f>H6742+G6743</f>
        <v/>
      </c>
    </row>
    <row r="6744">
      <c r="A6744" s="9" t="n">
        <v>6740</v>
      </c>
      <c r="B6744" s="9" t="inlineStr">
        <is>
          <t>Meridian</t>
        </is>
      </c>
      <c r="C6744" s="9" t="inlineStr">
        <is>
          <t>21/50 MA cross, 250-period confirm filter, VWAP</t>
        </is>
      </c>
      <c r="D6744" s="9" t="inlineStr">
        <is>
          <t>Long</t>
        </is>
      </c>
      <c r="E6744" s="10" t="n">
        <v>46125.81597222222</v>
      </c>
      <c r="F6744" s="10" t="n">
        <v>46126.36458333334</v>
      </c>
      <c r="G6744" s="11" t="n">
        <v>26.9</v>
      </c>
      <c r="H6744" s="11">
        <f>H6743+G6744</f>
        <v/>
      </c>
    </row>
    <row r="6745">
      <c r="A6745" s="9" t="n">
        <v>6741</v>
      </c>
      <c r="B6745" s="9" t="inlineStr">
        <is>
          <t>Aurelius_M5</t>
        </is>
      </c>
      <c r="C6745" s="9" t="inlineStr">
        <is>
          <t>MA alignment (EMA21&gt;EMA50&gt;SMA250&gt;SMMA500 vs EMA2400 trend filter)</t>
        </is>
      </c>
      <c r="D6745" s="9" t="inlineStr">
        <is>
          <t>Long</t>
        </is>
      </c>
      <c r="E6745" s="10" t="n">
        <v>46126.42708333334</v>
      </c>
      <c r="F6745" s="10" t="n">
        <v>46126.43055555555</v>
      </c>
      <c r="G6745" s="11" t="n">
        <v>-13.22</v>
      </c>
      <c r="H6745" s="11">
        <f>H6744+G6745</f>
        <v/>
      </c>
    </row>
    <row r="6746">
      <c r="A6746" s="9" t="n">
        <v>6742</v>
      </c>
      <c r="B6746" s="9" t="inlineStr">
        <is>
          <t>Meridian</t>
        </is>
      </c>
      <c r="C6746" s="9" t="inlineStr">
        <is>
          <t>21/50 MA cross, 250-period confirm filter, VWAP</t>
        </is>
      </c>
      <c r="D6746" s="9" t="inlineStr">
        <is>
          <t>Long</t>
        </is>
      </c>
      <c r="E6746" s="10" t="n">
        <v>46126.41319444445</v>
      </c>
      <c r="F6746" s="10" t="n">
        <v>46126.43402777778</v>
      </c>
      <c r="G6746" s="11" t="n">
        <v>-11.22</v>
      </c>
      <c r="H6746" s="11">
        <f>H6745+G6746</f>
        <v/>
      </c>
    </row>
    <row r="6747">
      <c r="A6747" s="9" t="n">
        <v>6743</v>
      </c>
      <c r="B6747" s="9" t="inlineStr">
        <is>
          <t>Vanguard_M5</t>
        </is>
      </c>
      <c r="C6747" s="9" t="inlineStr">
        <is>
          <t>Trendline breakout (fractal swing line) + VWAP/S-R distance gate</t>
        </is>
      </c>
      <c r="D6747" s="9" t="inlineStr">
        <is>
          <t>Long</t>
        </is>
      </c>
      <c r="E6747" s="10" t="n">
        <v>46126.42013888889</v>
      </c>
      <c r="F6747" s="10" t="n">
        <v>46126.43402777778</v>
      </c>
      <c r="G6747" s="11" t="n">
        <v>-19.17</v>
      </c>
      <c r="H6747" s="11">
        <f>H6746+G6747</f>
        <v/>
      </c>
    </row>
    <row r="6748">
      <c r="A6748" s="9" t="n">
        <v>6744</v>
      </c>
      <c r="B6748" s="9" t="inlineStr">
        <is>
          <t>Ratchet</t>
        </is>
      </c>
      <c r="C6748" s="9" t="inlineStr">
        <is>
          <t>Stochastic scalp with give-back trail exit</t>
        </is>
      </c>
      <c r="D6748" s="9" t="inlineStr">
        <is>
          <t>Long</t>
        </is>
      </c>
      <c r="E6748" s="10" t="n">
        <v>46126.46875</v>
      </c>
      <c r="F6748" s="10" t="n">
        <v>46126.48611111111</v>
      </c>
      <c r="G6748" s="11" t="n">
        <v>2.38</v>
      </c>
      <c r="H6748" s="11">
        <f>H6747+G6748</f>
        <v/>
      </c>
    </row>
    <row r="6749">
      <c r="A6749" s="9" t="n">
        <v>6745</v>
      </c>
      <c r="B6749" s="9" t="inlineStr">
        <is>
          <t>Ratchet</t>
        </is>
      </c>
      <c r="C6749" s="9" t="inlineStr">
        <is>
          <t>Stochastic scalp with give-back trail exit</t>
        </is>
      </c>
      <c r="D6749" s="9" t="inlineStr">
        <is>
          <t>Long</t>
        </is>
      </c>
      <c r="E6749" s="10" t="n">
        <v>46126.51041666666</v>
      </c>
      <c r="F6749" s="10" t="n">
        <v>46126.52083333334</v>
      </c>
      <c r="G6749" s="11" t="n">
        <v>-7.92</v>
      </c>
      <c r="H6749" s="11">
        <f>H6748+G6749</f>
        <v/>
      </c>
    </row>
    <row r="6750">
      <c r="A6750" s="9" t="n">
        <v>6746</v>
      </c>
      <c r="B6750" s="9" t="inlineStr">
        <is>
          <t>Vanguard_M15</t>
        </is>
      </c>
      <c r="C6750" s="9" t="inlineStr">
        <is>
          <t>Trendline breakout (fractal swing line) + VWAP/S-R distance gate - M15 chart</t>
        </is>
      </c>
      <c r="D6750" s="9" t="inlineStr">
        <is>
          <t>Long</t>
        </is>
      </c>
      <c r="E6750" s="10" t="n">
        <v>46126.42708333334</v>
      </c>
      <c r="F6750" s="10" t="n">
        <v>46126.5625</v>
      </c>
      <c r="G6750" s="11" t="n">
        <v>-24.64</v>
      </c>
      <c r="H6750" s="11">
        <f>H6749+G6750</f>
        <v/>
      </c>
    </row>
    <row r="6751">
      <c r="A6751" s="9" t="n">
        <v>6747</v>
      </c>
      <c r="B6751" s="9" t="inlineStr">
        <is>
          <t>Aurelius_M5</t>
        </is>
      </c>
      <c r="C6751" s="9" t="inlineStr">
        <is>
          <t>MA alignment (EMA21&gt;EMA50&gt;SMA250&gt;SMMA500 vs EMA2400 trend filter)</t>
        </is>
      </c>
      <c r="D6751" s="9" t="inlineStr">
        <is>
          <t>Long</t>
        </is>
      </c>
      <c r="E6751" s="10" t="n">
        <v>46126.45486111111</v>
      </c>
      <c r="F6751" s="10" t="n">
        <v>46126.56597222222</v>
      </c>
      <c r="G6751" s="11" t="n">
        <v>-14.21</v>
      </c>
      <c r="H6751" s="11">
        <f>H6750+G6751</f>
        <v/>
      </c>
    </row>
    <row r="6752">
      <c r="A6752" s="9" t="n">
        <v>6748</v>
      </c>
      <c r="B6752" s="9" t="inlineStr">
        <is>
          <t>Vanguard_M5</t>
        </is>
      </c>
      <c r="C6752" s="9" t="inlineStr">
        <is>
          <t>Trendline breakout (fractal swing line) + VWAP/S-R distance gate</t>
        </is>
      </c>
      <c r="D6752" s="9" t="inlineStr">
        <is>
          <t>Long</t>
        </is>
      </c>
      <c r="E6752" s="10" t="n">
        <v>46126.47916666666</v>
      </c>
      <c r="F6752" s="10" t="n">
        <v>46126.56597222222</v>
      </c>
      <c r="G6752" s="11" t="n">
        <v>-22.39</v>
      </c>
      <c r="H6752" s="11">
        <f>H6751+G6752</f>
        <v/>
      </c>
    </row>
    <row r="6753">
      <c r="A6753" s="9" t="n">
        <v>6749</v>
      </c>
      <c r="B6753" s="9" t="inlineStr">
        <is>
          <t>Vanguard_M15</t>
        </is>
      </c>
      <c r="C6753" s="9" t="inlineStr">
        <is>
          <t>Trendline breakout (fractal swing line) + VWAP/S-R distance gate - M15 chart</t>
        </is>
      </c>
      <c r="D6753" s="9" t="inlineStr">
        <is>
          <t>Short</t>
        </is>
      </c>
      <c r="E6753" s="10" t="n">
        <v>46126.65625</v>
      </c>
      <c r="F6753" s="10" t="n">
        <v>46126.66666666666</v>
      </c>
      <c r="G6753" s="11" t="n">
        <v>-13.25</v>
      </c>
      <c r="H6753" s="11">
        <f>H6752+G6753</f>
        <v/>
      </c>
    </row>
    <row r="6754">
      <c r="A6754" s="9" t="n">
        <v>6750</v>
      </c>
      <c r="B6754" s="9" t="inlineStr">
        <is>
          <t>Vanguard_M5</t>
        </is>
      </c>
      <c r="C6754" s="9" t="inlineStr">
        <is>
          <t>Trendline breakout (fractal swing line) + VWAP/S-R distance gate</t>
        </is>
      </c>
      <c r="D6754" s="9" t="inlineStr">
        <is>
          <t>Short</t>
        </is>
      </c>
      <c r="E6754" s="10" t="n">
        <v>46126.64236111111</v>
      </c>
      <c r="F6754" s="10" t="n">
        <v>46126.67361111111</v>
      </c>
      <c r="G6754" s="11" t="n">
        <v>-16.13</v>
      </c>
      <c r="H6754" s="11">
        <f>H6753+G6754</f>
        <v/>
      </c>
    </row>
    <row r="6755">
      <c r="A6755" s="9" t="n">
        <v>6751</v>
      </c>
      <c r="B6755" s="9" t="inlineStr">
        <is>
          <t>Ratchet</t>
        </is>
      </c>
      <c r="C6755" s="9" t="inlineStr">
        <is>
          <t>Stochastic scalp with give-back trail exit</t>
        </is>
      </c>
      <c r="D6755" s="9" t="inlineStr">
        <is>
          <t>Long</t>
        </is>
      </c>
      <c r="E6755" s="10" t="n">
        <v>46126.70138888889</v>
      </c>
      <c r="F6755" s="10" t="n">
        <v>46126.71527777778</v>
      </c>
      <c r="G6755" s="11" t="n">
        <v>2.32</v>
      </c>
      <c r="H6755" s="11">
        <f>H6754+G6755</f>
        <v/>
      </c>
    </row>
    <row r="6756">
      <c r="A6756" s="9" t="n">
        <v>6752</v>
      </c>
      <c r="B6756" s="9" t="inlineStr">
        <is>
          <t>Ratchet</t>
        </is>
      </c>
      <c r="C6756" s="9" t="inlineStr">
        <is>
          <t>Stochastic scalp with give-back trail exit</t>
        </is>
      </c>
      <c r="D6756" s="9" t="inlineStr">
        <is>
          <t>Long</t>
        </is>
      </c>
      <c r="E6756" s="10" t="n">
        <v>46126.92361111111</v>
      </c>
      <c r="F6756" s="10" t="n">
        <v>46126.95138888889</v>
      </c>
      <c r="G6756" s="11" t="n">
        <v>0</v>
      </c>
      <c r="H6756" s="11">
        <f>H6755+G6756</f>
        <v/>
      </c>
    </row>
    <row r="6757">
      <c r="A6757" s="9" t="n">
        <v>6753</v>
      </c>
      <c r="B6757" s="9" t="inlineStr">
        <is>
          <t>Ratchet</t>
        </is>
      </c>
      <c r="C6757" s="9" t="inlineStr">
        <is>
          <t>Stochastic scalp with give-back trail exit</t>
        </is>
      </c>
      <c r="D6757" s="9" t="inlineStr">
        <is>
          <t>Long</t>
        </is>
      </c>
      <c r="E6757" s="10" t="n">
        <v>46127.11111111111</v>
      </c>
      <c r="F6757" s="10" t="n">
        <v>46127.125</v>
      </c>
      <c r="G6757" s="11" t="n">
        <v>-7</v>
      </c>
      <c r="H6757" s="11">
        <f>H6756+G6757</f>
        <v/>
      </c>
    </row>
    <row r="6758">
      <c r="A6758" s="9" t="n">
        <v>6754</v>
      </c>
      <c r="B6758" s="9" t="inlineStr">
        <is>
          <t>Meridian</t>
        </is>
      </c>
      <c r="C6758" s="9" t="inlineStr">
        <is>
          <t>21/50 MA cross, 250-period confirm filter, VWAP</t>
        </is>
      </c>
      <c r="D6758" s="9" t="inlineStr">
        <is>
          <t>Long</t>
        </is>
      </c>
      <c r="E6758" s="10" t="n">
        <v>46126.68402777778</v>
      </c>
      <c r="F6758" s="10" t="n">
        <v>46127.15277777778</v>
      </c>
      <c r="G6758" s="11" t="n">
        <v>37.45</v>
      </c>
      <c r="H6758" s="11">
        <f>H6757+G6758</f>
        <v/>
      </c>
    </row>
    <row r="6759">
      <c r="A6759" s="9" t="n">
        <v>6755</v>
      </c>
      <c r="B6759" s="9" t="inlineStr">
        <is>
          <t>Meridian</t>
        </is>
      </c>
      <c r="C6759" s="9" t="inlineStr">
        <is>
          <t>21/50 MA cross, 250-period confirm filter, VWAP</t>
        </is>
      </c>
      <c r="D6759" s="9" t="inlineStr">
        <is>
          <t>Long</t>
        </is>
      </c>
      <c r="E6759" s="10" t="n">
        <v>46127.17708333334</v>
      </c>
      <c r="F6759" s="10" t="n">
        <v>46127.22222222222</v>
      </c>
      <c r="G6759" s="11" t="n">
        <v>-13.94</v>
      </c>
      <c r="H6759" s="11">
        <f>H6758+G6759</f>
        <v/>
      </c>
    </row>
    <row r="6760">
      <c r="A6760" s="9" t="n">
        <v>6756</v>
      </c>
      <c r="B6760" s="9" t="inlineStr">
        <is>
          <t>Aurelius_M15</t>
        </is>
      </c>
      <c r="C6760" s="9" t="inlineStr">
        <is>
          <t>MA alignment (EMA21&gt;EMA50&gt;SMA250&gt;SMMA500 vs EMA2400 trend filter) - M15 chart</t>
        </is>
      </c>
      <c r="D6760" s="9" t="inlineStr">
        <is>
          <t>Long</t>
        </is>
      </c>
      <c r="E6760" s="10" t="n">
        <v>46126.67708333334</v>
      </c>
      <c r="F6760" s="10" t="n">
        <v>46127.30208333334</v>
      </c>
      <c r="G6760" s="11" t="n">
        <v>43.14</v>
      </c>
      <c r="H6760" s="11">
        <f>H6759+G6760</f>
        <v/>
      </c>
    </row>
    <row r="6761">
      <c r="A6761" s="9" t="n">
        <v>6757</v>
      </c>
      <c r="B6761" s="9" t="inlineStr">
        <is>
          <t>Vanguard_M5</t>
        </is>
      </c>
      <c r="C6761" s="9" t="inlineStr">
        <is>
          <t>Trendline breakout (fractal swing line) + VWAP/S-R distance gate</t>
        </is>
      </c>
      <c r="D6761" s="9" t="inlineStr">
        <is>
          <t>Long</t>
        </is>
      </c>
      <c r="E6761" s="10" t="n">
        <v>46126.67708333334</v>
      </c>
      <c r="F6761" s="10" t="n">
        <v>46127.44791666666</v>
      </c>
      <c r="G6761" s="11" t="n">
        <v>25.67</v>
      </c>
      <c r="H6761" s="11">
        <f>H6760+G6761</f>
        <v/>
      </c>
    </row>
    <row r="6762">
      <c r="A6762" s="9" t="n">
        <v>6758</v>
      </c>
      <c r="B6762" s="9" t="inlineStr">
        <is>
          <t>Vanguard_M15</t>
        </is>
      </c>
      <c r="C6762" s="9" t="inlineStr">
        <is>
          <t>Trendline breakout (fractal swing line) + VWAP/S-R distance gate - M15 chart</t>
        </is>
      </c>
      <c r="D6762" s="9" t="inlineStr">
        <is>
          <t>Long</t>
        </is>
      </c>
      <c r="E6762" s="10" t="n">
        <v>46126.67708333334</v>
      </c>
      <c r="F6762" s="10" t="n">
        <v>46127.46875</v>
      </c>
      <c r="G6762" s="11" t="n">
        <v>27.67</v>
      </c>
      <c r="H6762" s="11">
        <f>H6761+G6762</f>
        <v/>
      </c>
    </row>
    <row r="6763">
      <c r="A6763" s="9" t="n">
        <v>6759</v>
      </c>
      <c r="B6763" s="9" t="inlineStr">
        <is>
          <t>MSG</t>
        </is>
      </c>
      <c r="C6763" s="9" t="inlineStr">
        <is>
          <t>Session-range breakout + Fibonacci retracement-zone entry</t>
        </is>
      </c>
      <c r="D6763" s="9" t="inlineStr">
        <is>
          <t>Short</t>
        </is>
      </c>
      <c r="E6763" s="10" t="n">
        <v>46127.6</v>
      </c>
      <c r="F6763" s="10" t="n">
        <v>46127.68125</v>
      </c>
      <c r="G6763" s="11" t="n">
        <v>-37.47</v>
      </c>
      <c r="H6763" s="11">
        <f>H6762+G6763</f>
        <v/>
      </c>
    </row>
    <row r="6764">
      <c r="A6764" s="9" t="n">
        <v>6760</v>
      </c>
      <c r="B6764" s="9" t="inlineStr">
        <is>
          <t>Vanguard_M5</t>
        </is>
      </c>
      <c r="C6764" s="9" t="inlineStr">
        <is>
          <t>Trendline breakout (fractal swing line) + VWAP/S-R distance gate</t>
        </is>
      </c>
      <c r="D6764" s="9" t="inlineStr">
        <is>
          <t>Short</t>
        </is>
      </c>
      <c r="E6764" s="10" t="n">
        <v>46127.45138888889</v>
      </c>
      <c r="F6764" s="10" t="n">
        <v>46127.70486111111</v>
      </c>
      <c r="G6764" s="11" t="n">
        <v>-21.71</v>
      </c>
      <c r="H6764" s="11">
        <f>H6763+G6764</f>
        <v/>
      </c>
    </row>
    <row r="6765">
      <c r="A6765" s="9" t="n">
        <v>6761</v>
      </c>
      <c r="B6765" s="9" t="inlineStr">
        <is>
          <t>Meridian</t>
        </is>
      </c>
      <c r="C6765" s="9" t="inlineStr">
        <is>
          <t>21/50 MA cross, 250-period confirm filter, VWAP</t>
        </is>
      </c>
      <c r="D6765" s="9" t="inlineStr">
        <is>
          <t>Short</t>
        </is>
      </c>
      <c r="E6765" s="10" t="n">
        <v>46127.77083333334</v>
      </c>
      <c r="F6765" s="10" t="n">
        <v>46128.07986111111</v>
      </c>
      <c r="G6765" s="11" t="n">
        <v>-12.35</v>
      </c>
      <c r="H6765" s="11">
        <f>H6764+G6765</f>
        <v/>
      </c>
    </row>
    <row r="6766">
      <c r="A6766" s="9" t="n">
        <v>6762</v>
      </c>
      <c r="B6766" s="9" t="inlineStr">
        <is>
          <t>Vanguard_M5</t>
        </is>
      </c>
      <c r="C6766" s="9" t="inlineStr">
        <is>
          <t>Trendline breakout (fractal swing line) + VWAP/S-R distance gate</t>
        </is>
      </c>
      <c r="D6766" s="9" t="inlineStr">
        <is>
          <t>Short</t>
        </is>
      </c>
      <c r="E6766" s="10" t="n">
        <v>46127.92708333334</v>
      </c>
      <c r="F6766" s="10" t="n">
        <v>46128.10416666666</v>
      </c>
      <c r="G6766" s="11" t="n">
        <v>-17.66</v>
      </c>
      <c r="H6766" s="11">
        <f>H6765+G6766</f>
        <v/>
      </c>
    </row>
    <row r="6767">
      <c r="A6767" s="9" t="n">
        <v>6763</v>
      </c>
      <c r="B6767" s="9" t="inlineStr">
        <is>
          <t>Vanguard_M15</t>
        </is>
      </c>
      <c r="C6767" s="9" t="inlineStr">
        <is>
          <t>Trendline breakout (fractal swing line) + VWAP/S-R distance gate - M15 chart</t>
        </is>
      </c>
      <c r="D6767" s="9" t="inlineStr">
        <is>
          <t>Short</t>
        </is>
      </c>
      <c r="E6767" s="10" t="n">
        <v>46127.47916666666</v>
      </c>
      <c r="F6767" s="10" t="n">
        <v>46128.14583333334</v>
      </c>
      <c r="G6767" s="11" t="n">
        <v>-25.58</v>
      </c>
      <c r="H6767" s="11">
        <f>H6766+G6767</f>
        <v/>
      </c>
    </row>
    <row r="6768">
      <c r="A6768" s="9" t="n">
        <v>6764</v>
      </c>
      <c r="B6768" s="9" t="inlineStr">
        <is>
          <t>Ratchet</t>
        </is>
      </c>
      <c r="C6768" s="9" t="inlineStr">
        <is>
          <t>Stochastic scalp with give-back trail exit</t>
        </is>
      </c>
      <c r="D6768" s="9" t="inlineStr">
        <is>
          <t>Long</t>
        </is>
      </c>
      <c r="E6768" s="10" t="n">
        <v>46128.42361111111</v>
      </c>
      <c r="F6768" s="10" t="n">
        <v>46128.43055555555</v>
      </c>
      <c r="G6768" s="11" t="n">
        <v>-9.76</v>
      </c>
      <c r="H6768" s="11">
        <f>H6767+G6768</f>
        <v/>
      </c>
    </row>
    <row r="6769">
      <c r="A6769" s="9" t="n">
        <v>6765</v>
      </c>
      <c r="B6769" s="9" t="inlineStr">
        <is>
          <t>Aurelius_M15</t>
        </is>
      </c>
      <c r="C6769" s="9" t="inlineStr">
        <is>
          <t>MA alignment (EMA21&gt;EMA50&gt;SMA250&gt;SMMA500 vs EMA2400 trend filter) - M15 chart</t>
        </is>
      </c>
      <c r="D6769" s="9" t="inlineStr">
        <is>
          <t>Long</t>
        </is>
      </c>
      <c r="E6769" s="10" t="n">
        <v>46128.17708333334</v>
      </c>
      <c r="F6769" s="10" t="n">
        <v>46128.45833333334</v>
      </c>
      <c r="G6769" s="11" t="n">
        <v>-19.3</v>
      </c>
      <c r="H6769" s="11">
        <f>H6768+G6769</f>
        <v/>
      </c>
    </row>
    <row r="6770">
      <c r="A6770" s="9" t="n">
        <v>6766</v>
      </c>
      <c r="B6770" s="9" t="inlineStr">
        <is>
          <t>Meridian</t>
        </is>
      </c>
      <c r="C6770" s="9" t="inlineStr">
        <is>
          <t>21/50 MA cross, 250-period confirm filter, VWAP</t>
        </is>
      </c>
      <c r="D6770" s="9" t="inlineStr">
        <is>
          <t>Long</t>
        </is>
      </c>
      <c r="E6770" s="10" t="n">
        <v>46128.41319444445</v>
      </c>
      <c r="F6770" s="10" t="n">
        <v>46128.45833333334</v>
      </c>
      <c r="G6770" s="11" t="n">
        <v>-11.98</v>
      </c>
      <c r="H6770" s="11">
        <f>H6769+G6770</f>
        <v/>
      </c>
    </row>
    <row r="6771">
      <c r="A6771" s="9" t="n">
        <v>6767</v>
      </c>
      <c r="B6771" s="9" t="inlineStr">
        <is>
          <t>Meridian</t>
        </is>
      </c>
      <c r="C6771" s="9" t="inlineStr">
        <is>
          <t>21/50 MA cross, 250-period confirm filter, VWAP</t>
        </is>
      </c>
      <c r="D6771" s="9" t="inlineStr">
        <is>
          <t>Long</t>
        </is>
      </c>
      <c r="E6771" s="10" t="n">
        <v>46128.625</v>
      </c>
      <c r="F6771" s="10" t="n">
        <v>46128.63194444445</v>
      </c>
      <c r="G6771" s="11" t="n">
        <v>-8.880000000000001</v>
      </c>
      <c r="H6771" s="11">
        <f>H6770+G6771</f>
        <v/>
      </c>
    </row>
    <row r="6772">
      <c r="A6772" s="9" t="n">
        <v>6768</v>
      </c>
      <c r="B6772" s="9" t="inlineStr">
        <is>
          <t>Aurelius_M5</t>
        </is>
      </c>
      <c r="C6772" s="9" t="inlineStr">
        <is>
          <t>MA alignment (EMA21&gt;EMA50&gt;SMA250&gt;SMMA500 vs EMA2400 trend filter)</t>
        </is>
      </c>
      <c r="D6772" s="9" t="inlineStr">
        <is>
          <t>Long</t>
        </is>
      </c>
      <c r="E6772" s="10" t="n">
        <v>46128.64930555555</v>
      </c>
      <c r="F6772" s="10" t="n">
        <v>46128.70138888889</v>
      </c>
      <c r="G6772" s="11" t="n">
        <v>-10.52</v>
      </c>
      <c r="H6772" s="11">
        <f>H6771+G6772</f>
        <v/>
      </c>
    </row>
    <row r="6773">
      <c r="A6773" s="9" t="n">
        <v>6769</v>
      </c>
      <c r="B6773" s="9" t="inlineStr">
        <is>
          <t>Meridian</t>
        </is>
      </c>
      <c r="C6773" s="9" t="inlineStr">
        <is>
          <t>21/50 MA cross, 250-period confirm filter, VWAP</t>
        </is>
      </c>
      <c r="D6773" s="9" t="inlineStr">
        <is>
          <t>Short</t>
        </is>
      </c>
      <c r="E6773" s="10" t="n">
        <v>46128.70486111111</v>
      </c>
      <c r="F6773" s="10" t="n">
        <v>46128.75694444445</v>
      </c>
      <c r="G6773" s="11" t="n">
        <v>-17.75</v>
      </c>
      <c r="H6773" s="11">
        <f>H6772+G6773</f>
        <v/>
      </c>
    </row>
    <row r="6774">
      <c r="A6774" s="9" t="n">
        <v>6770</v>
      </c>
      <c r="B6774" s="9" t="inlineStr">
        <is>
          <t>Meridian</t>
        </is>
      </c>
      <c r="C6774" s="9" t="inlineStr">
        <is>
          <t>21/50 MA cross, 250-period confirm filter, VWAP</t>
        </is>
      </c>
      <c r="D6774" s="9" t="inlineStr">
        <is>
          <t>Short</t>
        </is>
      </c>
      <c r="E6774" s="10" t="n">
        <v>46129.13194444445</v>
      </c>
      <c r="F6774" s="10" t="n">
        <v>46129.14583333334</v>
      </c>
      <c r="G6774" s="11" t="n">
        <v>-7.2</v>
      </c>
      <c r="H6774" s="11">
        <f>H6773+G6774</f>
        <v/>
      </c>
    </row>
    <row r="6775">
      <c r="A6775" s="9" t="n">
        <v>6771</v>
      </c>
      <c r="B6775" s="9" t="inlineStr">
        <is>
          <t>Meridian</t>
        </is>
      </c>
      <c r="C6775" s="9" t="inlineStr">
        <is>
          <t>21/50 MA cross, 250-period confirm filter, VWAP</t>
        </is>
      </c>
      <c r="D6775" s="9" t="inlineStr">
        <is>
          <t>Short</t>
        </is>
      </c>
      <c r="E6775" s="10" t="n">
        <v>46129.17361111111</v>
      </c>
      <c r="F6775" s="10" t="n">
        <v>46129.21180555555</v>
      </c>
      <c r="G6775" s="11" t="n">
        <v>-9.82</v>
      </c>
      <c r="H6775" s="11">
        <f>H6774+G6775</f>
        <v/>
      </c>
    </row>
    <row r="6776">
      <c r="A6776" s="9" t="n">
        <v>6772</v>
      </c>
      <c r="B6776" s="9" t="inlineStr">
        <is>
          <t>Meridian</t>
        </is>
      </c>
      <c r="C6776" s="9" t="inlineStr">
        <is>
          <t>21/50 MA cross, 250-period confirm filter, VWAP</t>
        </is>
      </c>
      <c r="D6776" s="9" t="inlineStr">
        <is>
          <t>Short</t>
        </is>
      </c>
      <c r="E6776" s="10" t="n">
        <v>46129.39236111111</v>
      </c>
      <c r="F6776" s="10" t="n">
        <v>46129.5</v>
      </c>
      <c r="G6776" s="11" t="n">
        <v>-10.14</v>
      </c>
      <c r="H6776" s="11">
        <f>H6775+G6776</f>
        <v/>
      </c>
    </row>
    <row r="6777">
      <c r="A6777" s="9" t="n">
        <v>6773</v>
      </c>
      <c r="B6777" s="9" t="inlineStr">
        <is>
          <t>Meridian</t>
        </is>
      </c>
      <c r="C6777" s="9" t="inlineStr">
        <is>
          <t>21/50 MA cross, 250-period confirm filter, VWAP</t>
        </is>
      </c>
      <c r="D6777" s="9" t="inlineStr">
        <is>
          <t>Long</t>
        </is>
      </c>
      <c r="E6777" s="10" t="n">
        <v>46129.50694444445</v>
      </c>
      <c r="F6777" s="10" t="n">
        <v>46129.56944444445</v>
      </c>
      <c r="G6777" s="11" t="n">
        <v>-10.6</v>
      </c>
      <c r="H6777" s="11">
        <f>H6776+G6777</f>
        <v/>
      </c>
    </row>
    <row r="6778">
      <c r="A6778" s="9" t="n">
        <v>6774</v>
      </c>
      <c r="B6778" s="9" t="inlineStr">
        <is>
          <t>MSG</t>
        </is>
      </c>
      <c r="C6778" s="9" t="inlineStr">
        <is>
          <t>Session-range breakout + Fibonacci retracement-zone entry</t>
        </is>
      </c>
      <c r="D6778" s="9" t="inlineStr">
        <is>
          <t>Long</t>
        </is>
      </c>
      <c r="E6778" s="10" t="n">
        <v>46129.54236111111</v>
      </c>
      <c r="F6778" s="10" t="n">
        <v>46129.56944444445</v>
      </c>
      <c r="G6778" s="11" t="n">
        <v>-17.54</v>
      </c>
      <c r="H6778" s="11">
        <f>H6777+G6778</f>
        <v/>
      </c>
    </row>
    <row r="6779">
      <c r="A6779" s="9" t="n">
        <v>6775</v>
      </c>
      <c r="B6779" s="9" t="inlineStr">
        <is>
          <t>Vanguard_M15</t>
        </is>
      </c>
      <c r="C6779" s="9" t="inlineStr">
        <is>
          <t>Trendline breakout (fractal swing line) + VWAP/S-R distance gate - M15 chart</t>
        </is>
      </c>
      <c r="D6779" s="9" t="inlineStr">
        <is>
          <t>Short</t>
        </is>
      </c>
      <c r="E6779" s="10" t="n">
        <v>46128.46875</v>
      </c>
      <c r="F6779" s="10" t="n">
        <v>46129.63541666666</v>
      </c>
      <c r="G6779" s="11" t="n">
        <v>-5.45</v>
      </c>
      <c r="H6779" s="11">
        <f>H6778+G6779</f>
        <v/>
      </c>
    </row>
    <row r="6780">
      <c r="A6780" s="9" t="n">
        <v>6776</v>
      </c>
      <c r="B6780" s="9" t="inlineStr">
        <is>
          <t>Vanguard_M5</t>
        </is>
      </c>
      <c r="C6780" s="9" t="inlineStr">
        <is>
          <t>Trendline breakout (fractal swing line) + VWAP/S-R distance gate</t>
        </is>
      </c>
      <c r="D6780" s="9" t="inlineStr">
        <is>
          <t>Short</t>
        </is>
      </c>
      <c r="E6780" s="10" t="n">
        <v>46128.39583333334</v>
      </c>
      <c r="F6780" s="10" t="n">
        <v>46129.64236111111</v>
      </c>
      <c r="G6780" s="11" t="n">
        <v>-0.93</v>
      </c>
      <c r="H6780" s="11">
        <f>H6779+G6780</f>
        <v/>
      </c>
    </row>
    <row r="6781">
      <c r="A6781" s="9" t="n">
        <v>6777</v>
      </c>
      <c r="B6781" s="9" t="inlineStr">
        <is>
          <t>Meridian</t>
        </is>
      </c>
      <c r="C6781" s="9" t="inlineStr">
        <is>
          <t>21/50 MA cross, 250-period confirm filter, VWAP</t>
        </is>
      </c>
      <c r="D6781" s="9" t="inlineStr">
        <is>
          <t>Long</t>
        </is>
      </c>
      <c r="E6781" s="10" t="n">
        <v>46129.61805555555</v>
      </c>
      <c r="F6781" s="10" t="n">
        <v>46129.91666666666</v>
      </c>
      <c r="G6781" s="11" t="n">
        <v>52.31</v>
      </c>
      <c r="H6781" s="11">
        <f>H6780+G6781</f>
        <v/>
      </c>
    </row>
    <row r="6782">
      <c r="A6782" s="9" t="n">
        <v>6778</v>
      </c>
      <c r="B6782" s="9" t="inlineStr">
        <is>
          <t>MSG</t>
        </is>
      </c>
      <c r="C6782" s="9" t="inlineStr">
        <is>
          <t>Session-range breakout + Fibonacci retracement-zone entry</t>
        </is>
      </c>
      <c r="D6782" s="9" t="inlineStr">
        <is>
          <t>Long</t>
        </is>
      </c>
      <c r="E6782" s="10" t="n">
        <v>46132.65069444444</v>
      </c>
      <c r="F6782" s="10" t="n">
        <v>46132.69375</v>
      </c>
      <c r="G6782" s="11" t="n">
        <v>49.38</v>
      </c>
      <c r="H6782" s="11">
        <f>H6781+G6782</f>
        <v/>
      </c>
    </row>
    <row r="6783">
      <c r="A6783" s="9" t="n">
        <v>6779</v>
      </c>
      <c r="B6783" s="9" t="inlineStr">
        <is>
          <t>Ratchet</t>
        </is>
      </c>
      <c r="C6783" s="9" t="inlineStr">
        <is>
          <t>Stochastic scalp with give-back trail exit</t>
        </is>
      </c>
      <c r="D6783" s="9" t="inlineStr">
        <is>
          <t>Long</t>
        </is>
      </c>
      <c r="E6783" s="10" t="n">
        <v>46133.08333333334</v>
      </c>
      <c r="F6783" s="10" t="n">
        <v>46133.11458333334</v>
      </c>
      <c r="G6783" s="11" t="n">
        <v>-7.06</v>
      </c>
      <c r="H6783" s="11">
        <f>H6782+G6783</f>
        <v/>
      </c>
    </row>
    <row r="6784">
      <c r="A6784" s="9" t="n">
        <v>6780</v>
      </c>
      <c r="B6784" s="9" t="inlineStr">
        <is>
          <t>Aurelius_M5</t>
        </is>
      </c>
      <c r="C6784" s="9" t="inlineStr">
        <is>
          <t>MA alignment (EMA21&gt;EMA50&gt;SMA250&gt;SMMA500 vs EMA2400 trend filter)</t>
        </is>
      </c>
      <c r="D6784" s="9" t="inlineStr">
        <is>
          <t>Long</t>
        </is>
      </c>
      <c r="E6784" s="10" t="n">
        <v>46133.15972222222</v>
      </c>
      <c r="F6784" s="10" t="n">
        <v>46133.17361111111</v>
      </c>
      <c r="G6784" s="11" t="n">
        <v>-8.949999999999999</v>
      </c>
      <c r="H6784" s="11">
        <f>H6783+G6784</f>
        <v/>
      </c>
    </row>
    <row r="6785">
      <c r="A6785" s="9" t="n">
        <v>6781</v>
      </c>
      <c r="B6785" s="9" t="inlineStr">
        <is>
          <t>Meridian</t>
        </is>
      </c>
      <c r="C6785" s="9" t="inlineStr">
        <is>
          <t>21/50 MA cross, 250-period confirm filter, VWAP</t>
        </is>
      </c>
      <c r="D6785" s="9" t="inlineStr">
        <is>
          <t>Long</t>
        </is>
      </c>
      <c r="E6785" s="10" t="n">
        <v>46132.85416666666</v>
      </c>
      <c r="F6785" s="10" t="n">
        <v>46133.1875</v>
      </c>
      <c r="G6785" s="11" t="n">
        <v>8.27</v>
      </c>
      <c r="H6785" s="11">
        <f>H6784+G6785</f>
        <v/>
      </c>
    </row>
    <row r="6786">
      <c r="A6786" s="9" t="n">
        <v>6782</v>
      </c>
      <c r="B6786" s="9" t="inlineStr">
        <is>
          <t>MSG</t>
        </is>
      </c>
      <c r="C6786" s="9" t="inlineStr">
        <is>
          <t>Session-range breakout + Fibonacci retracement-zone entry</t>
        </is>
      </c>
      <c r="D6786" s="9" t="inlineStr">
        <is>
          <t>Long</t>
        </is>
      </c>
      <c r="E6786" s="10" t="n">
        <v>46133.63888888889</v>
      </c>
      <c r="F6786" s="10" t="n">
        <v>46133.64583333334</v>
      </c>
      <c r="G6786" s="11" t="n">
        <v>-16.08</v>
      </c>
      <c r="H6786" s="11">
        <f>H6785+G6786</f>
        <v/>
      </c>
    </row>
    <row r="6787">
      <c r="A6787" s="9" t="n">
        <v>6783</v>
      </c>
      <c r="B6787" s="9" t="inlineStr">
        <is>
          <t>Aurelius_M5</t>
        </is>
      </c>
      <c r="C6787" s="9" t="inlineStr">
        <is>
          <t>MA alignment (EMA21&gt;EMA50&gt;SMA250&gt;SMMA500 vs EMA2400 trend filter)</t>
        </is>
      </c>
      <c r="D6787" s="9" t="inlineStr">
        <is>
          <t>Short</t>
        </is>
      </c>
      <c r="E6787" s="10" t="n">
        <v>46133.69097222222</v>
      </c>
      <c r="F6787" s="10" t="n">
        <v>46133.69444444445</v>
      </c>
      <c r="G6787" s="11" t="n">
        <v>-8.69</v>
      </c>
      <c r="H6787" s="11">
        <f>H6786+G6787</f>
        <v/>
      </c>
    </row>
    <row r="6788">
      <c r="A6788" s="9" t="n">
        <v>6784</v>
      </c>
      <c r="B6788" s="9" t="inlineStr">
        <is>
          <t>Meridian</t>
        </is>
      </c>
      <c r="C6788" s="9" t="inlineStr">
        <is>
          <t>21/50 MA cross, 250-period confirm filter, VWAP</t>
        </is>
      </c>
      <c r="D6788" s="9" t="inlineStr">
        <is>
          <t>Short</t>
        </is>
      </c>
      <c r="E6788" s="10" t="n">
        <v>46133.65625</v>
      </c>
      <c r="F6788" s="10" t="n">
        <v>46133.69791666666</v>
      </c>
      <c r="G6788" s="11" t="n">
        <v>-15.44</v>
      </c>
      <c r="H6788" s="11">
        <f>H6787+G6788</f>
        <v/>
      </c>
    </row>
    <row r="6789">
      <c r="A6789" s="9" t="n">
        <v>6785</v>
      </c>
      <c r="B6789" s="9" t="inlineStr">
        <is>
          <t>Ratchet</t>
        </is>
      </c>
      <c r="C6789" s="9" t="inlineStr">
        <is>
          <t>Stochastic scalp with give-back trail exit</t>
        </is>
      </c>
      <c r="D6789" s="9" t="inlineStr">
        <is>
          <t>Short</t>
        </is>
      </c>
      <c r="E6789" s="10" t="n">
        <v>46133.87847222222</v>
      </c>
      <c r="F6789" s="10" t="n">
        <v>46133.90972222222</v>
      </c>
      <c r="G6789" s="11" t="n">
        <v>4.64</v>
      </c>
      <c r="H6789" s="11">
        <f>H6788+G6789</f>
        <v/>
      </c>
    </row>
    <row r="6790">
      <c r="A6790" s="9" t="n">
        <v>6786</v>
      </c>
      <c r="B6790" s="9" t="inlineStr">
        <is>
          <t>Aurelius_M5</t>
        </is>
      </c>
      <c r="C6790" s="9" t="inlineStr">
        <is>
          <t>MA alignment (EMA21&gt;EMA50&gt;SMA250&gt;SMMA500 vs EMA2400 trend filter)</t>
        </is>
      </c>
      <c r="D6790" s="9" t="inlineStr">
        <is>
          <t>Short</t>
        </is>
      </c>
      <c r="E6790" s="10" t="n">
        <v>46133.72569444445</v>
      </c>
      <c r="F6790" s="10" t="n">
        <v>46134.04166666666</v>
      </c>
      <c r="G6790" s="11" t="n">
        <v>52.35</v>
      </c>
      <c r="H6790" s="11">
        <f>H6789+G6790</f>
        <v/>
      </c>
    </row>
    <row r="6791">
      <c r="A6791" s="9" t="n">
        <v>6787</v>
      </c>
      <c r="B6791" s="9" t="inlineStr">
        <is>
          <t>MSG</t>
        </is>
      </c>
      <c r="C6791" s="9" t="inlineStr">
        <is>
          <t>Session-range breakout + Fibonacci retracement-zone entry</t>
        </is>
      </c>
      <c r="D6791" s="9" t="inlineStr">
        <is>
          <t>Short</t>
        </is>
      </c>
      <c r="E6791" s="10" t="n">
        <v>46134.56666666667</v>
      </c>
      <c r="F6791" s="10" t="n">
        <v>46134.64027777778</v>
      </c>
      <c r="G6791" s="11" t="n">
        <v>25</v>
      </c>
      <c r="H6791" s="11">
        <f>H6790+G6791</f>
        <v/>
      </c>
    </row>
    <row r="6792">
      <c r="A6792" s="9" t="n">
        <v>6788</v>
      </c>
      <c r="B6792" s="9" t="inlineStr">
        <is>
          <t>Ratchet</t>
        </is>
      </c>
      <c r="C6792" s="9" t="inlineStr">
        <is>
          <t>Stochastic scalp with give-back trail exit</t>
        </is>
      </c>
      <c r="D6792" s="9" t="inlineStr">
        <is>
          <t>Short</t>
        </is>
      </c>
      <c r="E6792" s="10" t="n">
        <v>46134.72916666666</v>
      </c>
      <c r="F6792" s="10" t="n">
        <v>46134.84027777778</v>
      </c>
      <c r="G6792" s="11" t="n">
        <v>5.72</v>
      </c>
      <c r="H6792" s="11">
        <f>H6791+G6792</f>
        <v/>
      </c>
    </row>
    <row r="6793">
      <c r="A6793" s="9" t="n">
        <v>6789</v>
      </c>
      <c r="B6793" s="9" t="inlineStr">
        <is>
          <t>Meridian</t>
        </is>
      </c>
      <c r="C6793" s="9" t="inlineStr">
        <is>
          <t>21/50 MA cross, 250-period confirm filter, VWAP</t>
        </is>
      </c>
      <c r="D6793" s="9" t="inlineStr">
        <is>
          <t>Short</t>
        </is>
      </c>
      <c r="E6793" s="10" t="n">
        <v>46135.0625</v>
      </c>
      <c r="F6793" s="10" t="n">
        <v>46135.14236111111</v>
      </c>
      <c r="G6793" s="11" t="n">
        <v>-8.210000000000001</v>
      </c>
      <c r="H6793" s="11">
        <f>H6792+G6793</f>
        <v/>
      </c>
    </row>
    <row r="6794">
      <c r="A6794" s="9" t="n">
        <v>6790</v>
      </c>
      <c r="B6794" s="9" t="inlineStr">
        <is>
          <t>Meridian</t>
        </is>
      </c>
      <c r="C6794" s="9" t="inlineStr">
        <is>
          <t>21/50 MA cross, 250-period confirm filter, VWAP</t>
        </is>
      </c>
      <c r="D6794" s="9" t="inlineStr">
        <is>
          <t>Long</t>
        </is>
      </c>
      <c r="E6794" s="10" t="n">
        <v>46135.15972222222</v>
      </c>
      <c r="F6794" s="10" t="n">
        <v>46135.18055555555</v>
      </c>
      <c r="G6794" s="11" t="n">
        <v>-18.14</v>
      </c>
      <c r="H6794" s="11">
        <f>H6793+G6794</f>
        <v/>
      </c>
    </row>
    <row r="6795">
      <c r="A6795" s="9" t="n">
        <v>6791</v>
      </c>
      <c r="B6795" s="9" t="inlineStr">
        <is>
          <t>Vanguard_M15</t>
        </is>
      </c>
      <c r="C6795" s="9" t="inlineStr">
        <is>
          <t>Trendline breakout (fractal swing line) + VWAP/S-R distance gate - M15 chart</t>
        </is>
      </c>
      <c r="D6795" s="9" t="inlineStr">
        <is>
          <t>Long</t>
        </is>
      </c>
      <c r="E6795" s="10" t="n">
        <v>46135.14583333334</v>
      </c>
      <c r="F6795" s="10" t="n">
        <v>46135.20833333334</v>
      </c>
      <c r="G6795" s="11" t="n">
        <v>-31.82</v>
      </c>
      <c r="H6795" s="11">
        <f>H6794+G6795</f>
        <v/>
      </c>
    </row>
    <row r="6796">
      <c r="A6796" s="9" t="n">
        <v>6792</v>
      </c>
      <c r="B6796" s="9" t="inlineStr">
        <is>
          <t>Vanguard_M5</t>
        </is>
      </c>
      <c r="C6796" s="9" t="inlineStr">
        <is>
          <t>Trendline breakout (fractal swing line) + VWAP/S-R distance gate</t>
        </is>
      </c>
      <c r="D6796" s="9" t="inlineStr">
        <is>
          <t>Long</t>
        </is>
      </c>
      <c r="E6796" s="10" t="n">
        <v>46135.14583333334</v>
      </c>
      <c r="F6796" s="10" t="n">
        <v>46135.21180555555</v>
      </c>
      <c r="G6796" s="11" t="n">
        <v>-29.7</v>
      </c>
      <c r="H6796" s="11">
        <f>H6795+G6796</f>
        <v/>
      </c>
    </row>
    <row r="6797">
      <c r="A6797" s="9" t="n">
        <v>6793</v>
      </c>
      <c r="B6797" s="9" t="inlineStr">
        <is>
          <t>Ratchet</t>
        </is>
      </c>
      <c r="C6797" s="9" t="inlineStr">
        <is>
          <t>Stochastic scalp with give-back trail exit</t>
        </is>
      </c>
      <c r="D6797" s="9" t="inlineStr">
        <is>
          <t>Short</t>
        </is>
      </c>
      <c r="E6797" s="10" t="n">
        <v>46135.20833333334</v>
      </c>
      <c r="F6797" s="10" t="n">
        <v>46135.375</v>
      </c>
      <c r="G6797" s="11" t="n">
        <v>7.28</v>
      </c>
      <c r="H6797" s="11">
        <f>H6796+G6797</f>
        <v/>
      </c>
    </row>
    <row r="6798">
      <c r="A6798" s="9" t="n">
        <v>6794</v>
      </c>
      <c r="B6798" s="9" t="inlineStr">
        <is>
          <t>Meridian</t>
        </is>
      </c>
      <c r="C6798" s="9" t="inlineStr">
        <is>
          <t>21/50 MA cross, 250-period confirm filter, VWAP</t>
        </is>
      </c>
      <c r="D6798" s="9" t="inlineStr">
        <is>
          <t>Short</t>
        </is>
      </c>
      <c r="E6798" s="10" t="n">
        <v>46135.20833333334</v>
      </c>
      <c r="F6798" s="10" t="n">
        <v>46135.41666666666</v>
      </c>
      <c r="G6798" s="11" t="n">
        <v>10.16</v>
      </c>
      <c r="H6798" s="11">
        <f>H6797+G6798</f>
        <v/>
      </c>
    </row>
    <row r="6799">
      <c r="A6799" s="9" t="n">
        <v>6795</v>
      </c>
      <c r="B6799" s="9" t="inlineStr">
        <is>
          <t>Aurelius_M5</t>
        </is>
      </c>
      <c r="C6799" s="9" t="inlineStr">
        <is>
          <t>MA alignment (EMA21&gt;EMA50&gt;SMA250&gt;SMMA500 vs EMA2400 trend filter)</t>
        </is>
      </c>
      <c r="D6799" s="9" t="inlineStr">
        <is>
          <t>Short</t>
        </is>
      </c>
      <c r="E6799" s="10" t="n">
        <v>46135.23263888889</v>
      </c>
      <c r="F6799" s="10" t="n">
        <v>46135.41666666666</v>
      </c>
      <c r="G6799" s="11" t="n">
        <v>-0.57</v>
      </c>
      <c r="H6799" s="11">
        <f>H6798+G6799</f>
        <v/>
      </c>
    </row>
    <row r="6800">
      <c r="A6800" s="9" t="n">
        <v>6796</v>
      </c>
      <c r="B6800" s="9" t="inlineStr">
        <is>
          <t>Meridian</t>
        </is>
      </c>
      <c r="C6800" s="9" t="inlineStr">
        <is>
          <t>21/50 MA cross, 250-period confirm filter, VWAP</t>
        </is>
      </c>
      <c r="D6800" s="9" t="inlineStr">
        <is>
          <t>Short</t>
        </is>
      </c>
      <c r="E6800" s="10" t="n">
        <v>46135.43402777778</v>
      </c>
      <c r="F6800" s="10" t="n">
        <v>46135.44791666666</v>
      </c>
      <c r="G6800" s="11" t="n">
        <v>-13.59</v>
      </c>
      <c r="H6800" s="11">
        <f>H6799+G6800</f>
        <v/>
      </c>
    </row>
    <row r="6801">
      <c r="A6801" s="9" t="n">
        <v>6797</v>
      </c>
      <c r="B6801" s="9" t="inlineStr">
        <is>
          <t>Ratchet</t>
        </is>
      </c>
      <c r="C6801" s="9" t="inlineStr">
        <is>
          <t>Stochastic scalp with give-back trail exit</t>
        </is>
      </c>
      <c r="D6801" s="9" t="inlineStr">
        <is>
          <t>Short</t>
        </is>
      </c>
      <c r="E6801" s="10" t="n">
        <v>46135.57638888889</v>
      </c>
      <c r="F6801" s="10" t="n">
        <v>46135.59027777778</v>
      </c>
      <c r="G6801" s="11" t="n">
        <v>-10.14</v>
      </c>
      <c r="H6801" s="11">
        <f>H6800+G6801</f>
        <v/>
      </c>
    </row>
    <row r="6802">
      <c r="A6802" s="9" t="n">
        <v>6798</v>
      </c>
      <c r="B6802" s="9" t="inlineStr">
        <is>
          <t>Meridian</t>
        </is>
      </c>
      <c r="C6802" s="9" t="inlineStr">
        <is>
          <t>21/50 MA cross, 250-period confirm filter, VWAP</t>
        </is>
      </c>
      <c r="D6802" s="9" t="inlineStr">
        <is>
          <t>Short</t>
        </is>
      </c>
      <c r="E6802" s="10" t="n">
        <v>46135.49652777778</v>
      </c>
      <c r="F6802" s="10" t="n">
        <v>46135.62152777778</v>
      </c>
      <c r="G6802" s="11" t="n">
        <v>-13.19</v>
      </c>
      <c r="H6802" s="11">
        <f>H6801+G6802</f>
        <v/>
      </c>
    </row>
    <row r="6803">
      <c r="A6803" s="9" t="n">
        <v>6799</v>
      </c>
      <c r="B6803" s="9" t="inlineStr">
        <is>
          <t>MSG</t>
        </is>
      </c>
      <c r="C6803" s="9" t="inlineStr">
        <is>
          <t>Session-range breakout + Fibonacci retracement-zone entry</t>
        </is>
      </c>
      <c r="D6803" s="9" t="inlineStr">
        <is>
          <t>Short</t>
        </is>
      </c>
      <c r="E6803" s="10" t="n">
        <v>46135.61319444444</v>
      </c>
      <c r="F6803" s="10" t="n">
        <v>46135.62152777778</v>
      </c>
      <c r="G6803" s="11" t="n">
        <v>-36.32</v>
      </c>
      <c r="H6803" s="11">
        <f>H6802+G6803</f>
        <v/>
      </c>
    </row>
    <row r="6804">
      <c r="A6804" s="9" t="n">
        <v>6800</v>
      </c>
      <c r="B6804" s="9" t="inlineStr">
        <is>
          <t>Aurelius_M15</t>
        </is>
      </c>
      <c r="C6804" s="9" t="inlineStr">
        <is>
          <t>MA alignment (EMA21&gt;EMA50&gt;SMA250&gt;SMMA500 vs EMA2400 trend filter) - M15 chart</t>
        </is>
      </c>
      <c r="D6804" s="9" t="inlineStr">
        <is>
          <t>Short</t>
        </is>
      </c>
      <c r="E6804" s="10" t="n">
        <v>46134.73958333334</v>
      </c>
      <c r="F6804" s="10" t="n">
        <v>46135.69791666666</v>
      </c>
      <c r="G6804" s="11" t="n">
        <v>-1.65</v>
      </c>
      <c r="H6804" s="11">
        <f>H6803+G6804</f>
        <v/>
      </c>
    </row>
    <row r="6805">
      <c r="A6805" s="9" t="n">
        <v>6801</v>
      </c>
      <c r="B6805" s="9" t="inlineStr">
        <is>
          <t>Meridian</t>
        </is>
      </c>
      <c r="C6805" s="9" t="inlineStr">
        <is>
          <t>21/50 MA cross, 250-period confirm filter, VWAP</t>
        </is>
      </c>
      <c r="D6805" s="9" t="inlineStr">
        <is>
          <t>Long</t>
        </is>
      </c>
      <c r="E6805" s="10" t="n">
        <v>46135.62847222222</v>
      </c>
      <c r="F6805" s="10" t="n">
        <v>46135.83680555555</v>
      </c>
      <c r="G6805" s="11" t="n">
        <v>-15.14</v>
      </c>
      <c r="H6805" s="11">
        <f>H6804+G6805</f>
        <v/>
      </c>
    </row>
    <row r="6806">
      <c r="A6806" s="9" t="n">
        <v>6802</v>
      </c>
      <c r="B6806" s="9" t="inlineStr">
        <is>
          <t>Vanguard_M5</t>
        </is>
      </c>
      <c r="C6806" s="9" t="inlineStr">
        <is>
          <t>Trendline breakout (fractal swing line) + VWAP/S-R distance gate</t>
        </is>
      </c>
      <c r="D6806" s="9" t="inlineStr">
        <is>
          <t>Long</t>
        </is>
      </c>
      <c r="E6806" s="10" t="n">
        <v>46135.66666666666</v>
      </c>
      <c r="F6806" s="10" t="n">
        <v>46135.83680555555</v>
      </c>
      <c r="G6806" s="11" t="n">
        <v>-25.96</v>
      </c>
      <c r="H6806" s="11">
        <f>H6805+G6806</f>
        <v/>
      </c>
    </row>
    <row r="6807">
      <c r="A6807" s="9" t="n">
        <v>6803</v>
      </c>
      <c r="B6807" s="9" t="inlineStr">
        <is>
          <t>Aurelius_M5</t>
        </is>
      </c>
      <c r="C6807" s="9" t="inlineStr">
        <is>
          <t>MA alignment (EMA21&gt;EMA50&gt;SMA250&gt;SMMA500 vs EMA2400 trend filter)</t>
        </is>
      </c>
      <c r="D6807" s="9" t="inlineStr">
        <is>
          <t>Short</t>
        </is>
      </c>
      <c r="E6807" s="10" t="n">
        <v>46135.87847222222</v>
      </c>
      <c r="F6807" s="10" t="n">
        <v>46136.04166666666</v>
      </c>
      <c r="G6807" s="11" t="n">
        <v>19.63</v>
      </c>
      <c r="H6807" s="11">
        <f>H6806+G6807</f>
        <v/>
      </c>
    </row>
    <row r="6808">
      <c r="A6808" s="9" t="n">
        <v>6804</v>
      </c>
      <c r="B6808" s="9" t="inlineStr">
        <is>
          <t>Ratchet</t>
        </is>
      </c>
      <c r="C6808" s="9" t="inlineStr">
        <is>
          <t>Stochastic scalp with give-back trail exit</t>
        </is>
      </c>
      <c r="D6808" s="9" t="inlineStr">
        <is>
          <t>Short</t>
        </is>
      </c>
      <c r="E6808" s="10" t="n">
        <v>46136.06944444445</v>
      </c>
      <c r="F6808" s="10" t="n">
        <v>46136.09027777778</v>
      </c>
      <c r="G6808" s="11" t="n">
        <v>-0</v>
      </c>
      <c r="H6808" s="11">
        <f>H6807+G6808</f>
        <v/>
      </c>
    </row>
    <row r="6809">
      <c r="A6809" s="9" t="n">
        <v>6805</v>
      </c>
      <c r="B6809" s="9" t="inlineStr">
        <is>
          <t>Ratchet</t>
        </is>
      </c>
      <c r="C6809" s="9" t="inlineStr">
        <is>
          <t>Stochastic scalp with give-back trail exit</t>
        </is>
      </c>
      <c r="D6809" s="9" t="inlineStr">
        <is>
          <t>Short</t>
        </is>
      </c>
      <c r="E6809" s="10" t="n">
        <v>46136.09375</v>
      </c>
      <c r="F6809" s="10" t="n">
        <v>46136.10416666666</v>
      </c>
      <c r="G6809" s="11" t="n">
        <v>-6.02</v>
      </c>
      <c r="H6809" s="11">
        <f>H6808+G6809</f>
        <v/>
      </c>
    </row>
    <row r="6810">
      <c r="A6810" s="9" t="n">
        <v>6806</v>
      </c>
      <c r="B6810" s="9" t="inlineStr">
        <is>
          <t>Meridian</t>
        </is>
      </c>
      <c r="C6810" s="9" t="inlineStr">
        <is>
          <t>21/50 MA cross, 250-period confirm filter, VWAP</t>
        </is>
      </c>
      <c r="D6810" s="9" t="inlineStr">
        <is>
          <t>Short</t>
        </is>
      </c>
      <c r="E6810" s="10" t="n">
        <v>46135.84722222222</v>
      </c>
      <c r="F6810" s="10" t="n">
        <v>46136.15625</v>
      </c>
      <c r="G6810" s="11" t="n">
        <v>7.12</v>
      </c>
      <c r="H6810" s="11">
        <f>H6809+G6810</f>
        <v/>
      </c>
    </row>
    <row r="6811">
      <c r="A6811" s="9" t="n">
        <v>6807</v>
      </c>
      <c r="B6811" s="9" t="inlineStr">
        <is>
          <t>Ratchet</t>
        </is>
      </c>
      <c r="C6811" s="9" t="inlineStr">
        <is>
          <t>Stochastic scalp with give-back trail exit</t>
        </is>
      </c>
      <c r="D6811" s="9" t="inlineStr">
        <is>
          <t>Short</t>
        </is>
      </c>
      <c r="E6811" s="10" t="n">
        <v>46136.22222222222</v>
      </c>
      <c r="F6811" s="10" t="n">
        <v>46136.22916666666</v>
      </c>
      <c r="G6811" s="11" t="n">
        <v>2.38</v>
      </c>
      <c r="H6811" s="11">
        <f>H6810+G6811</f>
        <v/>
      </c>
    </row>
    <row r="6812">
      <c r="A6812" s="9" t="n">
        <v>6808</v>
      </c>
      <c r="B6812" s="9" t="inlineStr">
        <is>
          <t>Meridian</t>
        </is>
      </c>
      <c r="C6812" s="9" t="inlineStr">
        <is>
          <t>21/50 MA cross, 250-period confirm filter, VWAP</t>
        </is>
      </c>
      <c r="D6812" s="9" t="inlineStr">
        <is>
          <t>Short</t>
        </is>
      </c>
      <c r="E6812" s="10" t="n">
        <v>46136.20486111111</v>
      </c>
      <c r="F6812" s="10" t="n">
        <v>46136.44791666666</v>
      </c>
      <c r="G6812" s="11" t="n">
        <v>9.710000000000001</v>
      </c>
      <c r="H6812" s="11">
        <f>H6811+G6812</f>
        <v/>
      </c>
    </row>
    <row r="6813">
      <c r="A6813" s="9" t="n">
        <v>6809</v>
      </c>
      <c r="B6813" s="9" t="inlineStr">
        <is>
          <t>Meridian</t>
        </is>
      </c>
      <c r="C6813" s="9" t="inlineStr">
        <is>
          <t>21/50 MA cross, 250-period confirm filter, VWAP</t>
        </is>
      </c>
      <c r="D6813" s="9" t="inlineStr">
        <is>
          <t>Short</t>
        </is>
      </c>
      <c r="E6813" s="10" t="n">
        <v>46136.56597222222</v>
      </c>
      <c r="F6813" s="10" t="n">
        <v>46136.58333333334</v>
      </c>
      <c r="G6813" s="11" t="n">
        <v>-10.8</v>
      </c>
      <c r="H6813" s="11">
        <f>H6812+G6813</f>
        <v/>
      </c>
    </row>
    <row r="6814">
      <c r="A6814" s="9" t="n">
        <v>6810</v>
      </c>
      <c r="B6814" s="9" t="inlineStr">
        <is>
          <t>Aurelius_M15</t>
        </is>
      </c>
      <c r="C6814" s="9" t="inlineStr">
        <is>
          <t>MA alignment (EMA21&gt;EMA50&gt;SMA250&gt;SMMA500 vs EMA2400 trend filter) - M15 chart</t>
        </is>
      </c>
      <c r="D6814" s="9" t="inlineStr">
        <is>
          <t>Short</t>
        </is>
      </c>
      <c r="E6814" s="10" t="n">
        <v>46135.94791666666</v>
      </c>
      <c r="F6814" s="10" t="n">
        <v>46136.64583333334</v>
      </c>
      <c r="G6814" s="11" t="n">
        <v>-18.18</v>
      </c>
      <c r="H6814" s="11">
        <f>H6813+G6814</f>
        <v/>
      </c>
    </row>
    <row r="6815">
      <c r="A6815" s="9" t="n">
        <v>6811</v>
      </c>
      <c r="B6815" s="9" t="inlineStr">
        <is>
          <t>Meridian</t>
        </is>
      </c>
      <c r="C6815" s="9" t="inlineStr">
        <is>
          <t>21/50 MA cross, 250-period confirm filter, VWAP</t>
        </is>
      </c>
      <c r="D6815" s="9" t="inlineStr">
        <is>
          <t>Long</t>
        </is>
      </c>
      <c r="E6815" s="10" t="n">
        <v>46136.59375</v>
      </c>
      <c r="F6815" s="10" t="n">
        <v>46136.91666666666</v>
      </c>
      <c r="G6815" s="11" t="n">
        <v>25.39</v>
      </c>
      <c r="H6815" s="11">
        <f>H6814+G6815</f>
        <v/>
      </c>
    </row>
    <row r="6816">
      <c r="A6816" s="9" t="n">
        <v>6812</v>
      </c>
      <c r="B6816" s="9" t="inlineStr">
        <is>
          <t>Vanguard_M5</t>
        </is>
      </c>
      <c r="C6816" s="9" t="inlineStr">
        <is>
          <t>Trendline breakout (fractal swing line) + VWAP/S-R distance gate</t>
        </is>
      </c>
      <c r="D6816" s="9" t="inlineStr">
        <is>
          <t>Long</t>
        </is>
      </c>
      <c r="E6816" s="10" t="n">
        <v>46136.71527777778</v>
      </c>
      <c r="F6816" s="10" t="n">
        <v>46139.04166666666</v>
      </c>
      <c r="G6816" s="11" t="n">
        <v>-32.88</v>
      </c>
      <c r="H6816" s="11">
        <f>H6815+G6816</f>
        <v/>
      </c>
    </row>
    <row r="6817">
      <c r="A6817" s="9" t="n">
        <v>6813</v>
      </c>
      <c r="B6817" s="9" t="inlineStr">
        <is>
          <t>Vanguard_M15</t>
        </is>
      </c>
      <c r="C6817" s="9" t="inlineStr">
        <is>
          <t>Trendline breakout (fractal swing line) + VWAP/S-R distance gate - M15 chart</t>
        </is>
      </c>
      <c r="D6817" s="9" t="inlineStr">
        <is>
          <t>Long</t>
        </is>
      </c>
      <c r="E6817" s="10" t="n">
        <v>46136.71875</v>
      </c>
      <c r="F6817" s="10" t="n">
        <v>46139.04166666666</v>
      </c>
      <c r="G6817" s="11" t="n">
        <v>-37.59</v>
      </c>
      <c r="H6817" s="11">
        <f>H6816+G6817</f>
        <v/>
      </c>
    </row>
    <row r="6818">
      <c r="A6818" s="9" t="n">
        <v>6814</v>
      </c>
      <c r="B6818" s="9" t="inlineStr">
        <is>
          <t>Meridian</t>
        </is>
      </c>
      <c r="C6818" s="9" t="inlineStr">
        <is>
          <t>21/50 MA cross, 250-period confirm filter, VWAP</t>
        </is>
      </c>
      <c r="D6818" s="9" t="inlineStr">
        <is>
          <t>Long</t>
        </is>
      </c>
      <c r="E6818" s="10" t="n">
        <v>46139.20486111111</v>
      </c>
      <c r="F6818" s="10" t="n">
        <v>46139.46527777778</v>
      </c>
      <c r="G6818" s="11" t="n">
        <v>8.640000000000001</v>
      </c>
      <c r="H6818" s="11">
        <f>H6817+G6818</f>
        <v/>
      </c>
    </row>
    <row r="6819">
      <c r="A6819" s="9" t="n">
        <v>6815</v>
      </c>
      <c r="B6819" s="9" t="inlineStr">
        <is>
          <t>MSG</t>
        </is>
      </c>
      <c r="C6819" s="9" t="inlineStr">
        <is>
          <t>Session-range breakout + Fibonacci retracement-zone entry</t>
        </is>
      </c>
      <c r="D6819" s="9" t="inlineStr">
        <is>
          <t>Short</t>
        </is>
      </c>
      <c r="E6819" s="10" t="n">
        <v>46139.56805555556</v>
      </c>
      <c r="F6819" s="10" t="n">
        <v>46139.60625</v>
      </c>
      <c r="G6819" s="11" t="n">
        <v>5.52</v>
      </c>
      <c r="H6819" s="11">
        <f>H6818+G6819</f>
        <v/>
      </c>
    </row>
    <row r="6820">
      <c r="A6820" s="9" t="n">
        <v>6816</v>
      </c>
      <c r="B6820" s="9" t="inlineStr">
        <is>
          <t>Ratchet</t>
        </is>
      </c>
      <c r="C6820" s="9" t="inlineStr">
        <is>
          <t>Stochastic scalp with give-back trail exit</t>
        </is>
      </c>
      <c r="D6820" s="9" t="inlineStr">
        <is>
          <t>Short</t>
        </is>
      </c>
      <c r="E6820" s="10" t="n">
        <v>46139.84027777778</v>
      </c>
      <c r="F6820" s="10" t="n">
        <v>46139.84722222222</v>
      </c>
      <c r="G6820" s="11" t="n">
        <v>0.5600000000000001</v>
      </c>
      <c r="H6820" s="11">
        <f>H6819+G6820</f>
        <v/>
      </c>
    </row>
    <row r="6821">
      <c r="A6821" s="9" t="n">
        <v>6817</v>
      </c>
      <c r="B6821" s="9" t="inlineStr">
        <is>
          <t>Ratchet</t>
        </is>
      </c>
      <c r="C6821" s="9" t="inlineStr">
        <is>
          <t>Stochastic scalp with give-back trail exit</t>
        </is>
      </c>
      <c r="D6821" s="9" t="inlineStr">
        <is>
          <t>Short</t>
        </is>
      </c>
      <c r="E6821" s="10" t="n">
        <v>46139.96527777778</v>
      </c>
      <c r="F6821" s="10" t="n">
        <v>46139.99652777778</v>
      </c>
      <c r="G6821" s="11" t="n">
        <v>-0.24</v>
      </c>
      <c r="H6821" s="11">
        <f>H6820+G6821</f>
        <v/>
      </c>
    </row>
    <row r="6822">
      <c r="A6822" s="9" t="n">
        <v>6818</v>
      </c>
      <c r="B6822" s="9" t="inlineStr">
        <is>
          <t>Aurelius_M5</t>
        </is>
      </c>
      <c r="C6822" s="9" t="inlineStr">
        <is>
          <t>MA alignment (EMA21&gt;EMA50&gt;SMA250&gt;SMMA500 vs EMA2400 trend filter)</t>
        </is>
      </c>
      <c r="D6822" s="9" t="inlineStr">
        <is>
          <t>Short</t>
        </is>
      </c>
      <c r="E6822" s="10" t="n">
        <v>46139.65625</v>
      </c>
      <c r="F6822" s="10" t="n">
        <v>46140.04166666666</v>
      </c>
      <c r="G6822" s="11" t="n">
        <v>16.73</v>
      </c>
      <c r="H6822" s="11">
        <f>H6821+G6822</f>
        <v/>
      </c>
    </row>
    <row r="6823">
      <c r="A6823" s="9" t="n">
        <v>6819</v>
      </c>
      <c r="B6823" s="9" t="inlineStr">
        <is>
          <t>Ratchet</t>
        </is>
      </c>
      <c r="C6823" s="9" t="inlineStr">
        <is>
          <t>Stochastic scalp with give-back trail exit</t>
        </is>
      </c>
      <c r="D6823" s="9" t="inlineStr">
        <is>
          <t>Short</t>
        </is>
      </c>
      <c r="E6823" s="10" t="n">
        <v>46140.22916666666</v>
      </c>
      <c r="F6823" s="10" t="n">
        <v>46140.25694444445</v>
      </c>
      <c r="G6823" s="11" t="n">
        <v>1.85</v>
      </c>
      <c r="H6823" s="11">
        <f>H6822+G6823</f>
        <v/>
      </c>
    </row>
    <row r="6824">
      <c r="A6824" s="9" t="n">
        <v>6820</v>
      </c>
      <c r="B6824" s="9" t="inlineStr">
        <is>
          <t>Ratchet</t>
        </is>
      </c>
      <c r="C6824" s="9" t="inlineStr">
        <is>
          <t>Stochastic scalp with give-back trail exit</t>
        </is>
      </c>
      <c r="D6824" s="9" t="inlineStr">
        <is>
          <t>Short</t>
        </is>
      </c>
      <c r="E6824" s="10" t="n">
        <v>46140.26736111111</v>
      </c>
      <c r="F6824" s="10" t="n">
        <v>46140.28819444445</v>
      </c>
      <c r="G6824" s="11" t="n">
        <v>0.8100000000000001</v>
      </c>
      <c r="H6824" s="11">
        <f>H6823+G6824</f>
        <v/>
      </c>
    </row>
    <row r="6825">
      <c r="A6825" s="9" t="n">
        <v>6821</v>
      </c>
      <c r="B6825" s="9" t="inlineStr">
        <is>
          <t>Ratchet</t>
        </is>
      </c>
      <c r="C6825" s="9" t="inlineStr">
        <is>
          <t>Stochastic scalp with give-back trail exit</t>
        </is>
      </c>
      <c r="D6825" s="9" t="inlineStr">
        <is>
          <t>Short</t>
        </is>
      </c>
      <c r="E6825" s="10" t="n">
        <v>46140.4375</v>
      </c>
      <c r="F6825" s="10" t="n">
        <v>46140.44097222222</v>
      </c>
      <c r="G6825" s="11" t="n">
        <v>-0</v>
      </c>
      <c r="H6825" s="11">
        <f>H6824+G6825</f>
        <v/>
      </c>
    </row>
    <row r="6826">
      <c r="A6826" s="9" t="n">
        <v>6822</v>
      </c>
      <c r="B6826" s="9" t="inlineStr">
        <is>
          <t>Ratchet</t>
        </is>
      </c>
      <c r="C6826" s="9" t="inlineStr">
        <is>
          <t>Stochastic scalp with give-back trail exit</t>
        </is>
      </c>
      <c r="D6826" s="9" t="inlineStr">
        <is>
          <t>Short</t>
        </is>
      </c>
      <c r="E6826" s="10" t="n">
        <v>46140.63888888889</v>
      </c>
      <c r="F6826" s="10" t="n">
        <v>46140.63888888889</v>
      </c>
      <c r="G6826" s="11" t="n">
        <v>-17.03</v>
      </c>
      <c r="H6826" s="11">
        <f>H6825+G6826</f>
        <v/>
      </c>
    </row>
    <row r="6827">
      <c r="A6827" s="9" t="n">
        <v>6823</v>
      </c>
      <c r="B6827" s="9" t="inlineStr">
        <is>
          <t>Ratchet</t>
        </is>
      </c>
      <c r="C6827" s="9" t="inlineStr">
        <is>
          <t>Stochastic scalp with give-back trail exit</t>
        </is>
      </c>
      <c r="D6827" s="9" t="inlineStr">
        <is>
          <t>Short</t>
        </is>
      </c>
      <c r="E6827" s="10" t="n">
        <v>46140.64236111111</v>
      </c>
      <c r="F6827" s="10" t="n">
        <v>46140.65625</v>
      </c>
      <c r="G6827" s="11" t="n">
        <v>-19.16</v>
      </c>
      <c r="H6827" s="11">
        <f>H6826+G6827</f>
        <v/>
      </c>
    </row>
    <row r="6828">
      <c r="A6828" s="9" t="n">
        <v>6824</v>
      </c>
      <c r="B6828" s="9" t="inlineStr">
        <is>
          <t>Ratchet</t>
        </is>
      </c>
      <c r="C6828" s="9" t="inlineStr">
        <is>
          <t>Stochastic scalp with give-back trail exit</t>
        </is>
      </c>
      <c r="D6828" s="9" t="inlineStr">
        <is>
          <t>Short</t>
        </is>
      </c>
      <c r="E6828" s="10" t="n">
        <v>46140.68402777778</v>
      </c>
      <c r="F6828" s="10" t="n">
        <v>46140.71180555555</v>
      </c>
      <c r="G6828" s="11" t="n">
        <v>3.02</v>
      </c>
      <c r="H6828" s="11">
        <f>H6827+G6828</f>
        <v/>
      </c>
    </row>
    <row r="6829">
      <c r="A6829" s="9" t="n">
        <v>6825</v>
      </c>
      <c r="B6829" s="9" t="inlineStr">
        <is>
          <t>Ratchet</t>
        </is>
      </c>
      <c r="C6829" s="9" t="inlineStr">
        <is>
          <t>Stochastic scalp with give-back trail exit</t>
        </is>
      </c>
      <c r="D6829" s="9" t="inlineStr">
        <is>
          <t>Short</t>
        </is>
      </c>
      <c r="E6829" s="10" t="n">
        <v>46140.71875</v>
      </c>
      <c r="F6829" s="10" t="n">
        <v>46140.73611111111</v>
      </c>
      <c r="G6829" s="11" t="n">
        <v>2.3</v>
      </c>
      <c r="H6829" s="11">
        <f>H6828+G6829</f>
        <v/>
      </c>
    </row>
    <row r="6830">
      <c r="A6830" s="9" t="n">
        <v>6826</v>
      </c>
      <c r="B6830" s="9" t="inlineStr">
        <is>
          <t>Ratchet</t>
        </is>
      </c>
      <c r="C6830" s="9" t="inlineStr">
        <is>
          <t>Stochastic scalp with give-back trail exit</t>
        </is>
      </c>
      <c r="D6830" s="9" t="inlineStr">
        <is>
          <t>Short</t>
        </is>
      </c>
      <c r="E6830" s="10" t="n">
        <v>46140.74305555555</v>
      </c>
      <c r="F6830" s="10" t="n">
        <v>46140.75</v>
      </c>
      <c r="G6830" s="11" t="n">
        <v>-17.81</v>
      </c>
      <c r="H6830" s="11">
        <f>H6829+G6830</f>
        <v/>
      </c>
    </row>
    <row r="6831">
      <c r="A6831" s="9" t="n">
        <v>6827</v>
      </c>
      <c r="B6831" s="9" t="inlineStr">
        <is>
          <t>Meridian</t>
        </is>
      </c>
      <c r="C6831" s="9" t="inlineStr">
        <is>
          <t>21/50 MA cross, 250-period confirm filter, VWAP</t>
        </is>
      </c>
      <c r="D6831" s="9" t="inlineStr">
        <is>
          <t>Short</t>
        </is>
      </c>
      <c r="E6831" s="10" t="n">
        <v>46140.20833333334</v>
      </c>
      <c r="F6831" s="10" t="n">
        <v>46140.82986111111</v>
      </c>
      <c r="G6831" s="11" t="n">
        <v>77.13</v>
      </c>
      <c r="H6831" s="11">
        <f>H6830+G6831</f>
        <v/>
      </c>
    </row>
    <row r="6832">
      <c r="A6832" s="9" t="n">
        <v>6828</v>
      </c>
      <c r="B6832" s="9" t="inlineStr">
        <is>
          <t>Aurelius_M5</t>
        </is>
      </c>
      <c r="C6832" s="9" t="inlineStr">
        <is>
          <t>MA alignment (EMA21&gt;EMA50&gt;SMA250&gt;SMMA500 vs EMA2400 trend filter)</t>
        </is>
      </c>
      <c r="D6832" s="9" t="inlineStr">
        <is>
          <t>Short</t>
        </is>
      </c>
      <c r="E6832" s="10" t="n">
        <v>46140.21527777778</v>
      </c>
      <c r="F6832" s="10" t="n">
        <v>46140.82986111111</v>
      </c>
      <c r="G6832" s="11" t="n">
        <v>81.53</v>
      </c>
      <c r="H6832" s="11">
        <f>H6831+G6832</f>
        <v/>
      </c>
    </row>
    <row r="6833">
      <c r="A6833" s="9" t="n">
        <v>6829</v>
      </c>
      <c r="B6833" s="9" t="inlineStr">
        <is>
          <t>MSG</t>
        </is>
      </c>
      <c r="C6833" s="9" t="inlineStr">
        <is>
          <t>Session-range breakout + Fibonacci retracement-zone entry</t>
        </is>
      </c>
      <c r="D6833" s="9" t="inlineStr">
        <is>
          <t>Short</t>
        </is>
      </c>
      <c r="E6833" s="10" t="n">
        <v>46140.65972222222</v>
      </c>
      <c r="F6833" s="10" t="n">
        <v>46140.85833333333</v>
      </c>
      <c r="G6833" s="11" t="n">
        <v>38.13</v>
      </c>
      <c r="H6833" s="11">
        <f>H6832+G6833</f>
        <v/>
      </c>
    </row>
    <row r="6834">
      <c r="A6834" s="9" t="n">
        <v>6830</v>
      </c>
      <c r="B6834" s="9" t="inlineStr">
        <is>
          <t>Ratchet</t>
        </is>
      </c>
      <c r="C6834" s="9" t="inlineStr">
        <is>
          <t>Stochastic scalp with give-back trail exit</t>
        </is>
      </c>
      <c r="D6834" s="9" t="inlineStr">
        <is>
          <t>Short</t>
        </is>
      </c>
      <c r="E6834" s="10" t="n">
        <v>46141.11805555555</v>
      </c>
      <c r="F6834" s="10" t="n">
        <v>46141.12152777778</v>
      </c>
      <c r="G6834" s="11" t="n">
        <v>-4.41</v>
      </c>
      <c r="H6834" s="11">
        <f>H6833+G6834</f>
        <v/>
      </c>
    </row>
    <row r="6835">
      <c r="A6835" s="9" t="n">
        <v>6831</v>
      </c>
      <c r="B6835" s="9" t="inlineStr">
        <is>
          <t>Meridian</t>
        </is>
      </c>
      <c r="C6835" s="9" t="inlineStr">
        <is>
          <t>21/50 MA cross, 250-period confirm filter, VWAP</t>
        </is>
      </c>
      <c r="D6835" s="9" t="inlineStr">
        <is>
          <t>Short</t>
        </is>
      </c>
      <c r="E6835" s="10" t="n">
        <v>46141.10416666666</v>
      </c>
      <c r="F6835" s="10" t="n">
        <v>46141.125</v>
      </c>
      <c r="G6835" s="11" t="n">
        <v>-5.87</v>
      </c>
      <c r="H6835" s="11">
        <f>H6834+G6835</f>
        <v/>
      </c>
    </row>
    <row r="6836">
      <c r="A6836" s="9" t="n">
        <v>6832</v>
      </c>
      <c r="B6836" s="9" t="inlineStr">
        <is>
          <t>Ratchet</t>
        </is>
      </c>
      <c r="C6836" s="9" t="inlineStr">
        <is>
          <t>Stochastic scalp with give-back trail exit</t>
        </is>
      </c>
      <c r="D6836" s="9" t="inlineStr">
        <is>
          <t>Short</t>
        </is>
      </c>
      <c r="E6836" s="10" t="n">
        <v>46141.19444444445</v>
      </c>
      <c r="F6836" s="10" t="n">
        <v>46141.20486111111</v>
      </c>
      <c r="G6836" s="11" t="n">
        <v>-0</v>
      </c>
      <c r="H6836" s="11">
        <f>H6835+G6836</f>
        <v/>
      </c>
    </row>
    <row r="6837">
      <c r="A6837" s="9" t="n">
        <v>6833</v>
      </c>
      <c r="B6837" s="9" t="inlineStr">
        <is>
          <t>Meridian</t>
        </is>
      </c>
      <c r="C6837" s="9" t="inlineStr">
        <is>
          <t>21/50 MA cross, 250-period confirm filter, VWAP</t>
        </is>
      </c>
      <c r="D6837" s="9" t="inlineStr">
        <is>
          <t>Short</t>
        </is>
      </c>
      <c r="E6837" s="10" t="n">
        <v>46141.17708333334</v>
      </c>
      <c r="F6837" s="10" t="n">
        <v>46141.20833333334</v>
      </c>
      <c r="G6837" s="11" t="n">
        <v>-13.15</v>
      </c>
      <c r="H6837" s="11">
        <f>H6836+G6837</f>
        <v/>
      </c>
    </row>
    <row r="6838">
      <c r="A6838" s="9" t="n">
        <v>6834</v>
      </c>
      <c r="B6838" s="9" t="inlineStr">
        <is>
          <t>Aurelius_M5</t>
        </is>
      </c>
      <c r="C6838" s="9" t="inlineStr">
        <is>
          <t>MA alignment (EMA21&gt;EMA50&gt;SMA250&gt;SMMA500 vs EMA2400 trend filter)</t>
        </is>
      </c>
      <c r="D6838" s="9" t="inlineStr">
        <is>
          <t>Short</t>
        </is>
      </c>
      <c r="E6838" s="10" t="n">
        <v>46141.20486111111</v>
      </c>
      <c r="F6838" s="10" t="n">
        <v>46141.21180555555</v>
      </c>
      <c r="G6838" s="11" t="n">
        <v>-14.56</v>
      </c>
      <c r="H6838" s="11">
        <f>H6837+G6838</f>
        <v/>
      </c>
    </row>
    <row r="6839">
      <c r="A6839" s="9" t="n">
        <v>6835</v>
      </c>
      <c r="B6839" s="9" t="inlineStr">
        <is>
          <t>Vanguard_M5</t>
        </is>
      </c>
      <c r="C6839" s="9" t="inlineStr">
        <is>
          <t>Trendline breakout (fractal swing line) + VWAP/S-R distance gate</t>
        </is>
      </c>
      <c r="D6839" s="9" t="inlineStr">
        <is>
          <t>Short</t>
        </is>
      </c>
      <c r="E6839" s="10" t="n">
        <v>46139.74652777778</v>
      </c>
      <c r="F6839" s="10" t="n">
        <v>46141.51041666666</v>
      </c>
      <c r="G6839" s="11" t="n">
        <v>100.9</v>
      </c>
      <c r="H6839" s="11">
        <f>H6838+G6839</f>
        <v/>
      </c>
    </row>
    <row r="6840">
      <c r="A6840" s="9" t="n">
        <v>6836</v>
      </c>
      <c r="B6840" s="9" t="inlineStr">
        <is>
          <t>Ratchet</t>
        </is>
      </c>
      <c r="C6840" s="9" t="inlineStr">
        <is>
          <t>Stochastic scalp with give-back trail exit</t>
        </is>
      </c>
      <c r="D6840" s="9" t="inlineStr">
        <is>
          <t>Short</t>
        </is>
      </c>
      <c r="E6840" s="10" t="n">
        <v>46141.40625</v>
      </c>
      <c r="F6840" s="10" t="n">
        <v>46141.51041666666</v>
      </c>
      <c r="G6840" s="11" t="n">
        <v>6.82</v>
      </c>
      <c r="H6840" s="11">
        <f>H6839+G6840</f>
        <v/>
      </c>
    </row>
    <row r="6841">
      <c r="A6841" s="9" t="n">
        <v>6837</v>
      </c>
      <c r="B6841" s="9" t="inlineStr">
        <is>
          <t>Vanguard_M15</t>
        </is>
      </c>
      <c r="C6841" s="9" t="inlineStr">
        <is>
          <t>Trendline breakout (fractal swing line) + VWAP/S-R distance gate - M15 chart</t>
        </is>
      </c>
      <c r="D6841" s="9" t="inlineStr">
        <is>
          <t>Short</t>
        </is>
      </c>
      <c r="E6841" s="10" t="n">
        <v>46139.75</v>
      </c>
      <c r="F6841" s="10" t="n">
        <v>46141.55208333334</v>
      </c>
      <c r="G6841" s="11" t="n">
        <v>106.15</v>
      </c>
      <c r="H6841" s="11">
        <f>H6840+G6841</f>
        <v/>
      </c>
    </row>
    <row r="6842">
      <c r="A6842" s="9" t="n">
        <v>6838</v>
      </c>
      <c r="B6842" s="9" t="inlineStr">
        <is>
          <t>Ratchet</t>
        </is>
      </c>
      <c r="C6842" s="9" t="inlineStr">
        <is>
          <t>Stochastic scalp with give-back trail exit</t>
        </is>
      </c>
      <c r="D6842" s="9" t="inlineStr">
        <is>
          <t>Short</t>
        </is>
      </c>
      <c r="E6842" s="10" t="n">
        <v>46141.60416666666</v>
      </c>
      <c r="F6842" s="10" t="n">
        <v>46141.62152777778</v>
      </c>
      <c r="G6842" s="11" t="n">
        <v>1.13</v>
      </c>
      <c r="H6842" s="11">
        <f>H6841+G6842</f>
        <v/>
      </c>
    </row>
    <row r="6843">
      <c r="A6843" s="9" t="n">
        <v>6839</v>
      </c>
      <c r="B6843" s="9" t="inlineStr">
        <is>
          <t>MSG</t>
        </is>
      </c>
      <c r="C6843" s="9" t="inlineStr">
        <is>
          <t>Session-range breakout + Fibonacci retracement-zone entry</t>
        </is>
      </c>
      <c r="D6843" s="9" t="inlineStr">
        <is>
          <t>Short</t>
        </is>
      </c>
      <c r="E6843" s="10" t="n">
        <v>46141.56319444445</v>
      </c>
      <c r="F6843" s="10" t="n">
        <v>46141.64583333334</v>
      </c>
      <c r="G6843" s="11" t="n">
        <v>46.82</v>
      </c>
      <c r="H6843" s="11">
        <f>H6842+G6843</f>
        <v/>
      </c>
    </row>
    <row r="6844">
      <c r="A6844" s="9" t="n">
        <v>6840</v>
      </c>
      <c r="B6844" s="9" t="inlineStr">
        <is>
          <t>Ratchet</t>
        </is>
      </c>
      <c r="C6844" s="9" t="inlineStr">
        <is>
          <t>Stochastic scalp with give-back trail exit</t>
        </is>
      </c>
      <c r="D6844" s="9" t="inlineStr">
        <is>
          <t>Short</t>
        </is>
      </c>
      <c r="E6844" s="10" t="n">
        <v>46141.63194444445</v>
      </c>
      <c r="F6844" s="10" t="n">
        <v>46141.77430555555</v>
      </c>
      <c r="G6844" s="11" t="n">
        <v>14.46</v>
      </c>
      <c r="H6844" s="11">
        <f>H6843+G6844</f>
        <v/>
      </c>
    </row>
    <row r="6845">
      <c r="A6845" s="9" t="n">
        <v>6841</v>
      </c>
      <c r="B6845" s="9" t="inlineStr">
        <is>
          <t>Meridian</t>
        </is>
      </c>
      <c r="C6845" s="9" t="inlineStr">
        <is>
          <t>21/50 MA cross, 250-period confirm filter, VWAP</t>
        </is>
      </c>
      <c r="D6845" s="9" t="inlineStr">
        <is>
          <t>Short</t>
        </is>
      </c>
      <c r="E6845" s="10" t="n">
        <v>46141.38541666666</v>
      </c>
      <c r="F6845" s="10" t="n">
        <v>46141.80208333334</v>
      </c>
      <c r="G6845" s="11" t="n">
        <v>29.12</v>
      </c>
      <c r="H6845" s="11">
        <f>H6844+G6845</f>
        <v/>
      </c>
    </row>
    <row r="6846">
      <c r="A6846" s="9" t="n">
        <v>6842</v>
      </c>
      <c r="B6846" s="9" t="inlineStr">
        <is>
          <t>Aurelius_M5</t>
        </is>
      </c>
      <c r="C6846" s="9" t="inlineStr">
        <is>
          <t>MA alignment (EMA21&gt;EMA50&gt;SMA250&gt;SMMA500 vs EMA2400 trend filter)</t>
        </is>
      </c>
      <c r="D6846" s="9" t="inlineStr">
        <is>
          <t>Short</t>
        </is>
      </c>
      <c r="E6846" s="10" t="n">
        <v>46141.88541666666</v>
      </c>
      <c r="F6846" s="10" t="n">
        <v>46141.91666666666</v>
      </c>
      <c r="G6846" s="11" t="n">
        <v>-16.19</v>
      </c>
      <c r="H6846" s="11">
        <f>H6845+G6846</f>
        <v/>
      </c>
    </row>
    <row r="6847">
      <c r="A6847" s="9" t="n">
        <v>6843</v>
      </c>
      <c r="B6847" s="9" t="inlineStr">
        <is>
          <t>Meridian</t>
        </is>
      </c>
      <c r="C6847" s="9" t="inlineStr">
        <is>
          <t>21/50 MA cross, 250-period confirm filter, VWAP</t>
        </is>
      </c>
      <c r="D6847" s="9" t="inlineStr">
        <is>
          <t>Short</t>
        </is>
      </c>
      <c r="E6847" s="10" t="n">
        <v>46141.86458333334</v>
      </c>
      <c r="F6847" s="10" t="n">
        <v>46141.96527777778</v>
      </c>
      <c r="G6847" s="11" t="n">
        <v>-7.74</v>
      </c>
      <c r="H6847" s="11">
        <f>H6846+G6847</f>
        <v/>
      </c>
    </row>
    <row r="6848">
      <c r="A6848" s="9" t="n">
        <v>6844</v>
      </c>
      <c r="B6848" s="9" t="inlineStr">
        <is>
          <t>Aurelius_M15</t>
        </is>
      </c>
      <c r="C6848" s="9" t="inlineStr">
        <is>
          <t>MA alignment (EMA21&gt;EMA50&gt;SMA250&gt;SMMA500 vs EMA2400 trend filter) - M15 chart</t>
        </is>
      </c>
      <c r="D6848" s="9" t="inlineStr">
        <is>
          <t>Short</t>
        </is>
      </c>
      <c r="E6848" s="10" t="n">
        <v>46139.67708333334</v>
      </c>
      <c r="F6848" s="10" t="n">
        <v>46142.1875</v>
      </c>
      <c r="G6848" s="11" t="n">
        <v>115.93</v>
      </c>
      <c r="H6848" s="11">
        <f>H6847+G6848</f>
        <v/>
      </c>
    </row>
    <row r="6849">
      <c r="A6849" s="9" t="n">
        <v>6845</v>
      </c>
      <c r="B6849" s="9" t="inlineStr">
        <is>
          <t>Meridian</t>
        </is>
      </c>
      <c r="C6849" s="9" t="inlineStr">
        <is>
          <t>21/50 MA cross, 250-period confirm filter, VWAP</t>
        </is>
      </c>
      <c r="D6849" s="9" t="inlineStr">
        <is>
          <t>Short</t>
        </is>
      </c>
      <c r="E6849" s="10" t="n">
        <v>46142.29166666666</v>
      </c>
      <c r="F6849" s="10" t="n">
        <v>46142.35763888889</v>
      </c>
      <c r="G6849" s="11" t="n">
        <v>-9.949999999999999</v>
      </c>
      <c r="H6849" s="11">
        <f>H6848+G6849</f>
        <v/>
      </c>
    </row>
    <row r="6850">
      <c r="A6850" s="9" t="n">
        <v>6846</v>
      </c>
      <c r="B6850" s="9" t="inlineStr">
        <is>
          <t>Meridian</t>
        </is>
      </c>
      <c r="C6850" s="9" t="inlineStr">
        <is>
          <t>21/50 MA cross, 250-period confirm filter, VWAP</t>
        </is>
      </c>
      <c r="D6850" s="9" t="inlineStr">
        <is>
          <t>Long</t>
        </is>
      </c>
      <c r="E6850" s="10" t="n">
        <v>46142.38194444445</v>
      </c>
      <c r="F6850" s="10" t="n">
        <v>46142.72222222222</v>
      </c>
      <c r="G6850" s="11" t="n">
        <v>56.6</v>
      </c>
      <c r="H6850" s="11">
        <f>H6849+G6850</f>
        <v/>
      </c>
    </row>
    <row r="6851">
      <c r="A6851" s="9" t="n">
        <v>6847</v>
      </c>
      <c r="B6851" s="9" t="inlineStr">
        <is>
          <t>Meridian</t>
        </is>
      </c>
      <c r="C6851" s="9" t="inlineStr">
        <is>
          <t>21/50 MA cross, 250-period confirm filter, VWAP</t>
        </is>
      </c>
      <c r="D6851" s="9" t="inlineStr">
        <is>
          <t>Long</t>
        </is>
      </c>
      <c r="E6851" s="10" t="n">
        <v>46142.89583333334</v>
      </c>
      <c r="F6851" s="10" t="n">
        <v>46142.96875</v>
      </c>
      <c r="G6851" s="11" t="n">
        <v>-5</v>
      </c>
      <c r="H6851" s="11">
        <f>H6850+G6851</f>
        <v/>
      </c>
    </row>
    <row r="6852">
      <c r="A6852" s="9" t="n">
        <v>6848</v>
      </c>
      <c r="B6852" s="9" t="inlineStr">
        <is>
          <t>Meridian</t>
        </is>
      </c>
      <c r="C6852" s="9" t="inlineStr">
        <is>
          <t>21/50 MA cross, 250-period confirm filter, VWAP</t>
        </is>
      </c>
      <c r="D6852" s="9" t="inlineStr">
        <is>
          <t>Long</t>
        </is>
      </c>
      <c r="E6852" s="10" t="n">
        <v>46143.22569444445</v>
      </c>
      <c r="F6852" s="10" t="n">
        <v>46143.23958333334</v>
      </c>
      <c r="G6852" s="11" t="n">
        <v>-10.14</v>
      </c>
      <c r="H6852" s="11">
        <f>H6851+G6852</f>
        <v/>
      </c>
    </row>
    <row r="6853">
      <c r="A6853" s="9" t="n">
        <v>6849</v>
      </c>
      <c r="B6853" s="9" t="inlineStr">
        <is>
          <t>Meridian</t>
        </is>
      </c>
      <c r="C6853" s="9" t="inlineStr">
        <is>
          <t>21/50 MA cross, 250-period confirm filter, VWAP</t>
        </is>
      </c>
      <c r="D6853" s="9" t="inlineStr">
        <is>
          <t>Long</t>
        </is>
      </c>
      <c r="E6853" s="10" t="n">
        <v>46143.27430555555</v>
      </c>
      <c r="F6853" s="10" t="n">
        <v>46143.29513888889</v>
      </c>
      <c r="G6853" s="11" t="n">
        <v>-8.74</v>
      </c>
      <c r="H6853" s="11">
        <f>H6852+G6853</f>
        <v/>
      </c>
    </row>
    <row r="6854">
      <c r="A6854" s="9" t="n">
        <v>6850</v>
      </c>
      <c r="B6854" s="9" t="inlineStr">
        <is>
          <t>MSG</t>
        </is>
      </c>
      <c r="C6854" s="9" t="inlineStr">
        <is>
          <t>Session-range breakout + Fibonacci retracement-zone entry</t>
        </is>
      </c>
      <c r="D6854" s="9" t="inlineStr">
        <is>
          <t>Short</t>
        </is>
      </c>
      <c r="E6854" s="10" t="n">
        <v>46143.63541666666</v>
      </c>
      <c r="F6854" s="10" t="n">
        <v>46143.64027777778</v>
      </c>
      <c r="G6854" s="11" t="n">
        <v>-29.97</v>
      </c>
      <c r="H6854" s="11">
        <f>H6853+G6854</f>
        <v/>
      </c>
    </row>
    <row r="6855">
      <c r="A6855" s="9" t="n">
        <v>6851</v>
      </c>
      <c r="B6855" s="9" t="inlineStr">
        <is>
          <t>Meridian</t>
        </is>
      </c>
      <c r="C6855" s="9" t="inlineStr">
        <is>
          <t>21/50 MA cross, 250-period confirm filter, VWAP</t>
        </is>
      </c>
      <c r="D6855" s="9" t="inlineStr">
        <is>
          <t>Short</t>
        </is>
      </c>
      <c r="E6855" s="10" t="n">
        <v>46143.3125</v>
      </c>
      <c r="F6855" s="10" t="n">
        <v>46143.64236111111</v>
      </c>
      <c r="G6855" s="11" t="n">
        <v>19.99</v>
      </c>
      <c r="H6855" s="11">
        <f>H6854+G6855</f>
        <v/>
      </c>
    </row>
    <row r="6856">
      <c r="A6856" s="9" t="n">
        <v>6852</v>
      </c>
      <c r="B6856" s="9" t="inlineStr">
        <is>
          <t>Meridian</t>
        </is>
      </c>
      <c r="C6856" s="9" t="inlineStr">
        <is>
          <t>21/50 MA cross, 250-period confirm filter, VWAP</t>
        </is>
      </c>
      <c r="D6856" s="9" t="inlineStr">
        <is>
          <t>Long</t>
        </is>
      </c>
      <c r="E6856" s="10" t="n">
        <v>46146.30208333334</v>
      </c>
      <c r="F6856" s="10" t="n">
        <v>46146.33680555555</v>
      </c>
      <c r="G6856" s="11" t="n">
        <v>-7.03</v>
      </c>
      <c r="H6856" s="11">
        <f>H6855+G6856</f>
        <v/>
      </c>
    </row>
    <row r="6857">
      <c r="A6857" s="9" t="n">
        <v>6853</v>
      </c>
      <c r="B6857" s="9" t="inlineStr">
        <is>
          <t>Ratchet</t>
        </is>
      </c>
      <c r="C6857" s="9" t="inlineStr">
        <is>
          <t>Stochastic scalp with give-back trail exit</t>
        </is>
      </c>
      <c r="D6857" s="9" t="inlineStr">
        <is>
          <t>Short</t>
        </is>
      </c>
      <c r="E6857" s="10" t="n">
        <v>46146.40625</v>
      </c>
      <c r="F6857" s="10" t="n">
        <v>46146.50694444445</v>
      </c>
      <c r="G6857" s="11" t="n">
        <v>3.08</v>
      </c>
      <c r="H6857" s="11">
        <f>H6856+G6857</f>
        <v/>
      </c>
    </row>
    <row r="6858">
      <c r="A6858" s="9" t="n">
        <v>6854</v>
      </c>
      <c r="B6858" s="9" t="inlineStr">
        <is>
          <t>Ratchet</t>
        </is>
      </c>
      <c r="C6858" s="9" t="inlineStr">
        <is>
          <t>Stochastic scalp with give-back trail exit</t>
        </is>
      </c>
      <c r="D6858" s="9" t="inlineStr">
        <is>
          <t>Short</t>
        </is>
      </c>
      <c r="E6858" s="10" t="n">
        <v>46146.61458333334</v>
      </c>
      <c r="F6858" s="10" t="n">
        <v>46146.625</v>
      </c>
      <c r="G6858" s="11" t="n">
        <v>-10.15</v>
      </c>
      <c r="H6858" s="11">
        <f>H6857+G6858</f>
        <v/>
      </c>
    </row>
    <row r="6859">
      <c r="A6859" s="9" t="n">
        <v>6855</v>
      </c>
      <c r="B6859" s="9" t="inlineStr">
        <is>
          <t>Ratchet</t>
        </is>
      </c>
      <c r="C6859" s="9" t="inlineStr">
        <is>
          <t>Stochastic scalp with give-back trail exit</t>
        </is>
      </c>
      <c r="D6859" s="9" t="inlineStr">
        <is>
          <t>Short</t>
        </is>
      </c>
      <c r="E6859" s="10" t="n">
        <v>46146.6875</v>
      </c>
      <c r="F6859" s="10" t="n">
        <v>46146.71527777778</v>
      </c>
      <c r="G6859" s="11" t="n">
        <v>1.75</v>
      </c>
      <c r="H6859" s="11">
        <f>H6858+G6859</f>
        <v/>
      </c>
    </row>
    <row r="6860">
      <c r="A6860" s="9" t="n">
        <v>6856</v>
      </c>
      <c r="B6860" s="9" t="inlineStr">
        <is>
          <t>Aurelius_M5</t>
        </is>
      </c>
      <c r="C6860" s="9" t="inlineStr">
        <is>
          <t>MA alignment (EMA21&gt;EMA50&gt;SMA250&gt;SMMA500 vs EMA2400 trend filter)</t>
        </is>
      </c>
      <c r="D6860" s="9" t="inlineStr">
        <is>
          <t>Short</t>
        </is>
      </c>
      <c r="E6860" s="10" t="n">
        <v>46146.37847222222</v>
      </c>
      <c r="F6860" s="10" t="n">
        <v>46146.73611111111</v>
      </c>
      <c r="G6860" s="11" t="n">
        <v>14.25</v>
      </c>
      <c r="H6860" s="11">
        <f>H6859+G6860</f>
        <v/>
      </c>
    </row>
    <row r="6861">
      <c r="A6861" s="9" t="n">
        <v>6857</v>
      </c>
      <c r="B6861" s="9" t="inlineStr">
        <is>
          <t>MSG</t>
        </is>
      </c>
      <c r="C6861" s="9" t="inlineStr">
        <is>
          <t>Session-range breakout + Fibonacci retracement-zone entry</t>
        </is>
      </c>
      <c r="D6861" s="9" t="inlineStr">
        <is>
          <t>Short</t>
        </is>
      </c>
      <c r="E6861" s="10" t="n">
        <v>46146.57430555556</v>
      </c>
      <c r="F6861" s="10" t="n">
        <v>46146.76944444444</v>
      </c>
      <c r="G6861" s="11" t="n">
        <v>123.79</v>
      </c>
      <c r="H6861" s="11">
        <f>H6860+G6861</f>
        <v/>
      </c>
    </row>
    <row r="6862">
      <c r="A6862" s="9" t="n">
        <v>6858</v>
      </c>
      <c r="B6862" s="9" t="inlineStr">
        <is>
          <t>Ratchet</t>
        </is>
      </c>
      <c r="C6862" s="9" t="inlineStr">
        <is>
          <t>Stochastic scalp with give-back trail exit</t>
        </is>
      </c>
      <c r="D6862" s="9" t="inlineStr">
        <is>
          <t>Short</t>
        </is>
      </c>
      <c r="E6862" s="10" t="n">
        <v>46146.75347222222</v>
      </c>
      <c r="F6862" s="10" t="n">
        <v>46146.99652777778</v>
      </c>
      <c r="G6862" s="11" t="n">
        <v>39.57</v>
      </c>
      <c r="H6862" s="11">
        <f>H6861+G6862</f>
        <v/>
      </c>
    </row>
    <row r="6863">
      <c r="A6863" s="9" t="n">
        <v>6859</v>
      </c>
      <c r="B6863" s="9" t="inlineStr">
        <is>
          <t>Aurelius_M5</t>
        </is>
      </c>
      <c r="C6863" s="9" t="inlineStr">
        <is>
          <t>MA alignment (EMA21&gt;EMA50&gt;SMA250&gt;SMMA500 vs EMA2400 trend filter)</t>
        </is>
      </c>
      <c r="D6863" s="9" t="inlineStr">
        <is>
          <t>Short</t>
        </is>
      </c>
      <c r="E6863" s="10" t="n">
        <v>46146.77083333334</v>
      </c>
      <c r="F6863" s="10" t="n">
        <v>46147.04166666666</v>
      </c>
      <c r="G6863" s="11" t="n">
        <v>14.02</v>
      </c>
      <c r="H6863" s="11">
        <f>H6862+G6863</f>
        <v/>
      </c>
    </row>
    <row r="6864">
      <c r="A6864" s="9" t="n">
        <v>6860</v>
      </c>
      <c r="B6864" s="9" t="inlineStr">
        <is>
          <t>Meridian</t>
        </is>
      </c>
      <c r="C6864" s="9" t="inlineStr">
        <is>
          <t>21/50 MA cross, 250-period confirm filter, VWAP</t>
        </is>
      </c>
      <c r="D6864" s="9" t="inlineStr">
        <is>
          <t>Short</t>
        </is>
      </c>
      <c r="E6864" s="10" t="n">
        <v>46146.75347222222</v>
      </c>
      <c r="F6864" s="10" t="n">
        <v>46147.13541666666</v>
      </c>
      <c r="G6864" s="11" t="n">
        <v>33.16</v>
      </c>
      <c r="H6864" s="11">
        <f>H6863+G6864</f>
        <v/>
      </c>
    </row>
    <row r="6865">
      <c r="A6865" s="9" t="n">
        <v>6861</v>
      </c>
      <c r="B6865" s="9" t="inlineStr">
        <is>
          <t>Meridian</t>
        </is>
      </c>
      <c r="C6865" s="9" t="inlineStr">
        <is>
          <t>21/50 MA cross, 250-period confirm filter, VWAP</t>
        </is>
      </c>
      <c r="D6865" s="9" t="inlineStr">
        <is>
          <t>Short</t>
        </is>
      </c>
      <c r="E6865" s="10" t="n">
        <v>46147.14583333334</v>
      </c>
      <c r="F6865" s="10" t="n">
        <v>46147.15625</v>
      </c>
      <c r="G6865" s="11" t="n">
        <v>-8.98</v>
      </c>
      <c r="H6865" s="11">
        <f>H6864+G6865</f>
        <v/>
      </c>
    </row>
    <row r="6866">
      <c r="A6866" s="9" t="n">
        <v>6862</v>
      </c>
      <c r="B6866" s="9" t="inlineStr">
        <is>
          <t>Aurelius_M15</t>
        </is>
      </c>
      <c r="C6866" s="9" t="inlineStr">
        <is>
          <t>MA alignment (EMA21&gt;EMA50&gt;SMA250&gt;SMMA500 vs EMA2400 trend filter) - M15 chart</t>
        </is>
      </c>
      <c r="D6866" s="9" t="inlineStr">
        <is>
          <t>Short</t>
        </is>
      </c>
      <c r="E6866" s="10" t="n">
        <v>46146.77083333334</v>
      </c>
      <c r="F6866" s="10" t="n">
        <v>46147.22916666666</v>
      </c>
      <c r="G6866" s="11" t="n">
        <v>-3.71</v>
      </c>
      <c r="H6866" s="11">
        <f>H6865+G6866</f>
        <v/>
      </c>
    </row>
    <row r="6867">
      <c r="A6867" s="9" t="n">
        <v>6863</v>
      </c>
      <c r="B6867" s="9" t="inlineStr">
        <is>
          <t>Meridian</t>
        </is>
      </c>
      <c r="C6867" s="9" t="inlineStr">
        <is>
          <t>21/50 MA cross, 250-period confirm filter, VWAP</t>
        </is>
      </c>
      <c r="D6867" s="9" t="inlineStr">
        <is>
          <t>Long</t>
        </is>
      </c>
      <c r="E6867" s="10" t="n">
        <v>46147.59375</v>
      </c>
      <c r="F6867" s="10" t="n">
        <v>46147.8125</v>
      </c>
      <c r="G6867" s="11" t="n">
        <v>7.04</v>
      </c>
      <c r="H6867" s="11">
        <f>H6866+G6867</f>
        <v/>
      </c>
    </row>
    <row r="6868">
      <c r="A6868" s="9" t="n">
        <v>6864</v>
      </c>
      <c r="B6868" s="9" t="inlineStr">
        <is>
          <t>Ratchet</t>
        </is>
      </c>
      <c r="C6868" s="9" t="inlineStr">
        <is>
          <t>Stochastic scalp with give-back trail exit</t>
        </is>
      </c>
      <c r="D6868" s="9" t="inlineStr">
        <is>
          <t>Long</t>
        </is>
      </c>
      <c r="E6868" s="10" t="n">
        <v>46148.55555555555</v>
      </c>
      <c r="F6868" s="10" t="n">
        <v>46148.60069444445</v>
      </c>
      <c r="G6868" s="11" t="n">
        <v>6.86</v>
      </c>
      <c r="H6868" s="11">
        <f>H6867+G6868</f>
        <v/>
      </c>
    </row>
    <row r="6869">
      <c r="A6869" s="9" t="n">
        <v>6865</v>
      </c>
      <c r="B6869" s="9" t="inlineStr">
        <is>
          <t>MSG</t>
        </is>
      </c>
      <c r="C6869" s="9" t="inlineStr">
        <is>
          <t>Session-range breakout + Fibonacci retracement-zone entry</t>
        </is>
      </c>
      <c r="D6869" s="9" t="inlineStr">
        <is>
          <t>Long</t>
        </is>
      </c>
      <c r="E6869" s="10" t="n">
        <v>46148.62638888889</v>
      </c>
      <c r="F6869" s="10" t="n">
        <v>46148.63472222222</v>
      </c>
      <c r="G6869" s="11" t="n">
        <v>-55</v>
      </c>
      <c r="H6869" s="11">
        <f>H6868+G6869</f>
        <v/>
      </c>
    </row>
    <row r="6870">
      <c r="A6870" s="9" t="n">
        <v>6866</v>
      </c>
      <c r="B6870" s="9" t="inlineStr">
        <is>
          <t>Meridian</t>
        </is>
      </c>
      <c r="C6870" s="9" t="inlineStr">
        <is>
          <t>21/50 MA cross, 250-period confirm filter, VWAP</t>
        </is>
      </c>
      <c r="D6870" s="9" t="inlineStr">
        <is>
          <t>Long</t>
        </is>
      </c>
      <c r="E6870" s="10" t="n">
        <v>46148.09027777778</v>
      </c>
      <c r="F6870" s="10" t="n">
        <v>46148.65277777778</v>
      </c>
      <c r="G6870" s="11" t="n">
        <v>100.62</v>
      </c>
      <c r="H6870" s="11">
        <f>H6869+G6870</f>
        <v/>
      </c>
    </row>
    <row r="6871">
      <c r="A6871" s="9" t="n">
        <v>6867</v>
      </c>
      <c r="B6871" s="9" t="inlineStr">
        <is>
          <t>Ratchet</t>
        </is>
      </c>
      <c r="C6871" s="9" t="inlineStr">
        <is>
          <t>Stochastic scalp with give-back trail exit</t>
        </is>
      </c>
      <c r="D6871" s="9" t="inlineStr">
        <is>
          <t>Long</t>
        </is>
      </c>
      <c r="E6871" s="10" t="n">
        <v>46148.71527777778</v>
      </c>
      <c r="F6871" s="10" t="n">
        <v>46148.72569444445</v>
      </c>
      <c r="G6871" s="11" t="n">
        <v>0</v>
      </c>
      <c r="H6871" s="11">
        <f>H6870+G6871</f>
        <v/>
      </c>
    </row>
    <row r="6872">
      <c r="A6872" s="9" t="n">
        <v>6868</v>
      </c>
      <c r="B6872" s="9" t="inlineStr">
        <is>
          <t>Meridian</t>
        </is>
      </c>
      <c r="C6872" s="9" t="inlineStr">
        <is>
          <t>21/50 MA cross, 250-period confirm filter, VWAP</t>
        </is>
      </c>
      <c r="D6872" s="9" t="inlineStr">
        <is>
          <t>Long</t>
        </is>
      </c>
      <c r="E6872" s="10" t="n">
        <v>46148.70486111111</v>
      </c>
      <c r="F6872" s="10" t="n">
        <v>46148.79513888889</v>
      </c>
      <c r="G6872" s="11" t="n">
        <v>-17.88</v>
      </c>
      <c r="H6872" s="11">
        <f>H6871+G6872</f>
        <v/>
      </c>
    </row>
    <row r="6873">
      <c r="A6873" s="9" t="n">
        <v>6869</v>
      </c>
      <c r="B6873" s="9" t="inlineStr">
        <is>
          <t>Ratchet</t>
        </is>
      </c>
      <c r="C6873" s="9" t="inlineStr">
        <is>
          <t>Stochastic scalp with give-back trail exit</t>
        </is>
      </c>
      <c r="D6873" s="9" t="inlineStr">
        <is>
          <t>Long</t>
        </is>
      </c>
      <c r="E6873" s="10" t="n">
        <v>46148.94444444445</v>
      </c>
      <c r="F6873" s="10" t="n">
        <v>46148.95486111111</v>
      </c>
      <c r="G6873" s="11" t="n">
        <v>-5.33</v>
      </c>
      <c r="H6873" s="11">
        <f>H6872+G6873</f>
        <v/>
      </c>
    </row>
    <row r="6874">
      <c r="A6874" s="9" t="n">
        <v>6870</v>
      </c>
      <c r="B6874" s="9" t="inlineStr">
        <is>
          <t>Meridian</t>
        </is>
      </c>
      <c r="C6874" s="9" t="inlineStr">
        <is>
          <t>21/50 MA cross, 250-period confirm filter, VWAP</t>
        </is>
      </c>
      <c r="D6874" s="9" t="inlineStr">
        <is>
          <t>Long</t>
        </is>
      </c>
      <c r="E6874" s="10" t="n">
        <v>46148.93402777778</v>
      </c>
      <c r="F6874" s="10" t="n">
        <v>46148.97916666666</v>
      </c>
      <c r="G6874" s="11" t="n">
        <v>-8.359999999999999</v>
      </c>
      <c r="H6874" s="11">
        <f>H6873+G6874</f>
        <v/>
      </c>
    </row>
    <row r="6875">
      <c r="A6875" s="9" t="n">
        <v>6871</v>
      </c>
      <c r="B6875" s="9" t="inlineStr">
        <is>
          <t>Ratchet</t>
        </is>
      </c>
      <c r="C6875" s="9" t="inlineStr">
        <is>
          <t>Stochastic scalp with give-back trail exit</t>
        </is>
      </c>
      <c r="D6875" s="9" t="inlineStr">
        <is>
          <t>Long</t>
        </is>
      </c>
      <c r="E6875" s="10" t="n">
        <v>46149.14236111111</v>
      </c>
      <c r="F6875" s="10" t="n">
        <v>46149.14583333334</v>
      </c>
      <c r="G6875" s="11" t="n">
        <v>-7.12</v>
      </c>
      <c r="H6875" s="11">
        <f>H6874+G6875</f>
        <v/>
      </c>
    </row>
    <row r="6876">
      <c r="A6876" s="9" t="n">
        <v>6872</v>
      </c>
      <c r="B6876" s="9" t="inlineStr">
        <is>
          <t>Aurelius_M5</t>
        </is>
      </c>
      <c r="C6876" s="9" t="inlineStr">
        <is>
          <t>MA alignment (EMA21&gt;EMA50&gt;SMA250&gt;SMMA500 vs EMA2400 trend filter)</t>
        </is>
      </c>
      <c r="D6876" s="9" t="inlineStr">
        <is>
          <t>Long</t>
        </is>
      </c>
      <c r="E6876" s="10" t="n">
        <v>46149.13194444445</v>
      </c>
      <c r="F6876" s="10" t="n">
        <v>46149.15972222222</v>
      </c>
      <c r="G6876" s="11" t="n">
        <v>-9.109999999999999</v>
      </c>
      <c r="H6876" s="11">
        <f>H6875+G6876</f>
        <v/>
      </c>
    </row>
    <row r="6877">
      <c r="A6877" s="9" t="n">
        <v>6873</v>
      </c>
      <c r="B6877" s="9" t="inlineStr">
        <is>
          <t>Aurelius_M5</t>
        </is>
      </c>
      <c r="C6877" s="9" t="inlineStr">
        <is>
          <t>MA alignment (EMA21&gt;EMA50&gt;SMA250&gt;SMMA500 vs EMA2400 trend filter)</t>
        </is>
      </c>
      <c r="D6877" s="9" t="inlineStr">
        <is>
          <t>Long</t>
        </is>
      </c>
      <c r="E6877" s="10" t="n">
        <v>46149.19791666666</v>
      </c>
      <c r="F6877" s="10" t="n">
        <v>46149.29166666666</v>
      </c>
      <c r="G6877" s="11" t="n">
        <v>-14.67</v>
      </c>
      <c r="H6877" s="11">
        <f>H6876+G6877</f>
        <v/>
      </c>
    </row>
    <row r="6878">
      <c r="A6878" s="9" t="n">
        <v>6874</v>
      </c>
      <c r="B6878" s="9" t="inlineStr">
        <is>
          <t>Meridian</t>
        </is>
      </c>
      <c r="C6878" s="9" t="inlineStr">
        <is>
          <t>21/50 MA cross, 250-period confirm filter, VWAP</t>
        </is>
      </c>
      <c r="D6878" s="9" t="inlineStr">
        <is>
          <t>Long</t>
        </is>
      </c>
      <c r="E6878" s="10" t="n">
        <v>46149.17708333334</v>
      </c>
      <c r="F6878" s="10" t="n">
        <v>46149.30208333334</v>
      </c>
      <c r="G6878" s="11" t="n">
        <v>-13.57</v>
      </c>
      <c r="H6878" s="11">
        <f>H6877+G6878</f>
        <v/>
      </c>
    </row>
    <row r="6879">
      <c r="A6879" s="9" t="n">
        <v>6875</v>
      </c>
      <c r="B6879" s="9" t="inlineStr">
        <is>
          <t>Ratchet</t>
        </is>
      </c>
      <c r="C6879" s="9" t="inlineStr">
        <is>
          <t>Stochastic scalp with give-back trail exit</t>
        </is>
      </c>
      <c r="D6879" s="9" t="inlineStr">
        <is>
          <t>Long</t>
        </is>
      </c>
      <c r="E6879" s="10" t="n">
        <v>46149.38541666666</v>
      </c>
      <c r="F6879" s="10" t="n">
        <v>46149.40277777778</v>
      </c>
      <c r="G6879" s="11" t="n">
        <v>34.33</v>
      </c>
      <c r="H6879" s="11">
        <f>H6878+G6879</f>
        <v/>
      </c>
    </row>
    <row r="6880">
      <c r="A6880" s="9" t="n">
        <v>6876</v>
      </c>
      <c r="B6880" s="9" t="inlineStr">
        <is>
          <t>Ratchet</t>
        </is>
      </c>
      <c r="C6880" s="9" t="inlineStr">
        <is>
          <t>Stochastic scalp with give-back trail exit</t>
        </is>
      </c>
      <c r="D6880" s="9" t="inlineStr">
        <is>
          <t>Long</t>
        </is>
      </c>
      <c r="E6880" s="10" t="n">
        <v>46149.65972222222</v>
      </c>
      <c r="F6880" s="10" t="n">
        <v>46149.66666666666</v>
      </c>
      <c r="G6880" s="11" t="n">
        <v>-10.4</v>
      </c>
      <c r="H6880" s="11">
        <f>H6879+G6880</f>
        <v/>
      </c>
    </row>
    <row r="6881">
      <c r="A6881" s="9" t="n">
        <v>6877</v>
      </c>
      <c r="B6881" s="9" t="inlineStr">
        <is>
          <t>Meridian</t>
        </is>
      </c>
      <c r="C6881" s="9" t="inlineStr">
        <is>
          <t>21/50 MA cross, 250-period confirm filter, VWAP</t>
        </is>
      </c>
      <c r="D6881" s="9" t="inlineStr">
        <is>
          <t>Long</t>
        </is>
      </c>
      <c r="E6881" s="10" t="n">
        <v>46149.37847222222</v>
      </c>
      <c r="F6881" s="10" t="n">
        <v>46149.79166666666</v>
      </c>
      <c r="G6881" s="11" t="n">
        <v>22.88</v>
      </c>
      <c r="H6881" s="11">
        <f>H6880+G6881</f>
        <v/>
      </c>
    </row>
    <row r="6882">
      <c r="A6882" s="9" t="n">
        <v>6878</v>
      </c>
      <c r="B6882" s="9" t="inlineStr">
        <is>
          <t>Aurelius_M5</t>
        </is>
      </c>
      <c r="C6882" s="9" t="inlineStr">
        <is>
          <t>MA alignment (EMA21&gt;EMA50&gt;SMA250&gt;SMMA500 vs EMA2400 trend filter)</t>
        </is>
      </c>
      <c r="D6882" s="9" t="inlineStr">
        <is>
          <t>Long</t>
        </is>
      </c>
      <c r="E6882" s="10" t="n">
        <v>46149.39930555555</v>
      </c>
      <c r="F6882" s="10" t="n">
        <v>46149.79166666666</v>
      </c>
      <c r="G6882" s="11" t="n">
        <v>-4.05</v>
      </c>
      <c r="H6882" s="11">
        <f>H6881+G6882</f>
        <v/>
      </c>
    </row>
    <row r="6883">
      <c r="A6883" s="9" t="n">
        <v>6879</v>
      </c>
      <c r="B6883" s="9" t="inlineStr">
        <is>
          <t>Aurelius_M15</t>
        </is>
      </c>
      <c r="C6883" s="9" t="inlineStr">
        <is>
          <t>MA alignment (EMA21&gt;EMA50&gt;SMA250&gt;SMMA500 vs EMA2400 trend filter) - M15 chart</t>
        </is>
      </c>
      <c r="D6883" s="9" t="inlineStr">
        <is>
          <t>Long</t>
        </is>
      </c>
      <c r="E6883" s="10" t="n">
        <v>46149.17708333334</v>
      </c>
      <c r="F6883" s="10" t="n">
        <v>46149.84375</v>
      </c>
      <c r="G6883" s="11" t="n">
        <v>-20.89</v>
      </c>
      <c r="H6883" s="11">
        <f>H6882+G6883</f>
        <v/>
      </c>
    </row>
    <row r="6884">
      <c r="A6884" s="9" t="n">
        <v>6880</v>
      </c>
      <c r="B6884" s="9" t="inlineStr">
        <is>
          <t>Ratchet</t>
        </is>
      </c>
      <c r="C6884" s="9" t="inlineStr">
        <is>
          <t>Stochastic scalp with give-back trail exit</t>
        </is>
      </c>
      <c r="D6884" s="9" t="inlineStr">
        <is>
          <t>Long</t>
        </is>
      </c>
      <c r="E6884" s="10" t="n">
        <v>46150.37847222222</v>
      </c>
      <c r="F6884" s="10" t="n">
        <v>46150.39583333334</v>
      </c>
      <c r="G6884" s="11" t="n">
        <v>1.4</v>
      </c>
      <c r="H6884" s="11">
        <f>H6883+G6884</f>
        <v/>
      </c>
    </row>
    <row r="6885">
      <c r="A6885" s="9" t="n">
        <v>6881</v>
      </c>
      <c r="B6885" s="9" t="inlineStr">
        <is>
          <t>Meridian</t>
        </is>
      </c>
      <c r="C6885" s="9" t="inlineStr">
        <is>
          <t>21/50 MA cross, 250-period confirm filter, VWAP</t>
        </is>
      </c>
      <c r="D6885" s="9" t="inlineStr">
        <is>
          <t>Short</t>
        </is>
      </c>
      <c r="E6885" s="10" t="n">
        <v>46150.44097222222</v>
      </c>
      <c r="F6885" s="10" t="n">
        <v>46150.56597222222</v>
      </c>
      <c r="G6885" s="11" t="n">
        <v>-13.11</v>
      </c>
      <c r="H6885" s="11">
        <f>H6884+G6885</f>
        <v/>
      </c>
    </row>
    <row r="6886">
      <c r="A6886" s="9" t="n">
        <v>6882</v>
      </c>
      <c r="B6886" s="9" t="inlineStr">
        <is>
          <t>Ratchet</t>
        </is>
      </c>
      <c r="C6886" s="9" t="inlineStr">
        <is>
          <t>Stochastic scalp with give-back trail exit</t>
        </is>
      </c>
      <c r="D6886" s="9" t="inlineStr">
        <is>
          <t>Long</t>
        </is>
      </c>
      <c r="E6886" s="10" t="n">
        <v>46150.60069444445</v>
      </c>
      <c r="F6886" s="10" t="n">
        <v>46150.61805555555</v>
      </c>
      <c r="G6886" s="11" t="n">
        <v>-7.88</v>
      </c>
      <c r="H6886" s="11">
        <f>H6885+G6886</f>
        <v/>
      </c>
    </row>
    <row r="6887">
      <c r="A6887" s="9" t="n">
        <v>6883</v>
      </c>
      <c r="B6887" s="9" t="inlineStr">
        <is>
          <t>Meridian</t>
        </is>
      </c>
      <c r="C6887" s="9" t="inlineStr">
        <is>
          <t>21/50 MA cross, 250-period confirm filter, VWAP</t>
        </is>
      </c>
      <c r="D6887" s="9" t="inlineStr">
        <is>
          <t>Short</t>
        </is>
      </c>
      <c r="E6887" s="10" t="n">
        <v>46150.63541666666</v>
      </c>
      <c r="F6887" s="10" t="n">
        <v>46150.64583333334</v>
      </c>
      <c r="G6887" s="11" t="n">
        <v>-11.57</v>
      </c>
      <c r="H6887" s="11">
        <f>H6886+G6887</f>
        <v/>
      </c>
    </row>
    <row r="6888">
      <c r="A6888" s="9" t="n">
        <v>6884</v>
      </c>
      <c r="B6888" s="9" t="inlineStr">
        <is>
          <t>Vanguard_M15</t>
        </is>
      </c>
      <c r="C6888" s="9" t="inlineStr">
        <is>
          <t>Trendline breakout (fractal swing line) + VWAP/S-R distance gate - M15 chart</t>
        </is>
      </c>
      <c r="D6888" s="9" t="inlineStr">
        <is>
          <t>Short</t>
        </is>
      </c>
      <c r="E6888" s="10" t="n">
        <v>46150.63541666666</v>
      </c>
      <c r="F6888" s="10" t="n">
        <v>46150.64583333334</v>
      </c>
      <c r="G6888" s="11" t="n">
        <v>-26.2</v>
      </c>
      <c r="H6888" s="11">
        <f>H6887+G6888</f>
        <v/>
      </c>
    </row>
    <row r="6889">
      <c r="A6889" s="9" t="n">
        <v>6885</v>
      </c>
      <c r="B6889" s="9" t="inlineStr">
        <is>
          <t>Vanguard_M5</t>
        </is>
      </c>
      <c r="C6889" s="9" t="inlineStr">
        <is>
          <t>Trendline breakout (fractal swing line) + VWAP/S-R distance gate</t>
        </is>
      </c>
      <c r="D6889" s="9" t="inlineStr">
        <is>
          <t>Short</t>
        </is>
      </c>
      <c r="E6889" s="10" t="n">
        <v>46150.53472222222</v>
      </c>
      <c r="F6889" s="10" t="n">
        <v>46150.65277777778</v>
      </c>
      <c r="G6889" s="11" t="n">
        <v>-19.96</v>
      </c>
      <c r="H6889" s="11">
        <f>H6888+G6889</f>
        <v/>
      </c>
    </row>
    <row r="6890">
      <c r="A6890" s="9" t="n">
        <v>6886</v>
      </c>
      <c r="B6890" s="9" t="inlineStr">
        <is>
          <t>Ratchet</t>
        </is>
      </c>
      <c r="C6890" s="9" t="inlineStr">
        <is>
          <t>Stochastic scalp with give-back trail exit</t>
        </is>
      </c>
      <c r="D6890" s="9" t="inlineStr">
        <is>
          <t>Long</t>
        </is>
      </c>
      <c r="E6890" s="10" t="n">
        <v>46150.65972222222</v>
      </c>
      <c r="F6890" s="10" t="n">
        <v>46150.66319444445</v>
      </c>
      <c r="G6890" s="11" t="n">
        <v>1.9</v>
      </c>
      <c r="H6890" s="11">
        <f>H6889+G6890</f>
        <v/>
      </c>
    </row>
    <row r="6891">
      <c r="A6891" s="9" t="n">
        <v>6887</v>
      </c>
      <c r="B6891" s="9" t="inlineStr">
        <is>
          <t>Aurelius_M5</t>
        </is>
      </c>
      <c r="C6891" s="9" t="inlineStr">
        <is>
          <t>MA alignment (EMA21&gt;EMA50&gt;SMA250&gt;SMMA500 vs EMA2400 trend filter)</t>
        </is>
      </c>
      <c r="D6891" s="9" t="inlineStr">
        <is>
          <t>Long</t>
        </is>
      </c>
      <c r="E6891" s="10" t="n">
        <v>46150.69791666666</v>
      </c>
      <c r="F6891" s="10" t="n">
        <v>46150.71527777778</v>
      </c>
      <c r="G6891" s="11" t="n">
        <v>-17.99</v>
      </c>
      <c r="H6891" s="11">
        <f>H6890+G6891</f>
        <v/>
      </c>
    </row>
    <row r="6892">
      <c r="A6892" s="9" t="n">
        <v>6888</v>
      </c>
      <c r="B6892" s="9" t="inlineStr">
        <is>
          <t>Aurelius_M15</t>
        </is>
      </c>
      <c r="C6892" s="9" t="inlineStr">
        <is>
          <t>MA alignment (EMA21&gt;EMA50&gt;SMA250&gt;SMMA500 vs EMA2400 trend filter) - M15 chart</t>
        </is>
      </c>
      <c r="D6892" s="9" t="inlineStr">
        <is>
          <t>Long</t>
        </is>
      </c>
      <c r="E6892" s="10" t="n">
        <v>46150.69791666666</v>
      </c>
      <c r="F6892" s="10" t="n">
        <v>46150.75</v>
      </c>
      <c r="G6892" s="11" t="n">
        <v>-26.93</v>
      </c>
      <c r="H6892" s="11">
        <f>H6891+G6892</f>
        <v/>
      </c>
    </row>
    <row r="6893">
      <c r="A6893" s="9" t="n">
        <v>6889</v>
      </c>
      <c r="B6893" s="9" t="inlineStr">
        <is>
          <t>Meridian</t>
        </is>
      </c>
      <c r="C6893" s="9" t="inlineStr">
        <is>
          <t>21/50 MA cross, 250-period confirm filter, VWAP</t>
        </is>
      </c>
      <c r="D6893" s="9" t="inlineStr">
        <is>
          <t>Long</t>
        </is>
      </c>
      <c r="E6893" s="10" t="n">
        <v>46150.65972222222</v>
      </c>
      <c r="F6893" s="10" t="n">
        <v>46150.75694444445</v>
      </c>
      <c r="G6893" s="11" t="n">
        <v>-7.76</v>
      </c>
      <c r="H6893" s="11">
        <f>H6892+G6893</f>
        <v/>
      </c>
    </row>
    <row r="6894">
      <c r="A6894" s="9" t="n">
        <v>6890</v>
      </c>
      <c r="B6894" s="9" t="inlineStr">
        <is>
          <t>Meridian</t>
        </is>
      </c>
      <c r="C6894" s="9" t="inlineStr">
        <is>
          <t>21/50 MA cross, 250-period confirm filter, VWAP</t>
        </is>
      </c>
      <c r="D6894" s="9" t="inlineStr">
        <is>
          <t>Long</t>
        </is>
      </c>
      <c r="E6894" s="10" t="n">
        <v>46150.875</v>
      </c>
      <c r="F6894" s="10" t="n">
        <v>46150.91666666666</v>
      </c>
      <c r="G6894" s="11" t="n">
        <v>0.63</v>
      </c>
      <c r="H6894" s="11">
        <f>H6893+G6894</f>
        <v/>
      </c>
    </row>
    <row r="6895">
      <c r="A6895" s="9" t="n">
        <v>6891</v>
      </c>
      <c r="B6895" s="9" t="inlineStr">
        <is>
          <t>Ratchet</t>
        </is>
      </c>
      <c r="C6895" s="9" t="inlineStr">
        <is>
          <t>Stochastic scalp with give-back trail exit</t>
        </is>
      </c>
      <c r="D6895" s="9" t="inlineStr">
        <is>
          <t>Short</t>
        </is>
      </c>
      <c r="E6895" s="10" t="n">
        <v>46153.53472222222</v>
      </c>
      <c r="F6895" s="10" t="n">
        <v>46153.54166666666</v>
      </c>
      <c r="G6895" s="11" t="n">
        <v>1.49</v>
      </c>
      <c r="H6895" s="11">
        <f>H6894+G6895</f>
        <v/>
      </c>
    </row>
    <row r="6896">
      <c r="A6896" s="9" t="n">
        <v>6892</v>
      </c>
      <c r="B6896" s="9" t="inlineStr">
        <is>
          <t>Vanguard_M15</t>
        </is>
      </c>
      <c r="C6896" s="9" t="inlineStr">
        <is>
          <t>Trendline breakout (fractal swing line) + VWAP/S-R distance gate - M15 chart</t>
        </is>
      </c>
      <c r="D6896" s="9" t="inlineStr">
        <is>
          <t>Long</t>
        </is>
      </c>
      <c r="E6896" s="10" t="n">
        <v>46153.69791666666</v>
      </c>
      <c r="F6896" s="10" t="n">
        <v>46153.8125</v>
      </c>
      <c r="G6896" s="11" t="n">
        <v>-33.98</v>
      </c>
      <c r="H6896" s="11">
        <f>H6895+G6896</f>
        <v/>
      </c>
    </row>
    <row r="6897">
      <c r="A6897" s="9" t="n">
        <v>6893</v>
      </c>
      <c r="B6897" s="9" t="inlineStr">
        <is>
          <t>Ratchet</t>
        </is>
      </c>
      <c r="C6897" s="9" t="inlineStr">
        <is>
          <t>Stochastic scalp with give-back trail exit</t>
        </is>
      </c>
      <c r="D6897" s="9" t="inlineStr">
        <is>
          <t>Long</t>
        </is>
      </c>
      <c r="E6897" s="10" t="n">
        <v>46153.90277777778</v>
      </c>
      <c r="F6897" s="10" t="n">
        <v>46153.96527777778</v>
      </c>
      <c r="G6897" s="11" t="n">
        <v>2.97</v>
      </c>
      <c r="H6897" s="11">
        <f>H6896+G6897</f>
        <v/>
      </c>
    </row>
    <row r="6898">
      <c r="A6898" s="9" t="n">
        <v>6894</v>
      </c>
      <c r="B6898" s="9" t="inlineStr">
        <is>
          <t>Ratchet</t>
        </is>
      </c>
      <c r="C6898" s="9" t="inlineStr">
        <is>
          <t>Stochastic scalp with give-back trail exit</t>
        </is>
      </c>
      <c r="D6898" s="9" t="inlineStr">
        <is>
          <t>Long</t>
        </is>
      </c>
      <c r="E6898" s="10" t="n">
        <v>46154.04861111111</v>
      </c>
      <c r="F6898" s="10" t="n">
        <v>46154.16319444445</v>
      </c>
      <c r="G6898" s="11" t="n">
        <v>8.76</v>
      </c>
      <c r="H6898" s="11">
        <f>H6897+G6898</f>
        <v/>
      </c>
    </row>
    <row r="6899">
      <c r="A6899" s="9" t="n">
        <v>6895</v>
      </c>
      <c r="B6899" s="9" t="inlineStr">
        <is>
          <t>Vanguard_M15</t>
        </is>
      </c>
      <c r="C6899" s="9" t="inlineStr">
        <is>
          <t>Trendline breakout (fractal swing line) + VWAP/S-R distance gate - M15 chart</t>
        </is>
      </c>
      <c r="D6899" s="9" t="inlineStr">
        <is>
          <t>Long</t>
        </is>
      </c>
      <c r="E6899" s="10" t="n">
        <v>46153.95833333334</v>
      </c>
      <c r="F6899" s="10" t="n">
        <v>46154.33333333334</v>
      </c>
      <c r="G6899" s="11" t="n">
        <v>-22.62</v>
      </c>
      <c r="H6899" s="11">
        <f>H6898+G6899</f>
        <v/>
      </c>
    </row>
    <row r="6900">
      <c r="A6900" s="9" t="n">
        <v>6896</v>
      </c>
      <c r="B6900" s="9" t="inlineStr">
        <is>
          <t>Vanguard_M5</t>
        </is>
      </c>
      <c r="C6900" s="9" t="inlineStr">
        <is>
          <t>Trendline breakout (fractal swing line) + VWAP/S-R distance gate</t>
        </is>
      </c>
      <c r="D6900" s="9" t="inlineStr">
        <is>
          <t>Long</t>
        </is>
      </c>
      <c r="E6900" s="10" t="n">
        <v>46153.69097222222</v>
      </c>
      <c r="F6900" s="10" t="n">
        <v>46154.375</v>
      </c>
      <c r="G6900" s="11" t="n">
        <v>-29.05</v>
      </c>
      <c r="H6900" s="11">
        <f>H6899+G6900</f>
        <v/>
      </c>
    </row>
    <row r="6901">
      <c r="A6901" s="9" t="n">
        <v>6897</v>
      </c>
      <c r="B6901" s="9" t="inlineStr">
        <is>
          <t>Meridian</t>
        </is>
      </c>
      <c r="C6901" s="9" t="inlineStr">
        <is>
          <t>21/50 MA cross, 250-period confirm filter, VWAP</t>
        </is>
      </c>
      <c r="D6901" s="9" t="inlineStr">
        <is>
          <t>Short</t>
        </is>
      </c>
      <c r="E6901" s="10" t="n">
        <v>46154.64236111111</v>
      </c>
      <c r="F6901" s="10" t="n">
        <v>46154.65625</v>
      </c>
      <c r="G6901" s="11" t="n">
        <v>-14.09</v>
      </c>
      <c r="H6901" s="11">
        <f>H6900+G6901</f>
        <v/>
      </c>
    </row>
    <row r="6902">
      <c r="A6902" s="9" t="n">
        <v>6898</v>
      </c>
      <c r="B6902" s="9" t="inlineStr">
        <is>
          <t>Meridian</t>
        </is>
      </c>
      <c r="C6902" s="9" t="inlineStr">
        <is>
          <t>21/50 MA cross, 250-period confirm filter, VWAP</t>
        </is>
      </c>
      <c r="D6902" s="9" t="inlineStr">
        <is>
          <t>Short</t>
        </is>
      </c>
      <c r="E6902" s="10" t="n">
        <v>46154.67361111111</v>
      </c>
      <c r="F6902" s="10" t="n">
        <v>46154.89583333334</v>
      </c>
      <c r="G6902" s="11" t="n">
        <v>9.960000000000001</v>
      </c>
      <c r="H6902" s="11">
        <f>H6901+G6902</f>
        <v/>
      </c>
    </row>
    <row r="6903">
      <c r="A6903" s="9" t="n">
        <v>6899</v>
      </c>
      <c r="B6903" s="9" t="inlineStr">
        <is>
          <t>Ratchet</t>
        </is>
      </c>
      <c r="C6903" s="9" t="inlineStr">
        <is>
          <t>Stochastic scalp with give-back trail exit</t>
        </is>
      </c>
      <c r="D6903" s="9" t="inlineStr">
        <is>
          <t>Long</t>
        </is>
      </c>
      <c r="E6903" s="10" t="n">
        <v>46155.14236111111</v>
      </c>
      <c r="F6903" s="10" t="n">
        <v>46155.15972222222</v>
      </c>
      <c r="G6903" s="11" t="n">
        <v>-8.57</v>
      </c>
      <c r="H6903" s="11">
        <f>H6902+G6903</f>
        <v/>
      </c>
    </row>
    <row r="6904">
      <c r="A6904" s="9" t="n">
        <v>6900</v>
      </c>
      <c r="B6904" s="9" t="inlineStr">
        <is>
          <t>Meridian</t>
        </is>
      </c>
      <c r="C6904" s="9" t="inlineStr">
        <is>
          <t>21/50 MA cross, 250-period confirm filter, VWAP</t>
        </is>
      </c>
      <c r="D6904" s="9" t="inlineStr">
        <is>
          <t>Long</t>
        </is>
      </c>
      <c r="E6904" s="10" t="n">
        <v>46155.38541666666</v>
      </c>
      <c r="F6904" s="10" t="n">
        <v>46155.41319444445</v>
      </c>
      <c r="G6904" s="11" t="n">
        <v>-11.21</v>
      </c>
      <c r="H6904" s="11">
        <f>H6903+G6904</f>
        <v/>
      </c>
    </row>
    <row r="6905">
      <c r="A6905" s="9" t="n">
        <v>6901</v>
      </c>
      <c r="B6905" s="9" t="inlineStr">
        <is>
          <t>MSG</t>
        </is>
      </c>
      <c r="C6905" s="9" t="inlineStr">
        <is>
          <t>Session-range breakout + Fibonacci retracement-zone entry</t>
        </is>
      </c>
      <c r="D6905" s="9" t="inlineStr">
        <is>
          <t>Short</t>
        </is>
      </c>
      <c r="E6905" s="10" t="n">
        <v>46155.54166666666</v>
      </c>
      <c r="F6905" s="10" t="n">
        <v>46155.54791666667</v>
      </c>
      <c r="G6905" s="11" t="n">
        <v>-24.11</v>
      </c>
      <c r="H6905" s="11">
        <f>H6904+G6905</f>
        <v/>
      </c>
    </row>
    <row r="6906">
      <c r="A6906" s="9" t="n">
        <v>6902</v>
      </c>
      <c r="B6906" s="9" t="inlineStr">
        <is>
          <t>Vanguard_M5</t>
        </is>
      </c>
      <c r="C6906" s="9" t="inlineStr">
        <is>
          <t>Trendline breakout (fractal swing line) + VWAP/S-R distance gate</t>
        </is>
      </c>
      <c r="D6906" s="9" t="inlineStr">
        <is>
          <t>Long</t>
        </is>
      </c>
      <c r="E6906" s="10" t="n">
        <v>46155.54861111111</v>
      </c>
      <c r="F6906" s="10" t="n">
        <v>46155.63541666666</v>
      </c>
      <c r="G6906" s="11" t="n">
        <v>-17.84</v>
      </c>
      <c r="H6906" s="11">
        <f>H6905+G6906</f>
        <v/>
      </c>
    </row>
    <row r="6907">
      <c r="A6907" s="9" t="n">
        <v>6903</v>
      </c>
      <c r="B6907" s="9" t="inlineStr">
        <is>
          <t>Meridian</t>
        </is>
      </c>
      <c r="C6907" s="9" t="inlineStr">
        <is>
          <t>21/50 MA cross, 250-period confirm filter, VWAP</t>
        </is>
      </c>
      <c r="D6907" s="9" t="inlineStr">
        <is>
          <t>Short</t>
        </is>
      </c>
      <c r="E6907" s="10" t="n">
        <v>46155.63541666666</v>
      </c>
      <c r="F6907" s="10" t="n">
        <v>46155.78472222222</v>
      </c>
      <c r="G6907" s="11" t="n">
        <v>-4.74</v>
      </c>
      <c r="H6907" s="11">
        <f>H6906+G6907</f>
        <v/>
      </c>
    </row>
    <row r="6908">
      <c r="A6908" s="9" t="n">
        <v>6904</v>
      </c>
      <c r="B6908" s="9" t="inlineStr">
        <is>
          <t>Meridian</t>
        </is>
      </c>
      <c r="C6908" s="9" t="inlineStr">
        <is>
          <t>21/50 MA cross, 250-period confirm filter, VWAP</t>
        </is>
      </c>
      <c r="D6908" s="9" t="inlineStr">
        <is>
          <t>Short</t>
        </is>
      </c>
      <c r="E6908" s="10" t="n">
        <v>46155.88541666666</v>
      </c>
      <c r="F6908" s="10" t="n">
        <v>46156.05902777778</v>
      </c>
      <c r="G6908" s="11" t="n">
        <v>-3.51</v>
      </c>
      <c r="H6908" s="11">
        <f>H6907+G6908</f>
        <v/>
      </c>
    </row>
    <row r="6909">
      <c r="A6909" s="9" t="n">
        <v>6905</v>
      </c>
      <c r="B6909" s="9" t="inlineStr">
        <is>
          <t>Vanguard_M5</t>
        </is>
      </c>
      <c r="C6909" s="9" t="inlineStr">
        <is>
          <t>Trendline breakout (fractal swing line) + VWAP/S-R distance gate</t>
        </is>
      </c>
      <c r="D6909" s="9" t="inlineStr">
        <is>
          <t>Long</t>
        </is>
      </c>
      <c r="E6909" s="10" t="n">
        <v>46155.77777777778</v>
      </c>
      <c r="F6909" s="10" t="n">
        <v>46156.23958333334</v>
      </c>
      <c r="G6909" s="11" t="n">
        <v>-16.51</v>
      </c>
      <c r="H6909" s="11">
        <f>H6908+G6909</f>
        <v/>
      </c>
    </row>
    <row r="6910">
      <c r="A6910" s="9" t="n">
        <v>6906</v>
      </c>
      <c r="B6910" s="9" t="inlineStr">
        <is>
          <t>Vanguard_M15</t>
        </is>
      </c>
      <c r="C6910" s="9" t="inlineStr">
        <is>
          <t>Trendline breakout (fractal swing line) + VWAP/S-R distance gate - M15 chart</t>
        </is>
      </c>
      <c r="D6910" s="9" t="inlineStr">
        <is>
          <t>Long</t>
        </is>
      </c>
      <c r="E6910" s="10" t="n">
        <v>46155.78125</v>
      </c>
      <c r="F6910" s="10" t="n">
        <v>46156.23958333334</v>
      </c>
      <c r="G6910" s="11" t="n">
        <v>-13.32</v>
      </c>
      <c r="H6910" s="11">
        <f>H6909+G6910</f>
        <v/>
      </c>
    </row>
    <row r="6911">
      <c r="A6911" s="9" t="n">
        <v>6907</v>
      </c>
      <c r="B6911" s="9" t="inlineStr">
        <is>
          <t>Ratchet</t>
        </is>
      </c>
      <c r="C6911" s="9" t="inlineStr">
        <is>
          <t>Stochastic scalp with give-back trail exit</t>
        </is>
      </c>
      <c r="D6911" s="9" t="inlineStr">
        <is>
          <t>Short</t>
        </is>
      </c>
      <c r="E6911" s="10" t="n">
        <v>46156.29166666666</v>
      </c>
      <c r="F6911" s="10" t="n">
        <v>46156.29513888889</v>
      </c>
      <c r="G6911" s="11" t="n">
        <v>-0</v>
      </c>
      <c r="H6911" s="11">
        <f>H6910+G6911</f>
        <v/>
      </c>
    </row>
    <row r="6912">
      <c r="A6912" s="9" t="n">
        <v>6908</v>
      </c>
      <c r="B6912" s="9" t="inlineStr">
        <is>
          <t>Aurelius_M5</t>
        </is>
      </c>
      <c r="C6912" s="9" t="inlineStr">
        <is>
          <t>MA alignment (EMA21&gt;EMA50&gt;SMA250&gt;SMMA500 vs EMA2400 trend filter)</t>
        </is>
      </c>
      <c r="D6912" s="9" t="inlineStr">
        <is>
          <t>Short</t>
        </is>
      </c>
      <c r="E6912" s="10" t="n">
        <v>46156.28125</v>
      </c>
      <c r="F6912" s="10" t="n">
        <v>46156.30208333334</v>
      </c>
      <c r="G6912" s="11" t="n">
        <v>-6.12</v>
      </c>
      <c r="H6912" s="11">
        <f>H6911+G6912</f>
        <v/>
      </c>
    </row>
    <row r="6913">
      <c r="A6913" s="9" t="n">
        <v>6909</v>
      </c>
      <c r="B6913" s="9" t="inlineStr">
        <is>
          <t>Meridian</t>
        </is>
      </c>
      <c r="C6913" s="9" t="inlineStr">
        <is>
          <t>21/50 MA cross, 250-period confirm filter, VWAP</t>
        </is>
      </c>
      <c r="D6913" s="9" t="inlineStr">
        <is>
          <t>Short</t>
        </is>
      </c>
      <c r="E6913" s="10" t="n">
        <v>46156.19444444445</v>
      </c>
      <c r="F6913" s="10" t="n">
        <v>46156.30902777778</v>
      </c>
      <c r="G6913" s="11" t="n">
        <v>-13.93</v>
      </c>
      <c r="H6913" s="11">
        <f>H6912+G6913</f>
        <v/>
      </c>
    </row>
    <row r="6914">
      <c r="A6914" s="9" t="n">
        <v>6910</v>
      </c>
      <c r="B6914" s="9" t="inlineStr">
        <is>
          <t>Vanguard_M5</t>
        </is>
      </c>
      <c r="C6914" s="9" t="inlineStr">
        <is>
          <t>Trendline breakout (fractal swing line) + VWAP/S-R distance gate</t>
        </is>
      </c>
      <c r="D6914" s="9" t="inlineStr">
        <is>
          <t>Short</t>
        </is>
      </c>
      <c r="E6914" s="10" t="n">
        <v>46156.24305555555</v>
      </c>
      <c r="F6914" s="10" t="n">
        <v>46156.30902777778</v>
      </c>
      <c r="G6914" s="11" t="n">
        <v>-24.32</v>
      </c>
      <c r="H6914" s="11">
        <f>H6913+G6914</f>
        <v/>
      </c>
    </row>
    <row r="6915">
      <c r="A6915" s="9" t="n">
        <v>6911</v>
      </c>
      <c r="B6915" s="9" t="inlineStr">
        <is>
          <t>Vanguard_M15</t>
        </is>
      </c>
      <c r="C6915" s="9" t="inlineStr">
        <is>
          <t>Trendline breakout (fractal swing line) + VWAP/S-R distance gate - M15 chart</t>
        </is>
      </c>
      <c r="D6915" s="9" t="inlineStr">
        <is>
          <t>Short</t>
        </is>
      </c>
      <c r="E6915" s="10" t="n">
        <v>46156.25</v>
      </c>
      <c r="F6915" s="10" t="n">
        <v>46156.3125</v>
      </c>
      <c r="G6915" s="11" t="n">
        <v>-25.45</v>
      </c>
      <c r="H6915" s="11">
        <f>H6914+G6915</f>
        <v/>
      </c>
    </row>
    <row r="6916">
      <c r="A6916" s="9" t="n">
        <v>6912</v>
      </c>
      <c r="B6916" s="9" t="inlineStr">
        <is>
          <t>Meridian</t>
        </is>
      </c>
      <c r="C6916" s="9" t="inlineStr">
        <is>
          <t>21/50 MA cross, 250-period confirm filter, VWAP</t>
        </is>
      </c>
      <c r="D6916" s="9" t="inlineStr">
        <is>
          <t>Long</t>
        </is>
      </c>
      <c r="E6916" s="10" t="n">
        <v>46156.32291666666</v>
      </c>
      <c r="F6916" s="10" t="n">
        <v>46156.37152777778</v>
      </c>
      <c r="G6916" s="11" t="n">
        <v>-16.02</v>
      </c>
      <c r="H6916" s="11">
        <f>H6915+G6916</f>
        <v/>
      </c>
    </row>
    <row r="6917">
      <c r="A6917" s="9" t="n">
        <v>6913</v>
      </c>
      <c r="B6917" s="9" t="inlineStr">
        <is>
          <t>Vanguard_M15</t>
        </is>
      </c>
      <c r="C6917" s="9" t="inlineStr">
        <is>
          <t>Trendline breakout (fractal swing line) + VWAP/S-R distance gate - M15 chart</t>
        </is>
      </c>
      <c r="D6917" s="9" t="inlineStr">
        <is>
          <t>Short</t>
        </is>
      </c>
      <c r="E6917" s="10" t="n">
        <v>46156.375</v>
      </c>
      <c r="F6917" s="10" t="n">
        <v>46156.4375</v>
      </c>
      <c r="G6917" s="11" t="n">
        <v>-29.02</v>
      </c>
      <c r="H6917" s="11">
        <f>H6916+G6917</f>
        <v/>
      </c>
    </row>
    <row r="6918">
      <c r="A6918" s="9" t="n">
        <v>6914</v>
      </c>
      <c r="B6918" s="9" t="inlineStr">
        <is>
          <t>Vanguard_M5</t>
        </is>
      </c>
      <c r="C6918" s="9" t="inlineStr">
        <is>
          <t>Trendline breakout (fractal swing line) + VWAP/S-R distance gate</t>
        </is>
      </c>
      <c r="D6918" s="9" t="inlineStr">
        <is>
          <t>Short</t>
        </is>
      </c>
      <c r="E6918" s="10" t="n">
        <v>46156.375</v>
      </c>
      <c r="F6918" s="10" t="n">
        <v>46156.4375</v>
      </c>
      <c r="G6918" s="11" t="n">
        <v>-20.93</v>
      </c>
      <c r="H6918" s="11">
        <f>H6917+G6918</f>
        <v/>
      </c>
    </row>
    <row r="6919">
      <c r="A6919" s="9" t="n">
        <v>6915</v>
      </c>
      <c r="B6919" s="9" t="inlineStr">
        <is>
          <t>Meridian</t>
        </is>
      </c>
      <c r="C6919" s="9" t="inlineStr">
        <is>
          <t>21/50 MA cross, 250-period confirm filter, VWAP</t>
        </is>
      </c>
      <c r="D6919" s="9" t="inlineStr">
        <is>
          <t>Short</t>
        </is>
      </c>
      <c r="E6919" s="10" t="n">
        <v>46156.52083333334</v>
      </c>
      <c r="F6919" s="10" t="n">
        <v>46156.53472222222</v>
      </c>
      <c r="G6919" s="11" t="n">
        <v>-11.72</v>
      </c>
      <c r="H6919" s="11">
        <f>H6918+G6919</f>
        <v/>
      </c>
    </row>
    <row r="6920">
      <c r="A6920" s="9" t="n">
        <v>6916</v>
      </c>
      <c r="B6920" s="9" t="inlineStr">
        <is>
          <t>Meridian</t>
        </is>
      </c>
      <c r="C6920" s="9" t="inlineStr">
        <is>
          <t>21/50 MA cross, 250-period confirm filter, VWAP</t>
        </is>
      </c>
      <c r="D6920" s="9" t="inlineStr">
        <is>
          <t>Long</t>
        </is>
      </c>
      <c r="E6920" s="10" t="n">
        <v>46156.54513888889</v>
      </c>
      <c r="F6920" s="10" t="n">
        <v>46156.55902777778</v>
      </c>
      <c r="G6920" s="11" t="n">
        <v>-5.2</v>
      </c>
      <c r="H6920" s="11">
        <f>H6919+G6920</f>
        <v/>
      </c>
    </row>
    <row r="6921">
      <c r="A6921" s="9" t="n">
        <v>6917</v>
      </c>
      <c r="B6921" s="9" t="inlineStr">
        <is>
          <t>Meridian</t>
        </is>
      </c>
      <c r="C6921" s="9" t="inlineStr">
        <is>
          <t>21/50 MA cross, 250-period confirm filter, VWAP</t>
        </is>
      </c>
      <c r="D6921" s="9" t="inlineStr">
        <is>
          <t>Long</t>
        </is>
      </c>
      <c r="E6921" s="10" t="n">
        <v>46156.5625</v>
      </c>
      <c r="F6921" s="10" t="n">
        <v>46156.56944444445</v>
      </c>
      <c r="G6921" s="11" t="n">
        <v>-1.7</v>
      </c>
      <c r="H6921" s="11">
        <f>H6920+G6921</f>
        <v/>
      </c>
    </row>
    <row r="6922">
      <c r="A6922" s="9" t="n">
        <v>6918</v>
      </c>
      <c r="B6922" s="9" t="inlineStr">
        <is>
          <t>Ratchet</t>
        </is>
      </c>
      <c r="C6922" s="9" t="inlineStr">
        <is>
          <t>Stochastic scalp with give-back trail exit</t>
        </is>
      </c>
      <c r="D6922" s="9" t="inlineStr">
        <is>
          <t>Long</t>
        </is>
      </c>
      <c r="E6922" s="10" t="n">
        <v>46156.65277777778</v>
      </c>
      <c r="F6922" s="10" t="n">
        <v>46156.65625</v>
      </c>
      <c r="G6922" s="11" t="n">
        <v>-9.76</v>
      </c>
      <c r="H6922" s="11">
        <f>H6921+G6922</f>
        <v/>
      </c>
    </row>
    <row r="6923">
      <c r="A6923" s="9" t="n">
        <v>6919</v>
      </c>
      <c r="B6923" s="9" t="inlineStr">
        <is>
          <t>Meridian</t>
        </is>
      </c>
      <c r="C6923" s="9" t="inlineStr">
        <is>
          <t>21/50 MA cross, 250-period confirm filter, VWAP</t>
        </is>
      </c>
      <c r="D6923" s="9" t="inlineStr">
        <is>
          <t>Long</t>
        </is>
      </c>
      <c r="E6923" s="10" t="n">
        <v>46156.63541666666</v>
      </c>
      <c r="F6923" s="10" t="n">
        <v>46156.67708333334</v>
      </c>
      <c r="G6923" s="11" t="n">
        <v>-12.14</v>
      </c>
      <c r="H6923" s="11">
        <f>H6922+G6923</f>
        <v/>
      </c>
    </row>
    <row r="6924">
      <c r="A6924" s="9" t="n">
        <v>6920</v>
      </c>
      <c r="B6924" s="9" t="inlineStr">
        <is>
          <t>Meridian</t>
        </is>
      </c>
      <c r="C6924" s="9" t="inlineStr">
        <is>
          <t>21/50 MA cross, 250-period confirm filter, VWAP</t>
        </is>
      </c>
      <c r="D6924" s="9" t="inlineStr">
        <is>
          <t>Short</t>
        </is>
      </c>
      <c r="E6924" s="10" t="n">
        <v>46156.69097222222</v>
      </c>
      <c r="F6924" s="10" t="n">
        <v>46156.72222222222</v>
      </c>
      <c r="G6924" s="11" t="n">
        <v>-15.96</v>
      </c>
      <c r="H6924" s="11">
        <f>H6923+G6924</f>
        <v/>
      </c>
    </row>
    <row r="6925">
      <c r="A6925" s="9" t="n">
        <v>6921</v>
      </c>
      <c r="B6925" s="9" t="inlineStr">
        <is>
          <t>Aurelius_M5</t>
        </is>
      </c>
      <c r="C6925" s="9" t="inlineStr">
        <is>
          <t>MA alignment (EMA21&gt;EMA50&gt;SMA250&gt;SMMA500 vs EMA2400 trend filter)</t>
        </is>
      </c>
      <c r="D6925" s="9" t="inlineStr">
        <is>
          <t>Short</t>
        </is>
      </c>
      <c r="E6925" s="10" t="n">
        <v>46156.75</v>
      </c>
      <c r="F6925" s="10" t="n">
        <v>46156.75694444445</v>
      </c>
      <c r="G6925" s="11" t="n">
        <v>-4.39</v>
      </c>
      <c r="H6925" s="11">
        <f>H6924+G6925</f>
        <v/>
      </c>
    </row>
    <row r="6926">
      <c r="A6926" s="9" t="n">
        <v>6922</v>
      </c>
      <c r="B6926" s="9" t="inlineStr">
        <is>
          <t>Ratchet</t>
        </is>
      </c>
      <c r="C6926" s="9" t="inlineStr">
        <is>
          <t>Stochastic scalp with give-back trail exit</t>
        </is>
      </c>
      <c r="D6926" s="9" t="inlineStr">
        <is>
          <t>Short</t>
        </is>
      </c>
      <c r="E6926" s="10" t="n">
        <v>46156.75347222222</v>
      </c>
      <c r="F6926" s="10" t="n">
        <v>46156.82291666666</v>
      </c>
      <c r="G6926" s="11" t="n">
        <v>1.56</v>
      </c>
      <c r="H6926" s="11">
        <f>H6925+G6926</f>
        <v/>
      </c>
    </row>
    <row r="6927">
      <c r="A6927" s="9" t="n">
        <v>6923</v>
      </c>
      <c r="B6927" s="9" t="inlineStr">
        <is>
          <t>Ratchet</t>
        </is>
      </c>
      <c r="C6927" s="9" t="inlineStr">
        <is>
          <t>Stochastic scalp with give-back trail exit</t>
        </is>
      </c>
      <c r="D6927" s="9" t="inlineStr">
        <is>
          <t>Short</t>
        </is>
      </c>
      <c r="E6927" s="10" t="n">
        <v>46157.32986111111</v>
      </c>
      <c r="F6927" s="10" t="n">
        <v>46157.60763888889</v>
      </c>
      <c r="G6927" s="11" t="n">
        <v>48.57</v>
      </c>
      <c r="H6927" s="11">
        <f>H6926+G6927</f>
        <v/>
      </c>
    </row>
    <row r="6928">
      <c r="A6928" s="9" t="n">
        <v>6924</v>
      </c>
      <c r="B6928" s="9" t="inlineStr">
        <is>
          <t>Ratchet</t>
        </is>
      </c>
      <c r="C6928" s="9" t="inlineStr">
        <is>
          <t>Stochastic scalp with give-back trail exit</t>
        </is>
      </c>
      <c r="D6928" s="9" t="inlineStr">
        <is>
          <t>Short</t>
        </is>
      </c>
      <c r="E6928" s="10" t="n">
        <v>46157.65277777778</v>
      </c>
      <c r="F6928" s="10" t="n">
        <v>46157.65625</v>
      </c>
      <c r="G6928" s="11" t="n">
        <v>-0</v>
      </c>
      <c r="H6928" s="11">
        <f>H6927+G6928</f>
        <v/>
      </c>
    </row>
    <row r="6929">
      <c r="A6929" s="9" t="n">
        <v>6925</v>
      </c>
      <c r="B6929" s="9" t="inlineStr">
        <is>
          <t>Ratchet</t>
        </is>
      </c>
      <c r="C6929" s="9" t="inlineStr">
        <is>
          <t>Stochastic scalp with give-back trail exit</t>
        </is>
      </c>
      <c r="D6929" s="9" t="inlineStr">
        <is>
          <t>Short</t>
        </is>
      </c>
      <c r="E6929" s="10" t="n">
        <v>46157.67013888889</v>
      </c>
      <c r="F6929" s="10" t="n">
        <v>46157.67361111111</v>
      </c>
      <c r="G6929" s="11" t="n">
        <v>1.75</v>
      </c>
      <c r="H6929" s="11">
        <f>H6928+G6929</f>
        <v/>
      </c>
    </row>
    <row r="6930">
      <c r="A6930" s="9" t="n">
        <v>6926</v>
      </c>
      <c r="B6930" s="9" t="inlineStr">
        <is>
          <t>MSG</t>
        </is>
      </c>
      <c r="C6930" s="9" t="inlineStr">
        <is>
          <t>Session-range breakout + Fibonacci retracement-zone entry</t>
        </is>
      </c>
      <c r="D6930" s="9" t="inlineStr">
        <is>
          <t>Short</t>
        </is>
      </c>
      <c r="E6930" s="10" t="n">
        <v>46157.55069444444</v>
      </c>
      <c r="F6930" s="10" t="n">
        <v>46157.67638888889</v>
      </c>
      <c r="G6930" s="11" t="n">
        <v>53.5</v>
      </c>
      <c r="H6930" s="11">
        <f>H6929+G6930</f>
        <v/>
      </c>
    </row>
    <row r="6931">
      <c r="A6931" s="9" t="n">
        <v>6927</v>
      </c>
      <c r="B6931" s="9" t="inlineStr">
        <is>
          <t>Ratchet</t>
        </is>
      </c>
      <c r="C6931" s="9" t="inlineStr">
        <is>
          <t>Stochastic scalp with give-back trail exit</t>
        </is>
      </c>
      <c r="D6931" s="9" t="inlineStr">
        <is>
          <t>Short</t>
        </is>
      </c>
      <c r="E6931" s="10" t="n">
        <v>46157.70833333334</v>
      </c>
      <c r="F6931" s="10" t="n">
        <v>46157.71875</v>
      </c>
      <c r="G6931" s="11" t="n">
        <v>-19.32</v>
      </c>
      <c r="H6931" s="11">
        <f>H6930+G6931</f>
        <v/>
      </c>
    </row>
    <row r="6932">
      <c r="A6932" s="9" t="n">
        <v>6928</v>
      </c>
      <c r="B6932" s="9" t="inlineStr">
        <is>
          <t>Ratchet</t>
        </is>
      </c>
      <c r="C6932" s="9" t="inlineStr">
        <is>
          <t>Stochastic scalp with give-back trail exit</t>
        </is>
      </c>
      <c r="D6932" s="9" t="inlineStr">
        <is>
          <t>Short</t>
        </is>
      </c>
      <c r="E6932" s="10" t="n">
        <v>46157.76736111111</v>
      </c>
      <c r="F6932" s="10" t="n">
        <v>46157.80902777778</v>
      </c>
      <c r="G6932" s="11" t="n">
        <v>4.34</v>
      </c>
      <c r="H6932" s="11">
        <f>H6931+G6932</f>
        <v/>
      </c>
    </row>
    <row r="6933">
      <c r="A6933" s="9" t="n">
        <v>6929</v>
      </c>
      <c r="B6933" s="9" t="inlineStr">
        <is>
          <t>Aurelius_M5</t>
        </is>
      </c>
      <c r="C6933" s="9" t="inlineStr">
        <is>
          <t>MA alignment (EMA21&gt;EMA50&gt;SMA250&gt;SMMA500 vs EMA2400 trend filter)</t>
        </is>
      </c>
      <c r="D6933" s="9" t="inlineStr">
        <is>
          <t>Short</t>
        </is>
      </c>
      <c r="E6933" s="10" t="n">
        <v>46157.11805555555</v>
      </c>
      <c r="F6933" s="10" t="n">
        <v>46157.85069444445</v>
      </c>
      <c r="G6933" s="11" t="n">
        <v>92.19</v>
      </c>
      <c r="H6933" s="11">
        <f>H6932+G6933</f>
        <v/>
      </c>
    </row>
    <row r="6934">
      <c r="A6934" s="9" t="n">
        <v>6930</v>
      </c>
      <c r="B6934" s="9" t="inlineStr">
        <is>
          <t>Ratchet</t>
        </is>
      </c>
      <c r="C6934" s="9" t="inlineStr">
        <is>
          <t>Stochastic scalp with give-back trail exit</t>
        </is>
      </c>
      <c r="D6934" s="9" t="inlineStr">
        <is>
          <t>Short</t>
        </is>
      </c>
      <c r="E6934" s="10" t="n">
        <v>46160.11458333334</v>
      </c>
      <c r="F6934" s="10" t="n">
        <v>46160.125</v>
      </c>
      <c r="G6934" s="11" t="n">
        <v>-0</v>
      </c>
      <c r="H6934" s="11">
        <f>H6933+G6934</f>
        <v/>
      </c>
    </row>
    <row r="6935">
      <c r="A6935" s="9" t="n">
        <v>6931</v>
      </c>
      <c r="B6935" s="9" t="inlineStr">
        <is>
          <t>Aurelius_M15</t>
        </is>
      </c>
      <c r="C6935" s="9" t="inlineStr">
        <is>
          <t>MA alignment (EMA21&gt;EMA50&gt;SMA250&gt;SMMA500 vs EMA2400 trend filter) - M15 chart</t>
        </is>
      </c>
      <c r="D6935" s="9" t="inlineStr">
        <is>
          <t>Short</t>
        </is>
      </c>
      <c r="E6935" s="10" t="n">
        <v>46160.15625</v>
      </c>
      <c r="F6935" s="10" t="n">
        <v>46160.15625</v>
      </c>
      <c r="G6935" s="11" t="n">
        <v>-33.65</v>
      </c>
      <c r="H6935" s="11">
        <f>H6934+G6935</f>
        <v/>
      </c>
    </row>
    <row r="6936">
      <c r="A6936" s="9" t="n">
        <v>6932</v>
      </c>
      <c r="B6936" s="9" t="inlineStr">
        <is>
          <t>Aurelius_M5</t>
        </is>
      </c>
      <c r="C6936" s="9" t="inlineStr">
        <is>
          <t>MA alignment (EMA21&gt;EMA50&gt;SMA250&gt;SMMA500 vs EMA2400 trend filter)</t>
        </is>
      </c>
      <c r="D6936" s="9" t="inlineStr">
        <is>
          <t>Short</t>
        </is>
      </c>
      <c r="E6936" s="10" t="n">
        <v>46160.12847222222</v>
      </c>
      <c r="F6936" s="10" t="n">
        <v>46160.22569444445</v>
      </c>
      <c r="G6936" s="11" t="n">
        <v>-6.91</v>
      </c>
      <c r="H6936" s="11">
        <f>H6935+G6936</f>
        <v/>
      </c>
    </row>
    <row r="6937">
      <c r="A6937" s="9" t="n">
        <v>6933</v>
      </c>
      <c r="B6937" s="9" t="inlineStr">
        <is>
          <t>MSG</t>
        </is>
      </c>
      <c r="C6937" s="9" t="inlineStr">
        <is>
          <t>Session-range breakout + Fibonacci retracement-zone entry</t>
        </is>
      </c>
      <c r="D6937" s="9" t="inlineStr">
        <is>
          <t>Long</t>
        </is>
      </c>
      <c r="E6937" s="10" t="n">
        <v>46160.63819444444</v>
      </c>
      <c r="F6937" s="10" t="n">
        <v>46160.65416666667</v>
      </c>
      <c r="G6937" s="11" t="n">
        <v>46.38</v>
      </c>
      <c r="H6937" s="11">
        <f>H6936+G6937</f>
        <v/>
      </c>
    </row>
    <row r="6938">
      <c r="A6938" s="9" t="n">
        <v>6934</v>
      </c>
      <c r="B6938" s="9" t="inlineStr">
        <is>
          <t>Meridian</t>
        </is>
      </c>
      <c r="C6938" s="9" t="inlineStr">
        <is>
          <t>21/50 MA cross, 250-period confirm filter, VWAP</t>
        </is>
      </c>
      <c r="D6938" s="9" t="inlineStr">
        <is>
          <t>Long</t>
        </is>
      </c>
      <c r="E6938" s="10" t="n">
        <v>46160.61458333334</v>
      </c>
      <c r="F6938" s="10" t="n">
        <v>46160.72916666666</v>
      </c>
      <c r="G6938" s="11" t="n">
        <v>-17.22</v>
      </c>
      <c r="H6938" s="11">
        <f>H6937+G6938</f>
        <v/>
      </c>
    </row>
    <row r="6939">
      <c r="A6939" s="9" t="n">
        <v>6935</v>
      </c>
      <c r="B6939" s="9" t="inlineStr">
        <is>
          <t>Meridian</t>
        </is>
      </c>
      <c r="C6939" s="9" t="inlineStr">
        <is>
          <t>21/50 MA cross, 250-period confirm filter, VWAP</t>
        </is>
      </c>
      <c r="D6939" s="9" t="inlineStr">
        <is>
          <t>Short</t>
        </is>
      </c>
      <c r="E6939" s="10" t="n">
        <v>46160.75347222222</v>
      </c>
      <c r="F6939" s="10" t="n">
        <v>46160.91666666666</v>
      </c>
      <c r="G6939" s="11" t="n">
        <v>-23.62</v>
      </c>
      <c r="H6939" s="11">
        <f>H6938+G6939</f>
        <v/>
      </c>
    </row>
    <row r="6940">
      <c r="A6940" s="9" t="n">
        <v>6936</v>
      </c>
      <c r="B6940" s="9" t="inlineStr">
        <is>
          <t>Meridian</t>
        </is>
      </c>
      <c r="C6940" s="9" t="inlineStr">
        <is>
          <t>21/50 MA cross, 250-period confirm filter, VWAP</t>
        </is>
      </c>
      <c r="D6940" s="9" t="inlineStr">
        <is>
          <t>Long</t>
        </is>
      </c>
      <c r="E6940" s="10" t="n">
        <v>46160.94097222222</v>
      </c>
      <c r="F6940" s="10" t="n">
        <v>46161.18402777778</v>
      </c>
      <c r="G6940" s="11" t="n">
        <v>-0.77</v>
      </c>
      <c r="H6940" s="11">
        <f>H6939+G6940</f>
        <v/>
      </c>
    </row>
    <row r="6941">
      <c r="A6941" s="9" t="n">
        <v>6937</v>
      </c>
      <c r="B6941" s="9" t="inlineStr">
        <is>
          <t>Ratchet</t>
        </is>
      </c>
      <c r="C6941" s="9" t="inlineStr">
        <is>
          <t>Stochastic scalp with give-back trail exit</t>
        </is>
      </c>
      <c r="D6941" s="9" t="inlineStr">
        <is>
          <t>Short</t>
        </is>
      </c>
      <c r="E6941" s="10" t="n">
        <v>46161.36458333334</v>
      </c>
      <c r="F6941" s="10" t="n">
        <v>46161.36805555555</v>
      </c>
      <c r="G6941" s="11" t="n">
        <v>1.39</v>
      </c>
      <c r="H6941" s="11">
        <f>H6940+G6941</f>
        <v/>
      </c>
    </row>
    <row r="6942">
      <c r="A6942" s="9" t="n">
        <v>6938</v>
      </c>
      <c r="B6942" s="9" t="inlineStr">
        <is>
          <t>Meridian</t>
        </is>
      </c>
      <c r="C6942" s="9" t="inlineStr">
        <is>
          <t>21/50 MA cross, 250-period confirm filter, VWAP</t>
        </is>
      </c>
      <c r="D6942" s="9" t="inlineStr">
        <is>
          <t>Long</t>
        </is>
      </c>
      <c r="E6942" s="10" t="n">
        <v>46161.45833333334</v>
      </c>
      <c r="F6942" s="10" t="n">
        <v>46161.46527777778</v>
      </c>
      <c r="G6942" s="11" t="n">
        <v>-15.07</v>
      </c>
      <c r="H6942" s="11">
        <f>H6941+G6942</f>
        <v/>
      </c>
    </row>
    <row r="6943">
      <c r="A6943" s="9" t="n">
        <v>6939</v>
      </c>
      <c r="B6943" s="9" t="inlineStr">
        <is>
          <t>Aurelius_M5</t>
        </is>
      </c>
      <c r="C6943" s="9" t="inlineStr">
        <is>
          <t>MA alignment (EMA21&gt;EMA50&gt;SMA250&gt;SMMA500 vs EMA2400 trend filter)</t>
        </is>
      </c>
      <c r="D6943" s="9" t="inlineStr">
        <is>
          <t>Short</t>
        </is>
      </c>
      <c r="E6943" s="10" t="n">
        <v>46161.57291666666</v>
      </c>
      <c r="F6943" s="10" t="n">
        <v>46161.57986111111</v>
      </c>
      <c r="G6943" s="11" t="n">
        <v>-13.7</v>
      </c>
      <c r="H6943" s="11">
        <f>H6942+G6943</f>
        <v/>
      </c>
    </row>
    <row r="6944">
      <c r="A6944" s="9" t="n">
        <v>6940</v>
      </c>
      <c r="B6944" s="9" t="inlineStr">
        <is>
          <t>MSG</t>
        </is>
      </c>
      <c r="C6944" s="9" t="inlineStr">
        <is>
          <t>Session-range breakout + Fibonacci retracement-zone entry</t>
        </is>
      </c>
      <c r="D6944" s="9" t="inlineStr">
        <is>
          <t>Short</t>
        </is>
      </c>
      <c r="E6944" s="10" t="n">
        <v>46161.58333333334</v>
      </c>
      <c r="F6944" s="10" t="n">
        <v>46161.62430555555</v>
      </c>
      <c r="G6944" s="11" t="n">
        <v>31.13</v>
      </c>
      <c r="H6944" s="11">
        <f>H6943+G6944</f>
        <v/>
      </c>
    </row>
    <row r="6945">
      <c r="A6945" s="9" t="n">
        <v>6941</v>
      </c>
      <c r="B6945" s="9" t="inlineStr">
        <is>
          <t>Ratchet</t>
        </is>
      </c>
      <c r="C6945" s="9" t="inlineStr">
        <is>
          <t>Stochastic scalp with give-back trail exit</t>
        </is>
      </c>
      <c r="D6945" s="9" t="inlineStr">
        <is>
          <t>Short</t>
        </is>
      </c>
      <c r="E6945" s="10" t="n">
        <v>46161.70833333334</v>
      </c>
      <c r="F6945" s="10" t="n">
        <v>46161.71875</v>
      </c>
      <c r="G6945" s="11" t="n">
        <v>3.47</v>
      </c>
      <c r="H6945" s="11">
        <f>H6944+G6945</f>
        <v/>
      </c>
    </row>
    <row r="6946">
      <c r="A6946" s="9" t="n">
        <v>6942</v>
      </c>
      <c r="B6946" s="9" t="inlineStr">
        <is>
          <t>Ratchet</t>
        </is>
      </c>
      <c r="C6946" s="9" t="inlineStr">
        <is>
          <t>Stochastic scalp with give-back trail exit</t>
        </is>
      </c>
      <c r="D6946" s="9" t="inlineStr">
        <is>
          <t>Short</t>
        </is>
      </c>
      <c r="E6946" s="10" t="n">
        <v>46161.91666666666</v>
      </c>
      <c r="F6946" s="10" t="n">
        <v>46161.99652777778</v>
      </c>
      <c r="G6946" s="11" t="n">
        <v>10.61</v>
      </c>
      <c r="H6946" s="11">
        <f>H6945+G6946</f>
        <v/>
      </c>
    </row>
    <row r="6947">
      <c r="A6947" s="9" t="n">
        <v>6943</v>
      </c>
      <c r="B6947" s="9" t="inlineStr">
        <is>
          <t>Aurelius_M5</t>
        </is>
      </c>
      <c r="C6947" s="9" t="inlineStr">
        <is>
          <t>MA alignment (EMA21&gt;EMA50&gt;SMA250&gt;SMMA500 vs EMA2400 trend filter)</t>
        </is>
      </c>
      <c r="D6947" s="9" t="inlineStr">
        <is>
          <t>Short</t>
        </is>
      </c>
      <c r="E6947" s="10" t="n">
        <v>46161.67708333334</v>
      </c>
      <c r="F6947" s="10" t="n">
        <v>46162.04166666666</v>
      </c>
      <c r="G6947" s="11" t="n">
        <v>42.22</v>
      </c>
      <c r="H6947" s="11">
        <f>H6946+G6947</f>
        <v/>
      </c>
    </row>
    <row r="6948">
      <c r="A6948" s="9" t="n">
        <v>6944</v>
      </c>
      <c r="B6948" s="9" t="inlineStr">
        <is>
          <t>Meridian</t>
        </is>
      </c>
      <c r="C6948" s="9" t="inlineStr">
        <is>
          <t>21/50 MA cross, 250-period confirm filter, VWAP</t>
        </is>
      </c>
      <c r="D6948" s="9" t="inlineStr">
        <is>
          <t>Short</t>
        </is>
      </c>
      <c r="E6948" s="10" t="n">
        <v>46161.47222222222</v>
      </c>
      <c r="F6948" s="10" t="n">
        <v>46162.14930555555</v>
      </c>
      <c r="G6948" s="11" t="n">
        <v>40.95</v>
      </c>
      <c r="H6948" s="11">
        <f>H6947+G6948</f>
        <v/>
      </c>
    </row>
    <row r="6949">
      <c r="A6949" s="9" t="n">
        <v>6945</v>
      </c>
      <c r="B6949" s="9" t="inlineStr">
        <is>
          <t>Aurelius_M15</t>
        </is>
      </c>
      <c r="C6949" s="9" t="inlineStr">
        <is>
          <t>MA alignment (EMA21&gt;EMA50&gt;SMA250&gt;SMMA500 vs EMA2400 trend filter) - M15 chart</t>
        </is>
      </c>
      <c r="D6949" s="9" t="inlineStr">
        <is>
          <t>Short</t>
        </is>
      </c>
      <c r="E6949" s="10" t="n">
        <v>46161.67708333334</v>
      </c>
      <c r="F6949" s="10" t="n">
        <v>46162.15625</v>
      </c>
      <c r="G6949" s="11" t="n">
        <v>19.05</v>
      </c>
      <c r="H6949" s="11">
        <f>H6948+G6949</f>
        <v/>
      </c>
    </row>
    <row r="6950">
      <c r="A6950" s="9" t="n">
        <v>6946</v>
      </c>
      <c r="B6950" s="9" t="inlineStr">
        <is>
          <t>Meridian</t>
        </is>
      </c>
      <c r="C6950" s="9" t="inlineStr">
        <is>
          <t>21/50 MA cross, 250-period confirm filter, VWAP</t>
        </is>
      </c>
      <c r="D6950" s="9" t="inlineStr">
        <is>
          <t>Short</t>
        </is>
      </c>
      <c r="E6950" s="10" t="n">
        <v>46162.19097222222</v>
      </c>
      <c r="F6950" s="10" t="n">
        <v>46162.42013888889</v>
      </c>
      <c r="G6950" s="11" t="n">
        <v>-4.04</v>
      </c>
      <c r="H6950" s="11">
        <f>H6949+G6950</f>
        <v/>
      </c>
    </row>
    <row r="6951">
      <c r="A6951" s="9" t="n">
        <v>6947</v>
      </c>
      <c r="B6951" s="9" t="inlineStr">
        <is>
          <t>Meridian</t>
        </is>
      </c>
      <c r="C6951" s="9" t="inlineStr">
        <is>
          <t>21/50 MA cross, 250-period confirm filter, VWAP</t>
        </is>
      </c>
      <c r="D6951" s="9" t="inlineStr">
        <is>
          <t>Short</t>
        </is>
      </c>
      <c r="E6951" s="10" t="n">
        <v>46162.71180555555</v>
      </c>
      <c r="F6951" s="10" t="n">
        <v>46162.71875</v>
      </c>
      <c r="G6951" s="11" t="n">
        <v>-13.05</v>
      </c>
      <c r="H6951" s="11">
        <f>H6950+G6951</f>
        <v/>
      </c>
    </row>
    <row r="6952">
      <c r="A6952" s="9" t="n">
        <v>6948</v>
      </c>
      <c r="B6952" s="9" t="inlineStr">
        <is>
          <t>Vanguard_M15</t>
        </is>
      </c>
      <c r="C6952" s="9" t="inlineStr">
        <is>
          <t>Trendline breakout (fractal swing line) + VWAP/S-R distance gate - M15 chart</t>
        </is>
      </c>
      <c r="D6952" s="9" t="inlineStr">
        <is>
          <t>Short</t>
        </is>
      </c>
      <c r="E6952" s="10" t="n">
        <v>46156.45833333334</v>
      </c>
      <c r="F6952" s="10" t="n">
        <v>46162.72916666666</v>
      </c>
      <c r="G6952" s="11" t="n">
        <v>172.32</v>
      </c>
      <c r="H6952" s="11">
        <f>H6951+G6952</f>
        <v/>
      </c>
    </row>
    <row r="6953">
      <c r="A6953" s="9" t="n">
        <v>6949</v>
      </c>
      <c r="B6953" s="9" t="inlineStr">
        <is>
          <t>Vanguard_M5</t>
        </is>
      </c>
      <c r="C6953" s="9" t="inlineStr">
        <is>
          <t>Trendline breakout (fractal swing line) + VWAP/S-R distance gate</t>
        </is>
      </c>
      <c r="D6953" s="9" t="inlineStr">
        <is>
          <t>Short</t>
        </is>
      </c>
      <c r="E6953" s="10" t="n">
        <v>46156.45833333334</v>
      </c>
      <c r="F6953" s="10" t="n">
        <v>46162.72916666666</v>
      </c>
      <c r="G6953" s="11" t="n">
        <v>168.24</v>
      </c>
      <c r="H6953" s="11">
        <f>H6952+G6953</f>
        <v/>
      </c>
    </row>
    <row r="6954">
      <c r="A6954" s="9" t="n">
        <v>6950</v>
      </c>
      <c r="B6954" s="9" t="inlineStr">
        <is>
          <t>Meridian</t>
        </is>
      </c>
      <c r="C6954" s="9" t="inlineStr">
        <is>
          <t>21/50 MA cross, 250-period confirm filter, VWAP</t>
        </is>
      </c>
      <c r="D6954" s="9" t="inlineStr">
        <is>
          <t>Long</t>
        </is>
      </c>
      <c r="E6954" s="10" t="n">
        <v>46162.72916666666</v>
      </c>
      <c r="F6954" s="10" t="n">
        <v>46163.24652777778</v>
      </c>
      <c r="G6954" s="11" t="n">
        <v>26.76</v>
      </c>
      <c r="H6954" s="11">
        <f>H6953+G6954</f>
        <v/>
      </c>
    </row>
    <row r="6955">
      <c r="A6955" s="9" t="n">
        <v>6951</v>
      </c>
      <c r="B6955" s="9" t="inlineStr">
        <is>
          <t>Vanguard_M5</t>
        </is>
      </c>
      <c r="C6955" s="9" t="inlineStr">
        <is>
          <t>Trendline breakout (fractal swing line) + VWAP/S-R distance gate</t>
        </is>
      </c>
      <c r="D6955" s="9" t="inlineStr">
        <is>
          <t>Long</t>
        </is>
      </c>
      <c r="E6955" s="10" t="n">
        <v>46162.73263888889</v>
      </c>
      <c r="F6955" s="10" t="n">
        <v>46163.55902777778</v>
      </c>
      <c r="G6955" s="11" t="n">
        <v>-6.83</v>
      </c>
      <c r="H6955" s="11">
        <f>H6954+G6955</f>
        <v/>
      </c>
    </row>
    <row r="6956">
      <c r="A6956" s="9" t="n">
        <v>6952</v>
      </c>
      <c r="B6956" s="9" t="inlineStr">
        <is>
          <t>Meridian</t>
        </is>
      </c>
      <c r="C6956" s="9" t="inlineStr">
        <is>
          <t>21/50 MA cross, 250-period confirm filter, VWAP</t>
        </is>
      </c>
      <c r="D6956" s="9" t="inlineStr">
        <is>
          <t>Long</t>
        </is>
      </c>
      <c r="E6956" s="10" t="n">
        <v>46163.51041666666</v>
      </c>
      <c r="F6956" s="10" t="n">
        <v>46163.55902777778</v>
      </c>
      <c r="G6956" s="11" t="n">
        <v>-12.14</v>
      </c>
      <c r="H6956" s="11">
        <f>H6955+G6956</f>
        <v/>
      </c>
    </row>
    <row r="6957">
      <c r="A6957" s="9" t="n">
        <v>6953</v>
      </c>
      <c r="B6957" s="9" t="inlineStr">
        <is>
          <t>MSG</t>
        </is>
      </c>
      <c r="C6957" s="9" t="inlineStr">
        <is>
          <t>Session-range breakout + Fibonacci retracement-zone entry</t>
        </is>
      </c>
      <c r="D6957" s="9" t="inlineStr">
        <is>
          <t>Long</t>
        </is>
      </c>
      <c r="E6957" s="10" t="n">
        <v>46163.55972222222</v>
      </c>
      <c r="F6957" s="10" t="n">
        <v>46163.55972222222</v>
      </c>
      <c r="G6957" s="11" t="n">
        <v>-13.03</v>
      </c>
      <c r="H6957" s="11">
        <f>H6956+G6957</f>
        <v/>
      </c>
    </row>
    <row r="6958">
      <c r="A6958" s="9" t="n">
        <v>6954</v>
      </c>
      <c r="B6958" s="9" t="inlineStr">
        <is>
          <t>Vanguard_M15</t>
        </is>
      </c>
      <c r="C6958" s="9" t="inlineStr">
        <is>
          <t>Trendline breakout (fractal swing line) + VWAP/S-R distance gate - M15 chart</t>
        </is>
      </c>
      <c r="D6958" s="9" t="inlineStr">
        <is>
          <t>Long</t>
        </is>
      </c>
      <c r="E6958" s="10" t="n">
        <v>46162.73958333334</v>
      </c>
      <c r="F6958" s="10" t="n">
        <v>46163.5625</v>
      </c>
      <c r="G6958" s="11" t="n">
        <v>-3.78</v>
      </c>
      <c r="H6958" s="11">
        <f>H6957+G6958</f>
        <v/>
      </c>
    </row>
    <row r="6959">
      <c r="A6959" s="9" t="n">
        <v>6955</v>
      </c>
      <c r="B6959" s="9" t="inlineStr">
        <is>
          <t>Meridian</t>
        </is>
      </c>
      <c r="C6959" s="9" t="inlineStr">
        <is>
          <t>21/50 MA cross, 250-period confirm filter, VWAP</t>
        </is>
      </c>
      <c r="D6959" s="9" t="inlineStr">
        <is>
          <t>Short</t>
        </is>
      </c>
      <c r="E6959" s="10" t="n">
        <v>46163.56597222222</v>
      </c>
      <c r="F6959" s="10" t="n">
        <v>46163.80208333334</v>
      </c>
      <c r="G6959" s="11" t="n">
        <v>-2.98</v>
      </c>
      <c r="H6959" s="11">
        <f>H6958+G6959</f>
        <v/>
      </c>
    </row>
    <row r="6960">
      <c r="A6960" s="9" t="n">
        <v>6956</v>
      </c>
      <c r="B6960" s="9" t="inlineStr">
        <is>
          <t>Aurelius_M5</t>
        </is>
      </c>
      <c r="C6960" s="9" t="inlineStr">
        <is>
          <t>MA alignment (EMA21&gt;EMA50&gt;SMA250&gt;SMMA500 vs EMA2400 trend filter)</t>
        </is>
      </c>
      <c r="D6960" s="9" t="inlineStr">
        <is>
          <t>Short</t>
        </is>
      </c>
      <c r="E6960" s="10" t="n">
        <v>46163.58680555555</v>
      </c>
      <c r="F6960" s="10" t="n">
        <v>46163.80208333334</v>
      </c>
      <c r="G6960" s="11" t="n">
        <v>-1.26</v>
      </c>
      <c r="H6960" s="11">
        <f>H6959+G6960</f>
        <v/>
      </c>
    </row>
    <row r="6961">
      <c r="A6961" s="9" t="n">
        <v>6957</v>
      </c>
      <c r="B6961" s="9" t="inlineStr">
        <is>
          <t>Aurelius_M15</t>
        </is>
      </c>
      <c r="C6961" s="9" t="inlineStr">
        <is>
          <t>MA alignment (EMA21&gt;EMA50&gt;SMA250&gt;SMMA500 vs EMA2400 trend filter) - M15 chart</t>
        </is>
      </c>
      <c r="D6961" s="9" t="inlineStr">
        <is>
          <t>Short</t>
        </is>
      </c>
      <c r="E6961" s="10" t="n">
        <v>46163.70833333334</v>
      </c>
      <c r="F6961" s="10" t="n">
        <v>46163.84375</v>
      </c>
      <c r="G6961" s="11" t="n">
        <v>-28.58</v>
      </c>
      <c r="H6961" s="11">
        <f>H6960+G6961</f>
        <v/>
      </c>
    </row>
    <row r="6962">
      <c r="A6962" s="9" t="n">
        <v>6958</v>
      </c>
      <c r="B6962" s="9" t="inlineStr">
        <is>
          <t>Meridian</t>
        </is>
      </c>
      <c r="C6962" s="9" t="inlineStr">
        <is>
          <t>21/50 MA cross, 250-period confirm filter, VWAP</t>
        </is>
      </c>
      <c r="D6962" s="9" t="inlineStr">
        <is>
          <t>Long</t>
        </is>
      </c>
      <c r="E6962" s="10" t="n">
        <v>46164.36458333334</v>
      </c>
      <c r="F6962" s="10" t="n">
        <v>46164.37152777778</v>
      </c>
      <c r="G6962" s="11" t="n">
        <v>-8.49</v>
      </c>
      <c r="H6962" s="11">
        <f>H6961+G6962</f>
        <v/>
      </c>
    </row>
    <row r="6963">
      <c r="A6963" s="9" t="n">
        <v>6959</v>
      </c>
      <c r="B6963" s="9" t="inlineStr">
        <is>
          <t>Aurelius_M5</t>
        </is>
      </c>
      <c r="C6963" s="9" t="inlineStr">
        <is>
          <t>MA alignment (EMA21&gt;EMA50&gt;SMA250&gt;SMMA500 vs EMA2400 trend filter)</t>
        </is>
      </c>
      <c r="D6963" s="9" t="inlineStr">
        <is>
          <t>Short</t>
        </is>
      </c>
      <c r="E6963" s="10" t="n">
        <v>46164.44444444445</v>
      </c>
      <c r="F6963" s="10" t="n">
        <v>46164.46527777778</v>
      </c>
      <c r="G6963" s="11" t="n">
        <v>-11.19</v>
      </c>
      <c r="H6963" s="11">
        <f>H6962+G6963</f>
        <v/>
      </c>
    </row>
    <row r="6964">
      <c r="A6964" s="9" t="n">
        <v>6960</v>
      </c>
      <c r="B6964" s="9" t="inlineStr">
        <is>
          <t>Meridian</t>
        </is>
      </c>
      <c r="C6964" s="9" t="inlineStr">
        <is>
          <t>21/50 MA cross, 250-period confirm filter, VWAP</t>
        </is>
      </c>
      <c r="D6964" s="9" t="inlineStr">
        <is>
          <t>Long</t>
        </is>
      </c>
      <c r="E6964" s="10" t="n">
        <v>46164.54166666666</v>
      </c>
      <c r="F6964" s="10" t="n">
        <v>46164.5625</v>
      </c>
      <c r="G6964" s="11" t="n">
        <v>-10.96</v>
      </c>
      <c r="H6964" s="11">
        <f>H6963+G6964</f>
        <v/>
      </c>
    </row>
    <row r="6965">
      <c r="A6965" s="9" t="n">
        <v>6961</v>
      </c>
      <c r="B6965" s="9" t="inlineStr">
        <is>
          <t>MSG</t>
        </is>
      </c>
      <c r="C6965" s="9" t="inlineStr">
        <is>
          <t>Session-range breakout + Fibonacci retracement-zone entry</t>
        </is>
      </c>
      <c r="D6965" s="9" t="inlineStr">
        <is>
          <t>Long</t>
        </is>
      </c>
      <c r="E6965" s="10" t="n">
        <v>46164.56388888889</v>
      </c>
      <c r="F6965" s="10" t="n">
        <v>46164.56736111111</v>
      </c>
      <c r="G6965" s="11" t="n">
        <v>-21.49</v>
      </c>
      <c r="H6965" s="11">
        <f>H6964+G6965</f>
        <v/>
      </c>
    </row>
    <row r="6966">
      <c r="A6966" s="9" t="n">
        <v>6962</v>
      </c>
      <c r="B6966" s="9" t="inlineStr">
        <is>
          <t>Meridian</t>
        </is>
      </c>
      <c r="C6966" s="9" t="inlineStr">
        <is>
          <t>21/50 MA cross, 250-period confirm filter, VWAP</t>
        </is>
      </c>
      <c r="D6966" s="9" t="inlineStr">
        <is>
          <t>Short</t>
        </is>
      </c>
      <c r="E6966" s="10" t="n">
        <v>46164.57291666666</v>
      </c>
      <c r="F6966" s="10" t="n">
        <v>46164.61458333334</v>
      </c>
      <c r="G6966" s="11" t="n">
        <v>-11.84</v>
      </c>
      <c r="H6966" s="11">
        <f>H6965+G6966</f>
        <v/>
      </c>
    </row>
    <row r="6967">
      <c r="A6967" s="9" t="n">
        <v>6963</v>
      </c>
      <c r="B6967" s="9" t="inlineStr">
        <is>
          <t>Ratchet</t>
        </is>
      </c>
      <c r="C6967" s="9" t="inlineStr">
        <is>
          <t>Stochastic scalp with give-back trail exit</t>
        </is>
      </c>
      <c r="D6967" s="9" t="inlineStr">
        <is>
          <t>Short</t>
        </is>
      </c>
      <c r="E6967" s="10" t="n">
        <v>46164.65277777778</v>
      </c>
      <c r="F6967" s="10" t="n">
        <v>46164.66319444445</v>
      </c>
      <c r="G6967" s="11" t="n">
        <v>-9.9</v>
      </c>
      <c r="H6967" s="11">
        <f>H6966+G6967</f>
        <v/>
      </c>
    </row>
    <row r="6968">
      <c r="A6968" s="9" t="n">
        <v>6964</v>
      </c>
      <c r="B6968" s="9" t="inlineStr">
        <is>
          <t>Meridian</t>
        </is>
      </c>
      <c r="C6968" s="9" t="inlineStr">
        <is>
          <t>21/50 MA cross, 250-period confirm filter, VWAP</t>
        </is>
      </c>
      <c r="D6968" s="9" t="inlineStr">
        <is>
          <t>Long</t>
        </is>
      </c>
      <c r="E6968" s="10" t="n">
        <v>46164.67361111111</v>
      </c>
      <c r="F6968" s="10" t="n">
        <v>46164.69444444445</v>
      </c>
      <c r="G6968" s="11" t="n">
        <v>-14.26</v>
      </c>
      <c r="H6968" s="11">
        <f>H6967+G6968</f>
        <v/>
      </c>
    </row>
    <row r="6969">
      <c r="A6969" s="9" t="n">
        <v>6965</v>
      </c>
      <c r="B6969" s="9" t="inlineStr">
        <is>
          <t>Aurelius_M5</t>
        </is>
      </c>
      <c r="C6969" s="9" t="inlineStr">
        <is>
          <t>MA alignment (EMA21&gt;EMA50&gt;SMA250&gt;SMMA500 vs EMA2400 trend filter)</t>
        </is>
      </c>
      <c r="D6969" s="9" t="inlineStr">
        <is>
          <t>Short</t>
        </is>
      </c>
      <c r="E6969" s="10" t="n">
        <v>46164.72222222222</v>
      </c>
      <c r="F6969" s="10" t="n">
        <v>46164.76041666666</v>
      </c>
      <c r="G6969" s="11" t="n">
        <v>-18.15</v>
      </c>
      <c r="H6969" s="11">
        <f>H6968+G6969</f>
        <v/>
      </c>
    </row>
    <row r="6970">
      <c r="A6970" s="9" t="n">
        <v>6966</v>
      </c>
      <c r="B6970" s="9" t="inlineStr">
        <is>
          <t>Meridian</t>
        </is>
      </c>
      <c r="C6970" s="9" t="inlineStr">
        <is>
          <t>21/50 MA cross, 250-period confirm filter, VWAP</t>
        </is>
      </c>
      <c r="D6970" s="9" t="inlineStr">
        <is>
          <t>Short</t>
        </is>
      </c>
      <c r="E6970" s="10" t="n">
        <v>46164.70138888889</v>
      </c>
      <c r="F6970" s="10" t="n">
        <v>46164.80902777778</v>
      </c>
      <c r="G6970" s="11" t="n">
        <v>-9.73</v>
      </c>
      <c r="H6970" s="11">
        <f>H6969+G6970</f>
        <v/>
      </c>
    </row>
    <row r="6971">
      <c r="A6971" s="9" t="n">
        <v>6967</v>
      </c>
      <c r="B6971" s="9" t="inlineStr">
        <is>
          <t>Vanguard_M15</t>
        </is>
      </c>
      <c r="C6971" s="9" t="inlineStr">
        <is>
          <t>Trendline breakout (fractal swing line) + VWAP/S-R distance gate - M15 chart</t>
        </is>
      </c>
      <c r="D6971" s="9" t="inlineStr">
        <is>
          <t>Short</t>
        </is>
      </c>
      <c r="E6971" s="10" t="n">
        <v>46164.71875</v>
      </c>
      <c r="F6971" s="10" t="n">
        <v>46164.85416666666</v>
      </c>
      <c r="G6971" s="11" t="n">
        <v>-30.4</v>
      </c>
      <c r="H6971" s="11">
        <f>H6970+G6971</f>
        <v/>
      </c>
    </row>
    <row r="6972">
      <c r="A6972" s="9" t="n">
        <v>6968</v>
      </c>
      <c r="B6972" s="9" t="inlineStr">
        <is>
          <t>Meridian</t>
        </is>
      </c>
      <c r="C6972" s="9" t="inlineStr">
        <is>
          <t>21/50 MA cross, 250-period confirm filter, VWAP</t>
        </is>
      </c>
      <c r="D6972" s="9" t="inlineStr">
        <is>
          <t>Short</t>
        </is>
      </c>
      <c r="E6972" s="10" t="n">
        <v>46164.90972222222</v>
      </c>
      <c r="F6972" s="10" t="n">
        <v>46164.91666666666</v>
      </c>
      <c r="G6972" s="11" t="n">
        <v>-2.31</v>
      </c>
      <c r="H6972" s="11">
        <f>H6971+G6972</f>
        <v/>
      </c>
    </row>
    <row r="6973">
      <c r="A6973" s="9" t="n">
        <v>6969</v>
      </c>
      <c r="B6973" s="9" t="inlineStr">
        <is>
          <t>Aurelius_M15</t>
        </is>
      </c>
      <c r="C6973" s="9" t="inlineStr">
        <is>
          <t>MA alignment (EMA21&gt;EMA50&gt;SMA250&gt;SMMA500 vs EMA2400 trend filter) - M15 chart</t>
        </is>
      </c>
      <c r="D6973" s="9" t="inlineStr">
        <is>
          <t>Short</t>
        </is>
      </c>
      <c r="E6973" s="10" t="n">
        <v>46164.64583333334</v>
      </c>
      <c r="F6973" s="10" t="n">
        <v>46164.92708333334</v>
      </c>
      <c r="G6973" s="11" t="n">
        <v>14.12</v>
      </c>
      <c r="H6973" s="11">
        <f>H6972+G6973</f>
        <v/>
      </c>
    </row>
    <row r="6974">
      <c r="A6974" s="9" t="n">
        <v>6970</v>
      </c>
      <c r="B6974" s="9" t="inlineStr">
        <is>
          <t>Vanguard_M5</t>
        </is>
      </c>
      <c r="C6974" s="9" t="inlineStr">
        <is>
          <t>Trendline breakout (fractal swing line) + VWAP/S-R distance gate</t>
        </is>
      </c>
      <c r="D6974" s="9" t="inlineStr">
        <is>
          <t>Short</t>
        </is>
      </c>
      <c r="E6974" s="10" t="n">
        <v>46164.70138888889</v>
      </c>
      <c r="F6974" s="10" t="n">
        <v>46167.04166666666</v>
      </c>
      <c r="G6974" s="11" t="n">
        <v>-24.03</v>
      </c>
      <c r="H6974" s="11">
        <f>H6973+G6974</f>
        <v/>
      </c>
    </row>
    <row r="6975">
      <c r="A6975" s="9" t="n">
        <v>6971</v>
      </c>
      <c r="B6975" s="9" t="inlineStr">
        <is>
          <t>Vanguard_M15</t>
        </is>
      </c>
      <c r="C6975" s="9" t="inlineStr">
        <is>
          <t>Trendline breakout (fractal swing line) + VWAP/S-R distance gate - M15 chart</t>
        </is>
      </c>
      <c r="D6975" s="9" t="inlineStr">
        <is>
          <t>Short</t>
        </is>
      </c>
      <c r="E6975" s="10" t="n">
        <v>46164.88541666666</v>
      </c>
      <c r="F6975" s="10" t="n">
        <v>46167.04166666666</v>
      </c>
      <c r="G6975" s="11" t="n">
        <v>-25.41</v>
      </c>
      <c r="H6975" s="11">
        <f>H6974+G6975</f>
        <v/>
      </c>
    </row>
    <row r="6976">
      <c r="A6976" s="9" t="n">
        <v>6972</v>
      </c>
      <c r="B6976" s="9" t="inlineStr">
        <is>
          <t>Meridian</t>
        </is>
      </c>
      <c r="C6976" s="9" t="inlineStr">
        <is>
          <t>21/50 MA cross, 250-period confirm filter, VWAP</t>
        </is>
      </c>
      <c r="D6976" s="9" t="inlineStr">
        <is>
          <t>Long</t>
        </is>
      </c>
      <c r="E6976" s="10" t="n">
        <v>46167.45833333334</v>
      </c>
      <c r="F6976" s="10" t="n">
        <v>46167.47222222222</v>
      </c>
      <c r="G6976" s="11" t="n">
        <v>-8.82</v>
      </c>
      <c r="H6976" s="11">
        <f>H6975+G6976</f>
        <v/>
      </c>
    </row>
    <row r="6977">
      <c r="A6977" s="9" t="n">
        <v>6973</v>
      </c>
      <c r="B6977" s="9" t="inlineStr">
        <is>
          <t>Meridian</t>
        </is>
      </c>
      <c r="C6977" s="9" t="inlineStr">
        <is>
          <t>21/50 MA cross, 250-period confirm filter, VWAP</t>
        </is>
      </c>
      <c r="D6977" s="9" t="inlineStr">
        <is>
          <t>Long</t>
        </is>
      </c>
      <c r="E6977" s="10" t="n">
        <v>46167.53125</v>
      </c>
      <c r="F6977" s="10" t="n">
        <v>46167.62847222222</v>
      </c>
      <c r="G6977" s="11" t="n">
        <v>-7.39</v>
      </c>
      <c r="H6977" s="11">
        <f>H6976+G6977</f>
        <v/>
      </c>
    </row>
    <row r="6978">
      <c r="A6978" s="9" t="n">
        <v>6974</v>
      </c>
      <c r="B6978" s="9" t="inlineStr">
        <is>
          <t>MSG</t>
        </is>
      </c>
      <c r="C6978" s="9" t="inlineStr">
        <is>
          <t>Session-range breakout + Fibonacci retracement-zone entry</t>
        </is>
      </c>
      <c r="D6978" s="9" t="inlineStr">
        <is>
          <t>Long</t>
        </is>
      </c>
      <c r="E6978" s="10" t="n">
        <v>46167.62986111111</v>
      </c>
      <c r="F6978" s="10" t="n">
        <v>46167.63611111111</v>
      </c>
      <c r="G6978" s="11" t="n">
        <v>-24.23</v>
      </c>
      <c r="H6978" s="11">
        <f>H6977+G6978</f>
        <v/>
      </c>
    </row>
    <row r="6979">
      <c r="A6979" s="9" t="n">
        <v>6975</v>
      </c>
      <c r="B6979" s="9" t="inlineStr">
        <is>
          <t>Meridian</t>
        </is>
      </c>
      <c r="C6979" s="9" t="inlineStr">
        <is>
          <t>21/50 MA cross, 250-period confirm filter, VWAP</t>
        </is>
      </c>
      <c r="D6979" s="9" t="inlineStr">
        <is>
          <t>Long</t>
        </is>
      </c>
      <c r="E6979" s="10" t="n">
        <v>46167.65277777778</v>
      </c>
      <c r="F6979" s="10" t="n">
        <v>46167.6875</v>
      </c>
      <c r="G6979" s="11" t="n">
        <v>-7.53</v>
      </c>
      <c r="H6979" s="11">
        <f>H6978+G6979</f>
        <v/>
      </c>
    </row>
    <row r="6980">
      <c r="A6980" s="9" t="n">
        <v>6976</v>
      </c>
      <c r="B6980" s="9" t="inlineStr">
        <is>
          <t>Aurelius_M5</t>
        </is>
      </c>
      <c r="C6980" s="9" t="inlineStr">
        <is>
          <t>MA alignment (EMA21&gt;EMA50&gt;SMA250&gt;SMMA500 vs EMA2400 trend filter)</t>
        </is>
      </c>
      <c r="D6980" s="9" t="inlineStr">
        <is>
          <t>Long</t>
        </is>
      </c>
      <c r="E6980" s="10" t="n">
        <v>46168.08333333334</v>
      </c>
      <c r="F6980" s="10" t="n">
        <v>46168.10069444445</v>
      </c>
      <c r="G6980" s="11" t="n">
        <v>-6.45</v>
      </c>
      <c r="H6980" s="11">
        <f>H6979+G6980</f>
        <v/>
      </c>
    </row>
    <row r="6981">
      <c r="A6981" s="9" t="n">
        <v>6977</v>
      </c>
      <c r="B6981" s="9" t="inlineStr">
        <is>
          <t>Meridian</t>
        </is>
      </c>
      <c r="C6981" s="9" t="inlineStr">
        <is>
          <t>21/50 MA cross, 250-period confirm filter, VWAP</t>
        </is>
      </c>
      <c r="D6981" s="9" t="inlineStr">
        <is>
          <t>Long</t>
        </is>
      </c>
      <c r="E6981" s="10" t="n">
        <v>46167.71875</v>
      </c>
      <c r="F6981" s="10" t="n">
        <v>46168.10763888889</v>
      </c>
      <c r="G6981" s="11" t="n">
        <v>-8.789999999999999</v>
      </c>
      <c r="H6981" s="11">
        <f>H6980+G6981</f>
        <v/>
      </c>
    </row>
    <row r="6982">
      <c r="A6982" s="9" t="n">
        <v>6978</v>
      </c>
      <c r="B6982" s="9" t="inlineStr">
        <is>
          <t>Vanguard_M15</t>
        </is>
      </c>
      <c r="C6982" s="9" t="inlineStr">
        <is>
          <t>Trendline breakout (fractal swing line) + VWAP/S-R distance gate - M15 chart</t>
        </is>
      </c>
      <c r="D6982" s="9" t="inlineStr">
        <is>
          <t>Long</t>
        </is>
      </c>
      <c r="E6982" s="10" t="n">
        <v>46167.05208333334</v>
      </c>
      <c r="F6982" s="10" t="n">
        <v>46168.125</v>
      </c>
      <c r="G6982" s="11" t="n">
        <v>-3.31</v>
      </c>
      <c r="H6982" s="11">
        <f>H6981+G6982</f>
        <v/>
      </c>
    </row>
    <row r="6983">
      <c r="A6983" s="9" t="n">
        <v>6979</v>
      </c>
      <c r="B6983" s="9" t="inlineStr">
        <is>
          <t>Vanguard_M5</t>
        </is>
      </c>
      <c r="C6983" s="9" t="inlineStr">
        <is>
          <t>Trendline breakout (fractal swing line) + VWAP/S-R distance gate</t>
        </is>
      </c>
      <c r="D6983" s="9" t="inlineStr">
        <is>
          <t>Long</t>
        </is>
      </c>
      <c r="E6983" s="10" t="n">
        <v>46167.04513888889</v>
      </c>
      <c r="F6983" s="10" t="n">
        <v>46168.12847222222</v>
      </c>
      <c r="G6983" s="11" t="n">
        <v>-0.79</v>
      </c>
      <c r="H6983" s="11">
        <f>H6982+G6983</f>
        <v/>
      </c>
    </row>
    <row r="6984">
      <c r="A6984" s="9" t="n">
        <v>6980</v>
      </c>
      <c r="B6984" s="9" t="inlineStr">
        <is>
          <t>MSG</t>
        </is>
      </c>
      <c r="C6984" s="9" t="inlineStr">
        <is>
          <t>Session-range breakout + Fibonacci retracement-zone entry</t>
        </is>
      </c>
      <c r="D6984" s="9" t="inlineStr">
        <is>
          <t>Short</t>
        </is>
      </c>
      <c r="E6984" s="10" t="n">
        <v>46168.54930555556</v>
      </c>
      <c r="F6984" s="10" t="n">
        <v>46168.55208333334</v>
      </c>
      <c r="G6984" s="11" t="n">
        <v>-18.95</v>
      </c>
      <c r="H6984" s="11">
        <f>H6983+G6984</f>
        <v/>
      </c>
    </row>
    <row r="6985">
      <c r="A6985" s="9" t="n">
        <v>6981</v>
      </c>
      <c r="B6985" s="9" t="inlineStr">
        <is>
          <t>Meridian</t>
        </is>
      </c>
      <c r="C6985" s="9" t="inlineStr">
        <is>
          <t>21/50 MA cross, 250-period confirm filter, VWAP</t>
        </is>
      </c>
      <c r="D6985" s="9" t="inlineStr">
        <is>
          <t>Short</t>
        </is>
      </c>
      <c r="E6985" s="10" t="n">
        <v>46168.11458333334</v>
      </c>
      <c r="F6985" s="10" t="n">
        <v>46168.57638888889</v>
      </c>
      <c r="G6985" s="11" t="n">
        <v>18.87</v>
      </c>
      <c r="H6985" s="11">
        <f>H6984+G6985</f>
        <v/>
      </c>
    </row>
    <row r="6986">
      <c r="A6986" s="9" t="n">
        <v>6982</v>
      </c>
      <c r="B6986" s="9" t="inlineStr">
        <is>
          <t>Ratchet</t>
        </is>
      </c>
      <c r="C6986" s="9" t="inlineStr">
        <is>
          <t>Stochastic scalp with give-back trail exit</t>
        </is>
      </c>
      <c r="D6986" s="9" t="inlineStr">
        <is>
          <t>Short</t>
        </is>
      </c>
      <c r="E6986" s="10" t="n">
        <v>46168.62152777778</v>
      </c>
      <c r="F6986" s="10" t="n">
        <v>46168.62847222222</v>
      </c>
      <c r="G6986" s="11" t="n">
        <v>1.23</v>
      </c>
      <c r="H6986" s="11">
        <f>H6985+G6986</f>
        <v/>
      </c>
    </row>
    <row r="6987">
      <c r="A6987" s="9" t="n">
        <v>6983</v>
      </c>
      <c r="B6987" s="9" t="inlineStr">
        <is>
          <t>Ratchet</t>
        </is>
      </c>
      <c r="C6987" s="9" t="inlineStr">
        <is>
          <t>Stochastic scalp with give-back trail exit</t>
        </is>
      </c>
      <c r="D6987" s="9" t="inlineStr">
        <is>
          <t>Short</t>
        </is>
      </c>
      <c r="E6987" s="10" t="n">
        <v>46168.63541666666</v>
      </c>
      <c r="F6987" s="10" t="n">
        <v>46168.64583333334</v>
      </c>
      <c r="G6987" s="11" t="n">
        <v>1.17</v>
      </c>
      <c r="H6987" s="11">
        <f>H6986+G6987</f>
        <v/>
      </c>
    </row>
    <row r="6988">
      <c r="A6988" s="9" t="n">
        <v>6984</v>
      </c>
      <c r="B6988" s="9" t="inlineStr">
        <is>
          <t>Meridian</t>
        </is>
      </c>
      <c r="C6988" s="9" t="inlineStr">
        <is>
          <t>21/50 MA cross, 250-period confirm filter, VWAP</t>
        </is>
      </c>
      <c r="D6988" s="9" t="inlineStr">
        <is>
          <t>Short</t>
        </is>
      </c>
      <c r="E6988" s="10" t="n">
        <v>46168.61111111111</v>
      </c>
      <c r="F6988" s="10" t="n">
        <v>46168.65972222222</v>
      </c>
      <c r="G6988" s="11" t="n">
        <v>-12.4</v>
      </c>
      <c r="H6988" s="11">
        <f>H6987+G6988</f>
        <v/>
      </c>
    </row>
    <row r="6989">
      <c r="A6989" s="9" t="n">
        <v>6985</v>
      </c>
      <c r="B6989" s="9" t="inlineStr">
        <is>
          <t>Ratchet</t>
        </is>
      </c>
      <c r="C6989" s="9" t="inlineStr">
        <is>
          <t>Stochastic scalp with give-back trail exit</t>
        </is>
      </c>
      <c r="D6989" s="9" t="inlineStr">
        <is>
          <t>Short</t>
        </is>
      </c>
      <c r="E6989" s="10" t="n">
        <v>46168.71527777778</v>
      </c>
      <c r="F6989" s="10" t="n">
        <v>46168.71875</v>
      </c>
      <c r="G6989" s="11" t="n">
        <v>1.3</v>
      </c>
      <c r="H6989" s="11">
        <f>H6988+G6989</f>
        <v/>
      </c>
    </row>
    <row r="6990">
      <c r="A6990" s="9" t="n">
        <v>6986</v>
      </c>
      <c r="B6990" s="9" t="inlineStr">
        <is>
          <t>Ratchet</t>
        </is>
      </c>
      <c r="C6990" s="9" t="inlineStr">
        <is>
          <t>Stochastic scalp with give-back trail exit</t>
        </is>
      </c>
      <c r="D6990" s="9" t="inlineStr">
        <is>
          <t>Short</t>
        </is>
      </c>
      <c r="E6990" s="10" t="n">
        <v>46168.75694444445</v>
      </c>
      <c r="F6990" s="10" t="n">
        <v>46168.77777777778</v>
      </c>
      <c r="G6990" s="11" t="n">
        <v>1.39</v>
      </c>
      <c r="H6990" s="11">
        <f>H6989+G6990</f>
        <v/>
      </c>
    </row>
    <row r="6991">
      <c r="A6991" s="9" t="n">
        <v>6987</v>
      </c>
      <c r="B6991" s="9" t="inlineStr">
        <is>
          <t>Ratchet</t>
        </is>
      </c>
      <c r="C6991" s="9" t="inlineStr">
        <is>
          <t>Stochastic scalp with give-back trail exit</t>
        </is>
      </c>
      <c r="D6991" s="9" t="inlineStr">
        <is>
          <t>Short</t>
        </is>
      </c>
      <c r="E6991" s="10" t="n">
        <v>46168.79513888889</v>
      </c>
      <c r="F6991" s="10" t="n">
        <v>46168.80208333334</v>
      </c>
      <c r="G6991" s="11" t="n">
        <v>1.31</v>
      </c>
      <c r="H6991" s="11">
        <f>H6990+G6991</f>
        <v/>
      </c>
    </row>
    <row r="6992">
      <c r="A6992" s="9" t="n">
        <v>6988</v>
      </c>
      <c r="B6992" s="9" t="inlineStr">
        <is>
          <t>Ratchet</t>
        </is>
      </c>
      <c r="C6992" s="9" t="inlineStr">
        <is>
          <t>Stochastic scalp with give-back trail exit</t>
        </is>
      </c>
      <c r="D6992" s="9" t="inlineStr">
        <is>
          <t>Short</t>
        </is>
      </c>
      <c r="E6992" s="10" t="n">
        <v>46168.83333333334</v>
      </c>
      <c r="F6992" s="10" t="n">
        <v>46168.90972222222</v>
      </c>
      <c r="G6992" s="11" t="n">
        <v>5.19</v>
      </c>
      <c r="H6992" s="11">
        <f>H6991+G6992</f>
        <v/>
      </c>
    </row>
    <row r="6993">
      <c r="A6993" s="9" t="n">
        <v>6989</v>
      </c>
      <c r="B6993" s="9" t="inlineStr">
        <is>
          <t>Aurelius_M5</t>
        </is>
      </c>
      <c r="C6993" s="9" t="inlineStr">
        <is>
          <t>MA alignment (EMA21&gt;EMA50&gt;SMA250&gt;SMMA500 vs EMA2400 trend filter)</t>
        </is>
      </c>
      <c r="D6993" s="9" t="inlineStr">
        <is>
          <t>Short</t>
        </is>
      </c>
      <c r="E6993" s="10" t="n">
        <v>46168.77430555555</v>
      </c>
      <c r="F6993" s="10" t="n">
        <v>46168.95486111111</v>
      </c>
      <c r="G6993" s="11" t="n">
        <v>-0.68</v>
      </c>
      <c r="H6993" s="11">
        <f>H6992+G6993</f>
        <v/>
      </c>
    </row>
    <row r="6994">
      <c r="A6994" s="9" t="n">
        <v>6990</v>
      </c>
      <c r="B6994" s="9" t="inlineStr">
        <is>
          <t>Aurelius_M15</t>
        </is>
      </c>
      <c r="C6994" s="9" t="inlineStr">
        <is>
          <t>MA alignment (EMA21&gt;EMA50&gt;SMA250&gt;SMMA500 vs EMA2400 trend filter) - M15 chart</t>
        </is>
      </c>
      <c r="D6994" s="9" t="inlineStr">
        <is>
          <t>Short</t>
        </is>
      </c>
      <c r="E6994" s="10" t="n">
        <v>46168.61458333334</v>
      </c>
      <c r="F6994" s="10" t="n">
        <v>46169.04166666666</v>
      </c>
      <c r="G6994" s="11" t="n">
        <v>-22.16</v>
      </c>
      <c r="H6994" s="11">
        <f>H6993+G6994</f>
        <v/>
      </c>
    </row>
    <row r="6995">
      <c r="A6995" s="9" t="n">
        <v>6991</v>
      </c>
      <c r="B6995" s="9" t="inlineStr">
        <is>
          <t>Vanguard_M5</t>
        </is>
      </c>
      <c r="C6995" s="9" t="inlineStr">
        <is>
          <t>Trendline breakout (fractal swing line) + VWAP/S-R distance gate</t>
        </is>
      </c>
      <c r="D6995" s="9" t="inlineStr">
        <is>
          <t>Short</t>
        </is>
      </c>
      <c r="E6995" s="10" t="n">
        <v>46168.87152777778</v>
      </c>
      <c r="F6995" s="10" t="n">
        <v>46169.04166666666</v>
      </c>
      <c r="G6995" s="11" t="n">
        <v>-14.39</v>
      </c>
      <c r="H6995" s="11">
        <f>H6994+G6995</f>
        <v/>
      </c>
    </row>
    <row r="6996">
      <c r="A6996" s="9" t="n">
        <v>6992</v>
      </c>
      <c r="B6996" s="9" t="inlineStr">
        <is>
          <t>Meridian</t>
        </is>
      </c>
      <c r="C6996" s="9" t="inlineStr">
        <is>
          <t>21/50 MA cross, 250-period confirm filter, VWAP</t>
        </is>
      </c>
      <c r="D6996" s="9" t="inlineStr">
        <is>
          <t>Short</t>
        </is>
      </c>
      <c r="E6996" s="10" t="n">
        <v>46169.07291666666</v>
      </c>
      <c r="F6996" s="10" t="n">
        <v>46169.07986111111</v>
      </c>
      <c r="G6996" s="11" t="n">
        <v>-6.68</v>
      </c>
      <c r="H6996" s="11">
        <f>H6995+G6996</f>
        <v/>
      </c>
    </row>
    <row r="6997">
      <c r="A6997" s="9" t="n">
        <v>6993</v>
      </c>
      <c r="B6997" s="9" t="inlineStr">
        <is>
          <t>Ratchet</t>
        </is>
      </c>
      <c r="C6997" s="9" t="inlineStr">
        <is>
          <t>Stochastic scalp with give-back trail exit</t>
        </is>
      </c>
      <c r="D6997" s="9" t="inlineStr">
        <is>
          <t>Short</t>
        </is>
      </c>
      <c r="E6997" s="10" t="n">
        <v>46169.23958333334</v>
      </c>
      <c r="F6997" s="10" t="n">
        <v>46169.24652777778</v>
      </c>
      <c r="G6997" s="11" t="n">
        <v>-6.9</v>
      </c>
      <c r="H6997" s="11">
        <f>H6996+G6997</f>
        <v/>
      </c>
    </row>
    <row r="6998">
      <c r="A6998" s="9" t="n">
        <v>6994</v>
      </c>
      <c r="B6998" s="9" t="inlineStr">
        <is>
          <t>Ratchet</t>
        </is>
      </c>
      <c r="C6998" s="9" t="inlineStr">
        <is>
          <t>Stochastic scalp with give-back trail exit</t>
        </is>
      </c>
      <c r="D6998" s="9" t="inlineStr">
        <is>
          <t>Short</t>
        </is>
      </c>
      <c r="E6998" s="10" t="n">
        <v>46169.28472222222</v>
      </c>
      <c r="F6998" s="10" t="n">
        <v>46169.29513888889</v>
      </c>
      <c r="G6998" s="11" t="n">
        <v>2.04</v>
      </c>
      <c r="H6998" s="11">
        <f>H6997+G6998</f>
        <v/>
      </c>
    </row>
    <row r="6999">
      <c r="A6999" s="9" t="n">
        <v>6995</v>
      </c>
      <c r="B6999" s="9" t="inlineStr">
        <is>
          <t>Meridian</t>
        </is>
      </c>
      <c r="C6999" s="9" t="inlineStr">
        <is>
          <t>21/50 MA cross, 250-period confirm filter, VWAP</t>
        </is>
      </c>
      <c r="D6999" s="9" t="inlineStr">
        <is>
          <t>Short</t>
        </is>
      </c>
      <c r="E6999" s="10" t="n">
        <v>46169.21875</v>
      </c>
      <c r="F6999" s="10" t="n">
        <v>46169.32291666666</v>
      </c>
      <c r="G6999" s="11" t="n">
        <v>-10.3</v>
      </c>
      <c r="H6999" s="11">
        <f>H6998+G6999</f>
        <v/>
      </c>
    </row>
    <row r="7000">
      <c r="A7000" s="9" t="n">
        <v>6996</v>
      </c>
      <c r="B7000" s="9" t="inlineStr">
        <is>
          <t>Ratchet</t>
        </is>
      </c>
      <c r="C7000" s="9" t="inlineStr">
        <is>
          <t>Stochastic scalp with give-back trail exit</t>
        </is>
      </c>
      <c r="D7000" s="9" t="inlineStr">
        <is>
          <t>Short</t>
        </is>
      </c>
      <c r="E7000" s="10" t="n">
        <v>46169.4375</v>
      </c>
      <c r="F7000" s="10" t="n">
        <v>46169.45833333334</v>
      </c>
      <c r="G7000" s="11" t="n">
        <v>2.01</v>
      </c>
      <c r="H7000" s="11">
        <f>H6999+G7000</f>
        <v/>
      </c>
    </row>
    <row r="7001">
      <c r="A7001" s="9" t="n">
        <v>6997</v>
      </c>
      <c r="B7001" s="9" t="inlineStr">
        <is>
          <t>MSG</t>
        </is>
      </c>
      <c r="C7001" s="9" t="inlineStr">
        <is>
          <t>Session-range breakout + Fibonacci retracement-zone entry</t>
        </is>
      </c>
      <c r="D7001" s="9" t="inlineStr">
        <is>
          <t>Short</t>
        </is>
      </c>
      <c r="E7001" s="10" t="n">
        <v>46169.64097222222</v>
      </c>
      <c r="F7001" s="10" t="n">
        <v>46169.67916666667</v>
      </c>
      <c r="G7001" s="11" t="n">
        <v>131.23</v>
      </c>
      <c r="H7001" s="11">
        <f>H7000+G7001</f>
        <v/>
      </c>
    </row>
    <row r="7002">
      <c r="A7002" s="9" t="n">
        <v>6998</v>
      </c>
      <c r="B7002" s="9" t="inlineStr">
        <is>
          <t>Ratchet</t>
        </is>
      </c>
      <c r="C7002" s="9" t="inlineStr">
        <is>
          <t>Stochastic scalp with give-back trail exit</t>
        </is>
      </c>
      <c r="D7002" s="9" t="inlineStr">
        <is>
          <t>Short</t>
        </is>
      </c>
      <c r="E7002" s="10" t="n">
        <v>46169.78472222222</v>
      </c>
      <c r="F7002" s="10" t="n">
        <v>46169.80208333334</v>
      </c>
      <c r="G7002" s="11" t="n">
        <v>-9.83</v>
      </c>
      <c r="H7002" s="11">
        <f>H7001+G7002</f>
        <v/>
      </c>
    </row>
    <row r="7003">
      <c r="A7003" s="9" t="n">
        <v>6999</v>
      </c>
      <c r="B7003" s="9" t="inlineStr">
        <is>
          <t>Aurelius_M5</t>
        </is>
      </c>
      <c r="C7003" s="9" t="inlineStr">
        <is>
          <t>MA alignment (EMA21&gt;EMA50&gt;SMA250&gt;SMMA500 vs EMA2400 trend filter)</t>
        </is>
      </c>
      <c r="D7003" s="9" t="inlineStr">
        <is>
          <t>Short</t>
        </is>
      </c>
      <c r="E7003" s="10" t="n">
        <v>46169.50347222222</v>
      </c>
      <c r="F7003" s="10" t="n">
        <v>46169.82638888889</v>
      </c>
      <c r="G7003" s="11" t="n">
        <v>39.51</v>
      </c>
      <c r="H7003" s="11">
        <f>H7002+G7003</f>
        <v/>
      </c>
    </row>
    <row r="7004">
      <c r="A7004" s="9" t="n">
        <v>7000</v>
      </c>
      <c r="B7004" s="9" t="inlineStr">
        <is>
          <t>Ratchet</t>
        </is>
      </c>
      <c r="C7004" s="9" t="inlineStr">
        <is>
          <t>Stochastic scalp with give-back trail exit</t>
        </is>
      </c>
      <c r="D7004" s="9" t="inlineStr">
        <is>
          <t>Short</t>
        </is>
      </c>
      <c r="E7004" s="10" t="n">
        <v>46170.13194444445</v>
      </c>
      <c r="F7004" s="10" t="n">
        <v>46170.13541666666</v>
      </c>
      <c r="G7004" s="11" t="n">
        <v>1.28</v>
      </c>
      <c r="H7004" s="11">
        <f>H7003+G7004</f>
        <v/>
      </c>
    </row>
    <row r="7005">
      <c r="A7005" s="9" t="n">
        <v>7001</v>
      </c>
      <c r="B7005" s="9" t="inlineStr">
        <is>
          <t>Meridian</t>
        </is>
      </c>
      <c r="C7005" s="9" t="inlineStr">
        <is>
          <t>21/50 MA cross, 250-period confirm filter, VWAP</t>
        </is>
      </c>
      <c r="D7005" s="9" t="inlineStr">
        <is>
          <t>Short</t>
        </is>
      </c>
      <c r="E7005" s="10" t="n">
        <v>46170.12152777778</v>
      </c>
      <c r="F7005" s="10" t="n">
        <v>46170.15625</v>
      </c>
      <c r="G7005" s="11" t="n">
        <v>-8.960000000000001</v>
      </c>
      <c r="H7005" s="11">
        <f>H7004+G7005</f>
        <v/>
      </c>
    </row>
    <row r="7006">
      <c r="A7006" s="9" t="n">
        <v>7002</v>
      </c>
      <c r="B7006" s="9" t="inlineStr">
        <is>
          <t>Aurelius_M5</t>
        </is>
      </c>
      <c r="C7006" s="9" t="inlineStr">
        <is>
          <t>MA alignment (EMA21&gt;EMA50&gt;SMA250&gt;SMMA500 vs EMA2400 trend filter)</t>
        </is>
      </c>
      <c r="D7006" s="9" t="inlineStr">
        <is>
          <t>Short</t>
        </is>
      </c>
      <c r="E7006" s="10" t="n">
        <v>46170.14583333334</v>
      </c>
      <c r="F7006" s="10" t="n">
        <v>46170.16319444445</v>
      </c>
      <c r="G7006" s="11" t="n">
        <v>-11.81</v>
      </c>
      <c r="H7006" s="11">
        <f>H7005+G7006</f>
        <v/>
      </c>
    </row>
    <row r="7007">
      <c r="A7007" s="9" t="n">
        <v>7003</v>
      </c>
      <c r="B7007" s="9" t="inlineStr">
        <is>
          <t>Ratchet</t>
        </is>
      </c>
      <c r="C7007" s="9" t="inlineStr">
        <is>
          <t>Stochastic scalp with give-back trail exit</t>
        </is>
      </c>
      <c r="D7007" s="9" t="inlineStr">
        <is>
          <t>Short</t>
        </is>
      </c>
      <c r="E7007" s="10" t="n">
        <v>46170.17361111111</v>
      </c>
      <c r="F7007" s="10" t="n">
        <v>46170.45138888889</v>
      </c>
      <c r="G7007" s="11" t="n">
        <v>56.24</v>
      </c>
      <c r="H7007" s="11">
        <f>H7006+G7007</f>
        <v/>
      </c>
    </row>
    <row r="7008">
      <c r="A7008" s="9" t="n">
        <v>7004</v>
      </c>
      <c r="B7008" s="9" t="inlineStr">
        <is>
          <t>Aurelius_M5</t>
        </is>
      </c>
      <c r="C7008" s="9" t="inlineStr">
        <is>
          <t>MA alignment (EMA21&gt;EMA50&gt;SMA250&gt;SMMA500 vs EMA2400 trend filter)</t>
        </is>
      </c>
      <c r="D7008" s="9" t="inlineStr">
        <is>
          <t>Short</t>
        </is>
      </c>
      <c r="E7008" s="10" t="n">
        <v>46170.18055555555</v>
      </c>
      <c r="F7008" s="10" t="n">
        <v>46170.47916666666</v>
      </c>
      <c r="G7008" s="11" t="n">
        <v>43.36</v>
      </c>
      <c r="H7008" s="11">
        <f>H7007+G7008</f>
        <v/>
      </c>
    </row>
    <row r="7009">
      <c r="A7009" s="9" t="n">
        <v>7005</v>
      </c>
      <c r="B7009" s="9" t="inlineStr">
        <is>
          <t>MSG</t>
        </is>
      </c>
      <c r="C7009" s="9" t="inlineStr">
        <is>
          <t>Session-range breakout + Fibonacci retracement-zone entry</t>
        </is>
      </c>
      <c r="D7009" s="9" t="inlineStr">
        <is>
          <t>Long</t>
        </is>
      </c>
      <c r="E7009" s="10" t="n">
        <v>46170.57291666666</v>
      </c>
      <c r="F7009" s="10" t="n">
        <v>46170.57569444444</v>
      </c>
      <c r="G7009" s="11" t="n">
        <v>-25.45</v>
      </c>
      <c r="H7009" s="11">
        <f>H7008+G7009</f>
        <v/>
      </c>
    </row>
    <row r="7010">
      <c r="A7010" s="9" t="n">
        <v>7006</v>
      </c>
      <c r="B7010" s="9" t="inlineStr">
        <is>
          <t>Aurelius_M5</t>
        </is>
      </c>
      <c r="C7010" s="9" t="inlineStr">
        <is>
          <t>MA alignment (EMA21&gt;EMA50&gt;SMA250&gt;SMMA500 vs EMA2400 trend filter)</t>
        </is>
      </c>
      <c r="D7010" s="9" t="inlineStr">
        <is>
          <t>Short</t>
        </is>
      </c>
      <c r="E7010" s="10" t="n">
        <v>46170.64236111111</v>
      </c>
      <c r="F7010" s="10" t="n">
        <v>46170.64583333334</v>
      </c>
      <c r="G7010" s="11" t="n">
        <v>-12.71</v>
      </c>
      <c r="H7010" s="11">
        <f>H7009+G7010</f>
        <v/>
      </c>
    </row>
    <row r="7011">
      <c r="A7011" s="9" t="n">
        <v>7007</v>
      </c>
      <c r="B7011" s="9" t="inlineStr">
        <is>
          <t>Meridian</t>
        </is>
      </c>
      <c r="C7011" s="9" t="inlineStr">
        <is>
          <t>21/50 MA cross, 250-period confirm filter, VWAP</t>
        </is>
      </c>
      <c r="D7011" s="9" t="inlineStr">
        <is>
          <t>Short</t>
        </is>
      </c>
      <c r="E7011" s="10" t="n">
        <v>46170.59027777778</v>
      </c>
      <c r="F7011" s="10" t="n">
        <v>46170.64930555555</v>
      </c>
      <c r="G7011" s="11" t="n">
        <v>-13.81</v>
      </c>
      <c r="H7011" s="11">
        <f>H7010+G7011</f>
        <v/>
      </c>
    </row>
    <row r="7012">
      <c r="A7012" s="9" t="n">
        <v>7008</v>
      </c>
      <c r="B7012" s="9" t="inlineStr">
        <is>
          <t>Aurelius_M15</t>
        </is>
      </c>
      <c r="C7012" s="9" t="inlineStr">
        <is>
          <t>MA alignment (EMA21&gt;EMA50&gt;SMA250&gt;SMMA500 vs EMA2400 trend filter) - M15 chart</t>
        </is>
      </c>
      <c r="D7012" s="9" t="inlineStr">
        <is>
          <t>Short</t>
        </is>
      </c>
      <c r="E7012" s="10" t="n">
        <v>46169.375</v>
      </c>
      <c r="F7012" s="10" t="n">
        <v>46170.72916666666</v>
      </c>
      <c r="G7012" s="11" t="n">
        <v>36.43</v>
      </c>
      <c r="H7012" s="11">
        <f>H7011+G7012</f>
        <v/>
      </c>
    </row>
    <row r="7013">
      <c r="A7013" s="9" t="n">
        <v>7009</v>
      </c>
      <c r="B7013" s="9" t="inlineStr">
        <is>
          <t>Meridian</t>
        </is>
      </c>
      <c r="C7013" s="9" t="inlineStr">
        <is>
          <t>21/50 MA cross, 250-period confirm filter, VWAP</t>
        </is>
      </c>
      <c r="D7013" s="9" t="inlineStr">
        <is>
          <t>Long</t>
        </is>
      </c>
      <c r="E7013" s="10" t="n">
        <v>46171.13888888889</v>
      </c>
      <c r="F7013" s="10" t="n">
        <v>46171.28125</v>
      </c>
      <c r="G7013" s="11" t="n">
        <v>-1.3</v>
      </c>
      <c r="H7013" s="11">
        <f>H7012+G7013</f>
        <v/>
      </c>
    </row>
    <row r="7014">
      <c r="A7014" s="9" t="n">
        <v>7010</v>
      </c>
      <c r="B7014" s="9" t="inlineStr">
        <is>
          <t>Ratchet</t>
        </is>
      </c>
      <c r="C7014" s="9" t="inlineStr">
        <is>
          <t>Stochastic scalp with give-back trail exit</t>
        </is>
      </c>
      <c r="D7014" s="9" t="inlineStr">
        <is>
          <t>Long</t>
        </is>
      </c>
      <c r="E7014" s="10" t="n">
        <v>46171.42361111111</v>
      </c>
      <c r="F7014" s="10" t="n">
        <v>46171.45833333334</v>
      </c>
      <c r="G7014" s="11" t="n">
        <v>1.73</v>
      </c>
      <c r="H7014" s="11">
        <f>H7013+G7014</f>
        <v/>
      </c>
    </row>
    <row r="7015">
      <c r="A7015" s="9" t="n">
        <v>7011</v>
      </c>
      <c r="B7015" s="9" t="inlineStr">
        <is>
          <t>Ratchet</t>
        </is>
      </c>
      <c r="C7015" s="9" t="inlineStr">
        <is>
          <t>Stochastic scalp with give-back trail exit</t>
        </is>
      </c>
      <c r="D7015" s="9" t="inlineStr">
        <is>
          <t>Long</t>
        </is>
      </c>
      <c r="E7015" s="10" t="n">
        <v>46171.52777777778</v>
      </c>
      <c r="F7015" s="10" t="n">
        <v>46171.53472222222</v>
      </c>
      <c r="G7015" s="11" t="n">
        <v>2.46</v>
      </c>
      <c r="H7015" s="11">
        <f>H7014+G7015</f>
        <v/>
      </c>
    </row>
    <row r="7016">
      <c r="A7016" s="9" t="n">
        <v>7012</v>
      </c>
      <c r="B7016" s="9" t="inlineStr">
        <is>
          <t>Aurelius_M5</t>
        </is>
      </c>
      <c r="C7016" s="9" t="inlineStr">
        <is>
          <t>MA alignment (EMA21&gt;EMA50&gt;SMA250&gt;SMMA500 vs EMA2400 trend filter)</t>
        </is>
      </c>
      <c r="D7016" s="9" t="inlineStr">
        <is>
          <t>Long</t>
        </is>
      </c>
      <c r="E7016" s="10" t="n">
        <v>46171.51041666666</v>
      </c>
      <c r="F7016" s="10" t="n">
        <v>46171.64583333334</v>
      </c>
      <c r="G7016" s="11" t="n">
        <v>-11.42</v>
      </c>
      <c r="H7016" s="11">
        <f>H7015+G7016</f>
        <v/>
      </c>
    </row>
    <row r="7017">
      <c r="A7017" s="9" t="n">
        <v>7013</v>
      </c>
      <c r="B7017" s="9" t="inlineStr">
        <is>
          <t>MSG</t>
        </is>
      </c>
      <c r="C7017" s="9" t="inlineStr">
        <is>
          <t>Session-range breakout + Fibonacci retracement-zone entry</t>
        </is>
      </c>
      <c r="D7017" s="9" t="inlineStr">
        <is>
          <t>Long</t>
        </is>
      </c>
      <c r="E7017" s="10" t="n">
        <v>46171.60486111111</v>
      </c>
      <c r="F7017" s="10" t="n">
        <v>46171.65416666667</v>
      </c>
      <c r="G7017" s="11" t="n">
        <v>-35.48</v>
      </c>
      <c r="H7017" s="11">
        <f>H7016+G7017</f>
        <v/>
      </c>
    </row>
    <row r="7018">
      <c r="A7018" s="9" t="n">
        <v>7014</v>
      </c>
      <c r="B7018" s="9" t="inlineStr">
        <is>
          <t>Meridian</t>
        </is>
      </c>
      <c r="C7018" s="9" t="inlineStr">
        <is>
          <t>21/50 MA cross, 250-period confirm filter, VWAP</t>
        </is>
      </c>
      <c r="D7018" s="9" t="inlineStr">
        <is>
          <t>Long</t>
        </is>
      </c>
      <c r="E7018" s="10" t="n">
        <v>46171.29513888889</v>
      </c>
      <c r="F7018" s="10" t="n">
        <v>46171.65972222222</v>
      </c>
      <c r="G7018" s="11" t="n">
        <v>12.57</v>
      </c>
      <c r="H7018" s="11">
        <f>H7017+G7018</f>
        <v/>
      </c>
    </row>
    <row r="7019">
      <c r="A7019" s="9" t="n">
        <v>7015</v>
      </c>
      <c r="B7019" s="9" t="inlineStr">
        <is>
          <t>Meridian</t>
        </is>
      </c>
      <c r="C7019" s="9" t="inlineStr">
        <is>
          <t>21/50 MA cross, 250-period confirm filter, VWAP</t>
        </is>
      </c>
      <c r="D7019" s="9" t="inlineStr">
        <is>
          <t>Long</t>
        </is>
      </c>
      <c r="E7019" s="10" t="n">
        <v>46171.69791666666</v>
      </c>
      <c r="F7019" s="10" t="n">
        <v>46171.91666666666</v>
      </c>
      <c r="G7019" s="11" t="n">
        <v>19.99</v>
      </c>
      <c r="H7019" s="11">
        <f>H7018+G7019</f>
        <v/>
      </c>
    </row>
    <row r="7020">
      <c r="A7020" s="9" t="n">
        <v>7016</v>
      </c>
      <c r="B7020" s="9" t="inlineStr">
        <is>
          <t>Aurelius_M5</t>
        </is>
      </c>
      <c r="C7020" s="9" t="inlineStr">
        <is>
          <t>MA alignment (EMA21&gt;EMA50&gt;SMA250&gt;SMMA500 vs EMA2400 trend filter)</t>
        </is>
      </c>
      <c r="D7020" s="9" t="inlineStr">
        <is>
          <t>Long</t>
        </is>
      </c>
      <c r="E7020" s="10" t="n">
        <v>46171.72222222222</v>
      </c>
      <c r="F7020" s="10" t="n">
        <v>46171.92013888889</v>
      </c>
      <c r="G7020" s="11" t="n">
        <v>16.29</v>
      </c>
      <c r="H7020" s="11">
        <f>H7019+G7020</f>
        <v/>
      </c>
    </row>
    <row r="7021">
      <c r="A7021" s="9" t="n">
        <v>7017</v>
      </c>
      <c r="B7021" s="9" t="inlineStr">
        <is>
          <t>Ratchet</t>
        </is>
      </c>
      <c r="C7021" s="9" t="inlineStr">
        <is>
          <t>Stochastic scalp with give-back trail exit</t>
        </is>
      </c>
      <c r="D7021" s="9" t="inlineStr">
        <is>
          <t>Short</t>
        </is>
      </c>
      <c r="E7021" s="10" t="n">
        <v>46174.72569444445</v>
      </c>
      <c r="F7021" s="10" t="n">
        <v>46174.77083333334</v>
      </c>
      <c r="G7021" s="11" t="n">
        <v>-17.5</v>
      </c>
      <c r="H7021" s="11">
        <f>H7020+G7021</f>
        <v/>
      </c>
    </row>
    <row r="7022">
      <c r="A7022" s="9" t="n">
        <v>7018</v>
      </c>
      <c r="B7022" s="9" t="inlineStr">
        <is>
          <t>Meridian</t>
        </is>
      </c>
      <c r="C7022" s="9" t="inlineStr">
        <is>
          <t>21/50 MA cross, 250-period confirm filter, VWAP</t>
        </is>
      </c>
      <c r="D7022" s="9" t="inlineStr">
        <is>
          <t>Short</t>
        </is>
      </c>
      <c r="E7022" s="10" t="n">
        <v>46174.67361111111</v>
      </c>
      <c r="F7022" s="10" t="n">
        <v>46174.86458333334</v>
      </c>
      <c r="G7022" s="11" t="n">
        <v>9.220000000000001</v>
      </c>
      <c r="H7022" s="11">
        <f>H7021+G7022</f>
        <v/>
      </c>
    </row>
    <row r="7023">
      <c r="A7023" s="9" t="n">
        <v>7019</v>
      </c>
      <c r="B7023" s="9" t="inlineStr">
        <is>
          <t>Meridian</t>
        </is>
      </c>
      <c r="C7023" s="9" t="inlineStr">
        <is>
          <t>21/50 MA cross, 250-period confirm filter, VWAP</t>
        </is>
      </c>
      <c r="D7023" s="9" t="inlineStr">
        <is>
          <t>Short</t>
        </is>
      </c>
      <c r="E7023" s="10" t="n">
        <v>46175.20138888889</v>
      </c>
      <c r="F7023" s="10" t="n">
        <v>46175.25</v>
      </c>
      <c r="G7023" s="11" t="n">
        <v>-15.68</v>
      </c>
      <c r="H7023" s="11">
        <f>H7022+G7023</f>
        <v/>
      </c>
    </row>
    <row r="7024">
      <c r="A7024" s="9" t="n">
        <v>7020</v>
      </c>
      <c r="B7024" s="9" t="inlineStr">
        <is>
          <t>Ratchet</t>
        </is>
      </c>
      <c r="C7024" s="9" t="inlineStr">
        <is>
          <t>Stochastic scalp with give-back trail exit</t>
        </is>
      </c>
      <c r="D7024" s="9" t="inlineStr">
        <is>
          <t>Short</t>
        </is>
      </c>
      <c r="E7024" s="10" t="n">
        <v>46175.21180555555</v>
      </c>
      <c r="F7024" s="10" t="n">
        <v>46175.25</v>
      </c>
      <c r="G7024" s="11" t="n">
        <v>-14.52</v>
      </c>
      <c r="H7024" s="11">
        <f>H7023+G7024</f>
        <v/>
      </c>
    </row>
    <row r="7025">
      <c r="A7025" s="9" t="n">
        <v>7021</v>
      </c>
      <c r="B7025" s="9" t="inlineStr">
        <is>
          <t>Aurelius_M15</t>
        </is>
      </c>
      <c r="C7025" s="9" t="inlineStr">
        <is>
          <t>MA alignment (EMA21&gt;EMA50&gt;SMA250&gt;SMMA500 vs EMA2400 trend filter) - M15 chart</t>
        </is>
      </c>
      <c r="D7025" s="9" t="inlineStr">
        <is>
          <t>Short</t>
        </is>
      </c>
      <c r="E7025" s="10" t="n">
        <v>46175.19791666666</v>
      </c>
      <c r="F7025" s="10" t="n">
        <v>46175.29166666666</v>
      </c>
      <c r="G7025" s="11" t="n">
        <v>-20.22</v>
      </c>
      <c r="H7025" s="11">
        <f>H7024+G7025</f>
        <v/>
      </c>
    </row>
    <row r="7026">
      <c r="A7026" s="9" t="n">
        <v>7022</v>
      </c>
      <c r="B7026" s="9" t="inlineStr">
        <is>
          <t>Meridian</t>
        </is>
      </c>
      <c r="C7026" s="9" t="inlineStr">
        <is>
          <t>21/50 MA cross, 250-period confirm filter, VWAP</t>
        </is>
      </c>
      <c r="D7026" s="9" t="inlineStr">
        <is>
          <t>Long</t>
        </is>
      </c>
      <c r="E7026" s="10" t="n">
        <v>46175.26388888889</v>
      </c>
      <c r="F7026" s="10" t="n">
        <v>46175.65972222222</v>
      </c>
      <c r="G7026" s="11" t="n">
        <v>30.26</v>
      </c>
      <c r="H7026" s="11">
        <f>H7025+G7026</f>
        <v/>
      </c>
    </row>
    <row r="7027">
      <c r="A7027" s="9" t="n">
        <v>7023</v>
      </c>
      <c r="B7027" s="9" t="inlineStr">
        <is>
          <t>Vanguard_M15</t>
        </is>
      </c>
      <c r="C7027" s="9" t="inlineStr">
        <is>
          <t>Trendline breakout (fractal swing line) + VWAP/S-R distance gate - M15 chart</t>
        </is>
      </c>
      <c r="D7027" s="9" t="inlineStr">
        <is>
          <t>Long</t>
        </is>
      </c>
      <c r="E7027" s="10" t="n">
        <v>46170.66666666666</v>
      </c>
      <c r="F7027" s="10" t="n">
        <v>46175.85416666666</v>
      </c>
      <c r="G7027" s="11" t="n">
        <v>52.15</v>
      </c>
      <c r="H7027" s="11">
        <f>H7026+G7027</f>
        <v/>
      </c>
    </row>
    <row r="7028">
      <c r="A7028" s="9" t="n">
        <v>7024</v>
      </c>
      <c r="B7028" s="9" t="inlineStr">
        <is>
          <t>Vanguard_M5</t>
        </is>
      </c>
      <c r="C7028" s="9" t="inlineStr">
        <is>
          <t>Trendline breakout (fractal swing line) + VWAP/S-R distance gate</t>
        </is>
      </c>
      <c r="D7028" s="9" t="inlineStr">
        <is>
          <t>Long</t>
        </is>
      </c>
      <c r="E7028" s="10" t="n">
        <v>46170.66319444445</v>
      </c>
      <c r="F7028" s="10" t="n">
        <v>46175.85763888889</v>
      </c>
      <c r="G7028" s="11" t="n">
        <v>62.02</v>
      </c>
      <c r="H7028" s="11">
        <f>H7027+G7028</f>
        <v/>
      </c>
    </row>
    <row r="7029">
      <c r="A7029" s="9" t="n">
        <v>7025</v>
      </c>
      <c r="B7029" s="9" t="inlineStr">
        <is>
          <t>Ratchet</t>
        </is>
      </c>
      <c r="C7029" s="9" t="inlineStr">
        <is>
          <t>Stochastic scalp with give-back trail exit</t>
        </is>
      </c>
      <c r="D7029" s="9" t="inlineStr">
        <is>
          <t>Short</t>
        </is>
      </c>
      <c r="E7029" s="10" t="n">
        <v>46175.88888888889</v>
      </c>
      <c r="F7029" s="10" t="n">
        <v>46175.89236111111</v>
      </c>
      <c r="G7029" s="11" t="n">
        <v>-5.59</v>
      </c>
      <c r="H7029" s="11">
        <f>H7028+G7029</f>
        <v/>
      </c>
    </row>
    <row r="7030">
      <c r="A7030" s="9" t="n">
        <v>7026</v>
      </c>
      <c r="B7030" s="9" t="inlineStr">
        <is>
          <t>Ratchet</t>
        </is>
      </c>
      <c r="C7030" s="9" t="inlineStr">
        <is>
          <t>Stochastic scalp with give-back trail exit</t>
        </is>
      </c>
      <c r="D7030" s="9" t="inlineStr">
        <is>
          <t>Short</t>
        </is>
      </c>
      <c r="E7030" s="10" t="n">
        <v>46176.34027777778</v>
      </c>
      <c r="F7030" s="10" t="n">
        <v>46176.35763888889</v>
      </c>
      <c r="G7030" s="11" t="n">
        <v>1.67</v>
      </c>
      <c r="H7030" s="11">
        <f>H7029+G7030</f>
        <v/>
      </c>
    </row>
    <row r="7031">
      <c r="A7031" s="9" t="n">
        <v>7027</v>
      </c>
      <c r="B7031" s="9" t="inlineStr">
        <is>
          <t>Meridian</t>
        </is>
      </c>
      <c r="C7031" s="9" t="inlineStr">
        <is>
          <t>21/50 MA cross, 250-period confirm filter, VWAP</t>
        </is>
      </c>
      <c r="D7031" s="9" t="inlineStr">
        <is>
          <t>Short</t>
        </is>
      </c>
      <c r="E7031" s="10" t="n">
        <v>46176.31944444445</v>
      </c>
      <c r="F7031" s="10" t="n">
        <v>46176.59722222222</v>
      </c>
      <c r="G7031" s="11" t="n">
        <v>10.27</v>
      </c>
      <c r="H7031" s="11">
        <f>H7030+G7031</f>
        <v/>
      </c>
    </row>
    <row r="7032">
      <c r="A7032" s="9" t="n">
        <v>7028</v>
      </c>
      <c r="B7032" s="9" t="inlineStr">
        <is>
          <t>Meridian</t>
        </is>
      </c>
      <c r="C7032" s="9" t="inlineStr">
        <is>
          <t>21/50 MA cross, 250-period confirm filter, VWAP</t>
        </is>
      </c>
      <c r="D7032" s="9" t="inlineStr">
        <is>
          <t>Short</t>
        </is>
      </c>
      <c r="E7032" s="10" t="n">
        <v>46176.64930555555</v>
      </c>
      <c r="F7032" s="10" t="n">
        <v>46176.65972222222</v>
      </c>
      <c r="G7032" s="11" t="n">
        <v>-12.02</v>
      </c>
      <c r="H7032" s="11">
        <f>H7031+G7032</f>
        <v/>
      </c>
    </row>
    <row r="7033">
      <c r="A7033" s="9" t="n">
        <v>7029</v>
      </c>
      <c r="B7033" s="9" t="inlineStr">
        <is>
          <t>Ratchet</t>
        </is>
      </c>
      <c r="C7033" s="9" t="inlineStr">
        <is>
          <t>Stochastic scalp with give-back trail exit</t>
        </is>
      </c>
      <c r="D7033" s="9" t="inlineStr">
        <is>
          <t>Short</t>
        </is>
      </c>
      <c r="E7033" s="10" t="n">
        <v>46176.69097222222</v>
      </c>
      <c r="F7033" s="10" t="n">
        <v>46176.70138888889</v>
      </c>
      <c r="G7033" s="11" t="n">
        <v>6.39</v>
      </c>
      <c r="H7033" s="11">
        <f>H7032+G7033</f>
        <v/>
      </c>
    </row>
    <row r="7034">
      <c r="A7034" s="9" t="n">
        <v>7030</v>
      </c>
      <c r="B7034" s="9" t="inlineStr">
        <is>
          <t>Ratchet</t>
        </is>
      </c>
      <c r="C7034" s="9" t="inlineStr">
        <is>
          <t>Stochastic scalp with give-back trail exit</t>
        </is>
      </c>
      <c r="D7034" s="9" t="inlineStr">
        <is>
          <t>Short</t>
        </is>
      </c>
      <c r="E7034" s="10" t="n">
        <v>46176.76388888889</v>
      </c>
      <c r="F7034" s="10" t="n">
        <v>46176.77083333334</v>
      </c>
      <c r="G7034" s="11" t="n">
        <v>-0</v>
      </c>
      <c r="H7034" s="11">
        <f>H7033+G7034</f>
        <v/>
      </c>
    </row>
    <row r="7035">
      <c r="A7035" s="9" t="n">
        <v>7031</v>
      </c>
      <c r="B7035" s="9" t="inlineStr">
        <is>
          <t>Ratchet</t>
        </is>
      </c>
      <c r="C7035" s="9" t="inlineStr">
        <is>
          <t>Stochastic scalp with give-back trail exit</t>
        </is>
      </c>
      <c r="D7035" s="9" t="inlineStr">
        <is>
          <t>Short</t>
        </is>
      </c>
      <c r="E7035" s="10" t="n">
        <v>46176.87152777778</v>
      </c>
      <c r="F7035" s="10" t="n">
        <v>46176.91666666666</v>
      </c>
      <c r="G7035" s="11" t="n">
        <v>-6.32</v>
      </c>
      <c r="H7035" s="11">
        <f>H7034+G7035</f>
        <v/>
      </c>
    </row>
    <row r="7036">
      <c r="A7036" s="9" t="n">
        <v>7032</v>
      </c>
      <c r="B7036" s="9" t="inlineStr">
        <is>
          <t>Meridian</t>
        </is>
      </c>
      <c r="C7036" s="9" t="inlineStr">
        <is>
          <t>21/50 MA cross, 250-period confirm filter, VWAP</t>
        </is>
      </c>
      <c r="D7036" s="9" t="inlineStr">
        <is>
          <t>Short</t>
        </is>
      </c>
      <c r="E7036" s="10" t="n">
        <v>46176.97222222222</v>
      </c>
      <c r="F7036" s="10" t="n">
        <v>46177.07986111111</v>
      </c>
      <c r="G7036" s="11" t="n">
        <v>-7.42</v>
      </c>
      <c r="H7036" s="11">
        <f>H7035+G7036</f>
        <v/>
      </c>
    </row>
    <row r="7037">
      <c r="A7037" s="9" t="n">
        <v>7033</v>
      </c>
      <c r="B7037" s="9" t="inlineStr">
        <is>
          <t>Aurelius_M15</t>
        </is>
      </c>
      <c r="C7037" s="9" t="inlineStr">
        <is>
          <t>MA alignment (EMA21&gt;EMA50&gt;SMA250&gt;SMMA500 vs EMA2400 trend filter) - M15 chart</t>
        </is>
      </c>
      <c r="D7037" s="9" t="inlineStr">
        <is>
          <t>Short</t>
        </is>
      </c>
      <c r="E7037" s="10" t="n">
        <v>46176.17708333334</v>
      </c>
      <c r="F7037" s="10" t="n">
        <v>46177.13541666666</v>
      </c>
      <c r="G7037" s="11" t="n">
        <v>17.5</v>
      </c>
      <c r="H7037" s="11">
        <f>H7036+G7037</f>
        <v/>
      </c>
    </row>
    <row r="7038">
      <c r="A7038" s="9" t="n">
        <v>7034</v>
      </c>
      <c r="B7038" s="9" t="inlineStr">
        <is>
          <t>Vanguard_M5</t>
        </is>
      </c>
      <c r="C7038" s="9" t="inlineStr">
        <is>
          <t>Trendline breakout (fractal swing line) + VWAP/S-R distance gate</t>
        </is>
      </c>
      <c r="D7038" s="9" t="inlineStr">
        <is>
          <t>Short</t>
        </is>
      </c>
      <c r="E7038" s="10" t="n">
        <v>46175.86111111111</v>
      </c>
      <c r="F7038" s="10" t="n">
        <v>46177.3125</v>
      </c>
      <c r="G7038" s="11" t="n">
        <v>2.34</v>
      </c>
      <c r="H7038" s="11">
        <f>H7037+G7038</f>
        <v/>
      </c>
    </row>
    <row r="7039">
      <c r="A7039" s="9" t="n">
        <v>7035</v>
      </c>
      <c r="B7039" s="9" t="inlineStr">
        <is>
          <t>Vanguard_M15</t>
        </is>
      </c>
      <c r="C7039" s="9" t="inlineStr">
        <is>
          <t>Trendline breakout (fractal swing line) + VWAP/S-R distance gate - M15 chart</t>
        </is>
      </c>
      <c r="D7039" s="9" t="inlineStr">
        <is>
          <t>Short</t>
        </is>
      </c>
      <c r="E7039" s="10" t="n">
        <v>46175.86458333334</v>
      </c>
      <c r="F7039" s="10" t="n">
        <v>46177.3125</v>
      </c>
      <c r="G7039" s="11" t="n">
        <v>1.4</v>
      </c>
      <c r="H7039" s="11">
        <f>H7038+G7039</f>
        <v/>
      </c>
    </row>
    <row r="7040">
      <c r="A7040" s="9" t="n">
        <v>7036</v>
      </c>
      <c r="B7040" s="9" t="inlineStr">
        <is>
          <t>Vanguard_M5</t>
        </is>
      </c>
      <c r="C7040" s="9" t="inlineStr">
        <is>
          <t>Trendline breakout (fractal swing line) + VWAP/S-R distance gate</t>
        </is>
      </c>
      <c r="D7040" s="9" t="inlineStr">
        <is>
          <t>Long</t>
        </is>
      </c>
      <c r="E7040" s="10" t="n">
        <v>46177.31597222222</v>
      </c>
      <c r="F7040" s="10" t="n">
        <v>46177.44444444445</v>
      </c>
      <c r="G7040" s="11" t="n">
        <v>-19.13</v>
      </c>
      <c r="H7040" s="11">
        <f>H7039+G7040</f>
        <v/>
      </c>
    </row>
    <row r="7041">
      <c r="A7041" s="9" t="n">
        <v>7037</v>
      </c>
      <c r="B7041" s="9" t="inlineStr">
        <is>
          <t>Ratchet</t>
        </is>
      </c>
      <c r="C7041" s="9" t="inlineStr">
        <is>
          <t>Stochastic scalp with give-back trail exit</t>
        </is>
      </c>
      <c r="D7041" s="9" t="inlineStr">
        <is>
          <t>Long</t>
        </is>
      </c>
      <c r="E7041" s="10" t="n">
        <v>46177.69097222222</v>
      </c>
      <c r="F7041" s="10" t="n">
        <v>46177.69444444445</v>
      </c>
      <c r="G7041" s="11" t="n">
        <v>0.88</v>
      </c>
      <c r="H7041" s="11">
        <f>H7040+G7041</f>
        <v/>
      </c>
    </row>
    <row r="7042">
      <c r="A7042" s="9" t="n">
        <v>7038</v>
      </c>
      <c r="B7042" s="9" t="inlineStr">
        <is>
          <t>Meridian</t>
        </is>
      </c>
      <c r="C7042" s="9" t="inlineStr">
        <is>
          <t>21/50 MA cross, 250-period confirm filter, VWAP</t>
        </is>
      </c>
      <c r="D7042" s="9" t="inlineStr">
        <is>
          <t>Long</t>
        </is>
      </c>
      <c r="E7042" s="10" t="n">
        <v>46177.53819444445</v>
      </c>
      <c r="F7042" s="10" t="n">
        <v>46177.74305555555</v>
      </c>
      <c r="G7042" s="11" t="n">
        <v>-8.720000000000001</v>
      </c>
      <c r="H7042" s="11">
        <f>H7041+G7042</f>
        <v/>
      </c>
    </row>
    <row r="7043">
      <c r="A7043" s="9" t="n">
        <v>7039</v>
      </c>
      <c r="B7043" s="9" t="inlineStr">
        <is>
          <t>Vanguard_M15</t>
        </is>
      </c>
      <c r="C7043" s="9" t="inlineStr">
        <is>
          <t>Trendline breakout (fractal swing line) + VWAP/S-R distance gate - M15 chart</t>
        </is>
      </c>
      <c r="D7043" s="9" t="inlineStr">
        <is>
          <t>Long</t>
        </is>
      </c>
      <c r="E7043" s="10" t="n">
        <v>46177.32291666666</v>
      </c>
      <c r="F7043" s="10" t="n">
        <v>46178.125</v>
      </c>
      <c r="G7043" s="11" t="n">
        <v>-26.94</v>
      </c>
      <c r="H7043" s="11">
        <f>H7042+G7043</f>
        <v/>
      </c>
    </row>
    <row r="7044">
      <c r="A7044" s="9" t="n">
        <v>7040</v>
      </c>
      <c r="B7044" s="9" t="inlineStr">
        <is>
          <t>Vanguard_M5</t>
        </is>
      </c>
      <c r="C7044" s="9" t="inlineStr">
        <is>
          <t>Trendline breakout (fractal swing line) + VWAP/S-R distance gate</t>
        </is>
      </c>
      <c r="D7044" s="9" t="inlineStr">
        <is>
          <t>Long</t>
        </is>
      </c>
      <c r="E7044" s="10" t="n">
        <v>46177.53819444445</v>
      </c>
      <c r="F7044" s="10" t="n">
        <v>46178.13194444445</v>
      </c>
      <c r="G7044" s="11" t="n">
        <v>-18.53</v>
      </c>
      <c r="H7044" s="11">
        <f>H7043+G7044</f>
        <v/>
      </c>
    </row>
    <row r="7045">
      <c r="A7045" s="9" t="n">
        <v>7041</v>
      </c>
      <c r="B7045" s="9" t="inlineStr">
        <is>
          <t>Ratchet</t>
        </is>
      </c>
      <c r="C7045" s="9" t="inlineStr">
        <is>
          <t>Stochastic scalp with give-back trail exit</t>
        </is>
      </c>
      <c r="D7045" s="9" t="inlineStr">
        <is>
          <t>Short</t>
        </is>
      </c>
      <c r="E7045" s="10" t="n">
        <v>46178.28819444445</v>
      </c>
      <c r="F7045" s="10" t="n">
        <v>46178.33333333334</v>
      </c>
      <c r="G7045" s="11" t="n">
        <v>-7.01</v>
      </c>
      <c r="H7045" s="11">
        <f>H7044+G7045</f>
        <v/>
      </c>
    </row>
    <row r="7046">
      <c r="A7046" s="9" t="n">
        <v>7042</v>
      </c>
      <c r="B7046" s="9" t="inlineStr">
        <is>
          <t>Aurelius_M5</t>
        </is>
      </c>
      <c r="C7046" s="9" t="inlineStr">
        <is>
          <t>MA alignment (EMA21&gt;EMA50&gt;SMA250&gt;SMMA500 vs EMA2400 trend filter)</t>
        </is>
      </c>
      <c r="D7046" s="9" t="inlineStr">
        <is>
          <t>Short</t>
        </is>
      </c>
      <c r="E7046" s="10" t="n">
        <v>46178.35763888889</v>
      </c>
      <c r="F7046" s="10" t="n">
        <v>46178.40625</v>
      </c>
      <c r="G7046" s="11" t="n">
        <v>-10.07</v>
      </c>
      <c r="H7046" s="11">
        <f>H7045+G7046</f>
        <v/>
      </c>
    </row>
    <row r="7047">
      <c r="A7047" s="9" t="n">
        <v>7043</v>
      </c>
      <c r="B7047" s="9" t="inlineStr">
        <is>
          <t>Aurelius_M15</t>
        </is>
      </c>
      <c r="C7047" s="9" t="inlineStr">
        <is>
          <t>MA alignment (EMA21&gt;EMA50&gt;SMA250&gt;SMMA500 vs EMA2400 trend filter) - M15 chart</t>
        </is>
      </c>
      <c r="D7047" s="9" t="inlineStr">
        <is>
          <t>Short</t>
        </is>
      </c>
      <c r="E7047" s="10" t="n">
        <v>46178.19791666666</v>
      </c>
      <c r="F7047" s="10" t="n">
        <v>46178.42708333334</v>
      </c>
      <c r="G7047" s="11" t="n">
        <v>-21.54</v>
      </c>
      <c r="H7047" s="11">
        <f>H7046+G7047</f>
        <v/>
      </c>
    </row>
    <row r="7048">
      <c r="A7048" s="9" t="n">
        <v>7044</v>
      </c>
      <c r="B7048" s="9" t="inlineStr">
        <is>
          <t>MSG</t>
        </is>
      </c>
      <c r="C7048" s="9" t="inlineStr">
        <is>
          <t>Session-range breakout + Fibonacci retracement-zone entry</t>
        </is>
      </c>
      <c r="D7048" s="9" t="inlineStr">
        <is>
          <t>Long</t>
        </is>
      </c>
      <c r="E7048" s="10" t="n">
        <v>46178.64652777778</v>
      </c>
      <c r="F7048" s="10" t="n">
        <v>46178.65</v>
      </c>
      <c r="G7048" s="11" t="n">
        <v>-31.63</v>
      </c>
      <c r="H7048" s="11">
        <f>H7047+G7048</f>
        <v/>
      </c>
    </row>
    <row r="7049">
      <c r="A7049" s="9" t="n">
        <v>7045</v>
      </c>
      <c r="B7049" s="9" t="inlineStr">
        <is>
          <t>Meridian</t>
        </is>
      </c>
      <c r="C7049" s="9" t="inlineStr">
        <is>
          <t>21/50 MA cross, 250-period confirm filter, VWAP</t>
        </is>
      </c>
      <c r="D7049" s="9" t="inlineStr">
        <is>
          <t>Short</t>
        </is>
      </c>
      <c r="E7049" s="10" t="n">
        <v>46178.65625</v>
      </c>
      <c r="F7049" s="10" t="n">
        <v>46178.91666666666</v>
      </c>
      <c r="G7049" s="11" t="n">
        <v>123.4</v>
      </c>
      <c r="H7049" s="11">
        <f>H7048+G7049</f>
        <v/>
      </c>
    </row>
    <row r="7050">
      <c r="A7050" s="9" t="n">
        <v>7046</v>
      </c>
      <c r="B7050" s="9" t="inlineStr">
        <is>
          <t>Ratchet</t>
        </is>
      </c>
      <c r="C7050" s="9" t="inlineStr">
        <is>
          <t>Stochastic scalp with give-back trail exit</t>
        </is>
      </c>
      <c r="D7050" s="9" t="inlineStr">
        <is>
          <t>Short</t>
        </is>
      </c>
      <c r="E7050" s="10" t="n">
        <v>46178.68055555555</v>
      </c>
      <c r="F7050" s="10" t="n">
        <v>46178.91666666666</v>
      </c>
      <c r="G7050" s="11" t="n">
        <v>95.02</v>
      </c>
      <c r="H7050" s="11">
        <f>H7049+G7050</f>
        <v/>
      </c>
    </row>
    <row r="7051">
      <c r="A7051" s="9" t="n">
        <v>7047</v>
      </c>
      <c r="B7051" s="9" t="inlineStr">
        <is>
          <t>Aurelius_M5</t>
        </is>
      </c>
      <c r="C7051" s="9" t="inlineStr">
        <is>
          <t>MA alignment (EMA21&gt;EMA50&gt;SMA250&gt;SMMA500 vs EMA2400 trend filter)</t>
        </is>
      </c>
      <c r="D7051" s="9" t="inlineStr">
        <is>
          <t>Short</t>
        </is>
      </c>
      <c r="E7051" s="10" t="n">
        <v>46178.66666666666</v>
      </c>
      <c r="F7051" s="10" t="n">
        <v>46178.92013888889</v>
      </c>
      <c r="G7051" s="11" t="n">
        <v>85.03</v>
      </c>
      <c r="H7051" s="11">
        <f>H7050+G7051</f>
        <v/>
      </c>
    </row>
    <row r="7052">
      <c r="A7052" s="9" t="n">
        <v>7048</v>
      </c>
      <c r="B7052" s="9" t="inlineStr">
        <is>
          <t>Aurelius_M15</t>
        </is>
      </c>
      <c r="C7052" s="9" t="inlineStr">
        <is>
          <t>MA alignment (EMA21&gt;EMA50&gt;SMA250&gt;SMMA500 vs EMA2400 trend filter) - M15 chart</t>
        </is>
      </c>
      <c r="D7052" s="9" t="inlineStr">
        <is>
          <t>Short</t>
        </is>
      </c>
      <c r="E7052" s="10" t="n">
        <v>46178.71875</v>
      </c>
      <c r="F7052" s="10" t="n">
        <v>46178.92708333334</v>
      </c>
      <c r="G7052" s="11" t="n">
        <v>50.63</v>
      </c>
      <c r="H7052" s="11">
        <f>H7051+G7052</f>
        <v/>
      </c>
    </row>
    <row r="7053">
      <c r="A7053" s="9" t="n">
        <v>7049</v>
      </c>
      <c r="B7053" s="9" t="inlineStr">
        <is>
          <t>Ratchet</t>
        </is>
      </c>
      <c r="C7053" s="9" t="inlineStr">
        <is>
          <t>Stochastic scalp with give-back trail exit</t>
        </is>
      </c>
      <c r="D7053" s="9" t="inlineStr">
        <is>
          <t>Short</t>
        </is>
      </c>
      <c r="E7053" s="10" t="n">
        <v>46181.21180555555</v>
      </c>
      <c r="F7053" s="10" t="n">
        <v>46181.23958333334</v>
      </c>
      <c r="G7053" s="11" t="n">
        <v>3.89</v>
      </c>
      <c r="H7053" s="11">
        <f>H7052+G7053</f>
        <v/>
      </c>
    </row>
    <row r="7054">
      <c r="A7054" s="9" t="n">
        <v>7050</v>
      </c>
      <c r="B7054" s="9" t="inlineStr">
        <is>
          <t>Ratchet</t>
        </is>
      </c>
      <c r="C7054" s="9" t="inlineStr">
        <is>
          <t>Stochastic scalp with give-back trail exit</t>
        </is>
      </c>
      <c r="D7054" s="9" t="inlineStr">
        <is>
          <t>Short</t>
        </is>
      </c>
      <c r="E7054" s="10" t="n">
        <v>46181.25</v>
      </c>
      <c r="F7054" s="10" t="n">
        <v>46181.26388888889</v>
      </c>
      <c r="G7054" s="11" t="n">
        <v>1.66</v>
      </c>
      <c r="H7054" s="11">
        <f>H7053+G7054</f>
        <v/>
      </c>
    </row>
    <row r="7055">
      <c r="A7055" s="9" t="n">
        <v>7051</v>
      </c>
      <c r="B7055" s="9" t="inlineStr">
        <is>
          <t>Aurelius_M5</t>
        </is>
      </c>
      <c r="C7055" s="9" t="inlineStr">
        <is>
          <t>MA alignment (EMA21&gt;EMA50&gt;SMA250&gt;SMMA500 vs EMA2400 trend filter)</t>
        </is>
      </c>
      <c r="D7055" s="9" t="inlineStr">
        <is>
          <t>Short</t>
        </is>
      </c>
      <c r="E7055" s="10" t="n">
        <v>46181.35763888889</v>
      </c>
      <c r="F7055" s="10" t="n">
        <v>46181.375</v>
      </c>
      <c r="G7055" s="11" t="n">
        <v>-16.74</v>
      </c>
      <c r="H7055" s="11">
        <f>H7054+G7055</f>
        <v/>
      </c>
    </row>
    <row r="7056">
      <c r="A7056" s="9" t="n">
        <v>7052</v>
      </c>
      <c r="B7056" s="9" t="inlineStr">
        <is>
          <t>Ratchet</t>
        </is>
      </c>
      <c r="C7056" s="9" t="inlineStr">
        <is>
          <t>Stochastic scalp with give-back trail exit</t>
        </is>
      </c>
      <c r="D7056" s="9" t="inlineStr">
        <is>
          <t>Short</t>
        </is>
      </c>
      <c r="E7056" s="10" t="n">
        <v>46181.36805555555</v>
      </c>
      <c r="F7056" s="10" t="n">
        <v>46181.375</v>
      </c>
      <c r="G7056" s="11" t="n">
        <v>-14.63</v>
      </c>
      <c r="H7056" s="11">
        <f>H7055+G7056</f>
        <v/>
      </c>
    </row>
    <row r="7057">
      <c r="A7057" s="9" t="n">
        <v>7053</v>
      </c>
      <c r="B7057" s="9" t="inlineStr">
        <is>
          <t>Ratchet</t>
        </is>
      </c>
      <c r="C7057" s="9" t="inlineStr">
        <is>
          <t>Stochastic scalp with give-back trail exit</t>
        </is>
      </c>
      <c r="D7057" s="9" t="inlineStr">
        <is>
          <t>Short</t>
        </is>
      </c>
      <c r="E7057" s="10" t="n">
        <v>46181.40972222222</v>
      </c>
      <c r="F7057" s="10" t="n">
        <v>46181.43055555555</v>
      </c>
      <c r="G7057" s="11" t="n">
        <v>-13.86</v>
      </c>
      <c r="H7057" s="11">
        <f>H7056+G7057</f>
        <v/>
      </c>
    </row>
    <row r="7058">
      <c r="A7058" s="9" t="n">
        <v>7054</v>
      </c>
      <c r="B7058" s="9" t="inlineStr">
        <is>
          <t>Ratchet</t>
        </is>
      </c>
      <c r="C7058" s="9" t="inlineStr">
        <is>
          <t>Stochastic scalp with give-back trail exit</t>
        </is>
      </c>
      <c r="D7058" s="9" t="inlineStr">
        <is>
          <t>Short</t>
        </is>
      </c>
      <c r="E7058" s="10" t="n">
        <v>46181.46180555555</v>
      </c>
      <c r="F7058" s="10" t="n">
        <v>46181.47916666666</v>
      </c>
      <c r="G7058" s="11" t="n">
        <v>1.43</v>
      </c>
      <c r="H7058" s="11">
        <f>H7057+G7058</f>
        <v/>
      </c>
    </row>
    <row r="7059">
      <c r="A7059" s="9" t="n">
        <v>7055</v>
      </c>
      <c r="B7059" s="9" t="inlineStr">
        <is>
          <t>Ratchet</t>
        </is>
      </c>
      <c r="C7059" s="9" t="inlineStr">
        <is>
          <t>Stochastic scalp with give-back trail exit</t>
        </is>
      </c>
      <c r="D7059" s="9" t="inlineStr">
        <is>
          <t>Short</t>
        </is>
      </c>
      <c r="E7059" s="10" t="n">
        <v>46181.51736111111</v>
      </c>
      <c r="F7059" s="10" t="n">
        <v>46181.52430555555</v>
      </c>
      <c r="G7059" s="11" t="n">
        <v>3.76</v>
      </c>
      <c r="H7059" s="11">
        <f>H7058+G7059</f>
        <v/>
      </c>
    </row>
    <row r="7060">
      <c r="A7060" s="9" t="n">
        <v>7056</v>
      </c>
      <c r="B7060" s="9" t="inlineStr">
        <is>
          <t>MSG</t>
        </is>
      </c>
      <c r="C7060" s="9" t="inlineStr">
        <is>
          <t>Session-range breakout + Fibonacci retracement-zone entry</t>
        </is>
      </c>
      <c r="D7060" s="9" t="inlineStr">
        <is>
          <t>Short</t>
        </is>
      </c>
      <c r="E7060" s="10" t="n">
        <v>46181.52986111111</v>
      </c>
      <c r="F7060" s="10" t="n">
        <v>46181.59027777778</v>
      </c>
      <c r="G7060" s="11" t="n">
        <v>-34.64</v>
      </c>
      <c r="H7060" s="11">
        <f>H7059+G7060</f>
        <v/>
      </c>
    </row>
    <row r="7061">
      <c r="A7061" s="9" t="n">
        <v>7057</v>
      </c>
      <c r="B7061" s="9" t="inlineStr">
        <is>
          <t>Vanguard_M5</t>
        </is>
      </c>
      <c r="C7061" s="9" t="inlineStr">
        <is>
          <t>Trendline breakout (fractal swing line) + VWAP/S-R distance gate</t>
        </is>
      </c>
      <c r="D7061" s="9" t="inlineStr">
        <is>
          <t>Long</t>
        </is>
      </c>
      <c r="E7061" s="10" t="n">
        <v>46182.08333333334</v>
      </c>
      <c r="F7061" s="10" t="n">
        <v>46182.10416666666</v>
      </c>
      <c r="G7061" s="11" t="n">
        <v>-10.41</v>
      </c>
      <c r="H7061" s="11">
        <f>H7060+G7061</f>
        <v/>
      </c>
    </row>
    <row r="7062">
      <c r="A7062" s="9" t="n">
        <v>7058</v>
      </c>
      <c r="B7062" s="9" t="inlineStr">
        <is>
          <t>Ratchet</t>
        </is>
      </c>
      <c r="C7062" s="9" t="inlineStr">
        <is>
          <t>Stochastic scalp with give-back trail exit</t>
        </is>
      </c>
      <c r="D7062" s="9" t="inlineStr">
        <is>
          <t>Short</t>
        </is>
      </c>
      <c r="E7062" s="10" t="n">
        <v>46182.12847222222</v>
      </c>
      <c r="F7062" s="10" t="n">
        <v>46182.13194444445</v>
      </c>
      <c r="G7062" s="11" t="n">
        <v>-6.32</v>
      </c>
      <c r="H7062" s="11">
        <f>H7061+G7062</f>
        <v/>
      </c>
    </row>
    <row r="7063">
      <c r="A7063" s="9" t="n">
        <v>7059</v>
      </c>
      <c r="B7063" s="9" t="inlineStr">
        <is>
          <t>Ratchet</t>
        </is>
      </c>
      <c r="C7063" s="9" t="inlineStr">
        <is>
          <t>Stochastic scalp with give-back trail exit</t>
        </is>
      </c>
      <c r="D7063" s="9" t="inlineStr">
        <is>
          <t>Short</t>
        </is>
      </c>
      <c r="E7063" s="10" t="n">
        <v>46182.16319444445</v>
      </c>
      <c r="F7063" s="10" t="n">
        <v>46182.16666666666</v>
      </c>
      <c r="G7063" s="11" t="n">
        <v>-7.68</v>
      </c>
      <c r="H7063" s="11">
        <f>H7062+G7063</f>
        <v/>
      </c>
    </row>
    <row r="7064">
      <c r="A7064" s="9" t="n">
        <v>7060</v>
      </c>
      <c r="B7064" s="9" t="inlineStr">
        <is>
          <t>Aurelius_M15</t>
        </is>
      </c>
      <c r="C7064" s="9" t="inlineStr">
        <is>
          <t>MA alignment (EMA21&gt;EMA50&gt;SMA250&gt;SMMA500 vs EMA2400 trend filter) - M15 chart</t>
        </is>
      </c>
      <c r="D7064" s="9" t="inlineStr">
        <is>
          <t>Short</t>
        </is>
      </c>
      <c r="E7064" s="10" t="n">
        <v>46182.17708333334</v>
      </c>
      <c r="F7064" s="10" t="n">
        <v>46182.19791666666</v>
      </c>
      <c r="G7064" s="11" t="n">
        <v>-11.87</v>
      </c>
      <c r="H7064" s="11">
        <f>H7063+G7064</f>
        <v/>
      </c>
    </row>
    <row r="7065">
      <c r="A7065" s="9" t="n">
        <v>7061</v>
      </c>
      <c r="B7065" s="9" t="inlineStr">
        <is>
          <t>Meridian</t>
        </is>
      </c>
      <c r="C7065" s="9" t="inlineStr">
        <is>
          <t>21/50 MA cross, 250-period confirm filter, VWAP</t>
        </is>
      </c>
      <c r="D7065" s="9" t="inlineStr">
        <is>
          <t>Long</t>
        </is>
      </c>
      <c r="E7065" s="10" t="n">
        <v>46182.19444444445</v>
      </c>
      <c r="F7065" s="10" t="n">
        <v>46182.43402777778</v>
      </c>
      <c r="G7065" s="11" t="n">
        <v>-5.06</v>
      </c>
      <c r="H7065" s="11">
        <f>H7064+G7065</f>
        <v/>
      </c>
    </row>
    <row r="7066">
      <c r="A7066" s="9" t="n">
        <v>7062</v>
      </c>
      <c r="B7066" s="9" t="inlineStr">
        <is>
          <t>Meridian</t>
        </is>
      </c>
      <c r="C7066" s="9" t="inlineStr">
        <is>
          <t>21/50 MA cross, 250-period confirm filter, VWAP</t>
        </is>
      </c>
      <c r="D7066" s="9" t="inlineStr">
        <is>
          <t>Long</t>
        </is>
      </c>
      <c r="E7066" s="10" t="n">
        <v>46182.57986111111</v>
      </c>
      <c r="F7066" s="10" t="n">
        <v>46182.71180555555</v>
      </c>
      <c r="G7066" s="11" t="n">
        <v>-6.15</v>
      </c>
      <c r="H7066" s="11">
        <f>H7065+G7066</f>
        <v/>
      </c>
    </row>
    <row r="7067">
      <c r="A7067" s="9" t="n">
        <v>7063</v>
      </c>
      <c r="B7067" s="9" t="inlineStr">
        <is>
          <t>Vanguard_M15</t>
        </is>
      </c>
      <c r="C7067" s="9" t="inlineStr">
        <is>
          <t>Trendline breakout (fractal swing line) + VWAP/S-R distance gate - M15 chart</t>
        </is>
      </c>
      <c r="D7067" s="9" t="inlineStr">
        <is>
          <t>Long</t>
        </is>
      </c>
      <c r="E7067" s="10" t="n">
        <v>46182.08333333334</v>
      </c>
      <c r="F7067" s="10" t="n">
        <v>46182.71875</v>
      </c>
      <c r="G7067" s="11" t="n">
        <v>-19.05</v>
      </c>
      <c r="H7067" s="11">
        <f>H7066+G7067</f>
        <v/>
      </c>
    </row>
    <row r="7068">
      <c r="A7068" s="9" t="n">
        <v>7064</v>
      </c>
      <c r="B7068" s="9" t="inlineStr">
        <is>
          <t>Aurelius_M5</t>
        </is>
      </c>
      <c r="C7068" s="9" t="inlineStr">
        <is>
          <t>MA alignment (EMA21&gt;EMA50&gt;SMA250&gt;SMMA500 vs EMA2400 trend filter)</t>
        </is>
      </c>
      <c r="D7068" s="9" t="inlineStr">
        <is>
          <t>Short</t>
        </is>
      </c>
      <c r="E7068" s="10" t="n">
        <v>46182.73611111111</v>
      </c>
      <c r="F7068" s="10" t="n">
        <v>46183.04166666666</v>
      </c>
      <c r="G7068" s="11" t="n">
        <v>45.59</v>
      </c>
      <c r="H7068" s="11">
        <f>H7067+G7068</f>
        <v/>
      </c>
    </row>
    <row r="7069">
      <c r="A7069" s="9" t="n">
        <v>7065</v>
      </c>
      <c r="B7069" s="9" t="inlineStr">
        <is>
          <t>Ratchet</t>
        </is>
      </c>
      <c r="C7069" s="9" t="inlineStr">
        <is>
          <t>Stochastic scalp with give-back trail exit</t>
        </is>
      </c>
      <c r="D7069" s="9" t="inlineStr">
        <is>
          <t>Short</t>
        </is>
      </c>
      <c r="E7069" s="10" t="n">
        <v>46183.06944444445</v>
      </c>
      <c r="F7069" s="10" t="n">
        <v>46183.34722222222</v>
      </c>
      <c r="G7069" s="11" t="n">
        <v>75.97</v>
      </c>
      <c r="H7069" s="11">
        <f>H7068+G7069</f>
        <v/>
      </c>
    </row>
    <row r="7070">
      <c r="A7070" s="9" t="n">
        <v>7066</v>
      </c>
      <c r="B7070" s="9" t="inlineStr">
        <is>
          <t>Ratchet</t>
        </is>
      </c>
      <c r="C7070" s="9" t="inlineStr">
        <is>
          <t>Stochastic scalp with give-back trail exit</t>
        </is>
      </c>
      <c r="D7070" s="9" t="inlineStr">
        <is>
          <t>Short</t>
        </is>
      </c>
      <c r="E7070" s="10" t="n">
        <v>46183.46875</v>
      </c>
      <c r="F7070" s="10" t="n">
        <v>46183.55208333334</v>
      </c>
      <c r="G7070" s="11" t="n">
        <v>2.07</v>
      </c>
      <c r="H7070" s="11">
        <f>H7069+G7070</f>
        <v/>
      </c>
    </row>
    <row r="7071">
      <c r="A7071" s="9" t="n">
        <v>7067</v>
      </c>
      <c r="B7071" s="9" t="inlineStr">
        <is>
          <t>Ratchet</t>
        </is>
      </c>
      <c r="C7071" s="9" t="inlineStr">
        <is>
          <t>Stochastic scalp with give-back trail exit</t>
        </is>
      </c>
      <c r="D7071" s="9" t="inlineStr">
        <is>
          <t>Short</t>
        </is>
      </c>
      <c r="E7071" s="10" t="n">
        <v>46183.5625</v>
      </c>
      <c r="F7071" s="10" t="n">
        <v>46183.57291666666</v>
      </c>
      <c r="G7071" s="11" t="n">
        <v>-12.29</v>
      </c>
      <c r="H7071" s="11">
        <f>H7070+G7071</f>
        <v/>
      </c>
    </row>
    <row r="7072">
      <c r="A7072" s="9" t="n">
        <v>7068</v>
      </c>
      <c r="B7072" s="9" t="inlineStr">
        <is>
          <t>Ratchet</t>
        </is>
      </c>
      <c r="C7072" s="9" t="inlineStr">
        <is>
          <t>Stochastic scalp with give-back trail exit</t>
        </is>
      </c>
      <c r="D7072" s="9" t="inlineStr">
        <is>
          <t>Short</t>
        </is>
      </c>
      <c r="E7072" s="10" t="n">
        <v>46183.59027777778</v>
      </c>
      <c r="F7072" s="10" t="n">
        <v>46183.61111111111</v>
      </c>
      <c r="G7072" s="11" t="n">
        <v>1.33</v>
      </c>
      <c r="H7072" s="11">
        <f>H7071+G7072</f>
        <v/>
      </c>
    </row>
    <row r="7073">
      <c r="A7073" s="9" t="n">
        <v>7069</v>
      </c>
      <c r="B7073" s="9" t="inlineStr">
        <is>
          <t>Ratchet</t>
        </is>
      </c>
      <c r="C7073" s="9" t="inlineStr">
        <is>
          <t>Stochastic scalp with give-back trail exit</t>
        </is>
      </c>
      <c r="D7073" s="9" t="inlineStr">
        <is>
          <t>Short</t>
        </is>
      </c>
      <c r="E7073" s="10" t="n">
        <v>46183.61458333334</v>
      </c>
      <c r="F7073" s="10" t="n">
        <v>46183.625</v>
      </c>
      <c r="G7073" s="11" t="n">
        <v>1.98</v>
      </c>
      <c r="H7073" s="11">
        <f>H7072+G7073</f>
        <v/>
      </c>
    </row>
    <row r="7074">
      <c r="A7074" s="9" t="n">
        <v>7070</v>
      </c>
      <c r="B7074" s="9" t="inlineStr">
        <is>
          <t>Ratchet</t>
        </is>
      </c>
      <c r="C7074" s="9" t="inlineStr">
        <is>
          <t>Stochastic scalp with give-back trail exit</t>
        </is>
      </c>
      <c r="D7074" s="9" t="inlineStr">
        <is>
          <t>Short</t>
        </is>
      </c>
      <c r="E7074" s="10" t="n">
        <v>46183.62847222222</v>
      </c>
      <c r="F7074" s="10" t="n">
        <v>46183.64583333334</v>
      </c>
      <c r="G7074" s="11" t="n">
        <v>3.66</v>
      </c>
      <c r="H7074" s="11">
        <f>H7073+G7074</f>
        <v/>
      </c>
    </row>
    <row r="7075">
      <c r="A7075" s="9" t="n">
        <v>7071</v>
      </c>
      <c r="B7075" s="9" t="inlineStr">
        <is>
          <t>Aurelius_M5</t>
        </is>
      </c>
      <c r="C7075" s="9" t="inlineStr">
        <is>
          <t>MA alignment (EMA21&gt;EMA50&gt;SMA250&gt;SMMA500 vs EMA2400 trend filter)</t>
        </is>
      </c>
      <c r="D7075" s="9" t="inlineStr">
        <is>
          <t>Short</t>
        </is>
      </c>
      <c r="E7075" s="10" t="n">
        <v>46183.60416666666</v>
      </c>
      <c r="F7075" s="10" t="n">
        <v>46183.70138888889</v>
      </c>
      <c r="G7075" s="11" t="n">
        <v>-19.63</v>
      </c>
      <c r="H7075" s="11">
        <f>H7074+G7075</f>
        <v/>
      </c>
    </row>
    <row r="7076">
      <c r="A7076" s="9" t="n">
        <v>7072</v>
      </c>
      <c r="B7076" s="9" t="inlineStr">
        <is>
          <t>Meridian</t>
        </is>
      </c>
      <c r="C7076" s="9" t="inlineStr">
        <is>
          <t>21/50 MA cross, 250-period confirm filter, VWAP</t>
        </is>
      </c>
      <c r="D7076" s="9" t="inlineStr">
        <is>
          <t>Short</t>
        </is>
      </c>
      <c r="E7076" s="10" t="n">
        <v>46183.45833333334</v>
      </c>
      <c r="F7076" s="10" t="n">
        <v>46183.71527777778</v>
      </c>
      <c r="G7076" s="11" t="n">
        <v>12.24</v>
      </c>
      <c r="H7076" s="11">
        <f>H7075+G7076</f>
        <v/>
      </c>
    </row>
    <row r="7077">
      <c r="A7077" s="9" t="n">
        <v>7073</v>
      </c>
      <c r="B7077" s="9" t="inlineStr">
        <is>
          <t>Ratchet</t>
        </is>
      </c>
      <c r="C7077" s="9" t="inlineStr">
        <is>
          <t>Stochastic scalp with give-back trail exit</t>
        </is>
      </c>
      <c r="D7077" s="9" t="inlineStr">
        <is>
          <t>Short</t>
        </is>
      </c>
      <c r="E7077" s="10" t="n">
        <v>46183.82986111111</v>
      </c>
      <c r="F7077" s="10" t="n">
        <v>46183.875</v>
      </c>
      <c r="G7077" s="11" t="n">
        <v>5.24</v>
      </c>
      <c r="H7077" s="11">
        <f>H7076+G7077</f>
        <v/>
      </c>
    </row>
    <row r="7078">
      <c r="A7078" s="9" t="n">
        <v>7074</v>
      </c>
      <c r="B7078" s="9" t="inlineStr">
        <is>
          <t>Ratchet</t>
        </is>
      </c>
      <c r="C7078" s="9" t="inlineStr">
        <is>
          <t>Stochastic scalp with give-back trail exit</t>
        </is>
      </c>
      <c r="D7078" s="9" t="inlineStr">
        <is>
          <t>Short</t>
        </is>
      </c>
      <c r="E7078" s="10" t="n">
        <v>46183.89583333334</v>
      </c>
      <c r="F7078" s="10" t="n">
        <v>46183.99652777778</v>
      </c>
      <c r="G7078" s="11" t="n">
        <v>42.95</v>
      </c>
      <c r="H7078" s="11">
        <f>H7077+G7078</f>
        <v/>
      </c>
    </row>
    <row r="7079">
      <c r="A7079" s="9" t="n">
        <v>7075</v>
      </c>
      <c r="B7079" s="9" t="inlineStr">
        <is>
          <t>Aurelius_M5</t>
        </is>
      </c>
      <c r="C7079" s="9" t="inlineStr">
        <is>
          <t>MA alignment (EMA21&gt;EMA50&gt;SMA250&gt;SMMA500 vs EMA2400 trend filter)</t>
        </is>
      </c>
      <c r="D7079" s="9" t="inlineStr">
        <is>
          <t>Short</t>
        </is>
      </c>
      <c r="E7079" s="10" t="n">
        <v>46183.76736111111</v>
      </c>
      <c r="F7079" s="10" t="n">
        <v>46184.04166666666</v>
      </c>
      <c r="G7079" s="11" t="n">
        <v>58.84</v>
      </c>
      <c r="H7079" s="11">
        <f>H7078+G7079</f>
        <v/>
      </c>
    </row>
    <row r="7080">
      <c r="A7080" s="9" t="n">
        <v>7076</v>
      </c>
      <c r="B7080" s="9" t="inlineStr">
        <is>
          <t>Ratchet</t>
        </is>
      </c>
      <c r="C7080" s="9" t="inlineStr">
        <is>
          <t>Stochastic scalp with give-back trail exit</t>
        </is>
      </c>
      <c r="D7080" s="9" t="inlineStr">
        <is>
          <t>Short</t>
        </is>
      </c>
      <c r="E7080" s="10" t="n">
        <v>46184.12847222222</v>
      </c>
      <c r="F7080" s="10" t="n">
        <v>46184.13541666666</v>
      </c>
      <c r="G7080" s="11" t="n">
        <v>-19.94</v>
      </c>
      <c r="H7080" s="11">
        <f>H7079+G7080</f>
        <v/>
      </c>
    </row>
    <row r="7081">
      <c r="A7081" s="9" t="n">
        <v>7077</v>
      </c>
      <c r="B7081" s="9" t="inlineStr">
        <is>
          <t>Meridian</t>
        </is>
      </c>
      <c r="C7081" s="9" t="inlineStr">
        <is>
          <t>21/50 MA cross, 250-period confirm filter, VWAP</t>
        </is>
      </c>
      <c r="D7081" s="9" t="inlineStr">
        <is>
          <t>Short</t>
        </is>
      </c>
      <c r="E7081" s="10" t="n">
        <v>46183.73958333334</v>
      </c>
      <c r="F7081" s="10" t="n">
        <v>46184.18402777778</v>
      </c>
      <c r="G7081" s="11" t="n">
        <v>47.09</v>
      </c>
      <c r="H7081" s="11">
        <f>H7080+G7081</f>
        <v/>
      </c>
    </row>
    <row r="7082">
      <c r="A7082" s="9" t="n">
        <v>7078</v>
      </c>
      <c r="B7082" s="9" t="inlineStr">
        <is>
          <t>Aurelius_M15</t>
        </is>
      </c>
      <c r="C7082" s="9" t="inlineStr">
        <is>
          <t>MA alignment (EMA21&gt;EMA50&gt;SMA250&gt;SMMA500 vs EMA2400 trend filter) - M15 chart</t>
        </is>
      </c>
      <c r="D7082" s="9" t="inlineStr">
        <is>
          <t>Short</t>
        </is>
      </c>
      <c r="E7082" s="10" t="n">
        <v>46182.76041666666</v>
      </c>
      <c r="F7082" s="10" t="n">
        <v>46184.21875</v>
      </c>
      <c r="G7082" s="11" t="n">
        <v>205.01</v>
      </c>
      <c r="H7082" s="11">
        <f>H7081+G7082</f>
        <v/>
      </c>
    </row>
    <row r="7083">
      <c r="A7083" s="9" t="n">
        <v>7079</v>
      </c>
      <c r="B7083" s="9" t="inlineStr">
        <is>
          <t>Ratchet</t>
        </is>
      </c>
      <c r="C7083" s="9" t="inlineStr">
        <is>
          <t>Stochastic scalp with give-back trail exit</t>
        </is>
      </c>
      <c r="D7083" s="9" t="inlineStr">
        <is>
          <t>Short</t>
        </is>
      </c>
      <c r="E7083" s="10" t="n">
        <v>46184.26388888889</v>
      </c>
      <c r="F7083" s="10" t="n">
        <v>46184.29861111111</v>
      </c>
      <c r="G7083" s="11" t="n">
        <v>-16.31</v>
      </c>
      <c r="H7083" s="11">
        <f>H7082+G7083</f>
        <v/>
      </c>
    </row>
    <row r="7084">
      <c r="A7084" s="9" t="n">
        <v>7080</v>
      </c>
      <c r="B7084" s="9" t="inlineStr">
        <is>
          <t>Ratchet</t>
        </is>
      </c>
      <c r="C7084" s="9" t="inlineStr">
        <is>
          <t>Stochastic scalp with give-back trail exit</t>
        </is>
      </c>
      <c r="D7084" s="9" t="inlineStr">
        <is>
          <t>Short</t>
        </is>
      </c>
      <c r="E7084" s="10" t="n">
        <v>46184.60069444445</v>
      </c>
      <c r="F7084" s="10" t="n">
        <v>46184.60416666666</v>
      </c>
      <c r="G7084" s="11" t="n">
        <v>-9.24</v>
      </c>
      <c r="H7084" s="11">
        <f>H7083+G7084</f>
        <v/>
      </c>
    </row>
    <row r="7085">
      <c r="A7085" s="9" t="n">
        <v>7081</v>
      </c>
      <c r="B7085" s="9" t="inlineStr">
        <is>
          <t>MSG</t>
        </is>
      </c>
      <c r="C7085" s="9" t="inlineStr">
        <is>
          <t>Session-range breakout + Fibonacci retracement-zone entry</t>
        </is>
      </c>
      <c r="D7085" s="9" t="inlineStr">
        <is>
          <t>Short</t>
        </is>
      </c>
      <c r="E7085" s="10" t="n">
        <v>46184.66944444444</v>
      </c>
      <c r="F7085" s="10" t="n">
        <v>46184.69791666666</v>
      </c>
      <c r="G7085" s="11" t="n">
        <v>16.52</v>
      </c>
      <c r="H7085" s="11">
        <f>H7084+G7085</f>
        <v/>
      </c>
    </row>
    <row r="7086">
      <c r="A7086" s="9" t="n">
        <v>7082</v>
      </c>
      <c r="B7086" s="9" t="inlineStr">
        <is>
          <t>Aurelius_M5</t>
        </is>
      </c>
      <c r="C7086" s="9" t="inlineStr">
        <is>
          <t>MA alignment (EMA21&gt;EMA50&gt;SMA250&gt;SMMA500 vs EMA2400 trend filter)</t>
        </is>
      </c>
      <c r="D7086" s="9" t="inlineStr">
        <is>
          <t>Short</t>
        </is>
      </c>
      <c r="E7086" s="10" t="n">
        <v>46184.66319444445</v>
      </c>
      <c r="F7086" s="10" t="n">
        <v>46184.78472222222</v>
      </c>
      <c r="G7086" s="11" t="n">
        <v>-9.720000000000001</v>
      </c>
      <c r="H7086" s="11">
        <f>H7085+G7086</f>
        <v/>
      </c>
    </row>
    <row r="7087">
      <c r="A7087" s="9" t="n">
        <v>7083</v>
      </c>
      <c r="B7087" s="9" t="inlineStr">
        <is>
          <t>Meridian</t>
        </is>
      </c>
      <c r="C7087" s="9" t="inlineStr">
        <is>
          <t>21/50 MA cross, 250-period confirm filter, VWAP</t>
        </is>
      </c>
      <c r="D7087" s="9" t="inlineStr">
        <is>
          <t>Long</t>
        </is>
      </c>
      <c r="E7087" s="10" t="n">
        <v>46184.78472222222</v>
      </c>
      <c r="F7087" s="10" t="n">
        <v>46184.84722222222</v>
      </c>
      <c r="G7087" s="11" t="n">
        <v>-11.67</v>
      </c>
      <c r="H7087" s="11">
        <f>H7086+G7087</f>
        <v/>
      </c>
    </row>
    <row r="7088">
      <c r="A7088" s="9" t="n">
        <v>7084</v>
      </c>
      <c r="B7088" s="9" t="inlineStr">
        <is>
          <t>Meridian</t>
        </is>
      </c>
      <c r="C7088" s="9" t="inlineStr">
        <is>
          <t>21/50 MA cross, 250-period confirm filter, VWAP</t>
        </is>
      </c>
      <c r="D7088" s="9" t="inlineStr">
        <is>
          <t>Long</t>
        </is>
      </c>
      <c r="E7088" s="10" t="n">
        <v>46184.85416666666</v>
      </c>
      <c r="F7088" s="10" t="n">
        <v>46185.1875</v>
      </c>
      <c r="G7088" s="11" t="n">
        <v>79.05</v>
      </c>
      <c r="H7088" s="11">
        <f>H7087+G7088</f>
        <v/>
      </c>
    </row>
    <row r="7089">
      <c r="A7089" s="9" t="n">
        <v>7085</v>
      </c>
      <c r="B7089" s="9" t="inlineStr">
        <is>
          <t>Meridian</t>
        </is>
      </c>
      <c r="C7089" s="9" t="inlineStr">
        <is>
          <t>21/50 MA cross, 250-period confirm filter, VWAP</t>
        </is>
      </c>
      <c r="D7089" s="9" t="inlineStr">
        <is>
          <t>Long</t>
        </is>
      </c>
      <c r="E7089" s="10" t="n">
        <v>46185.47222222222</v>
      </c>
      <c r="F7089" s="10" t="n">
        <v>46185.60416666666</v>
      </c>
      <c r="G7089" s="11" t="n">
        <v>-19.39</v>
      </c>
      <c r="H7089" s="11">
        <f>H7088+G7089</f>
        <v/>
      </c>
    </row>
    <row r="7090">
      <c r="A7090" s="9" t="n">
        <v>7086</v>
      </c>
      <c r="B7090" s="9" t="inlineStr">
        <is>
          <t>Vanguard_M5</t>
        </is>
      </c>
      <c r="C7090" s="9" t="inlineStr">
        <is>
          <t>Trendline breakout (fractal swing line) + VWAP/S-R distance gate</t>
        </is>
      </c>
      <c r="D7090" s="9" t="inlineStr">
        <is>
          <t>Long</t>
        </is>
      </c>
      <c r="E7090" s="10" t="n">
        <v>46185.52430555555</v>
      </c>
      <c r="F7090" s="10" t="n">
        <v>46185.60416666666</v>
      </c>
      <c r="G7090" s="11" t="n">
        <v>-26.95</v>
      </c>
      <c r="H7090" s="11">
        <f>H7089+G7090</f>
        <v/>
      </c>
    </row>
    <row r="7091">
      <c r="A7091" s="9" t="n">
        <v>7087</v>
      </c>
      <c r="B7091" s="9" t="inlineStr">
        <is>
          <t>Vanguard_M15</t>
        </is>
      </c>
      <c r="C7091" s="9" t="inlineStr">
        <is>
          <t>Trendline breakout (fractal swing line) + VWAP/S-R distance gate - M15 chart</t>
        </is>
      </c>
      <c r="D7091" s="9" t="inlineStr">
        <is>
          <t>Long</t>
        </is>
      </c>
      <c r="E7091" s="10" t="n">
        <v>46185.51041666666</v>
      </c>
      <c r="F7091" s="10" t="n">
        <v>46185.65625</v>
      </c>
      <c r="G7091" s="11" t="n">
        <v>-34.57</v>
      </c>
      <c r="H7091" s="11">
        <f>H7090+G7091</f>
        <v/>
      </c>
    </row>
    <row r="7092">
      <c r="A7092" s="9" t="n">
        <v>7088</v>
      </c>
      <c r="B7092" s="9" t="inlineStr">
        <is>
          <t>Vanguard_M15</t>
        </is>
      </c>
      <c r="C7092" s="9" t="inlineStr">
        <is>
          <t>Trendline breakout (fractal swing line) + VWAP/S-R distance gate - M15 chart</t>
        </is>
      </c>
      <c r="D7092" s="9" t="inlineStr">
        <is>
          <t>Long</t>
        </is>
      </c>
      <c r="E7092" s="10" t="n">
        <v>46185.76041666666</v>
      </c>
      <c r="F7092" s="10" t="n">
        <v>46185.78125</v>
      </c>
      <c r="G7092" s="11" t="n">
        <v>-2.36</v>
      </c>
      <c r="H7092" s="11">
        <f>H7091+G7092</f>
        <v/>
      </c>
    </row>
    <row r="7093">
      <c r="A7093" s="9" t="n">
        <v>7089</v>
      </c>
      <c r="B7093" s="9" t="inlineStr">
        <is>
          <t>Vanguard_M5</t>
        </is>
      </c>
      <c r="C7093" s="9" t="inlineStr">
        <is>
          <t>Trendline breakout (fractal swing line) + VWAP/S-R distance gate</t>
        </is>
      </c>
      <c r="D7093" s="9" t="inlineStr">
        <is>
          <t>Long</t>
        </is>
      </c>
      <c r="E7093" s="10" t="n">
        <v>46185.76041666666</v>
      </c>
      <c r="F7093" s="10" t="n">
        <v>46185.78472222222</v>
      </c>
      <c r="G7093" s="11" t="n">
        <v>1.16</v>
      </c>
      <c r="H7093" s="11">
        <f>H7092+G7093</f>
        <v/>
      </c>
    </row>
    <row r="7094">
      <c r="A7094" s="9" t="n">
        <v>7090</v>
      </c>
      <c r="B7094" s="9" t="inlineStr">
        <is>
          <t>Vanguard_M5</t>
        </is>
      </c>
      <c r="C7094" s="9" t="inlineStr">
        <is>
          <t>Trendline breakout (fractal swing line) + VWAP/S-R distance gate</t>
        </is>
      </c>
      <c r="D7094" s="9" t="inlineStr">
        <is>
          <t>Long</t>
        </is>
      </c>
      <c r="E7094" s="10" t="n">
        <v>46185.78819444445</v>
      </c>
      <c r="F7094" s="10" t="n">
        <v>46185.78819444445</v>
      </c>
      <c r="G7094" s="11" t="n">
        <v>-3.76</v>
      </c>
      <c r="H7094" s="11">
        <f>H7093+G7094</f>
        <v/>
      </c>
    </row>
    <row r="7095">
      <c r="A7095" s="9" t="n">
        <v>7091</v>
      </c>
      <c r="B7095" s="9" t="inlineStr">
        <is>
          <t>Meridian</t>
        </is>
      </c>
      <c r="C7095" s="9" t="inlineStr">
        <is>
          <t>21/50 MA cross, 250-period confirm filter, VWAP</t>
        </is>
      </c>
      <c r="D7095" s="9" t="inlineStr">
        <is>
          <t>Long</t>
        </is>
      </c>
      <c r="E7095" s="10" t="n">
        <v>46185.76736111111</v>
      </c>
      <c r="F7095" s="10" t="n">
        <v>46185.91666666666</v>
      </c>
      <c r="G7095" s="11" t="n">
        <v>-12.93</v>
      </c>
      <c r="H7095" s="11">
        <f>H7094+G7095</f>
        <v/>
      </c>
    </row>
    <row r="7096">
      <c r="A7096" s="9" t="n">
        <v>7092</v>
      </c>
      <c r="B7096" s="9" t="inlineStr">
        <is>
          <t>Ratchet</t>
        </is>
      </c>
      <c r="C7096" s="9" t="inlineStr">
        <is>
          <t>Stochastic scalp with give-back trail exit</t>
        </is>
      </c>
      <c r="D7096" s="9" t="inlineStr">
        <is>
          <t>Long</t>
        </is>
      </c>
      <c r="E7096" s="10" t="n">
        <v>46188.12847222222</v>
      </c>
      <c r="F7096" s="10" t="n">
        <v>46188.14583333334</v>
      </c>
      <c r="G7096" s="11" t="n">
        <v>3.43</v>
      </c>
      <c r="H7096" s="11">
        <f>H7095+G7096</f>
        <v/>
      </c>
    </row>
    <row r="7097">
      <c r="A7097" s="9" t="n">
        <v>7093</v>
      </c>
      <c r="B7097" s="9" t="inlineStr">
        <is>
          <t>Vanguard_M5</t>
        </is>
      </c>
      <c r="C7097" s="9" t="inlineStr">
        <is>
          <t>Trendline breakout (fractal swing line) + VWAP/S-R distance gate</t>
        </is>
      </c>
      <c r="D7097" s="9" t="inlineStr">
        <is>
          <t>Short</t>
        </is>
      </c>
      <c r="E7097" s="10" t="n">
        <v>46188.17361111111</v>
      </c>
      <c r="F7097" s="10" t="n">
        <v>46188.1875</v>
      </c>
      <c r="G7097" s="11" t="n">
        <v>-25.08</v>
      </c>
      <c r="H7097" s="11">
        <f>H7096+G7097</f>
        <v/>
      </c>
    </row>
    <row r="7098">
      <c r="A7098" s="9" t="n">
        <v>7094</v>
      </c>
      <c r="B7098" s="9" t="inlineStr">
        <is>
          <t>Ratchet</t>
        </is>
      </c>
      <c r="C7098" s="9" t="inlineStr">
        <is>
          <t>Stochastic scalp with give-back trail exit</t>
        </is>
      </c>
      <c r="D7098" s="9" t="inlineStr">
        <is>
          <t>Long</t>
        </is>
      </c>
      <c r="E7098" s="10" t="n">
        <v>46188.1875</v>
      </c>
      <c r="F7098" s="10" t="n">
        <v>46188.36111111111</v>
      </c>
      <c r="G7098" s="11" t="n">
        <v>9.220000000000001</v>
      </c>
      <c r="H7098" s="11">
        <f>H7097+G7098</f>
        <v/>
      </c>
    </row>
    <row r="7099">
      <c r="A7099" s="9" t="n">
        <v>7095</v>
      </c>
      <c r="B7099" s="9" t="inlineStr">
        <is>
          <t>Ratchet</t>
        </is>
      </c>
      <c r="C7099" s="9" t="inlineStr">
        <is>
          <t>Stochastic scalp with give-back trail exit</t>
        </is>
      </c>
      <c r="D7099" s="9" t="inlineStr">
        <is>
          <t>Long</t>
        </is>
      </c>
      <c r="E7099" s="10" t="n">
        <v>46188.47222222222</v>
      </c>
      <c r="F7099" s="10" t="n">
        <v>46188.61458333334</v>
      </c>
      <c r="G7099" s="11" t="n">
        <v>5.09</v>
      </c>
      <c r="H7099" s="11">
        <f>H7098+G7099</f>
        <v/>
      </c>
    </row>
    <row r="7100">
      <c r="A7100" s="9" t="n">
        <v>7096</v>
      </c>
      <c r="B7100" s="9" t="inlineStr">
        <is>
          <t>Aurelius_M5</t>
        </is>
      </c>
      <c r="C7100" s="9" t="inlineStr">
        <is>
          <t>MA alignment (EMA21&gt;EMA50&gt;SMA250&gt;SMMA500 vs EMA2400 trend filter)</t>
        </is>
      </c>
      <c r="D7100" s="9" t="inlineStr">
        <is>
          <t>Long</t>
        </is>
      </c>
      <c r="E7100" s="10" t="n">
        <v>46188.48263888889</v>
      </c>
      <c r="F7100" s="10" t="n">
        <v>46188.63541666666</v>
      </c>
      <c r="G7100" s="11" t="n">
        <v>-13.76</v>
      </c>
      <c r="H7100" s="11">
        <f>H7099+G7100</f>
        <v/>
      </c>
    </row>
    <row r="7101">
      <c r="A7101" s="9" t="n">
        <v>7097</v>
      </c>
      <c r="B7101" s="9" t="inlineStr">
        <is>
          <t>Ratchet</t>
        </is>
      </c>
      <c r="C7101" s="9" t="inlineStr">
        <is>
          <t>Stochastic scalp with give-back trail exit</t>
        </is>
      </c>
      <c r="D7101" s="9" t="inlineStr">
        <is>
          <t>Long</t>
        </is>
      </c>
      <c r="E7101" s="10" t="n">
        <v>46188.65972222222</v>
      </c>
      <c r="F7101" s="10" t="n">
        <v>46188.66666666666</v>
      </c>
      <c r="G7101" s="11" t="n">
        <v>0</v>
      </c>
      <c r="H7101" s="11">
        <f>H7100+G7101</f>
        <v/>
      </c>
    </row>
    <row r="7102">
      <c r="A7102" s="9" t="n">
        <v>7098</v>
      </c>
      <c r="B7102" s="9" t="inlineStr">
        <is>
          <t>Ratchet</t>
        </is>
      </c>
      <c r="C7102" s="9" t="inlineStr">
        <is>
          <t>Stochastic scalp with give-back trail exit</t>
        </is>
      </c>
      <c r="D7102" s="9" t="inlineStr">
        <is>
          <t>Long</t>
        </is>
      </c>
      <c r="E7102" s="10" t="n">
        <v>46188.68402777778</v>
      </c>
      <c r="F7102" s="10" t="n">
        <v>46188.70138888889</v>
      </c>
      <c r="G7102" s="11" t="n">
        <v>2.8</v>
      </c>
      <c r="H7102" s="11">
        <f>H7101+G7102</f>
        <v/>
      </c>
    </row>
    <row r="7103">
      <c r="A7103" s="9" t="n">
        <v>7099</v>
      </c>
      <c r="B7103" s="9" t="inlineStr">
        <is>
          <t>Meridian</t>
        </is>
      </c>
      <c r="C7103" s="9" t="inlineStr">
        <is>
          <t>21/50 MA cross, 250-period confirm filter, VWAP</t>
        </is>
      </c>
      <c r="D7103" s="9" t="inlineStr">
        <is>
          <t>Long</t>
        </is>
      </c>
      <c r="E7103" s="10" t="n">
        <v>46188.45833333334</v>
      </c>
      <c r="F7103" s="10" t="n">
        <v>46188.81944444445</v>
      </c>
      <c r="G7103" s="11" t="n">
        <v>15.65</v>
      </c>
      <c r="H7103" s="11">
        <f>H7102+G7103</f>
        <v/>
      </c>
    </row>
    <row r="7104">
      <c r="A7104" s="9" t="n">
        <v>7100</v>
      </c>
      <c r="B7104" s="9" t="inlineStr">
        <is>
          <t>Aurelius_M5</t>
        </is>
      </c>
      <c r="C7104" s="9" t="inlineStr">
        <is>
          <t>MA alignment (EMA21&gt;EMA50&gt;SMA250&gt;SMMA500 vs EMA2400 trend filter)</t>
        </is>
      </c>
      <c r="D7104" s="9" t="inlineStr">
        <is>
          <t>Long</t>
        </is>
      </c>
      <c r="E7104" s="10" t="n">
        <v>46188.65277777778</v>
      </c>
      <c r="F7104" s="10" t="n">
        <v>46188.81944444445</v>
      </c>
      <c r="G7104" s="11" t="n">
        <v>-5.3</v>
      </c>
      <c r="H7104" s="11">
        <f>H7103+G7104</f>
        <v/>
      </c>
    </row>
    <row r="7105">
      <c r="A7105" s="9" t="n">
        <v>7101</v>
      </c>
      <c r="B7105" s="9" t="inlineStr">
        <is>
          <t>Ratchet</t>
        </is>
      </c>
      <c r="C7105" s="9" t="inlineStr">
        <is>
          <t>Stochastic scalp with give-back trail exit</t>
        </is>
      </c>
      <c r="D7105" s="9" t="inlineStr">
        <is>
          <t>Long</t>
        </is>
      </c>
      <c r="E7105" s="10" t="n">
        <v>46189.45138888889</v>
      </c>
      <c r="F7105" s="10" t="n">
        <v>46189.68055555555</v>
      </c>
      <c r="G7105" s="11" t="n">
        <v>7.96</v>
      </c>
      <c r="H7105" s="11">
        <f>H7104+G7105</f>
        <v/>
      </c>
    </row>
    <row r="7106">
      <c r="A7106" s="9" t="n">
        <v>7102</v>
      </c>
      <c r="B7106" s="9" t="inlineStr">
        <is>
          <t>Aurelius_M5</t>
        </is>
      </c>
      <c r="C7106" s="9" t="inlineStr">
        <is>
          <t>MA alignment (EMA21&gt;EMA50&gt;SMA250&gt;SMMA500 vs EMA2400 trend filter)</t>
        </is>
      </c>
      <c r="D7106" s="9" t="inlineStr">
        <is>
          <t>Long</t>
        </is>
      </c>
      <c r="E7106" s="10" t="n">
        <v>46189.63194444445</v>
      </c>
      <c r="F7106" s="10" t="n">
        <v>46189.68055555555</v>
      </c>
      <c r="G7106" s="11" t="n">
        <v>-9.35</v>
      </c>
      <c r="H7106" s="11">
        <f>H7105+G7106</f>
        <v/>
      </c>
    </row>
    <row r="7107">
      <c r="A7107" s="9" t="n">
        <v>7103</v>
      </c>
      <c r="B7107" s="9" t="inlineStr">
        <is>
          <t>Aurelius_M15</t>
        </is>
      </c>
      <c r="C7107" s="9" t="inlineStr">
        <is>
          <t>MA alignment (EMA21&gt;EMA50&gt;SMA250&gt;SMMA500 vs EMA2400 trend filter) - M15 chart</t>
        </is>
      </c>
      <c r="D7107" s="9" t="inlineStr">
        <is>
          <t>Long</t>
        </is>
      </c>
      <c r="E7107" s="10" t="n">
        <v>46189.80208333334</v>
      </c>
      <c r="F7107" s="10" t="n">
        <v>46189.84375</v>
      </c>
      <c r="G7107" s="11" t="n">
        <v>-10.51</v>
      </c>
      <c r="H7107" s="11">
        <f>H7106+G7107</f>
        <v/>
      </c>
    </row>
    <row r="7108">
      <c r="A7108" s="9" t="n">
        <v>7104</v>
      </c>
      <c r="B7108" s="9" t="inlineStr">
        <is>
          <t>Meridian</t>
        </is>
      </c>
      <c r="C7108" s="9" t="inlineStr">
        <is>
          <t>21/50 MA cross, 250-period confirm filter, VWAP</t>
        </is>
      </c>
      <c r="D7108" s="9" t="inlineStr">
        <is>
          <t>Long</t>
        </is>
      </c>
      <c r="E7108" s="10" t="n">
        <v>46189.80902777778</v>
      </c>
      <c r="F7108" s="10" t="n">
        <v>46189.84722222222</v>
      </c>
      <c r="G7108" s="11" t="n">
        <v>-13.77</v>
      </c>
      <c r="H7108" s="11">
        <f>H7107+G7108</f>
        <v/>
      </c>
    </row>
    <row r="7109">
      <c r="A7109" s="9" t="n">
        <v>7105</v>
      </c>
      <c r="B7109" s="9" t="inlineStr">
        <is>
          <t>Meridian</t>
        </is>
      </c>
      <c r="C7109" s="9" t="inlineStr">
        <is>
          <t>21/50 MA cross, 250-period confirm filter, VWAP</t>
        </is>
      </c>
      <c r="D7109" s="9" t="inlineStr">
        <is>
          <t>Long</t>
        </is>
      </c>
      <c r="E7109" s="10" t="n">
        <v>46190.13888888889</v>
      </c>
      <c r="F7109" s="10" t="n">
        <v>46190.15625</v>
      </c>
      <c r="G7109" s="11" t="n">
        <v>-7</v>
      </c>
      <c r="H7109" s="11">
        <f>H7108+G7109</f>
        <v/>
      </c>
    </row>
    <row r="7110">
      <c r="A7110" s="9" t="n">
        <v>7106</v>
      </c>
      <c r="B7110" s="9" t="inlineStr">
        <is>
          <t>Aurelius_M5</t>
        </is>
      </c>
      <c r="C7110" s="9" t="inlineStr">
        <is>
          <t>MA alignment (EMA21&gt;EMA50&gt;SMA250&gt;SMMA500 vs EMA2400 trend filter)</t>
        </is>
      </c>
      <c r="D7110" s="9" t="inlineStr">
        <is>
          <t>Long</t>
        </is>
      </c>
      <c r="E7110" s="10" t="n">
        <v>46190.17708333334</v>
      </c>
      <c r="F7110" s="10" t="n">
        <v>46190.1875</v>
      </c>
      <c r="G7110" s="11" t="n">
        <v>-9.34</v>
      </c>
      <c r="H7110" s="11">
        <f>H7109+G7110</f>
        <v/>
      </c>
    </row>
    <row r="7111">
      <c r="A7111" s="9" t="n">
        <v>7107</v>
      </c>
      <c r="B7111" s="9" t="inlineStr">
        <is>
          <t>Ratchet</t>
        </is>
      </c>
      <c r="C7111" s="9" t="inlineStr">
        <is>
          <t>Stochastic scalp with give-back trail exit</t>
        </is>
      </c>
      <c r="D7111" s="9" t="inlineStr">
        <is>
          <t>Long</t>
        </is>
      </c>
      <c r="E7111" s="10" t="n">
        <v>46190.21875</v>
      </c>
      <c r="F7111" s="10" t="n">
        <v>46190.23958333334</v>
      </c>
      <c r="G7111" s="11" t="n">
        <v>-7.29</v>
      </c>
      <c r="H7111" s="11">
        <f>H7110+G7111</f>
        <v/>
      </c>
    </row>
    <row r="7112">
      <c r="A7112" s="9" t="n">
        <v>7108</v>
      </c>
      <c r="B7112" s="9" t="inlineStr">
        <is>
          <t>Aurelius_M5</t>
        </is>
      </c>
      <c r="C7112" s="9" t="inlineStr">
        <is>
          <t>MA alignment (EMA21&gt;EMA50&gt;SMA250&gt;SMMA500 vs EMA2400 trend filter)</t>
        </is>
      </c>
      <c r="D7112" s="9" t="inlineStr">
        <is>
          <t>Long</t>
        </is>
      </c>
      <c r="E7112" s="10" t="n">
        <v>46190.20486111111</v>
      </c>
      <c r="F7112" s="10" t="n">
        <v>46190.24305555555</v>
      </c>
      <c r="G7112" s="11" t="n">
        <v>-9.73</v>
      </c>
      <c r="H7112" s="11">
        <f>H7111+G7112</f>
        <v/>
      </c>
    </row>
    <row r="7113">
      <c r="A7113" s="9" t="n">
        <v>7109</v>
      </c>
      <c r="B7113" s="9" t="inlineStr">
        <is>
          <t>Vanguard_M5</t>
        </is>
      </c>
      <c r="C7113" s="9" t="inlineStr">
        <is>
          <t>Trendline breakout (fractal swing line) + VWAP/S-R distance gate</t>
        </is>
      </c>
      <c r="D7113" s="9" t="inlineStr">
        <is>
          <t>Short</t>
        </is>
      </c>
      <c r="E7113" s="10" t="n">
        <v>46190.31597222222</v>
      </c>
      <c r="F7113" s="10" t="n">
        <v>46190.35416666666</v>
      </c>
      <c r="G7113" s="11" t="n">
        <v>-14.92</v>
      </c>
      <c r="H7113" s="11">
        <f>H7112+G7113</f>
        <v/>
      </c>
    </row>
    <row r="7114">
      <c r="A7114" s="9" t="n">
        <v>7110</v>
      </c>
      <c r="B7114" s="9" t="inlineStr">
        <is>
          <t>Vanguard_M5</t>
        </is>
      </c>
      <c r="C7114" s="9" t="inlineStr">
        <is>
          <t>Trendline breakout (fractal swing line) + VWAP/S-R distance gate</t>
        </is>
      </c>
      <c r="D7114" s="9" t="inlineStr">
        <is>
          <t>Short</t>
        </is>
      </c>
      <c r="E7114" s="10" t="n">
        <v>46190.48611111111</v>
      </c>
      <c r="F7114" s="10" t="n">
        <v>46190.52083333334</v>
      </c>
      <c r="G7114" s="11" t="n">
        <v>-14.82</v>
      </c>
      <c r="H7114" s="11">
        <f>H7113+G7114</f>
        <v/>
      </c>
    </row>
    <row r="7115">
      <c r="A7115" s="9" t="n">
        <v>7111</v>
      </c>
      <c r="B7115" s="9" t="inlineStr">
        <is>
          <t>Meridian</t>
        </is>
      </c>
      <c r="C7115" s="9" t="inlineStr">
        <is>
          <t>21/50 MA cross, 250-period confirm filter, VWAP</t>
        </is>
      </c>
      <c r="D7115" s="9" t="inlineStr">
        <is>
          <t>Short</t>
        </is>
      </c>
      <c r="E7115" s="10" t="n">
        <v>46190.25347222222</v>
      </c>
      <c r="F7115" s="10" t="n">
        <v>46190.54861111111</v>
      </c>
      <c r="G7115" s="11" t="n">
        <v>1.94</v>
      </c>
      <c r="H7115" s="11">
        <f>H7114+G7115</f>
        <v/>
      </c>
    </row>
    <row r="7116">
      <c r="A7116" s="9" t="n">
        <v>7112</v>
      </c>
      <c r="B7116" s="9" t="inlineStr">
        <is>
          <t>MSG</t>
        </is>
      </c>
      <c r="C7116" s="9" t="inlineStr">
        <is>
          <t>Session-range breakout + Fibonacci retracement-zone entry</t>
        </is>
      </c>
      <c r="D7116" s="9" t="inlineStr">
        <is>
          <t>Long</t>
        </is>
      </c>
      <c r="E7116" s="10" t="n">
        <v>46190.60763888889</v>
      </c>
      <c r="F7116" s="10" t="n">
        <v>46190.62222222222</v>
      </c>
      <c r="G7116" s="11" t="n">
        <v>-13.17</v>
      </c>
      <c r="H7116" s="11">
        <f>H7115+G7116</f>
        <v/>
      </c>
    </row>
    <row r="7117">
      <c r="A7117" s="9" t="n">
        <v>7113</v>
      </c>
      <c r="B7117" s="9" t="inlineStr">
        <is>
          <t>Meridian</t>
        </is>
      </c>
      <c r="C7117" s="9" t="inlineStr">
        <is>
          <t>21/50 MA cross, 250-period confirm filter, VWAP</t>
        </is>
      </c>
      <c r="D7117" s="9" t="inlineStr">
        <is>
          <t>Short</t>
        </is>
      </c>
      <c r="E7117" s="10" t="n">
        <v>46190.625</v>
      </c>
      <c r="F7117" s="10" t="n">
        <v>46190.64930555555</v>
      </c>
      <c r="G7117" s="11" t="n">
        <v>-7.75</v>
      </c>
      <c r="H7117" s="11">
        <f>H7116+G7117</f>
        <v/>
      </c>
    </row>
    <row r="7118">
      <c r="A7118" s="9" t="n">
        <v>7114</v>
      </c>
      <c r="B7118" s="9" t="inlineStr">
        <is>
          <t>Vanguard_M5</t>
        </is>
      </c>
      <c r="C7118" s="9" t="inlineStr">
        <is>
          <t>Trendline breakout (fractal swing line) + VWAP/S-R distance gate</t>
        </is>
      </c>
      <c r="D7118" s="9" t="inlineStr">
        <is>
          <t>Short</t>
        </is>
      </c>
      <c r="E7118" s="10" t="n">
        <v>46190.62847222222</v>
      </c>
      <c r="F7118" s="10" t="n">
        <v>46190.65625</v>
      </c>
      <c r="G7118" s="11" t="n">
        <v>-12.48</v>
      </c>
      <c r="H7118" s="11">
        <f>H7117+G7118</f>
        <v/>
      </c>
    </row>
    <row r="7119">
      <c r="A7119" s="9" t="n">
        <v>7115</v>
      </c>
      <c r="B7119" s="9" t="inlineStr">
        <is>
          <t>Meridian</t>
        </is>
      </c>
      <c r="C7119" s="9" t="inlineStr">
        <is>
          <t>21/50 MA cross, 250-period confirm filter, VWAP</t>
        </is>
      </c>
      <c r="D7119" s="9" t="inlineStr">
        <is>
          <t>Long</t>
        </is>
      </c>
      <c r="E7119" s="10" t="n">
        <v>46190.65972222222</v>
      </c>
      <c r="F7119" s="10" t="n">
        <v>46190.67013888889</v>
      </c>
      <c r="G7119" s="11" t="n">
        <v>-8.949999999999999</v>
      </c>
      <c r="H7119" s="11">
        <f>H7118+G7119</f>
        <v/>
      </c>
    </row>
    <row r="7120">
      <c r="A7120" s="9" t="n">
        <v>7116</v>
      </c>
      <c r="B7120" s="9" t="inlineStr">
        <is>
          <t>Vanguard_M15</t>
        </is>
      </c>
      <c r="C7120" s="9" t="inlineStr">
        <is>
          <t>Trendline breakout (fractal swing line) + VWAP/S-R distance gate - M15 chart</t>
        </is>
      </c>
      <c r="D7120" s="9" t="inlineStr">
        <is>
          <t>Short</t>
        </is>
      </c>
      <c r="E7120" s="10" t="n">
        <v>46190.48958333334</v>
      </c>
      <c r="F7120" s="10" t="n">
        <v>46190.67708333334</v>
      </c>
      <c r="G7120" s="11" t="n">
        <v>-17.99</v>
      </c>
      <c r="H7120" s="11">
        <f>H7119+G7120</f>
        <v/>
      </c>
    </row>
    <row r="7121">
      <c r="A7121" s="9" t="n">
        <v>7117</v>
      </c>
      <c r="B7121" s="9" t="inlineStr">
        <is>
          <t>Vanguard_M5</t>
        </is>
      </c>
      <c r="C7121" s="9" t="inlineStr">
        <is>
          <t>Trendline breakout (fractal swing line) + VWAP/S-R distance gate</t>
        </is>
      </c>
      <c r="D7121" s="9" t="inlineStr">
        <is>
          <t>Long</t>
        </is>
      </c>
      <c r="E7121" s="10" t="n">
        <v>46190.72569444445</v>
      </c>
      <c r="F7121" s="10" t="n">
        <v>46190.73958333334</v>
      </c>
      <c r="G7121" s="11" t="n">
        <v>-22.6</v>
      </c>
      <c r="H7121" s="11">
        <f>H7120+G7121</f>
        <v/>
      </c>
    </row>
    <row r="7122">
      <c r="A7122" s="9" t="n">
        <v>7118</v>
      </c>
      <c r="B7122" s="9" t="inlineStr">
        <is>
          <t>Vanguard_M15</t>
        </is>
      </c>
      <c r="C7122" s="9" t="inlineStr">
        <is>
          <t>Trendline breakout (fractal swing line) + VWAP/S-R distance gate - M15 chart</t>
        </is>
      </c>
      <c r="D7122" s="9" t="inlineStr">
        <is>
          <t>Long</t>
        </is>
      </c>
      <c r="E7122" s="10" t="n">
        <v>46190.72916666666</v>
      </c>
      <c r="F7122" s="10" t="n">
        <v>46190.73958333334</v>
      </c>
      <c r="G7122" s="11" t="n">
        <v>-22.63</v>
      </c>
      <c r="H7122" s="11">
        <f>H7121+G7122</f>
        <v/>
      </c>
    </row>
    <row r="7123">
      <c r="A7123" s="9" t="n">
        <v>7119</v>
      </c>
      <c r="B7123" s="9" t="inlineStr">
        <is>
          <t>Aurelius_M15</t>
        </is>
      </c>
      <c r="C7123" s="9" t="inlineStr">
        <is>
          <t>MA alignment (EMA21&gt;EMA50&gt;SMA250&gt;SMMA500 vs EMA2400 trend filter) - M15 chart</t>
        </is>
      </c>
      <c r="D7123" s="9" t="inlineStr">
        <is>
          <t>Long</t>
        </is>
      </c>
      <c r="E7123" s="10" t="n">
        <v>46190.73958333334</v>
      </c>
      <c r="F7123" s="10" t="n">
        <v>46190.73958333334</v>
      </c>
      <c r="G7123" s="11" t="n">
        <v>-20.46</v>
      </c>
      <c r="H7123" s="11">
        <f>H7122+G7123</f>
        <v/>
      </c>
    </row>
    <row r="7124">
      <c r="A7124" s="9" t="n">
        <v>7120</v>
      </c>
      <c r="B7124" s="9" t="inlineStr">
        <is>
          <t>Meridian</t>
        </is>
      </c>
      <c r="C7124" s="9" t="inlineStr">
        <is>
          <t>21/50 MA cross, 250-period confirm filter, VWAP</t>
        </is>
      </c>
      <c r="D7124" s="9" t="inlineStr">
        <is>
          <t>Short</t>
        </is>
      </c>
      <c r="E7124" s="10" t="n">
        <v>46190.88541666666</v>
      </c>
      <c r="F7124" s="10" t="n">
        <v>46190.90277777778</v>
      </c>
      <c r="G7124" s="11" t="n">
        <v>-30.02</v>
      </c>
      <c r="H7124" s="11">
        <f>H7123+G7124</f>
        <v/>
      </c>
    </row>
    <row r="7125">
      <c r="A7125" s="9" t="n">
        <v>7121</v>
      </c>
      <c r="B7125" s="9" t="inlineStr">
        <is>
          <t>Vanguard_M15</t>
        </is>
      </c>
      <c r="C7125" s="9" t="inlineStr">
        <is>
          <t>Trendline breakout (fractal swing line) + VWAP/S-R distance gate - M15 chart</t>
        </is>
      </c>
      <c r="D7125" s="9" t="inlineStr">
        <is>
          <t>Short</t>
        </is>
      </c>
      <c r="E7125" s="10" t="n">
        <v>46190.88541666666</v>
      </c>
      <c r="F7125" s="10" t="n">
        <v>46190.90625</v>
      </c>
      <c r="G7125" s="11" t="n">
        <v>-46.58</v>
      </c>
      <c r="H7125" s="11">
        <f>H7124+G7125</f>
        <v/>
      </c>
    </row>
    <row r="7126">
      <c r="A7126" s="9" t="n">
        <v>7122</v>
      </c>
      <c r="B7126" s="9" t="inlineStr">
        <is>
          <t>Ratchet</t>
        </is>
      </c>
      <c r="C7126" s="9" t="inlineStr">
        <is>
          <t>Stochastic scalp with give-back trail exit</t>
        </is>
      </c>
      <c r="D7126" s="9" t="inlineStr">
        <is>
          <t>Short</t>
        </is>
      </c>
      <c r="E7126" s="10" t="n">
        <v>46190.94097222222</v>
      </c>
      <c r="F7126" s="10" t="n">
        <v>46190.94444444445</v>
      </c>
      <c r="G7126" s="11" t="n">
        <v>5.18</v>
      </c>
      <c r="H7126" s="11">
        <f>H7125+G7126</f>
        <v/>
      </c>
    </row>
    <row r="7127">
      <c r="A7127" s="9" t="n">
        <v>7123</v>
      </c>
      <c r="B7127" s="9" t="inlineStr">
        <is>
          <t>Ratchet</t>
        </is>
      </c>
      <c r="C7127" s="9" t="inlineStr">
        <is>
          <t>Stochastic scalp with give-back trail exit</t>
        </is>
      </c>
      <c r="D7127" s="9" t="inlineStr">
        <is>
          <t>Short</t>
        </is>
      </c>
      <c r="E7127" s="10" t="n">
        <v>46190.95486111111</v>
      </c>
      <c r="F7127" s="10" t="n">
        <v>46190.97222222222</v>
      </c>
      <c r="G7127" s="11" t="n">
        <v>-30.08</v>
      </c>
      <c r="H7127" s="11">
        <f>H7126+G7127</f>
        <v/>
      </c>
    </row>
    <row r="7128">
      <c r="A7128" s="9" t="n">
        <v>7124</v>
      </c>
      <c r="B7128" s="9" t="inlineStr">
        <is>
          <t>Ratchet</t>
        </is>
      </c>
      <c r="C7128" s="9" t="inlineStr">
        <is>
          <t>Stochastic scalp with give-back trail exit</t>
        </is>
      </c>
      <c r="D7128" s="9" t="inlineStr">
        <is>
          <t>Short</t>
        </is>
      </c>
      <c r="E7128" s="10" t="n">
        <v>46191.66319444445</v>
      </c>
      <c r="F7128" s="10" t="n">
        <v>46191.67361111111</v>
      </c>
      <c r="G7128" s="11" t="n">
        <v>-12.76</v>
      </c>
      <c r="H7128" s="11">
        <f>H7127+G7128</f>
        <v/>
      </c>
    </row>
    <row r="7129">
      <c r="A7129" s="9" t="n">
        <v>7125</v>
      </c>
      <c r="B7129" s="9" t="inlineStr">
        <is>
          <t>Aurelius_M5</t>
        </is>
      </c>
      <c r="C7129" s="9" t="inlineStr">
        <is>
          <t>MA alignment (EMA21&gt;EMA50&gt;SMA250&gt;SMMA500 vs EMA2400 trend filter)</t>
        </is>
      </c>
      <c r="D7129" s="9" t="inlineStr">
        <is>
          <t>Short</t>
        </is>
      </c>
      <c r="E7129" s="10" t="n">
        <v>46191.70833333334</v>
      </c>
      <c r="F7129" s="10" t="n">
        <v>46192.04166666666</v>
      </c>
      <c r="G7129" s="11" t="n">
        <v>47.4</v>
      </c>
      <c r="H7129" s="11">
        <f>H7128+G7129</f>
        <v/>
      </c>
    </row>
    <row r="7130">
      <c r="A7130" s="9" t="n">
        <v>7126</v>
      </c>
      <c r="B7130" s="9" t="inlineStr">
        <is>
          <t>Meridian</t>
        </is>
      </c>
      <c r="C7130" s="9" t="inlineStr">
        <is>
          <t>21/50 MA cross, 250-period confirm filter, VWAP</t>
        </is>
      </c>
      <c r="D7130" s="9" t="inlineStr">
        <is>
          <t>Short</t>
        </is>
      </c>
      <c r="E7130" s="10" t="n">
        <v>46191.38194444445</v>
      </c>
      <c r="F7130" s="10" t="n">
        <v>46192.46180555555</v>
      </c>
      <c r="G7130" s="11" t="n">
        <v>140.76</v>
      </c>
      <c r="H7130" s="11">
        <f>H7129+G7130</f>
        <v/>
      </c>
    </row>
    <row r="7131">
      <c r="A7131" s="9" t="n">
        <v>7127</v>
      </c>
      <c r="B7131" s="9" t="inlineStr">
        <is>
          <t>Meridian</t>
        </is>
      </c>
      <c r="C7131" s="9" t="inlineStr">
        <is>
          <t>21/50 MA cross, 250-period confirm filter, VWAP</t>
        </is>
      </c>
      <c r="D7131" s="9" t="inlineStr">
        <is>
          <t>Short</t>
        </is>
      </c>
      <c r="E7131" s="10" t="n">
        <v>46192.57291666666</v>
      </c>
      <c r="F7131" s="10" t="n">
        <v>46192.65972222222</v>
      </c>
      <c r="G7131" s="11" t="n">
        <v>-10.53</v>
      </c>
      <c r="H7131" s="11">
        <f>H7130+G7131</f>
        <v/>
      </c>
    </row>
    <row r="7132">
      <c r="A7132" s="9" t="n">
        <v>7128</v>
      </c>
      <c r="B7132" s="9" t="inlineStr">
        <is>
          <t>Meridian</t>
        </is>
      </c>
      <c r="C7132" s="9" t="inlineStr">
        <is>
          <t>21/50 MA cross, 250-period confirm filter, VWAP</t>
        </is>
      </c>
      <c r="D7132" s="9" t="inlineStr">
        <is>
          <t>Short</t>
        </is>
      </c>
      <c r="E7132" s="10" t="n">
        <v>46192.72222222222</v>
      </c>
      <c r="F7132" s="10" t="n">
        <v>46195.08333333334</v>
      </c>
      <c r="G7132" s="11" t="n">
        <v>-9.16</v>
      </c>
      <c r="H7132" s="11">
        <f>H7131+G7132</f>
        <v/>
      </c>
    </row>
    <row r="7133">
      <c r="A7133" s="9" t="n">
        <v>7129</v>
      </c>
      <c r="B7133" s="9" t="inlineStr">
        <is>
          <t>Aurelius_M15</t>
        </is>
      </c>
      <c r="C7133" s="9" t="inlineStr">
        <is>
          <t>MA alignment (EMA21&gt;EMA50&gt;SMA250&gt;SMMA500 vs EMA2400 trend filter) - M15 chart</t>
        </is>
      </c>
      <c r="D7133" s="9" t="inlineStr">
        <is>
          <t>Short</t>
        </is>
      </c>
      <c r="E7133" s="10" t="n">
        <v>46195.125</v>
      </c>
      <c r="F7133" s="10" t="n">
        <v>46195.125</v>
      </c>
      <c r="G7133" s="11" t="n">
        <v>-21.4</v>
      </c>
      <c r="H7133" s="11">
        <f>H7132+G7133</f>
        <v/>
      </c>
    </row>
    <row r="7134">
      <c r="A7134" s="9" t="n">
        <v>7130</v>
      </c>
      <c r="B7134" s="9" t="inlineStr">
        <is>
          <t>Meridian</t>
        </is>
      </c>
      <c r="C7134" s="9" t="inlineStr">
        <is>
          <t>21/50 MA cross, 250-period confirm filter, VWAP</t>
        </is>
      </c>
      <c r="D7134" s="9" t="inlineStr">
        <is>
          <t>Short</t>
        </is>
      </c>
      <c r="E7134" s="10" t="n">
        <v>46195.11458333334</v>
      </c>
      <c r="F7134" s="10" t="n">
        <v>46195.13194444445</v>
      </c>
      <c r="G7134" s="11" t="n">
        <v>-12.42</v>
      </c>
      <c r="H7134" s="11">
        <f>H7133+G7134</f>
        <v/>
      </c>
    </row>
    <row r="7135">
      <c r="A7135" s="9" t="n">
        <v>7131</v>
      </c>
      <c r="B7135" s="9" t="inlineStr">
        <is>
          <t>Meridian</t>
        </is>
      </c>
      <c r="C7135" s="9" t="inlineStr">
        <is>
          <t>21/50 MA cross, 250-period confirm filter, VWAP</t>
        </is>
      </c>
      <c r="D7135" s="9" t="inlineStr">
        <is>
          <t>Long</t>
        </is>
      </c>
      <c r="E7135" s="10" t="n">
        <v>46195.14236111111</v>
      </c>
      <c r="F7135" s="10" t="n">
        <v>46195.31597222222</v>
      </c>
      <c r="G7135" s="11" t="n">
        <v>12.03</v>
      </c>
      <c r="H7135" s="11">
        <f>H7134+G7135</f>
        <v/>
      </c>
    </row>
    <row r="7136">
      <c r="A7136" s="9" t="n">
        <v>7132</v>
      </c>
      <c r="B7136" s="9" t="inlineStr">
        <is>
          <t>MSG</t>
        </is>
      </c>
      <c r="C7136" s="9" t="inlineStr">
        <is>
          <t>Session-range breakout + Fibonacci retracement-zone entry</t>
        </is>
      </c>
      <c r="D7136" s="9" t="inlineStr">
        <is>
          <t>Long</t>
        </is>
      </c>
      <c r="E7136" s="10" t="n">
        <v>46195.65555555555</v>
      </c>
      <c r="F7136" s="10" t="n">
        <v>46195.66458333333</v>
      </c>
      <c r="G7136" s="11" t="n">
        <v>-22.44</v>
      </c>
      <c r="H7136" s="11">
        <f>H7135+G7136</f>
        <v/>
      </c>
    </row>
    <row r="7137">
      <c r="A7137" s="9" t="n">
        <v>7133</v>
      </c>
      <c r="B7137" s="9" t="inlineStr">
        <is>
          <t>Meridian</t>
        </is>
      </c>
      <c r="C7137" s="9" t="inlineStr">
        <is>
          <t>21/50 MA cross, 250-period confirm filter, VWAP</t>
        </is>
      </c>
      <c r="D7137" s="9" t="inlineStr">
        <is>
          <t>Long</t>
        </is>
      </c>
      <c r="E7137" s="10" t="n">
        <v>46195.33680555555</v>
      </c>
      <c r="F7137" s="10" t="n">
        <v>46195.67013888889</v>
      </c>
      <c r="G7137" s="11" t="n">
        <v>11.42</v>
      </c>
      <c r="H7137" s="11">
        <f>H7136+G7137</f>
        <v/>
      </c>
    </row>
    <row r="7138">
      <c r="A7138" s="9" t="n">
        <v>7134</v>
      </c>
      <c r="B7138" s="9" t="inlineStr">
        <is>
          <t>Vanguard_M5</t>
        </is>
      </c>
      <c r="C7138" s="9" t="inlineStr">
        <is>
          <t>Trendline breakout (fractal swing line) + VWAP/S-R distance gate</t>
        </is>
      </c>
      <c r="D7138" s="9" t="inlineStr">
        <is>
          <t>Short</t>
        </is>
      </c>
      <c r="E7138" s="10" t="n">
        <v>46190.87847222222</v>
      </c>
      <c r="F7138" s="10" t="n">
        <v>46195.78472222222</v>
      </c>
      <c r="G7138" s="11" t="n">
        <v>137.14</v>
      </c>
      <c r="H7138" s="11">
        <f>H7137+G7138</f>
        <v/>
      </c>
    </row>
    <row r="7139">
      <c r="A7139" s="9" t="n">
        <v>7135</v>
      </c>
      <c r="B7139" s="9" t="inlineStr">
        <is>
          <t>Ratchet</t>
        </is>
      </c>
      <c r="C7139" s="9" t="inlineStr">
        <is>
          <t>Stochastic scalp with give-back trail exit</t>
        </is>
      </c>
      <c r="D7139" s="9" t="inlineStr">
        <is>
          <t>Short</t>
        </is>
      </c>
      <c r="E7139" s="10" t="n">
        <v>46195.79861111111</v>
      </c>
      <c r="F7139" s="10" t="n">
        <v>46195.82638888889</v>
      </c>
      <c r="G7139" s="11" t="n">
        <v>-10.5</v>
      </c>
      <c r="H7139" s="11">
        <f>H7138+G7139</f>
        <v/>
      </c>
    </row>
    <row r="7140">
      <c r="A7140" s="9" t="n">
        <v>7136</v>
      </c>
      <c r="B7140" s="9" t="inlineStr">
        <is>
          <t>Meridian</t>
        </is>
      </c>
      <c r="C7140" s="9" t="inlineStr">
        <is>
          <t>21/50 MA cross, 250-period confirm filter, VWAP</t>
        </is>
      </c>
      <c r="D7140" s="9" t="inlineStr">
        <is>
          <t>Long</t>
        </is>
      </c>
      <c r="E7140" s="10" t="n">
        <v>46195.92708333334</v>
      </c>
      <c r="F7140" s="10" t="n">
        <v>46195.94791666666</v>
      </c>
      <c r="G7140" s="11" t="n">
        <v>-7.1</v>
      </c>
      <c r="H7140" s="11">
        <f>H7139+G7140</f>
        <v/>
      </c>
    </row>
    <row r="7141">
      <c r="A7141" s="9" t="n">
        <v>7137</v>
      </c>
      <c r="B7141" s="9" t="inlineStr">
        <is>
          <t>Meridian</t>
        </is>
      </c>
      <c r="C7141" s="9" t="inlineStr">
        <is>
          <t>21/50 MA cross, 250-period confirm filter, VWAP</t>
        </is>
      </c>
      <c r="D7141" s="9" t="inlineStr">
        <is>
          <t>Long</t>
        </is>
      </c>
      <c r="E7141" s="10" t="n">
        <v>46195.96180555555</v>
      </c>
      <c r="F7141" s="10" t="n">
        <v>46196.12847222222</v>
      </c>
      <c r="G7141" s="11" t="n">
        <v>-7.64</v>
      </c>
      <c r="H7141" s="11">
        <f>H7140+G7141</f>
        <v/>
      </c>
    </row>
    <row r="7142">
      <c r="A7142" s="9" t="n">
        <v>7138</v>
      </c>
      <c r="B7142" s="9" t="inlineStr">
        <is>
          <t>Aurelius_M5</t>
        </is>
      </c>
      <c r="C7142" s="9" t="inlineStr">
        <is>
          <t>MA alignment (EMA21&gt;EMA50&gt;SMA250&gt;SMMA500 vs EMA2400 trend filter)</t>
        </is>
      </c>
      <c r="D7142" s="9" t="inlineStr">
        <is>
          <t>Short</t>
        </is>
      </c>
      <c r="E7142" s="10" t="n">
        <v>46196.15277777778</v>
      </c>
      <c r="F7142" s="10" t="n">
        <v>46196.15625</v>
      </c>
      <c r="G7142" s="11" t="n">
        <v>-8.58</v>
      </c>
      <c r="H7142" s="11">
        <f>H7141+G7142</f>
        <v/>
      </c>
    </row>
    <row r="7143">
      <c r="A7143" s="9" t="n">
        <v>7139</v>
      </c>
      <c r="B7143" s="9" t="inlineStr">
        <is>
          <t>Ratchet</t>
        </is>
      </c>
      <c r="C7143" s="9" t="inlineStr">
        <is>
          <t>Stochastic scalp with give-back trail exit</t>
        </is>
      </c>
      <c r="D7143" s="9" t="inlineStr">
        <is>
          <t>Short</t>
        </is>
      </c>
      <c r="E7143" s="10" t="n">
        <v>46196.35069444445</v>
      </c>
      <c r="F7143" s="10" t="n">
        <v>46196.35416666666</v>
      </c>
      <c r="G7143" s="11" t="n">
        <v>-0</v>
      </c>
      <c r="H7143" s="11">
        <f>H7142+G7143</f>
        <v/>
      </c>
    </row>
    <row r="7144">
      <c r="A7144" s="9" t="n">
        <v>7140</v>
      </c>
      <c r="B7144" s="9" t="inlineStr">
        <is>
          <t>Ratchet</t>
        </is>
      </c>
      <c r="C7144" s="9" t="inlineStr">
        <is>
          <t>Stochastic scalp with give-back trail exit</t>
        </is>
      </c>
      <c r="D7144" s="9" t="inlineStr">
        <is>
          <t>Short</t>
        </is>
      </c>
      <c r="E7144" s="10" t="n">
        <v>46196.38888888889</v>
      </c>
      <c r="F7144" s="10" t="n">
        <v>46196.39583333334</v>
      </c>
      <c r="G7144" s="11" t="n">
        <v>1.77</v>
      </c>
      <c r="H7144" s="11">
        <f>H7143+G7144</f>
        <v/>
      </c>
    </row>
    <row r="7145">
      <c r="A7145" s="9" t="n">
        <v>7141</v>
      </c>
      <c r="B7145" s="9" t="inlineStr">
        <is>
          <t>Aurelius_M5</t>
        </is>
      </c>
      <c r="C7145" s="9" t="inlineStr">
        <is>
          <t>MA alignment (EMA21&gt;EMA50&gt;SMA250&gt;SMMA500 vs EMA2400 trend filter)</t>
        </is>
      </c>
      <c r="D7145" s="9" t="inlineStr">
        <is>
          <t>Short</t>
        </is>
      </c>
      <c r="E7145" s="10" t="n">
        <v>46196.18055555555</v>
      </c>
      <c r="F7145" s="10" t="n">
        <v>46196.54166666666</v>
      </c>
      <c r="G7145" s="11" t="n">
        <v>51.07</v>
      </c>
      <c r="H7145" s="11">
        <f>H7144+G7145</f>
        <v/>
      </c>
    </row>
    <row r="7146">
      <c r="A7146" s="9" t="n">
        <v>7142</v>
      </c>
      <c r="B7146" s="9" t="inlineStr">
        <is>
          <t>MSG</t>
        </is>
      </c>
      <c r="C7146" s="9" t="inlineStr">
        <is>
          <t>Session-range breakout + Fibonacci retracement-zone entry</t>
        </is>
      </c>
      <c r="D7146" s="9" t="inlineStr">
        <is>
          <t>Long</t>
        </is>
      </c>
      <c r="E7146" s="10" t="n">
        <v>46196.66736111111</v>
      </c>
      <c r="F7146" s="10" t="n">
        <v>46196.69652777778</v>
      </c>
      <c r="G7146" s="11" t="n">
        <v>41.95</v>
      </c>
      <c r="H7146" s="11">
        <f>H7145+G7146</f>
        <v/>
      </c>
    </row>
    <row r="7147">
      <c r="A7147" s="9" t="n">
        <v>7143</v>
      </c>
      <c r="B7147" s="9" t="inlineStr">
        <is>
          <t>Meridian</t>
        </is>
      </c>
      <c r="C7147" s="9" t="inlineStr">
        <is>
          <t>21/50 MA cross, 250-period confirm filter, VWAP</t>
        </is>
      </c>
      <c r="D7147" s="9" t="inlineStr">
        <is>
          <t>Short</t>
        </is>
      </c>
      <c r="E7147" s="10" t="n">
        <v>46196.64930555555</v>
      </c>
      <c r="F7147" s="10" t="n">
        <v>46196.69791666666</v>
      </c>
      <c r="G7147" s="11" t="n">
        <v>-14.1</v>
      </c>
      <c r="H7147" s="11">
        <f>H7146+G7147</f>
        <v/>
      </c>
    </row>
    <row r="7148">
      <c r="A7148" s="9" t="n">
        <v>7144</v>
      </c>
      <c r="B7148" s="9" t="inlineStr">
        <is>
          <t>Vanguard_M5</t>
        </is>
      </c>
      <c r="C7148" s="9" t="inlineStr">
        <is>
          <t>Trendline breakout (fractal swing line) + VWAP/S-R distance gate</t>
        </is>
      </c>
      <c r="D7148" s="9" t="inlineStr">
        <is>
          <t>Short</t>
        </is>
      </c>
      <c r="E7148" s="10" t="n">
        <v>46196.17708333334</v>
      </c>
      <c r="F7148" s="10" t="n">
        <v>46197.12847222222</v>
      </c>
      <c r="G7148" s="11" t="n">
        <v>74.78</v>
      </c>
      <c r="H7148" s="11">
        <f>H7147+G7148</f>
        <v/>
      </c>
    </row>
    <row r="7149">
      <c r="A7149" s="9" t="n">
        <v>7145</v>
      </c>
      <c r="B7149" s="9" t="inlineStr">
        <is>
          <t>Vanguard_M5</t>
        </is>
      </c>
      <c r="C7149" s="9" t="inlineStr">
        <is>
          <t>Trendline breakout (fractal swing line) + VWAP/S-R distance gate</t>
        </is>
      </c>
      <c r="D7149" s="9" t="inlineStr">
        <is>
          <t>Long</t>
        </is>
      </c>
      <c r="E7149" s="10" t="n">
        <v>46197.13194444445</v>
      </c>
      <c r="F7149" s="10" t="n">
        <v>46197.16666666666</v>
      </c>
      <c r="G7149" s="11" t="n">
        <v>-24.29</v>
      </c>
      <c r="H7149" s="11">
        <f>H7148+G7149</f>
        <v/>
      </c>
    </row>
    <row r="7150">
      <c r="A7150" s="9" t="n">
        <v>7146</v>
      </c>
      <c r="B7150" s="9" t="inlineStr">
        <is>
          <t>Ratchet</t>
        </is>
      </c>
      <c r="C7150" s="9" t="inlineStr">
        <is>
          <t>Stochastic scalp with give-back trail exit</t>
        </is>
      </c>
      <c r="D7150" s="9" t="inlineStr">
        <is>
          <t>Short</t>
        </is>
      </c>
      <c r="E7150" s="10" t="n">
        <v>46197.20486111111</v>
      </c>
      <c r="F7150" s="10" t="n">
        <v>46197.35416666666</v>
      </c>
      <c r="G7150" s="11" t="n">
        <v>9.83</v>
      </c>
      <c r="H7150" s="11">
        <f>H7149+G7150</f>
        <v/>
      </c>
    </row>
    <row r="7151">
      <c r="A7151" s="9" t="n">
        <v>7147</v>
      </c>
      <c r="B7151" s="9" t="inlineStr">
        <is>
          <t>Vanguard_M15</t>
        </is>
      </c>
      <c r="C7151" s="9" t="inlineStr">
        <is>
          <t>Trendline breakout (fractal swing line) + VWAP/S-R distance gate - M15 chart</t>
        </is>
      </c>
      <c r="D7151" s="9" t="inlineStr">
        <is>
          <t>Short</t>
        </is>
      </c>
      <c r="E7151" s="10" t="n">
        <v>46190.91666666666</v>
      </c>
      <c r="F7151" s="10" t="n">
        <v>46197.375</v>
      </c>
      <c r="G7151" s="11" t="n">
        <v>189.71</v>
      </c>
      <c r="H7151" s="11">
        <f>H7150+G7151</f>
        <v/>
      </c>
    </row>
    <row r="7152">
      <c r="A7152" s="9" t="n">
        <v>7148</v>
      </c>
      <c r="B7152" s="9" t="inlineStr">
        <is>
          <t>Meridian</t>
        </is>
      </c>
      <c r="C7152" s="9" t="inlineStr">
        <is>
          <t>21/50 MA cross, 250-period confirm filter, VWAP</t>
        </is>
      </c>
      <c r="D7152" s="9" t="inlineStr">
        <is>
          <t>Short</t>
        </is>
      </c>
      <c r="E7152" s="10" t="n">
        <v>46196.88541666666</v>
      </c>
      <c r="F7152" s="10" t="n">
        <v>46197.38541666666</v>
      </c>
      <c r="G7152" s="11" t="n">
        <v>27.8</v>
      </c>
      <c r="H7152" s="11">
        <f>H7151+G7152</f>
        <v/>
      </c>
    </row>
    <row r="7153">
      <c r="A7153" s="9" t="n">
        <v>7149</v>
      </c>
      <c r="B7153" s="9" t="inlineStr">
        <is>
          <t>Vanguard_M5</t>
        </is>
      </c>
      <c r="C7153" s="9" t="inlineStr">
        <is>
          <t>Trendline breakout (fractal swing line) + VWAP/S-R distance gate</t>
        </is>
      </c>
      <c r="D7153" s="9" t="inlineStr">
        <is>
          <t>Long</t>
        </is>
      </c>
      <c r="E7153" s="10" t="n">
        <v>46197.38194444445</v>
      </c>
      <c r="F7153" s="10" t="n">
        <v>46197.52777777778</v>
      </c>
      <c r="G7153" s="11" t="n">
        <v>-25.06</v>
      </c>
      <c r="H7153" s="11">
        <f>H7152+G7153</f>
        <v/>
      </c>
    </row>
    <row r="7154">
      <c r="A7154" s="9" t="n">
        <v>7150</v>
      </c>
      <c r="B7154" s="9" t="inlineStr">
        <is>
          <t>Vanguard_M15</t>
        </is>
      </c>
      <c r="C7154" s="9" t="inlineStr">
        <is>
          <t>Trendline breakout (fractal swing line) + VWAP/S-R distance gate - M15 chart</t>
        </is>
      </c>
      <c r="D7154" s="9" t="inlineStr">
        <is>
          <t>Long</t>
        </is>
      </c>
      <c r="E7154" s="10" t="n">
        <v>46197.38541666666</v>
      </c>
      <c r="F7154" s="10" t="n">
        <v>46197.54166666666</v>
      </c>
      <c r="G7154" s="11" t="n">
        <v>-34.08</v>
      </c>
      <c r="H7154" s="11">
        <f>H7153+G7154</f>
        <v/>
      </c>
    </row>
    <row r="7155">
      <c r="A7155" s="9" t="n">
        <v>7151</v>
      </c>
      <c r="B7155" s="9" t="inlineStr">
        <is>
          <t>Ratchet</t>
        </is>
      </c>
      <c r="C7155" s="9" t="inlineStr">
        <is>
          <t>Stochastic scalp with give-back trail exit</t>
        </is>
      </c>
      <c r="D7155" s="9" t="inlineStr">
        <is>
          <t>Short</t>
        </is>
      </c>
      <c r="E7155" s="10" t="n">
        <v>46197.63541666666</v>
      </c>
      <c r="F7155" s="10" t="n">
        <v>46197.69444444445</v>
      </c>
      <c r="G7155" s="11" t="n">
        <v>19.93</v>
      </c>
      <c r="H7155" s="11">
        <f>H7154+G7155</f>
        <v/>
      </c>
    </row>
    <row r="7156">
      <c r="A7156" s="9" t="n">
        <v>7152</v>
      </c>
      <c r="B7156" s="9" t="inlineStr">
        <is>
          <t>Ratchet</t>
        </is>
      </c>
      <c r="C7156" s="9" t="inlineStr">
        <is>
          <t>Stochastic scalp with give-back trail exit</t>
        </is>
      </c>
      <c r="D7156" s="9" t="inlineStr">
        <is>
          <t>Short</t>
        </is>
      </c>
      <c r="E7156" s="10" t="n">
        <v>46197.79513888889</v>
      </c>
      <c r="F7156" s="10" t="n">
        <v>46197.80902777778</v>
      </c>
      <c r="G7156" s="11" t="n">
        <v>-13.97</v>
      </c>
      <c r="H7156" s="11">
        <f>H7155+G7156</f>
        <v/>
      </c>
    </row>
    <row r="7157">
      <c r="A7157" s="9" t="n">
        <v>7153</v>
      </c>
      <c r="B7157" s="9" t="inlineStr">
        <is>
          <t>Meridian</t>
        </is>
      </c>
      <c r="C7157" s="9" t="inlineStr">
        <is>
          <t>21/50 MA cross, 250-period confirm filter, VWAP</t>
        </is>
      </c>
      <c r="D7157" s="9" t="inlineStr">
        <is>
          <t>Short</t>
        </is>
      </c>
      <c r="E7157" s="10" t="n">
        <v>46197.50694444445</v>
      </c>
      <c r="F7157" s="10" t="n">
        <v>46198.04513888889</v>
      </c>
      <c r="G7157" s="11" t="n">
        <v>62.3</v>
      </c>
      <c r="H7157" s="11">
        <f>H7156+G7157</f>
        <v/>
      </c>
    </row>
    <row r="7158">
      <c r="A7158" s="9" t="n">
        <v>7154</v>
      </c>
      <c r="B7158" s="9" t="inlineStr">
        <is>
          <t>Meridian</t>
        </is>
      </c>
      <c r="C7158" s="9" t="inlineStr">
        <is>
          <t>21/50 MA cross, 250-period confirm filter, VWAP</t>
        </is>
      </c>
      <c r="D7158" s="9" t="inlineStr">
        <is>
          <t>Short</t>
        </is>
      </c>
      <c r="E7158" s="10" t="n">
        <v>46198.15972222222</v>
      </c>
      <c r="F7158" s="10" t="n">
        <v>46198.15972222222</v>
      </c>
      <c r="G7158" s="11" t="n">
        <v>-15.36</v>
      </c>
      <c r="H7158" s="11">
        <f>H7157+G7158</f>
        <v/>
      </c>
    </row>
    <row r="7159">
      <c r="A7159" s="9" t="n">
        <v>7155</v>
      </c>
      <c r="B7159" s="9" t="inlineStr">
        <is>
          <t>Aurelius_M5</t>
        </is>
      </c>
      <c r="C7159" s="9" t="inlineStr">
        <is>
          <t>MA alignment (EMA21&gt;EMA50&gt;SMA250&gt;SMMA500 vs EMA2400 trend filter)</t>
        </is>
      </c>
      <c r="D7159" s="9" t="inlineStr">
        <is>
          <t>Short</t>
        </is>
      </c>
      <c r="E7159" s="10" t="n">
        <v>46198.19444444445</v>
      </c>
      <c r="F7159" s="10" t="n">
        <v>46198.31597222222</v>
      </c>
      <c r="G7159" s="11" t="n">
        <v>-3.76</v>
      </c>
      <c r="H7159" s="11">
        <f>H7158+G7159</f>
        <v/>
      </c>
    </row>
    <row r="7160">
      <c r="A7160" s="9" t="n">
        <v>7156</v>
      </c>
      <c r="B7160" s="9" t="inlineStr">
        <is>
          <t>Ratchet</t>
        </is>
      </c>
      <c r="C7160" s="9" t="inlineStr">
        <is>
          <t>Stochastic scalp with give-back trail exit</t>
        </is>
      </c>
      <c r="D7160" s="9" t="inlineStr">
        <is>
          <t>Short</t>
        </is>
      </c>
      <c r="E7160" s="10" t="n">
        <v>46198.41666666666</v>
      </c>
      <c r="F7160" s="10" t="n">
        <v>46198.43402777778</v>
      </c>
      <c r="G7160" s="11" t="n">
        <v>-10.67</v>
      </c>
      <c r="H7160" s="11">
        <f>H7159+G7160</f>
        <v/>
      </c>
    </row>
    <row r="7161">
      <c r="A7161" s="9" t="n">
        <v>7157</v>
      </c>
      <c r="B7161" s="9" t="inlineStr">
        <is>
          <t>Meridian</t>
        </is>
      </c>
      <c r="C7161" s="9" t="inlineStr">
        <is>
          <t>21/50 MA cross, 250-period confirm filter, VWAP</t>
        </is>
      </c>
      <c r="D7161" s="9" t="inlineStr">
        <is>
          <t>Short</t>
        </is>
      </c>
      <c r="E7161" s="10" t="n">
        <v>46198.38541666666</v>
      </c>
      <c r="F7161" s="10" t="n">
        <v>46198.47222222222</v>
      </c>
      <c r="G7161" s="11" t="n">
        <v>-16.26</v>
      </c>
      <c r="H7161" s="11">
        <f>H7160+G7161</f>
        <v/>
      </c>
    </row>
    <row r="7162">
      <c r="A7162" s="9" t="n">
        <v>7158</v>
      </c>
      <c r="B7162" s="9" t="inlineStr">
        <is>
          <t>Ratchet</t>
        </is>
      </c>
      <c r="C7162" s="9" t="inlineStr">
        <is>
          <t>Stochastic scalp with give-back trail exit</t>
        </is>
      </c>
      <c r="D7162" s="9" t="inlineStr">
        <is>
          <t>Short</t>
        </is>
      </c>
      <c r="E7162" s="10" t="n">
        <v>46198.59027777778</v>
      </c>
      <c r="F7162" s="10" t="n">
        <v>46198.60763888889</v>
      </c>
      <c r="G7162" s="11" t="n">
        <v>2.1</v>
      </c>
      <c r="H7162" s="11">
        <f>H7161+G7162</f>
        <v/>
      </c>
    </row>
    <row r="7163">
      <c r="A7163" s="9" t="n">
        <v>7159</v>
      </c>
      <c r="B7163" s="9" t="inlineStr">
        <is>
          <t>Meridian</t>
        </is>
      </c>
      <c r="C7163" s="9" t="inlineStr">
        <is>
          <t>21/50 MA cross, 250-period confirm filter, VWAP</t>
        </is>
      </c>
      <c r="D7163" s="9" t="inlineStr">
        <is>
          <t>Short</t>
        </is>
      </c>
      <c r="E7163" s="10" t="n">
        <v>46198.57291666666</v>
      </c>
      <c r="F7163" s="10" t="n">
        <v>46198.64583333334</v>
      </c>
      <c r="G7163" s="11" t="n">
        <v>-10.84</v>
      </c>
      <c r="H7163" s="11">
        <f>H7162+G7163</f>
        <v/>
      </c>
    </row>
    <row r="7164">
      <c r="A7164" s="9" t="n">
        <v>7160</v>
      </c>
      <c r="B7164" s="9" t="inlineStr">
        <is>
          <t>MSG</t>
        </is>
      </c>
      <c r="C7164" s="9" t="inlineStr">
        <is>
          <t>Session-range breakout + Fibonacci retracement-zone entry</t>
        </is>
      </c>
      <c r="D7164" s="9" t="inlineStr">
        <is>
          <t>Long</t>
        </is>
      </c>
      <c r="E7164" s="10" t="n">
        <v>46198.65</v>
      </c>
      <c r="F7164" s="10" t="n">
        <v>46198.65138888889</v>
      </c>
      <c r="G7164" s="11" t="n">
        <v>37.86</v>
      </c>
      <c r="H7164" s="11">
        <f>H7163+G7164</f>
        <v/>
      </c>
    </row>
    <row r="7165">
      <c r="A7165" s="9" t="n">
        <v>7161</v>
      </c>
      <c r="B7165" s="9" t="inlineStr">
        <is>
          <t>Aurelius_M15</t>
        </is>
      </c>
      <c r="C7165" s="9" t="inlineStr">
        <is>
          <t>MA alignment (EMA21&gt;EMA50&gt;SMA250&gt;SMMA500 vs EMA2400 trend filter) - M15 chart</t>
        </is>
      </c>
      <c r="D7165" s="9" t="inlineStr">
        <is>
          <t>Short</t>
        </is>
      </c>
      <c r="E7165" s="10" t="n">
        <v>46196.19791666666</v>
      </c>
      <c r="F7165" s="10" t="n">
        <v>46198.6875</v>
      </c>
      <c r="G7165" s="11" t="n">
        <v>131.79</v>
      </c>
      <c r="H7165" s="11">
        <f>H7164+G7165</f>
        <v/>
      </c>
    </row>
    <row r="7166">
      <c r="A7166" s="9" t="n">
        <v>7162</v>
      </c>
      <c r="B7166" s="9" t="inlineStr">
        <is>
          <t>Meridian</t>
        </is>
      </c>
      <c r="C7166" s="9" t="inlineStr">
        <is>
          <t>21/50 MA cross, 250-period confirm filter, VWAP</t>
        </is>
      </c>
      <c r="D7166" s="9" t="inlineStr">
        <is>
          <t>Long</t>
        </is>
      </c>
      <c r="E7166" s="10" t="n">
        <v>46198.65625</v>
      </c>
      <c r="F7166" s="10" t="n">
        <v>46198.99305555555</v>
      </c>
      <c r="G7166" s="11" t="n">
        <v>19.01</v>
      </c>
      <c r="H7166" s="11">
        <f>H7165+G7166</f>
        <v/>
      </c>
    </row>
    <row r="7167">
      <c r="A7167" s="9" t="n">
        <v>7163</v>
      </c>
      <c r="B7167" s="9" t="inlineStr">
        <is>
          <t>Vanguard_M15</t>
        </is>
      </c>
      <c r="C7167" s="9" t="inlineStr">
        <is>
          <t>Trendline breakout (fractal swing line) + VWAP/S-R distance gate - M15 chart</t>
        </is>
      </c>
      <c r="D7167" s="9" t="inlineStr">
        <is>
          <t>Long</t>
        </is>
      </c>
      <c r="E7167" s="10" t="n">
        <v>46198.33333333334</v>
      </c>
      <c r="F7167" s="10" t="n">
        <v>46199.22916666666</v>
      </c>
      <c r="G7167" s="11" t="n">
        <v>-4.07</v>
      </c>
      <c r="H7167" s="11">
        <f>H7166+G7167</f>
        <v/>
      </c>
    </row>
    <row r="7168">
      <c r="A7168" s="9" t="n">
        <v>7164</v>
      </c>
      <c r="B7168" s="9" t="inlineStr">
        <is>
          <t>Vanguard_M5</t>
        </is>
      </c>
      <c r="C7168" s="9" t="inlineStr">
        <is>
          <t>Trendline breakout (fractal swing line) + VWAP/S-R distance gate</t>
        </is>
      </c>
      <c r="D7168" s="9" t="inlineStr">
        <is>
          <t>Long</t>
        </is>
      </c>
      <c r="E7168" s="10" t="n">
        <v>46198.33333333334</v>
      </c>
      <c r="F7168" s="10" t="n">
        <v>46199.23611111111</v>
      </c>
      <c r="G7168" s="11" t="n">
        <v>-4.07</v>
      </c>
      <c r="H7168" s="11">
        <f>H7167+G7168</f>
        <v/>
      </c>
    </row>
    <row r="7169">
      <c r="A7169" s="9" t="n">
        <v>7165</v>
      </c>
      <c r="B7169" s="9" t="inlineStr">
        <is>
          <t>Ratchet</t>
        </is>
      </c>
      <c r="C7169" s="9" t="inlineStr">
        <is>
          <t>Stochastic scalp with give-back trail exit</t>
        </is>
      </c>
      <c r="D7169" s="9" t="inlineStr">
        <is>
          <t>Short</t>
        </is>
      </c>
      <c r="E7169" s="10" t="n">
        <v>46199.25347222222</v>
      </c>
      <c r="F7169" s="10" t="n">
        <v>46199.28472222222</v>
      </c>
      <c r="G7169" s="11" t="n">
        <v>-11.65</v>
      </c>
      <c r="H7169" s="11">
        <f>H7168+G7169</f>
        <v/>
      </c>
    </row>
    <row r="7170">
      <c r="A7170" s="9" t="n">
        <v>7166</v>
      </c>
      <c r="B7170" s="9" t="inlineStr">
        <is>
          <t>Aurelius_M15</t>
        </is>
      </c>
      <c r="C7170" s="9" t="inlineStr">
        <is>
          <t>MA alignment (EMA21&gt;EMA50&gt;SMA250&gt;SMMA500 vs EMA2400 trend filter) - M15 chart</t>
        </is>
      </c>
      <c r="D7170" s="9" t="inlineStr">
        <is>
          <t>Short</t>
        </is>
      </c>
      <c r="E7170" s="10" t="n">
        <v>46199.36458333334</v>
      </c>
      <c r="F7170" s="10" t="n">
        <v>46199.42708333334</v>
      </c>
      <c r="G7170" s="11" t="n">
        <v>-16.36</v>
      </c>
      <c r="H7170" s="11">
        <f>H7169+G7170</f>
        <v/>
      </c>
    </row>
    <row r="7171">
      <c r="A7171" s="9" t="n">
        <v>7167</v>
      </c>
      <c r="B7171" s="9" t="inlineStr">
        <is>
          <t>Meridian</t>
        </is>
      </c>
      <c r="C7171" s="9" t="inlineStr">
        <is>
          <t>21/50 MA cross, 250-period confirm filter, VWAP</t>
        </is>
      </c>
      <c r="D7171" s="9" t="inlineStr">
        <is>
          <t>Long</t>
        </is>
      </c>
      <c r="E7171" s="10" t="n">
        <v>46199.35416666666</v>
      </c>
      <c r="F7171" s="10" t="n">
        <v>46199.90972222222</v>
      </c>
      <c r="G7171" s="11" t="n">
        <v>52.62</v>
      </c>
      <c r="H7171" s="11">
        <f>H7170+G7171</f>
        <v/>
      </c>
    </row>
    <row r="7172">
      <c r="A7172" s="9" t="n">
        <v>7168</v>
      </c>
      <c r="B7172" s="9" t="inlineStr">
        <is>
          <t>Meridian</t>
        </is>
      </c>
      <c r="C7172" s="9" t="inlineStr">
        <is>
          <t>21/50 MA cross, 250-period confirm filter, VWAP</t>
        </is>
      </c>
      <c r="D7172" s="9" t="inlineStr">
        <is>
          <t>Long</t>
        </is>
      </c>
      <c r="E7172" s="10" t="n">
        <v>46202.25</v>
      </c>
      <c r="F7172" s="10" t="n">
        <v>46202.31944444445</v>
      </c>
      <c r="G7172" s="11" t="n">
        <v>-11.6</v>
      </c>
      <c r="H7172" s="11">
        <f>H7171+G7172</f>
        <v/>
      </c>
    </row>
    <row r="7173">
      <c r="A7173" s="9" t="n">
        <v>7169</v>
      </c>
      <c r="B7173" s="9" t="inlineStr">
        <is>
          <t>Meridian</t>
        </is>
      </c>
      <c r="C7173" s="9" t="inlineStr">
        <is>
          <t>21/50 MA cross, 250-period confirm filter, VWAP</t>
        </is>
      </c>
      <c r="D7173" s="9" t="inlineStr">
        <is>
          <t>Long</t>
        </is>
      </c>
      <c r="E7173" s="10" t="n">
        <v>46202.4375</v>
      </c>
      <c r="F7173" s="10" t="n">
        <v>46202.48958333334</v>
      </c>
      <c r="G7173" s="11" t="n">
        <v>-11.94</v>
      </c>
      <c r="H7173" s="11">
        <f>H7172+G7173</f>
        <v/>
      </c>
    </row>
    <row r="7174">
      <c r="A7174" s="9" t="n">
        <v>7170</v>
      </c>
      <c r="B7174" s="9" t="inlineStr">
        <is>
          <t>Vanguard_M15</t>
        </is>
      </c>
      <c r="C7174" s="9" t="inlineStr">
        <is>
          <t>Trendline breakout (fractal swing line) + VWAP/S-R distance gate - M15 chart</t>
        </is>
      </c>
      <c r="D7174" s="9" t="inlineStr">
        <is>
          <t>Long</t>
        </is>
      </c>
      <c r="E7174" s="10" t="n">
        <v>46199.39583333334</v>
      </c>
      <c r="F7174" s="10" t="n">
        <v>46202.70833333334</v>
      </c>
      <c r="G7174" s="11" t="n">
        <v>-15.63</v>
      </c>
      <c r="H7174" s="11">
        <f>H7173+G7174</f>
        <v/>
      </c>
    </row>
    <row r="7175">
      <c r="A7175" s="9" t="n">
        <v>7171</v>
      </c>
      <c r="B7175" s="9" t="inlineStr">
        <is>
          <t>Vanguard_M5</t>
        </is>
      </c>
      <c r="C7175" s="9" t="inlineStr">
        <is>
          <t>Trendline breakout (fractal swing line) + VWAP/S-R distance gate</t>
        </is>
      </c>
      <c r="D7175" s="9" t="inlineStr">
        <is>
          <t>Long</t>
        </is>
      </c>
      <c r="E7175" s="10" t="n">
        <v>46199.39236111111</v>
      </c>
      <c r="F7175" s="10" t="n">
        <v>46202.71180555555</v>
      </c>
      <c r="G7175" s="11" t="n">
        <v>-7.74</v>
      </c>
      <c r="H7175" s="11">
        <f>H7174+G7175</f>
        <v/>
      </c>
    </row>
    <row r="7176">
      <c r="A7176" s="9" t="n">
        <v>7172</v>
      </c>
      <c r="B7176" s="9" t="inlineStr">
        <is>
          <t>MSG</t>
        </is>
      </c>
      <c r="C7176" s="9" t="inlineStr">
        <is>
          <t>Session-range breakout + Fibonacci retracement-zone entry</t>
        </is>
      </c>
      <c r="D7176" s="9" t="inlineStr">
        <is>
          <t>Short</t>
        </is>
      </c>
      <c r="E7176" s="10" t="n">
        <v>46202.62777777778</v>
      </c>
      <c r="F7176" s="10" t="n">
        <v>46202.7125</v>
      </c>
      <c r="G7176" s="11" t="n">
        <v>64.70999999999999</v>
      </c>
      <c r="H7176" s="11">
        <f>H7175+G7176</f>
        <v/>
      </c>
    </row>
    <row r="7177">
      <c r="A7177" s="9" t="n">
        <v>7173</v>
      </c>
      <c r="B7177" s="9" t="inlineStr">
        <is>
          <t>Aurelius_M5</t>
        </is>
      </c>
      <c r="C7177" s="9" t="inlineStr">
        <is>
          <t>MA alignment (EMA21&gt;EMA50&gt;SMA250&gt;SMMA500 vs EMA2400 trend filter)</t>
        </is>
      </c>
      <c r="D7177" s="9" t="inlineStr">
        <is>
          <t>Short</t>
        </is>
      </c>
      <c r="E7177" s="10" t="n">
        <v>46202.71875</v>
      </c>
      <c r="F7177" s="10" t="n">
        <v>46202.72569444445</v>
      </c>
      <c r="G7177" s="11" t="n">
        <v>-17.64</v>
      </c>
      <c r="H7177" s="11">
        <f>H7176+G7177</f>
        <v/>
      </c>
    </row>
    <row r="7178">
      <c r="A7178" s="9" t="n">
        <v>7174</v>
      </c>
      <c r="B7178" s="9" t="inlineStr">
        <is>
          <t>Ratchet</t>
        </is>
      </c>
      <c r="C7178" s="9" t="inlineStr">
        <is>
          <t>Stochastic scalp with give-back trail exit</t>
        </is>
      </c>
      <c r="D7178" s="9" t="inlineStr">
        <is>
          <t>Short</t>
        </is>
      </c>
      <c r="E7178" s="10" t="n">
        <v>46202.87152777778</v>
      </c>
      <c r="F7178" s="10" t="n">
        <v>46202.93402777778</v>
      </c>
      <c r="G7178" s="11" t="n">
        <v>3.91</v>
      </c>
      <c r="H7178" s="11">
        <f>H7177+G7178</f>
        <v/>
      </c>
    </row>
    <row r="7179">
      <c r="A7179" s="9" t="n">
        <v>7175</v>
      </c>
      <c r="B7179" s="9" t="inlineStr">
        <is>
          <t>Ratchet</t>
        </is>
      </c>
      <c r="C7179" s="9" t="inlineStr">
        <is>
          <t>Stochastic scalp with give-back trail exit</t>
        </is>
      </c>
      <c r="D7179" s="9" t="inlineStr">
        <is>
          <t>Short</t>
        </is>
      </c>
      <c r="E7179" s="10" t="n">
        <v>46202.96875</v>
      </c>
      <c r="F7179" s="10" t="n">
        <v>46202.99652777778</v>
      </c>
      <c r="G7179" s="11" t="n">
        <v>-2.78</v>
      </c>
      <c r="H7179" s="11">
        <f>H7178+G7179</f>
        <v/>
      </c>
    </row>
    <row r="7180">
      <c r="A7180" s="9" t="n">
        <v>7176</v>
      </c>
      <c r="B7180" s="9" t="inlineStr">
        <is>
          <t>Aurelius_M5</t>
        </is>
      </c>
      <c r="C7180" s="9" t="inlineStr">
        <is>
          <t>MA alignment (EMA21&gt;EMA50&gt;SMA250&gt;SMMA500 vs EMA2400 trend filter)</t>
        </is>
      </c>
      <c r="D7180" s="9" t="inlineStr">
        <is>
          <t>Short</t>
        </is>
      </c>
      <c r="E7180" s="10" t="n">
        <v>46203.12847222222</v>
      </c>
      <c r="F7180" s="10" t="n">
        <v>46203.32638888889</v>
      </c>
      <c r="G7180" s="11" t="n">
        <v>18.95</v>
      </c>
      <c r="H7180" s="11">
        <f>H7179+G7180</f>
        <v/>
      </c>
    </row>
    <row r="7181">
      <c r="A7181" s="9" t="n">
        <v>7177</v>
      </c>
      <c r="B7181" s="9" t="inlineStr">
        <is>
          <t>Meridian</t>
        </is>
      </c>
      <c r="C7181" s="9" t="inlineStr">
        <is>
          <t>21/50 MA cross, 250-period confirm filter, VWAP</t>
        </is>
      </c>
      <c r="D7181" s="9" t="inlineStr">
        <is>
          <t>Short</t>
        </is>
      </c>
      <c r="E7181" s="10" t="n">
        <v>46202.49652777778</v>
      </c>
      <c r="F7181" s="10" t="n">
        <v>46203.33680555555</v>
      </c>
      <c r="G7181" s="11" t="n">
        <v>63.32</v>
      </c>
      <c r="H7181" s="11">
        <f>H7180+G7181</f>
        <v/>
      </c>
    </row>
    <row r="7182">
      <c r="A7182" s="9" t="n">
        <v>7178</v>
      </c>
      <c r="B7182" s="9" t="inlineStr">
        <is>
          <t>Aurelius_M15</t>
        </is>
      </c>
      <c r="C7182" s="9" t="inlineStr">
        <is>
          <t>MA alignment (EMA21&gt;EMA50&gt;SMA250&gt;SMMA500 vs EMA2400 trend filter) - M15 chart</t>
        </is>
      </c>
      <c r="D7182" s="9" t="inlineStr">
        <is>
          <t>Short</t>
        </is>
      </c>
      <c r="E7182" s="10" t="n">
        <v>46202.71875</v>
      </c>
      <c r="F7182" s="10" t="n">
        <v>46203.45833333334</v>
      </c>
      <c r="G7182" s="11" t="n">
        <v>-23.58</v>
      </c>
      <c r="H7182" s="11">
        <f>H7181+G7182</f>
        <v/>
      </c>
    </row>
    <row r="7183">
      <c r="A7183" s="9" t="n">
        <v>7179</v>
      </c>
      <c r="B7183" s="9" t="inlineStr">
        <is>
          <t>Vanguard_M5</t>
        </is>
      </c>
      <c r="C7183" s="9" t="inlineStr">
        <is>
          <t>Trendline breakout (fractal swing line) + VWAP/S-R distance gate</t>
        </is>
      </c>
      <c r="D7183" s="9" t="inlineStr">
        <is>
          <t>Short</t>
        </is>
      </c>
      <c r="E7183" s="10" t="n">
        <v>46202.71875</v>
      </c>
      <c r="F7183" s="10" t="n">
        <v>46203.46180555555</v>
      </c>
      <c r="G7183" s="11" t="n">
        <v>-28.22</v>
      </c>
      <c r="H7183" s="11">
        <f>H7182+G7183</f>
        <v/>
      </c>
    </row>
    <row r="7184">
      <c r="A7184" s="9" t="n">
        <v>7180</v>
      </c>
      <c r="B7184" s="9" t="inlineStr">
        <is>
          <t>Vanguard_M15</t>
        </is>
      </c>
      <c r="C7184" s="9" t="inlineStr">
        <is>
          <t>Trendline breakout (fractal swing line) + VWAP/S-R distance gate - M15 chart</t>
        </is>
      </c>
      <c r="D7184" s="9" t="inlineStr">
        <is>
          <t>Short</t>
        </is>
      </c>
      <c r="E7184" s="10" t="n">
        <v>46202.71875</v>
      </c>
      <c r="F7184" s="10" t="n">
        <v>46203.54166666666</v>
      </c>
      <c r="G7184" s="11" t="n">
        <v>-17.15</v>
      </c>
      <c r="H7184" s="11">
        <f>H7183+G7184</f>
        <v/>
      </c>
    </row>
    <row r="7185">
      <c r="A7185" s="9" t="n">
        <v>7181</v>
      </c>
      <c r="B7185" s="9" t="inlineStr">
        <is>
          <t>Meridian</t>
        </is>
      </c>
      <c r="C7185" s="9" t="inlineStr">
        <is>
          <t>21/50 MA cross, 250-period confirm filter, VWAP</t>
        </is>
      </c>
      <c r="D7185" s="9" t="inlineStr">
        <is>
          <t>Long</t>
        </is>
      </c>
      <c r="E7185" s="10" t="n">
        <v>46203.70486111111</v>
      </c>
      <c r="F7185" s="10" t="n">
        <v>46203.83680555555</v>
      </c>
      <c r="G7185" s="11" t="n">
        <v>-2.33</v>
      </c>
      <c r="H7185" s="11">
        <f>H7184+G7185</f>
        <v/>
      </c>
    </row>
    <row r="7186">
      <c r="A7186" s="9" t="n">
        <v>7182</v>
      </c>
      <c r="B7186" s="9" t="inlineStr">
        <is>
          <t>Meridian</t>
        </is>
      </c>
      <c r="C7186" s="9" t="inlineStr">
        <is>
          <t>21/50 MA cross, 250-period confirm filter, VWAP</t>
        </is>
      </c>
      <c r="D7186" s="9" t="inlineStr">
        <is>
          <t>Long</t>
        </is>
      </c>
      <c r="E7186" s="10" t="n">
        <v>46203.89236111111</v>
      </c>
      <c r="F7186" s="10" t="n">
        <v>46203.92013888889</v>
      </c>
      <c r="G7186" s="11" t="n">
        <v>-5.18</v>
      </c>
      <c r="H7186" s="11">
        <f>H7185+G7186</f>
        <v/>
      </c>
    </row>
    <row r="7187">
      <c r="A7187" s="9" t="n">
        <v>7183</v>
      </c>
      <c r="B7187" s="9" t="inlineStr">
        <is>
          <t>Ratchet</t>
        </is>
      </c>
      <c r="C7187" s="9" t="inlineStr">
        <is>
          <t>Stochastic scalp with give-back trail exit</t>
        </is>
      </c>
      <c r="D7187" s="9" t="inlineStr">
        <is>
          <t>Short</t>
        </is>
      </c>
      <c r="E7187" s="10" t="n">
        <v>46204.07638888889</v>
      </c>
      <c r="F7187" s="10" t="n">
        <v>46204.07986111111</v>
      </c>
      <c r="G7187" s="11" t="n">
        <v>-0</v>
      </c>
      <c r="H7187" s="11">
        <f>H7186+G7187</f>
        <v/>
      </c>
    </row>
    <row r="7188">
      <c r="A7188" s="9" t="n">
        <v>7184</v>
      </c>
      <c r="B7188" s="9" t="inlineStr">
        <is>
          <t>Ratchet</t>
        </is>
      </c>
      <c r="C7188" s="9" t="inlineStr">
        <is>
          <t>Stochastic scalp with give-back trail exit</t>
        </is>
      </c>
      <c r="D7188" s="9" t="inlineStr">
        <is>
          <t>Short</t>
        </is>
      </c>
      <c r="E7188" s="10" t="n">
        <v>46204.24652777778</v>
      </c>
      <c r="F7188" s="10" t="n">
        <v>46204.27430555555</v>
      </c>
      <c r="G7188" s="11" t="n">
        <v>0.91</v>
      </c>
      <c r="H7188" s="11">
        <f>H7187+G7188</f>
        <v/>
      </c>
    </row>
    <row r="7189">
      <c r="A7189" s="9" t="n">
        <v>7185</v>
      </c>
      <c r="B7189" s="9" t="inlineStr">
        <is>
          <t>Ratchet</t>
        </is>
      </c>
      <c r="C7189" s="9" t="inlineStr">
        <is>
          <t>Stochastic scalp with give-back trail exit</t>
        </is>
      </c>
      <c r="D7189" s="9" t="inlineStr">
        <is>
          <t>Short</t>
        </is>
      </c>
      <c r="E7189" s="10" t="n">
        <v>46204.29861111111</v>
      </c>
      <c r="F7189" s="10" t="n">
        <v>46204.32986111111</v>
      </c>
      <c r="G7189" s="11" t="n">
        <v>-6.27</v>
      </c>
      <c r="H7189" s="11">
        <f>H7188+G7189</f>
        <v/>
      </c>
    </row>
    <row r="7190">
      <c r="A7190" s="9" t="n">
        <v>7186</v>
      </c>
      <c r="B7190" s="9" t="inlineStr">
        <is>
          <t>Ratchet</t>
        </is>
      </c>
      <c r="C7190" s="9" t="inlineStr">
        <is>
          <t>Stochastic scalp with give-back trail exit</t>
        </is>
      </c>
      <c r="D7190" s="9" t="inlineStr">
        <is>
          <t>Long</t>
        </is>
      </c>
      <c r="E7190" s="10" t="n">
        <v>46204.74652777778</v>
      </c>
      <c r="F7190" s="10" t="n">
        <v>46204.75</v>
      </c>
      <c r="G7190" s="11" t="n">
        <v>0</v>
      </c>
      <c r="H7190" s="11">
        <f>H7189+G7190</f>
        <v/>
      </c>
    </row>
    <row r="7191">
      <c r="A7191" s="9" t="n">
        <v>7187</v>
      </c>
      <c r="B7191" s="9" t="inlineStr">
        <is>
          <t>Meridian</t>
        </is>
      </c>
      <c r="C7191" s="9" t="inlineStr">
        <is>
          <t>21/50 MA cross, 250-period confirm filter, VWAP</t>
        </is>
      </c>
      <c r="D7191" s="9" t="inlineStr">
        <is>
          <t>Long</t>
        </is>
      </c>
      <c r="E7191" s="10" t="n">
        <v>46205.17013888889</v>
      </c>
      <c r="F7191" s="10" t="n">
        <v>46205.18402777778</v>
      </c>
      <c r="G7191" s="11" t="n">
        <v>-14.1</v>
      </c>
      <c r="H7191" s="11">
        <f>H7190+G7191</f>
        <v/>
      </c>
    </row>
    <row r="7192">
      <c r="A7192" s="9" t="n">
        <v>7188</v>
      </c>
      <c r="B7192" s="9" t="inlineStr">
        <is>
          <t>Aurelius_M5</t>
        </is>
      </c>
      <c r="C7192" s="9" t="inlineStr">
        <is>
          <t>MA alignment (EMA21&gt;EMA50&gt;SMA250&gt;SMMA500 vs EMA2400 trend filter)</t>
        </is>
      </c>
      <c r="D7192" s="9" t="inlineStr">
        <is>
          <t>Long</t>
        </is>
      </c>
      <c r="E7192" s="10" t="n">
        <v>46205.39236111111</v>
      </c>
      <c r="F7192" s="10" t="n">
        <v>46205.39583333334</v>
      </c>
      <c r="G7192" s="11" t="n">
        <v>-4.02</v>
      </c>
      <c r="H7192" s="11">
        <f>H7191+G7192</f>
        <v/>
      </c>
    </row>
    <row r="7193">
      <c r="A7193" s="9" t="n">
        <v>7189</v>
      </c>
      <c r="B7193" s="9" t="inlineStr">
        <is>
          <t>Ratchet</t>
        </is>
      </c>
      <c r="C7193" s="9" t="inlineStr">
        <is>
          <t>Stochastic scalp with give-back trail exit</t>
        </is>
      </c>
      <c r="D7193" s="9" t="inlineStr">
        <is>
          <t>Long</t>
        </is>
      </c>
      <c r="E7193" s="10" t="n">
        <v>46205.49305555555</v>
      </c>
      <c r="F7193" s="10" t="n">
        <v>46205.49652777778</v>
      </c>
      <c r="G7193" s="11" t="n">
        <v>0</v>
      </c>
      <c r="H7193" s="11">
        <f>H7192+G7193</f>
        <v/>
      </c>
    </row>
    <row r="7194">
      <c r="A7194" s="9" t="n">
        <v>7190</v>
      </c>
      <c r="B7194" s="9" t="inlineStr">
        <is>
          <t>MSG</t>
        </is>
      </c>
      <c r="C7194" s="9" t="inlineStr">
        <is>
          <t>Session-range breakout + Fibonacci retracement-zone entry</t>
        </is>
      </c>
      <c r="D7194" s="9" t="inlineStr">
        <is>
          <t>Short</t>
        </is>
      </c>
      <c r="E7194" s="10" t="n">
        <v>46205.61388888889</v>
      </c>
      <c r="F7194" s="10" t="n">
        <v>46205.625</v>
      </c>
      <c r="G7194" s="11" t="n">
        <v>14.45</v>
      </c>
      <c r="H7194" s="11">
        <f>H7193+G7194</f>
        <v/>
      </c>
    </row>
    <row r="7195">
      <c r="A7195" s="9" t="n">
        <v>7191</v>
      </c>
      <c r="B7195" s="9" t="inlineStr">
        <is>
          <t>Aurelius_M5</t>
        </is>
      </c>
      <c r="C7195" s="9" t="inlineStr">
        <is>
          <t>MA alignment (EMA21&gt;EMA50&gt;SMA250&gt;SMMA500 vs EMA2400 trend filter)</t>
        </is>
      </c>
      <c r="D7195" s="9" t="inlineStr">
        <is>
          <t>Long</t>
        </is>
      </c>
      <c r="E7195" s="10" t="n">
        <v>46205.65277777778</v>
      </c>
      <c r="F7195" s="10" t="n">
        <v>46205.66319444445</v>
      </c>
      <c r="G7195" s="11" t="n">
        <v>-23.64</v>
      </c>
      <c r="H7195" s="11">
        <f>H7194+G7195</f>
        <v/>
      </c>
    </row>
    <row r="7196">
      <c r="A7196" s="9" t="n">
        <v>7192</v>
      </c>
      <c r="B7196" s="9" t="inlineStr">
        <is>
          <t>Meridian</t>
        </is>
      </c>
      <c r="C7196" s="9" t="inlineStr">
        <is>
          <t>21/50 MA cross, 250-period confirm filter, VWAP</t>
        </is>
      </c>
      <c r="D7196" s="9" t="inlineStr">
        <is>
          <t>Long</t>
        </is>
      </c>
      <c r="E7196" s="10" t="n">
        <v>46205.64930555555</v>
      </c>
      <c r="F7196" s="10" t="n">
        <v>46205.8125</v>
      </c>
      <c r="G7196" s="11" t="n">
        <v>-22.6</v>
      </c>
      <c r="H7196" s="11">
        <f>H7195+G7196</f>
        <v/>
      </c>
    </row>
    <row r="7197">
      <c r="A7197" s="9" t="n">
        <v>7193</v>
      </c>
      <c r="B7197" s="9" t="inlineStr">
        <is>
          <t>Meridian</t>
        </is>
      </c>
      <c r="C7197" s="9" t="inlineStr">
        <is>
          <t>21/50 MA cross, 250-period confirm filter, VWAP</t>
        </is>
      </c>
      <c r="D7197" s="9" t="inlineStr">
        <is>
          <t>Long</t>
        </is>
      </c>
      <c r="E7197" s="10" t="n">
        <v>46205.88194444445</v>
      </c>
      <c r="F7197" s="10" t="n">
        <v>46205.93402777778</v>
      </c>
      <c r="G7197" s="11" t="n">
        <v>-14.54</v>
      </c>
      <c r="H7197" s="11">
        <f>H7196+G7197</f>
        <v/>
      </c>
    </row>
    <row r="7198">
      <c r="A7198" s="9" t="n">
        <v>7194</v>
      </c>
      <c r="B7198" s="9" t="inlineStr">
        <is>
          <t>Meridian</t>
        </is>
      </c>
      <c r="C7198" s="9" t="inlineStr">
        <is>
          <t>21/50 MA cross, 250-period confirm filter, VWAP</t>
        </is>
      </c>
      <c r="D7198" s="9" t="inlineStr">
        <is>
          <t>Long</t>
        </is>
      </c>
      <c r="E7198" s="10" t="n">
        <v>46205.95486111111</v>
      </c>
      <c r="F7198" s="10" t="n">
        <v>46206.39583333334</v>
      </c>
      <c r="G7198" s="11" t="n">
        <v>40.87</v>
      </c>
      <c r="H7198" s="11">
        <f>H7197+G7198</f>
        <v/>
      </c>
    </row>
    <row r="7199">
      <c r="A7199" s="9" t="n">
        <v>7195</v>
      </c>
      <c r="B7199" s="9" t="inlineStr">
        <is>
          <t>Meridian</t>
        </is>
      </c>
      <c r="C7199" s="9" t="inlineStr">
        <is>
          <t>21/50 MA cross, 250-period confirm filter, VWAP</t>
        </is>
      </c>
      <c r="D7199" s="9" t="inlineStr">
        <is>
          <t>Long</t>
        </is>
      </c>
      <c r="E7199" s="10" t="n">
        <v>46206.42013888889</v>
      </c>
      <c r="F7199" s="10" t="n">
        <v>46206.54166666666</v>
      </c>
      <c r="G7199" s="11" t="n">
        <v>-3.22</v>
      </c>
      <c r="H7199" s="11">
        <f>H7198+G7199</f>
        <v/>
      </c>
    </row>
    <row r="7200">
      <c r="A7200" s="9" t="n">
        <v>7196</v>
      </c>
      <c r="B7200" s="9" t="inlineStr">
        <is>
          <t>Meridian</t>
        </is>
      </c>
      <c r="C7200" s="9" t="inlineStr">
        <is>
          <t>21/50 MA cross, 250-period confirm filter, VWAP</t>
        </is>
      </c>
      <c r="D7200" s="9" t="inlineStr">
        <is>
          <t>Long</t>
        </is>
      </c>
      <c r="E7200" s="10" t="n">
        <v>46206.54861111111</v>
      </c>
      <c r="F7200" s="10" t="n">
        <v>46206.65972222222</v>
      </c>
      <c r="G7200" s="11" t="n">
        <v>-3.07</v>
      </c>
      <c r="H7200" s="11">
        <f>H7199+G7200</f>
        <v/>
      </c>
    </row>
    <row r="7201">
      <c r="A7201" s="9" t="n">
        <v>7197</v>
      </c>
      <c r="B7201" s="9" t="inlineStr">
        <is>
          <t>Aurelius_M5</t>
        </is>
      </c>
      <c r="C7201" s="9" t="inlineStr">
        <is>
          <t>MA alignment (EMA21&gt;EMA50&gt;SMA250&gt;SMMA500 vs EMA2400 trend filter)</t>
        </is>
      </c>
      <c r="D7201" s="9" t="inlineStr">
        <is>
          <t>Long</t>
        </is>
      </c>
      <c r="E7201" s="10" t="n">
        <v>46209.06597222222</v>
      </c>
      <c r="F7201" s="10" t="n">
        <v>46209.125</v>
      </c>
      <c r="G7201" s="11" t="n">
        <v>-10.27</v>
      </c>
      <c r="H7201" s="11">
        <f>H7200+G7201</f>
        <v/>
      </c>
    </row>
    <row r="7202">
      <c r="A7202" s="9" t="n">
        <v>7198</v>
      </c>
      <c r="B7202" s="9" t="inlineStr">
        <is>
          <t>Aurelius_M5</t>
        </is>
      </c>
      <c r="C7202" s="9" t="inlineStr">
        <is>
          <t>MA alignment (EMA21&gt;EMA50&gt;SMA250&gt;SMMA500 vs EMA2400 trend filter)</t>
        </is>
      </c>
      <c r="D7202" s="9" t="inlineStr">
        <is>
          <t>Long</t>
        </is>
      </c>
      <c r="E7202" s="10" t="n">
        <v>46209.14930555555</v>
      </c>
      <c r="F7202" s="10" t="n">
        <v>46209.23958333334</v>
      </c>
      <c r="G7202" s="11" t="n">
        <v>-9.06</v>
      </c>
      <c r="H7202" s="11">
        <f>H7201+G7202</f>
        <v/>
      </c>
    </row>
    <row r="7203">
      <c r="A7203" s="9" t="n">
        <v>7199</v>
      </c>
      <c r="B7203" s="9" t="inlineStr">
        <is>
          <t>Vanguard_M15</t>
        </is>
      </c>
      <c r="C7203" s="9" t="inlineStr">
        <is>
          <t>Trendline breakout (fractal swing line) + VWAP/S-R distance gate - M15 chart</t>
        </is>
      </c>
      <c r="D7203" s="9" t="inlineStr">
        <is>
          <t>Long</t>
        </is>
      </c>
      <c r="E7203" s="10" t="n">
        <v>46205.08333333334</v>
      </c>
      <c r="F7203" s="10" t="n">
        <v>46209.26041666666</v>
      </c>
      <c r="G7203" s="11" t="n">
        <v>120.67</v>
      </c>
      <c r="H7203" s="11">
        <f>H7202+G7203</f>
        <v/>
      </c>
    </row>
    <row r="7204">
      <c r="A7204" s="9" t="n">
        <v>7200</v>
      </c>
      <c r="B7204" s="9" t="inlineStr">
        <is>
          <t>Aurelius_M15</t>
        </is>
      </c>
      <c r="C7204" s="9" t="inlineStr">
        <is>
          <t>MA alignment (EMA21&gt;EMA50&gt;SMA250&gt;SMMA500 vs EMA2400 trend filter) - M15 chart</t>
        </is>
      </c>
      <c r="D7204" s="9" t="inlineStr">
        <is>
          <t>Long</t>
        </is>
      </c>
      <c r="E7204" s="10" t="n">
        <v>46209.125</v>
      </c>
      <c r="F7204" s="10" t="n">
        <v>46209.26041666666</v>
      </c>
      <c r="G7204" s="11" t="n">
        <v>-20.13</v>
      </c>
      <c r="H7204" s="11">
        <f>H7203+G7204</f>
        <v/>
      </c>
    </row>
    <row r="7205">
      <c r="A7205" s="9" t="n">
        <v>7201</v>
      </c>
      <c r="B7205" s="9" t="inlineStr">
        <is>
          <t>Vanguard_M5</t>
        </is>
      </c>
      <c r="C7205" s="9" t="inlineStr">
        <is>
          <t>Trendline breakout (fractal swing line) + VWAP/S-R distance gate</t>
        </is>
      </c>
      <c r="D7205" s="9" t="inlineStr">
        <is>
          <t>Long</t>
        </is>
      </c>
      <c r="E7205" s="10" t="n">
        <v>46204.69097222222</v>
      </c>
      <c r="F7205" s="10" t="n">
        <v>46209.27083333334</v>
      </c>
      <c r="G7205" s="11" t="n">
        <v>117.78</v>
      </c>
      <c r="H7205" s="11">
        <f>H7204+G7205</f>
        <v/>
      </c>
    </row>
    <row r="7206">
      <c r="A7206" s="9" t="n">
        <v>7202</v>
      </c>
      <c r="B7206" s="9" t="inlineStr">
        <is>
          <t>MSG</t>
        </is>
      </c>
      <c r="C7206" s="9" t="inlineStr">
        <is>
          <t>Session-range breakout + Fibonacci retracement-zone entry</t>
        </is>
      </c>
      <c r="D7206" s="9" t="inlineStr">
        <is>
          <t>Short</t>
        </is>
      </c>
      <c r="E7206" s="10" t="n">
        <v>46209.56527777778</v>
      </c>
      <c r="F7206" s="10" t="n">
        <v>46209.60208333333</v>
      </c>
      <c r="G7206" s="11" t="n">
        <v>-21.61</v>
      </c>
      <c r="H7206" s="11">
        <f>H7205+G7206</f>
        <v/>
      </c>
    </row>
    <row r="7207">
      <c r="A7207" s="9" t="n">
        <v>7203</v>
      </c>
      <c r="B7207" s="9" t="inlineStr">
        <is>
          <t>Meridian</t>
        </is>
      </c>
      <c r="C7207" s="9" t="inlineStr">
        <is>
          <t>21/50 MA cross, 250-period confirm filter, VWAP</t>
        </is>
      </c>
      <c r="D7207" s="9" t="inlineStr">
        <is>
          <t>Short</t>
        </is>
      </c>
      <c r="E7207" s="10" t="n">
        <v>46209.23958333334</v>
      </c>
      <c r="F7207" s="10" t="n">
        <v>46209.60763888889</v>
      </c>
      <c r="G7207" s="11" t="n">
        <v>14.86</v>
      </c>
      <c r="H7207" s="11">
        <f>H7206+G7207</f>
        <v/>
      </c>
    </row>
    <row r="7208">
      <c r="A7208" s="9" t="n">
        <v>7204</v>
      </c>
      <c r="B7208" s="9" t="inlineStr">
        <is>
          <t>Meridian</t>
        </is>
      </c>
      <c r="C7208" s="9" t="inlineStr">
        <is>
          <t>21/50 MA cross, 250-period confirm filter, VWAP</t>
        </is>
      </c>
      <c r="D7208" s="9" t="inlineStr">
        <is>
          <t>Short</t>
        </is>
      </c>
      <c r="E7208" s="10" t="n">
        <v>46209.64930555555</v>
      </c>
      <c r="F7208" s="10" t="n">
        <v>46209.81944444445</v>
      </c>
      <c r="G7208" s="11" t="n">
        <v>-6.04</v>
      </c>
      <c r="H7208" s="11">
        <f>H7207+G7208</f>
        <v/>
      </c>
    </row>
    <row r="7209">
      <c r="A7209" s="9" t="n">
        <v>7205</v>
      </c>
      <c r="B7209" s="9" t="inlineStr">
        <is>
          <t>Meridian</t>
        </is>
      </c>
      <c r="C7209" s="9" t="inlineStr">
        <is>
          <t>21/50 MA cross, 250-period confirm filter, VWAP</t>
        </is>
      </c>
      <c r="D7209" s="9" t="inlineStr">
        <is>
          <t>Short</t>
        </is>
      </c>
      <c r="E7209" s="10" t="n">
        <v>46210.49652777778</v>
      </c>
      <c r="F7209" s="10" t="n">
        <v>46210.54861111111</v>
      </c>
      <c r="G7209" s="11" t="n">
        <v>-11.07</v>
      </c>
      <c r="H7209" s="11">
        <f>H7208+G7209</f>
        <v/>
      </c>
    </row>
    <row r="7210">
      <c r="A7210" s="9" t="n">
        <v>7206</v>
      </c>
      <c r="B7210" s="9" t="inlineStr">
        <is>
          <t>Vanguard_M15</t>
        </is>
      </c>
      <c r="C7210" s="9" t="inlineStr">
        <is>
          <t>Trendline breakout (fractal swing line) + VWAP/S-R distance gate - M15 chart</t>
        </is>
      </c>
      <c r="D7210" s="9" t="inlineStr">
        <is>
          <t>Short</t>
        </is>
      </c>
      <c r="E7210" s="10" t="n">
        <v>46209.27083333334</v>
      </c>
      <c r="F7210" s="10" t="n">
        <v>46210.60416666666</v>
      </c>
      <c r="G7210" s="11" t="n">
        <v>17.25</v>
      </c>
      <c r="H7210" s="11">
        <f>H7209+G7210</f>
        <v/>
      </c>
    </row>
    <row r="7211">
      <c r="A7211" s="9" t="n">
        <v>7207</v>
      </c>
      <c r="B7211" s="9" t="inlineStr">
        <is>
          <t>Vanguard_M5</t>
        </is>
      </c>
      <c r="C7211" s="9" t="inlineStr">
        <is>
          <t>Trendline breakout (fractal swing line) + VWAP/S-R distance gate</t>
        </is>
      </c>
      <c r="D7211" s="9" t="inlineStr">
        <is>
          <t>Short</t>
        </is>
      </c>
      <c r="E7211" s="10" t="n">
        <v>46209.27430555555</v>
      </c>
      <c r="F7211" s="10" t="n">
        <v>46210.61111111111</v>
      </c>
      <c r="G7211" s="11" t="n">
        <v>17.4</v>
      </c>
      <c r="H7211" s="11">
        <f>H7210+G7211</f>
        <v/>
      </c>
    </row>
    <row r="7212">
      <c r="A7212" s="9" t="n">
        <v>7208</v>
      </c>
      <c r="B7212" s="9" t="inlineStr">
        <is>
          <t>Aurelius_M5</t>
        </is>
      </c>
      <c r="C7212" s="9" t="inlineStr">
        <is>
          <t>MA alignment (EMA21&gt;EMA50&gt;SMA250&gt;SMMA500 vs EMA2400 trend filter)</t>
        </is>
      </c>
      <c r="D7212" s="9" t="inlineStr">
        <is>
          <t>Long</t>
        </is>
      </c>
      <c r="E7212" s="10" t="n">
        <v>46210.74305555555</v>
      </c>
      <c r="F7212" s="10" t="n">
        <v>46210.77083333334</v>
      </c>
      <c r="G7212" s="11" t="n">
        <v>-13.72</v>
      </c>
      <c r="H7212" s="11">
        <f>H7211+G7212</f>
        <v/>
      </c>
    </row>
    <row r="7213">
      <c r="A7213" s="9" t="n">
        <v>7209</v>
      </c>
      <c r="B7213" s="9" t="inlineStr">
        <is>
          <t>Aurelius_M15</t>
        </is>
      </c>
      <c r="C7213" s="9" t="inlineStr">
        <is>
          <t>MA alignment (EMA21&gt;EMA50&gt;SMA250&gt;SMMA500 vs EMA2400 trend filter) - M15 chart</t>
        </is>
      </c>
      <c r="D7213" s="9" t="inlineStr">
        <is>
          <t>Long</t>
        </is>
      </c>
      <c r="E7213" s="10" t="n">
        <v>46210.71875</v>
      </c>
      <c r="F7213" s="10" t="n">
        <v>46210.88541666666</v>
      </c>
      <c r="G7213" s="11" t="n">
        <v>-10.25</v>
      </c>
      <c r="H7213" s="11">
        <f>H7212+G7213</f>
        <v/>
      </c>
    </row>
    <row r="7214">
      <c r="A7214" s="9" t="n">
        <v>7210</v>
      </c>
      <c r="B7214" s="9" t="inlineStr">
        <is>
          <t>Vanguard_M15</t>
        </is>
      </c>
      <c r="C7214" s="9" t="inlineStr">
        <is>
          <t>Trendline breakout (fractal swing line) + VWAP/S-R distance gate - M15 chart</t>
        </is>
      </c>
      <c r="D7214" s="9" t="inlineStr">
        <is>
          <t>Long</t>
        </is>
      </c>
      <c r="E7214" s="10" t="n">
        <v>46210.61458333334</v>
      </c>
      <c r="F7214" s="10" t="n">
        <v>46210.90625</v>
      </c>
      <c r="G7214" s="11" t="n">
        <v>-22.45</v>
      </c>
      <c r="H7214" s="11">
        <f>H7213+G7214</f>
        <v/>
      </c>
    </row>
    <row r="7215">
      <c r="A7215" s="9" t="n">
        <v>7211</v>
      </c>
      <c r="B7215" s="9" t="inlineStr">
        <is>
          <t>Vanguard_M5</t>
        </is>
      </c>
      <c r="C7215" s="9" t="inlineStr">
        <is>
          <t>Trendline breakout (fractal swing line) + VWAP/S-R distance gate</t>
        </is>
      </c>
      <c r="D7215" s="9" t="inlineStr">
        <is>
          <t>Long</t>
        </is>
      </c>
      <c r="E7215" s="10" t="n">
        <v>46210.61458333334</v>
      </c>
      <c r="F7215" s="10" t="n">
        <v>46210.90625</v>
      </c>
      <c r="G7215" s="11" t="n">
        <v>-15.46</v>
      </c>
      <c r="H7215" s="11">
        <f>H7214+G7215</f>
        <v/>
      </c>
    </row>
    <row r="7216">
      <c r="A7216" s="9" t="n">
        <v>7212</v>
      </c>
      <c r="B7216" s="9" t="inlineStr">
        <is>
          <t>Ratchet</t>
        </is>
      </c>
      <c r="C7216" s="9" t="inlineStr">
        <is>
          <t>Stochastic scalp with give-back trail exit</t>
        </is>
      </c>
      <c r="D7216" s="9" t="inlineStr">
        <is>
          <t>Short</t>
        </is>
      </c>
      <c r="E7216" s="10" t="n">
        <v>46211.11805555555</v>
      </c>
      <c r="F7216" s="10" t="n">
        <v>46211.13888888889</v>
      </c>
      <c r="G7216" s="11" t="n">
        <v>-7.3</v>
      </c>
      <c r="H7216" s="11">
        <f>H7215+G7216</f>
        <v/>
      </c>
    </row>
    <row r="7217">
      <c r="A7217" s="9" t="n">
        <v>7213</v>
      </c>
      <c r="B7217" s="9" t="inlineStr">
        <is>
          <t>Meridian</t>
        </is>
      </c>
      <c r="C7217" s="9" t="inlineStr">
        <is>
          <t>21/50 MA cross, 250-period confirm filter, VWAP</t>
        </is>
      </c>
      <c r="D7217" s="9" t="inlineStr">
        <is>
          <t>Short</t>
        </is>
      </c>
      <c r="E7217" s="10" t="n">
        <v>46210.77083333334</v>
      </c>
      <c r="F7217" s="10" t="n">
        <v>46211.22569444445</v>
      </c>
      <c r="G7217" s="11" t="n">
        <v>22.69</v>
      </c>
      <c r="H7217" s="11">
        <f>H7216+G7217</f>
        <v/>
      </c>
    </row>
    <row r="7218">
      <c r="A7218" s="9" t="n">
        <v>7214</v>
      </c>
      <c r="B7218" s="9" t="inlineStr">
        <is>
          <t>Ratchet</t>
        </is>
      </c>
      <c r="C7218" s="9" t="inlineStr">
        <is>
          <t>Stochastic scalp with give-back trail exit</t>
        </is>
      </c>
      <c r="D7218" s="9" t="inlineStr">
        <is>
          <t>Short</t>
        </is>
      </c>
      <c r="E7218" s="10" t="n">
        <v>46211.60416666666</v>
      </c>
      <c r="F7218" s="10" t="n">
        <v>46211.61111111111</v>
      </c>
      <c r="G7218" s="11" t="n">
        <v>2.17</v>
      </c>
      <c r="H7218" s="11">
        <f>H7217+G7218</f>
        <v/>
      </c>
    </row>
    <row r="7219">
      <c r="A7219" s="9" t="n">
        <v>7215</v>
      </c>
      <c r="B7219" s="9" t="inlineStr">
        <is>
          <t>Meridian</t>
        </is>
      </c>
      <c r="C7219" s="9" t="inlineStr">
        <is>
          <t>21/50 MA cross, 250-period confirm filter, VWAP</t>
        </is>
      </c>
      <c r="D7219" s="9" t="inlineStr">
        <is>
          <t>Short</t>
        </is>
      </c>
      <c r="E7219" s="10" t="n">
        <v>46211.71875</v>
      </c>
      <c r="F7219" s="10" t="n">
        <v>46211.84722222222</v>
      </c>
      <c r="G7219" s="11" t="n">
        <v>-9.210000000000001</v>
      </c>
      <c r="H7219" s="11">
        <f>H7218+G7219</f>
        <v/>
      </c>
    </row>
    <row r="7220">
      <c r="A7220" s="9" t="n">
        <v>7216</v>
      </c>
      <c r="B7220" s="9" t="inlineStr">
        <is>
          <t>Vanguard_M5</t>
        </is>
      </c>
      <c r="C7220" s="9" t="inlineStr">
        <is>
          <t>Trendline breakout (fractal swing line) + VWAP/S-R distance gate</t>
        </is>
      </c>
      <c r="D7220" s="9" t="inlineStr">
        <is>
          <t>Long</t>
        </is>
      </c>
      <c r="E7220" s="10" t="n">
        <v>46211.90972222222</v>
      </c>
      <c r="F7220" s="10" t="n">
        <v>46212.16666666666</v>
      </c>
      <c r="G7220" s="11" t="n">
        <v>-23.89</v>
      </c>
      <c r="H7220" s="11">
        <f>H7219+G7220</f>
        <v/>
      </c>
    </row>
    <row r="7221">
      <c r="A7221" s="9" t="n">
        <v>7217</v>
      </c>
      <c r="B7221" s="9" t="inlineStr">
        <is>
          <t>Meridian</t>
        </is>
      </c>
      <c r="C7221" s="9" t="inlineStr">
        <is>
          <t>21/50 MA cross, 250-period confirm filter, VWAP</t>
        </is>
      </c>
      <c r="D7221" s="9" t="inlineStr">
        <is>
          <t>Short</t>
        </is>
      </c>
      <c r="E7221" s="10" t="n">
        <v>46212.17708333334</v>
      </c>
      <c r="F7221" s="10" t="n">
        <v>46212.22916666666</v>
      </c>
      <c r="G7221" s="11" t="n">
        <v>-6.52</v>
      </c>
      <c r="H7221" s="11">
        <f>H7220+G7221</f>
        <v/>
      </c>
    </row>
    <row r="7222">
      <c r="A7222" s="9" t="n">
        <v>7218</v>
      </c>
      <c r="B7222" s="9" t="inlineStr">
        <is>
          <t>Vanguard_M15</t>
        </is>
      </c>
      <c r="C7222" s="9" t="inlineStr">
        <is>
          <t>Trendline breakout (fractal swing line) + VWAP/S-R distance gate - M15 chart</t>
        </is>
      </c>
      <c r="D7222" s="9" t="inlineStr">
        <is>
          <t>Long</t>
        </is>
      </c>
      <c r="E7222" s="10" t="n">
        <v>46211.9375</v>
      </c>
      <c r="F7222" s="10" t="n">
        <v>46212.25</v>
      </c>
      <c r="G7222" s="11" t="n">
        <v>-31.3</v>
      </c>
      <c r="H7222" s="11">
        <f>H7221+G7222</f>
        <v/>
      </c>
    </row>
    <row r="7223">
      <c r="A7223" s="9" t="n">
        <v>7219</v>
      </c>
      <c r="B7223" s="9" t="inlineStr">
        <is>
          <t>Aurelius_M5</t>
        </is>
      </c>
      <c r="C7223" s="9" t="inlineStr">
        <is>
          <t>MA alignment (EMA21&gt;EMA50&gt;SMA250&gt;SMMA500 vs EMA2400 trend filter)</t>
        </is>
      </c>
      <c r="D7223" s="9" t="inlineStr">
        <is>
          <t>Short</t>
        </is>
      </c>
      <c r="E7223" s="10" t="n">
        <v>46212.26736111111</v>
      </c>
      <c r="F7223" s="10" t="n">
        <v>46212.33333333334</v>
      </c>
      <c r="G7223" s="11" t="n">
        <v>-12.3</v>
      </c>
      <c r="H7223" s="11">
        <f>H7222+G7223</f>
        <v/>
      </c>
    </row>
    <row r="7224">
      <c r="A7224" s="9" t="n">
        <v>7220</v>
      </c>
      <c r="B7224" s="9" t="inlineStr">
        <is>
          <t>Ratchet</t>
        </is>
      </c>
      <c r="C7224" s="9" t="inlineStr">
        <is>
          <t>Stochastic scalp with give-back trail exit</t>
        </is>
      </c>
      <c r="D7224" s="9" t="inlineStr">
        <is>
          <t>Short</t>
        </is>
      </c>
      <c r="E7224" s="10" t="n">
        <v>46212.27083333334</v>
      </c>
      <c r="F7224" s="10" t="n">
        <v>46212.33333333334</v>
      </c>
      <c r="G7224" s="11" t="n">
        <v>-8.279999999999999</v>
      </c>
      <c r="H7224" s="11">
        <f>H7223+G7224</f>
        <v/>
      </c>
    </row>
    <row r="7225">
      <c r="A7225" s="9" t="n">
        <v>7221</v>
      </c>
      <c r="B7225" s="9" t="inlineStr">
        <is>
          <t>Meridian</t>
        </is>
      </c>
      <c r="C7225" s="9" t="inlineStr">
        <is>
          <t>21/50 MA cross, 250-period confirm filter, VWAP</t>
        </is>
      </c>
      <c r="D7225" s="9" t="inlineStr">
        <is>
          <t>Short</t>
        </is>
      </c>
      <c r="E7225" s="10" t="n">
        <v>46212.23611111111</v>
      </c>
      <c r="F7225" s="10" t="n">
        <v>46212.36458333334</v>
      </c>
      <c r="G7225" s="11" t="n">
        <v>-2.51</v>
      </c>
      <c r="H7225" s="11">
        <f>H7224+G7225</f>
        <v/>
      </c>
    </row>
    <row r="7226">
      <c r="A7226" s="9" t="n">
        <v>7222</v>
      </c>
      <c r="B7226" s="9" t="inlineStr">
        <is>
          <t>Ratchet</t>
        </is>
      </c>
      <c r="C7226" s="9" t="inlineStr">
        <is>
          <t>Stochastic scalp with give-back trail exit</t>
        </is>
      </c>
      <c r="D7226" s="9" t="inlineStr">
        <is>
          <t>Long</t>
        </is>
      </c>
      <c r="E7226" s="10" t="n">
        <v>46212.75694444445</v>
      </c>
      <c r="F7226" s="10" t="n">
        <v>46212.77083333334</v>
      </c>
      <c r="G7226" s="11" t="n">
        <v>0</v>
      </c>
      <c r="H7226" s="11">
        <f>H7225+G7226</f>
        <v/>
      </c>
    </row>
    <row r="7227">
      <c r="A7227" s="9" t="n">
        <v>7223</v>
      </c>
      <c r="B7227" s="9" t="inlineStr">
        <is>
          <t>Ratchet</t>
        </is>
      </c>
      <c r="C7227" s="9" t="inlineStr">
        <is>
          <t>Stochastic scalp with give-back trail exit</t>
        </is>
      </c>
      <c r="D7227" s="9" t="inlineStr">
        <is>
          <t>Long</t>
        </is>
      </c>
      <c r="E7227" s="10" t="n">
        <v>46213.24305555555</v>
      </c>
      <c r="F7227" s="10" t="n">
        <v>46213.24652777778</v>
      </c>
      <c r="G7227" s="11" t="n">
        <v>0</v>
      </c>
      <c r="H7227" s="11">
        <f>H7226+G7227</f>
        <v/>
      </c>
    </row>
    <row r="7228">
      <c r="A7228" s="9" t="n">
        <v>7224</v>
      </c>
      <c r="B7228" s="9" t="inlineStr">
        <is>
          <t>Vanguard_M5</t>
        </is>
      </c>
      <c r="C7228" s="9" t="inlineStr">
        <is>
          <t>Trendline breakout (fractal swing line) + VWAP/S-R distance gate</t>
        </is>
      </c>
      <c r="D7228" s="9" t="inlineStr">
        <is>
          <t>Short</t>
        </is>
      </c>
      <c r="E7228" s="10" t="n">
        <v>46213.19444444445</v>
      </c>
      <c r="F7228" s="10" t="n">
        <v>46213.25</v>
      </c>
      <c r="G7228" s="11" t="n">
        <v>-19.26</v>
      </c>
      <c r="H7228" s="11">
        <f>H7227+G7228</f>
        <v/>
      </c>
    </row>
    <row r="7229">
      <c r="A7229" s="9" t="n">
        <v>7225</v>
      </c>
      <c r="B7229" s="9" t="inlineStr">
        <is>
          <t>Vanguard_M15</t>
        </is>
      </c>
      <c r="C7229" s="9" t="inlineStr">
        <is>
          <t>Trendline breakout (fractal swing line) + VWAP/S-R distance gate - M15 chart</t>
        </is>
      </c>
      <c r="D7229" s="9" t="inlineStr">
        <is>
          <t>Short</t>
        </is>
      </c>
      <c r="E7229" s="10" t="n">
        <v>46213.19791666666</v>
      </c>
      <c r="F7229" s="10" t="n">
        <v>46213.25</v>
      </c>
      <c r="G7229" s="11" t="n">
        <v>-18.79</v>
      </c>
      <c r="H7229" s="11">
        <f>H7228+G7229</f>
        <v/>
      </c>
    </row>
    <row r="7230">
      <c r="A7230" s="9" t="n">
        <v>7226</v>
      </c>
      <c r="B7230" s="9" t="inlineStr">
        <is>
          <t>Ratchet</t>
        </is>
      </c>
      <c r="C7230" s="9" t="inlineStr">
        <is>
          <t>Stochastic scalp with give-back trail exit</t>
        </is>
      </c>
      <c r="D7230" s="9" t="inlineStr">
        <is>
          <t>Long</t>
        </is>
      </c>
      <c r="E7230" s="10" t="n">
        <v>46213.25</v>
      </c>
      <c r="F7230" s="10" t="n">
        <v>46213.25694444445</v>
      </c>
      <c r="G7230" s="11" t="n">
        <v>1.01</v>
      </c>
      <c r="H7230" s="11">
        <f>H7229+G7230</f>
        <v/>
      </c>
    </row>
    <row r="7231">
      <c r="A7231" s="9" t="n">
        <v>7227</v>
      </c>
      <c r="B7231" s="9" t="inlineStr">
        <is>
          <t>Meridian</t>
        </is>
      </c>
      <c r="C7231" s="9" t="inlineStr">
        <is>
          <t>21/50 MA cross, 250-period confirm filter, VWAP</t>
        </is>
      </c>
      <c r="D7231" s="9" t="inlineStr">
        <is>
          <t>Long</t>
        </is>
      </c>
      <c r="E7231" s="10" t="n">
        <v>46213.23958333334</v>
      </c>
      <c r="F7231" s="10" t="n">
        <v>46213.29861111111</v>
      </c>
      <c r="G7231" s="11" t="n">
        <v>-8.050000000000001</v>
      </c>
      <c r="H7231" s="11">
        <f>H7230+G7231</f>
        <v/>
      </c>
    </row>
    <row r="7232">
      <c r="A7232" s="9" t="n">
        <v>7228</v>
      </c>
      <c r="B7232" s="9" t="inlineStr">
        <is>
          <t>Meridian</t>
        </is>
      </c>
      <c r="C7232" s="9" t="inlineStr">
        <is>
          <t>21/50 MA cross, 250-period confirm filter, VWAP</t>
        </is>
      </c>
      <c r="D7232" s="9" t="inlineStr">
        <is>
          <t>Short</t>
        </is>
      </c>
      <c r="E7232" s="10" t="n">
        <v>46213.87847222222</v>
      </c>
      <c r="F7232" s="10" t="n">
        <v>46213.91666666666</v>
      </c>
      <c r="G7232" s="11" t="n">
        <v>1.33</v>
      </c>
      <c r="H7232" s="11">
        <f>H7231+G7232</f>
        <v/>
      </c>
    </row>
    <row r="7233">
      <c r="A7233" s="9" t="n">
        <v>7229</v>
      </c>
      <c r="B7233" s="9" t="inlineStr">
        <is>
          <t>Aurelius_M15</t>
        </is>
      </c>
      <c r="C7233" s="9" t="inlineStr">
        <is>
          <t>MA alignment (EMA21&gt;EMA50&gt;SMA250&gt;SMMA500 vs EMA2400 trend filter) - M15 chart</t>
        </is>
      </c>
      <c r="D7233" s="9" t="inlineStr">
        <is>
          <t>Short</t>
        </is>
      </c>
      <c r="E7233" s="10" t="n">
        <v>46213.69791666666</v>
      </c>
      <c r="F7233" s="10" t="n">
        <v>46213.92708333334</v>
      </c>
      <c r="G7233" s="11" t="n">
        <v>-3.38</v>
      </c>
      <c r="H7233" s="11">
        <f>H7232+G7233</f>
        <v/>
      </c>
    </row>
    <row r="7234">
      <c r="A7234" s="9" t="n">
        <v>7230</v>
      </c>
      <c r="B7234" s="9" t="inlineStr">
        <is>
          <t>Ratchet</t>
        </is>
      </c>
      <c r="C7234" s="9" t="inlineStr">
        <is>
          <t>Stochastic scalp with give-back trail exit</t>
        </is>
      </c>
      <c r="D7234" s="9" t="inlineStr">
        <is>
          <t>Short</t>
        </is>
      </c>
      <c r="E7234" s="10" t="n">
        <v>46216.07638888889</v>
      </c>
      <c r="F7234" s="10" t="n">
        <v>46216.10763888889</v>
      </c>
      <c r="G7234" s="11" t="n">
        <v>2.53</v>
      </c>
      <c r="H7234" s="11">
        <f>H7233+G7234</f>
        <v/>
      </c>
    </row>
    <row r="7235">
      <c r="A7235" s="9" t="n">
        <v>7231</v>
      </c>
      <c r="B7235" s="9" t="inlineStr">
        <is>
          <t>Meridian</t>
        </is>
      </c>
      <c r="C7235" s="9" t="inlineStr">
        <is>
          <t>21/50 MA cross, 250-period confirm filter, VWAP</t>
        </is>
      </c>
      <c r="D7235" s="9" t="inlineStr">
        <is>
          <t>Short</t>
        </is>
      </c>
      <c r="E7235" s="10" t="n">
        <v>46216.05208333334</v>
      </c>
      <c r="F7235" s="10" t="n">
        <v>46216.46875</v>
      </c>
      <c r="G7235" s="11" t="n">
        <v>6.64</v>
      </c>
      <c r="H7235" s="11">
        <f>H7234+G7235</f>
        <v/>
      </c>
    </row>
    <row r="7236">
      <c r="A7236" s="9" t="n">
        <v>7232</v>
      </c>
      <c r="B7236" s="9" t="inlineStr">
        <is>
          <t>Aurelius_M5</t>
        </is>
      </c>
      <c r="C7236" s="9" t="inlineStr">
        <is>
          <t>MA alignment (EMA21&gt;EMA50&gt;SMA250&gt;SMMA500 vs EMA2400 trend filter)</t>
        </is>
      </c>
      <c r="D7236" s="9" t="inlineStr">
        <is>
          <t>Short</t>
        </is>
      </c>
      <c r="E7236" s="10" t="n">
        <v>46216.20486111111</v>
      </c>
      <c r="F7236" s="10" t="n">
        <v>46216.46875</v>
      </c>
      <c r="G7236" s="11" t="n">
        <v>0.05</v>
      </c>
      <c r="H7236" s="11">
        <f>H7235+G7236</f>
        <v/>
      </c>
    </row>
    <row r="7237">
      <c r="A7237" s="9" t="n">
        <v>7233</v>
      </c>
      <c r="B7237" s="9" t="inlineStr">
        <is>
          <t>Meridian</t>
        </is>
      </c>
      <c r="C7237" s="9" t="inlineStr">
        <is>
          <t>21/50 MA cross, 250-period confirm filter, VWAP</t>
        </is>
      </c>
      <c r="D7237" s="9" t="inlineStr">
        <is>
          <t>Short</t>
        </is>
      </c>
      <c r="E7237" s="10" t="n">
        <v>46216.57638888889</v>
      </c>
      <c r="F7237" s="10" t="n">
        <v>46216.58680555555</v>
      </c>
      <c r="G7237" s="11" t="n">
        <v>-11.39</v>
      </c>
      <c r="H7237" s="11">
        <f>H7236+G7237</f>
        <v/>
      </c>
    </row>
    <row r="7238">
      <c r="A7238" s="9" t="n">
        <v>7234</v>
      </c>
      <c r="B7238" s="9" t="inlineStr">
        <is>
          <t>Ratchet</t>
        </is>
      </c>
      <c r="C7238" s="9" t="inlineStr">
        <is>
          <t>Stochastic scalp with give-back trail exit</t>
        </is>
      </c>
      <c r="D7238" s="9" t="inlineStr">
        <is>
          <t>Short</t>
        </is>
      </c>
      <c r="E7238" s="10" t="n">
        <v>46216.625</v>
      </c>
      <c r="F7238" s="10" t="n">
        <v>46216.65625</v>
      </c>
      <c r="G7238" s="11" t="n">
        <v>-8.529999999999999</v>
      </c>
      <c r="H7238" s="11">
        <f>H7237+G7238</f>
        <v/>
      </c>
    </row>
    <row r="7239">
      <c r="A7239" s="9" t="n">
        <v>7235</v>
      </c>
      <c r="B7239" s="9" t="inlineStr">
        <is>
          <t>Aurelius_M5</t>
        </is>
      </c>
      <c r="C7239" s="9" t="inlineStr">
        <is>
          <t>MA alignment (EMA21&gt;EMA50&gt;SMA250&gt;SMMA500 vs EMA2400 trend filter)</t>
        </is>
      </c>
      <c r="D7239" s="9" t="inlineStr">
        <is>
          <t>Short</t>
        </is>
      </c>
      <c r="E7239" s="10" t="n">
        <v>46216.63541666666</v>
      </c>
      <c r="F7239" s="10" t="n">
        <v>46217.04166666666</v>
      </c>
      <c r="G7239" s="11" t="n">
        <v>55.14</v>
      </c>
      <c r="H7239" s="11">
        <f>H7238+G7239</f>
        <v/>
      </c>
    </row>
    <row r="7240">
      <c r="A7240" s="9" t="n">
        <v>7236</v>
      </c>
      <c r="B7240" s="9" t="inlineStr">
        <is>
          <t>Ratchet</t>
        </is>
      </c>
      <c r="C7240" s="9" t="inlineStr">
        <is>
          <t>Stochastic scalp with give-back trail exit</t>
        </is>
      </c>
      <c r="D7240" s="9" t="inlineStr">
        <is>
          <t>Short</t>
        </is>
      </c>
      <c r="E7240" s="10" t="n">
        <v>46217.10069444445</v>
      </c>
      <c r="F7240" s="10" t="n">
        <v>46217.11458333334</v>
      </c>
      <c r="G7240" s="11" t="n">
        <v>1.22</v>
      </c>
      <c r="H7240" s="11">
        <f>H7239+G7240</f>
        <v/>
      </c>
    </row>
    <row r="7241">
      <c r="A7241" s="9" t="n">
        <v>7237</v>
      </c>
      <c r="B7241" s="9" t="inlineStr">
        <is>
          <t>Aurelius_M5</t>
        </is>
      </c>
      <c r="C7241" s="9" t="inlineStr">
        <is>
          <t>MA alignment (EMA21&gt;EMA50&gt;SMA250&gt;SMMA500 vs EMA2400 trend filter)</t>
        </is>
      </c>
      <c r="D7241" s="9" t="inlineStr">
        <is>
          <t>Short</t>
        </is>
      </c>
      <c r="E7241" s="10" t="n">
        <v>46217.12847222222</v>
      </c>
      <c r="F7241" s="10" t="n">
        <v>46217.14583333334</v>
      </c>
      <c r="G7241" s="11" t="n">
        <v>-9.18</v>
      </c>
      <c r="H7241" s="11">
        <f>H7240+G7241</f>
        <v/>
      </c>
    </row>
    <row r="7242">
      <c r="A7242" s="9" t="n">
        <v>7238</v>
      </c>
      <c r="B7242" s="9" t="inlineStr">
        <is>
          <t>Aurelius_M15</t>
        </is>
      </c>
      <c r="C7242" s="9" t="inlineStr">
        <is>
          <t>MA alignment (EMA21&gt;EMA50&gt;SMA250&gt;SMMA500 vs EMA2400 trend filter) - M15 chart</t>
        </is>
      </c>
      <c r="D7242" s="9" t="inlineStr">
        <is>
          <t>Short</t>
        </is>
      </c>
      <c r="E7242" s="10" t="n">
        <v>46216.09375</v>
      </c>
      <c r="F7242" s="10" t="n">
        <v>46217.27083333334</v>
      </c>
      <c r="G7242" s="11" t="n">
        <v>52.11</v>
      </c>
      <c r="H7242" s="11">
        <f>H7241+G7242</f>
        <v/>
      </c>
    </row>
    <row r="7243">
      <c r="A7243" s="9" t="n">
        <v>7239</v>
      </c>
      <c r="B7243" s="9" t="inlineStr">
        <is>
          <t>Vanguard_M5</t>
        </is>
      </c>
      <c r="C7243" s="9" t="inlineStr">
        <is>
          <t>Trendline breakout (fractal swing line) + VWAP/S-R distance gate</t>
        </is>
      </c>
      <c r="D7243" s="9" t="inlineStr">
        <is>
          <t>Short</t>
        </is>
      </c>
      <c r="E7243" s="10" t="n">
        <v>46213.26736111111</v>
      </c>
      <c r="F7243" s="10" t="n">
        <v>46217.75347222222</v>
      </c>
      <c r="G7243" s="11" t="n">
        <v>26.35</v>
      </c>
      <c r="H7243" s="11">
        <f>H7242+G7243</f>
        <v/>
      </c>
    </row>
    <row r="7244">
      <c r="A7244" s="9" t="n">
        <v>7240</v>
      </c>
      <c r="B7244" s="9" t="inlineStr">
        <is>
          <t>Vanguard_M5</t>
        </is>
      </c>
      <c r="C7244" s="9" t="inlineStr">
        <is>
          <t>Trendline breakout (fractal swing line) + VWAP/S-R distance gate</t>
        </is>
      </c>
      <c r="D7244" s="9" t="inlineStr">
        <is>
          <t>Long</t>
        </is>
      </c>
      <c r="E7244" s="10" t="n">
        <v>46217.75694444445</v>
      </c>
      <c r="F7244" s="10" t="n">
        <v>46217.79513888889</v>
      </c>
      <c r="G7244" s="11" t="n">
        <v>-36.31</v>
      </c>
      <c r="H7244" s="11">
        <f>H7243+G7244</f>
        <v/>
      </c>
    </row>
    <row r="7245">
      <c r="A7245" s="9" t="n">
        <v>7241</v>
      </c>
      <c r="B7245" s="9" t="inlineStr">
        <is>
          <t>Meridian</t>
        </is>
      </c>
      <c r="C7245" s="9" t="inlineStr">
        <is>
          <t>21/50 MA cross, 250-period confirm filter, VWAP</t>
        </is>
      </c>
      <c r="D7245" s="9" t="inlineStr">
        <is>
          <t>Long</t>
        </is>
      </c>
      <c r="E7245" s="10" t="n">
        <v>46217.60069444445</v>
      </c>
      <c r="F7245" s="10" t="n">
        <v>46217.83333333334</v>
      </c>
      <c r="G7245" s="11" t="n">
        <v>33.33</v>
      </c>
      <c r="H7245" s="11">
        <f>H7244+G7245</f>
        <v/>
      </c>
    </row>
    <row r="7246">
      <c r="A7246" s="9" t="n">
        <v>7242</v>
      </c>
      <c r="B7246" s="9" t="inlineStr">
        <is>
          <t>Meridian</t>
        </is>
      </c>
      <c r="C7246" s="9" t="inlineStr">
        <is>
          <t>21/50 MA cross, 250-period confirm filter, VWAP</t>
        </is>
      </c>
      <c r="D7246" s="9" t="inlineStr">
        <is>
          <t>Long</t>
        </is>
      </c>
      <c r="E7246" s="10" t="n">
        <v>46218.15972222222</v>
      </c>
      <c r="F7246" s="10" t="n">
        <v>46218.1875</v>
      </c>
      <c r="G7246" s="11" t="n">
        <v>-7.81</v>
      </c>
      <c r="H7246" s="11">
        <f>H7245+G7246</f>
        <v/>
      </c>
    </row>
    <row r="7247">
      <c r="A7247" s="9" t="n">
        <v>7243</v>
      </c>
      <c r="B7247" s="9" t="inlineStr">
        <is>
          <t>Aurelius_M5</t>
        </is>
      </c>
      <c r="C7247" s="9" t="inlineStr">
        <is>
          <t>MA alignment (EMA21&gt;EMA50&gt;SMA250&gt;SMMA500 vs EMA2400 trend filter)</t>
        </is>
      </c>
      <c r="D7247" s="9" t="inlineStr">
        <is>
          <t>Short</t>
        </is>
      </c>
      <c r="E7247" s="10" t="n">
        <v>46218.41319444445</v>
      </c>
      <c r="F7247" s="10" t="n">
        <v>46218.55555555555</v>
      </c>
      <c r="G7247" s="11" t="n">
        <v>0.02</v>
      </c>
      <c r="H7247" s="11">
        <f>H7246+G7247</f>
        <v/>
      </c>
    </row>
    <row r="7248">
      <c r="A7248" s="9" t="n">
        <v>7244</v>
      </c>
      <c r="B7248" s="9" t="inlineStr">
        <is>
          <t>Meridian</t>
        </is>
      </c>
      <c r="C7248" s="9" t="inlineStr">
        <is>
          <t>21/50 MA cross, 250-period confirm filter, VWAP</t>
        </is>
      </c>
      <c r="D7248" s="9" t="inlineStr">
        <is>
          <t>Short</t>
        </is>
      </c>
      <c r="E7248" s="10" t="n">
        <v>46218.79861111111</v>
      </c>
      <c r="F7248" s="10" t="n">
        <v>46218.85416666666</v>
      </c>
      <c r="G7248" s="11" t="n">
        <v>-11.96</v>
      </c>
      <c r="H7248" s="11">
        <f>H7247+G7248</f>
        <v/>
      </c>
    </row>
    <row r="7249">
      <c r="A7249" s="9" t="n">
        <v>7245</v>
      </c>
      <c r="B7249" s="9" t="inlineStr">
        <is>
          <t>Meridian</t>
        </is>
      </c>
      <c r="C7249" s="9" t="inlineStr">
        <is>
          <t>21/50 MA cross, 250-period confirm filter, VWAP</t>
        </is>
      </c>
      <c r="D7249" s="9" t="inlineStr">
        <is>
          <t>Long</t>
        </is>
      </c>
      <c r="E7249" s="10" t="n">
        <v>46218.86805555555</v>
      </c>
      <c r="F7249" s="10" t="n">
        <v>46218.9375</v>
      </c>
      <c r="G7249" s="11" t="n">
        <v>-13.77</v>
      </c>
      <c r="H7249" s="11">
        <f>H7248+G7249</f>
        <v/>
      </c>
    </row>
    <row r="7250">
      <c r="A7250" s="9" t="n">
        <v>7246</v>
      </c>
      <c r="B7250" s="9" t="inlineStr">
        <is>
          <t>Meridian</t>
        </is>
      </c>
      <c r="C7250" s="9" t="inlineStr">
        <is>
          <t>21/50 MA cross, 250-period confirm filter, VWAP</t>
        </is>
      </c>
      <c r="D7250" s="9" t="inlineStr">
        <is>
          <t>Long</t>
        </is>
      </c>
      <c r="E7250" s="10" t="n">
        <v>46219.14930555555</v>
      </c>
      <c r="F7250" s="10" t="n">
        <v>46219.15625</v>
      </c>
      <c r="G7250" s="11" t="n">
        <v>-5.96</v>
      </c>
      <c r="H7250" s="11">
        <f>H7249+G7250</f>
        <v/>
      </c>
    </row>
    <row r="7251">
      <c r="A7251" s="9" t="n">
        <v>7247</v>
      </c>
      <c r="B7251" s="9" t="inlineStr">
        <is>
          <t>Ratchet</t>
        </is>
      </c>
      <c r="C7251" s="9" t="inlineStr">
        <is>
          <t>Stochastic scalp with give-back trail exit</t>
        </is>
      </c>
      <c r="D7251" s="9" t="inlineStr">
        <is>
          <t>Short</t>
        </is>
      </c>
      <c r="E7251" s="10" t="n">
        <v>46219.37152777778</v>
      </c>
      <c r="F7251" s="10" t="n">
        <v>46219.375</v>
      </c>
      <c r="G7251" s="11" t="n">
        <v>-6.23</v>
      </c>
      <c r="H7251" s="11">
        <f>H7250+G7251</f>
        <v/>
      </c>
    </row>
    <row r="7252">
      <c r="A7252" s="9" t="n">
        <v>7248</v>
      </c>
      <c r="B7252" s="9" t="inlineStr">
        <is>
          <t>Ratchet</t>
        </is>
      </c>
      <c r="C7252" s="9" t="inlineStr">
        <is>
          <t>Stochastic scalp with give-back trail exit</t>
        </is>
      </c>
      <c r="D7252" s="9" t="inlineStr">
        <is>
          <t>Short</t>
        </is>
      </c>
      <c r="E7252" s="10" t="n">
        <v>46219.4375</v>
      </c>
      <c r="F7252" s="10" t="n">
        <v>46219.44791666666</v>
      </c>
      <c r="G7252" s="11" t="n">
        <v>-4.88</v>
      </c>
      <c r="H7252" s="11">
        <f>H7251+G7252</f>
        <v/>
      </c>
    </row>
    <row r="7253">
      <c r="A7253" s="9" t="n">
        <v>7249</v>
      </c>
      <c r="B7253" s="9" t="inlineStr">
        <is>
          <t>Meridian</t>
        </is>
      </c>
      <c r="C7253" s="9" t="inlineStr">
        <is>
          <t>21/50 MA cross, 250-period confirm filter, VWAP</t>
        </is>
      </c>
      <c r="D7253" s="9" t="inlineStr">
        <is>
          <t>Short</t>
        </is>
      </c>
      <c r="E7253" s="10" t="n">
        <v>46219.58680555555</v>
      </c>
      <c r="F7253" s="10" t="n">
        <v>46219.61111111111</v>
      </c>
      <c r="G7253" s="11" t="n">
        <v>-6.97</v>
      </c>
      <c r="H7253" s="11">
        <f>H7252+G7253</f>
        <v/>
      </c>
    </row>
    <row r="7254">
      <c r="A7254" s="9" t="n">
        <v>7250</v>
      </c>
      <c r="B7254" s="9" t="inlineStr">
        <is>
          <t>MSG</t>
        </is>
      </c>
      <c r="C7254" s="9" t="inlineStr">
        <is>
          <t>Session-range breakout + Fibonacci retracement-zone entry</t>
        </is>
      </c>
      <c r="D7254" s="9" t="inlineStr">
        <is>
          <t>Long</t>
        </is>
      </c>
      <c r="E7254" s="10" t="n">
        <v>46219.61805555555</v>
      </c>
      <c r="F7254" s="10" t="n">
        <v>46219.62847222222</v>
      </c>
      <c r="G7254" s="11" t="n">
        <v>20.66</v>
      </c>
      <c r="H7254" s="11">
        <f>H7253+G7254</f>
        <v/>
      </c>
    </row>
    <row r="7255">
      <c r="A7255" s="9" t="n">
        <v>7251</v>
      </c>
      <c r="B7255" s="9" t="inlineStr">
        <is>
          <t>Ratchet</t>
        </is>
      </c>
      <c r="C7255" s="9" t="inlineStr">
        <is>
          <t>Stochastic scalp with give-back trail exit</t>
        </is>
      </c>
      <c r="D7255" s="9" t="inlineStr">
        <is>
          <t>Short</t>
        </is>
      </c>
      <c r="E7255" s="10" t="n">
        <v>46219.64930555555</v>
      </c>
      <c r="F7255" s="10" t="n">
        <v>46219.66666666666</v>
      </c>
      <c r="G7255" s="11" t="n">
        <v>30.38</v>
      </c>
      <c r="H7255" s="11">
        <f>H7254+G7255</f>
        <v/>
      </c>
    </row>
    <row r="7256">
      <c r="A7256" s="9" t="n">
        <v>7252</v>
      </c>
      <c r="B7256" s="9" t="inlineStr">
        <is>
          <t>Ratchet</t>
        </is>
      </c>
      <c r="C7256" s="9" t="inlineStr">
        <is>
          <t>Stochastic scalp with give-back trail exit</t>
        </is>
      </c>
      <c r="D7256" s="9" t="inlineStr">
        <is>
          <t>Short</t>
        </is>
      </c>
      <c r="E7256" s="10" t="n">
        <v>46219.90972222222</v>
      </c>
      <c r="F7256" s="10" t="n">
        <v>46219.91666666666</v>
      </c>
      <c r="G7256" s="11" t="n">
        <v>0.7</v>
      </c>
      <c r="H7256" s="11">
        <f>H7255+G7256</f>
        <v/>
      </c>
    </row>
    <row r="7257">
      <c r="A7257" s="9" t="n">
        <v>7253</v>
      </c>
      <c r="B7257" s="9" t="inlineStr">
        <is>
          <t>Aurelius_M5</t>
        </is>
      </c>
      <c r="C7257" s="9" t="inlineStr">
        <is>
          <t>MA alignment (EMA21&gt;EMA50&gt;SMA250&gt;SMMA500 vs EMA2400 trend filter)</t>
        </is>
      </c>
      <c r="D7257" s="9" t="inlineStr">
        <is>
          <t>Short</t>
        </is>
      </c>
      <c r="E7257" s="10" t="n">
        <v>46219.65972222222</v>
      </c>
      <c r="F7257" s="10" t="n">
        <v>46220.04166666666</v>
      </c>
      <c r="G7257" s="11" t="n">
        <v>22.85</v>
      </c>
      <c r="H7257" s="11">
        <f>H7256+G7257</f>
        <v/>
      </c>
    </row>
    <row r="7258">
      <c r="A7258" s="9" t="n">
        <v>7254</v>
      </c>
      <c r="B7258" s="9" t="inlineStr">
        <is>
          <t>Ratchet</t>
        </is>
      </c>
      <c r="C7258" s="9" t="inlineStr">
        <is>
          <t>Stochastic scalp with give-back trail exit</t>
        </is>
      </c>
      <c r="D7258" s="9" t="inlineStr">
        <is>
          <t>Short</t>
        </is>
      </c>
      <c r="E7258" s="10" t="n">
        <v>46220.05555555555</v>
      </c>
      <c r="F7258" s="10" t="n">
        <v>46220.07638888889</v>
      </c>
      <c r="G7258" s="11" t="n">
        <v>0.6</v>
      </c>
      <c r="H7258" s="11">
        <f>H7257+G7258</f>
        <v/>
      </c>
    </row>
    <row r="7259">
      <c r="A7259" s="9" t="n">
        <v>7255</v>
      </c>
      <c r="B7259" s="9" t="inlineStr">
        <is>
          <t>Meridian</t>
        </is>
      </c>
      <c r="C7259" s="9" t="inlineStr">
        <is>
          <t>21/50 MA cross, 250-period confirm filter, VWAP</t>
        </is>
      </c>
      <c r="D7259" s="9" t="inlineStr">
        <is>
          <t>Short</t>
        </is>
      </c>
      <c r="E7259" s="10" t="n">
        <v>46219.64236111111</v>
      </c>
      <c r="F7259" s="10" t="n">
        <v>46220.13541666666</v>
      </c>
      <c r="G7259" s="11" t="n">
        <v>36.86</v>
      </c>
      <c r="H7259" s="11">
        <f>H7258+G7259</f>
        <v/>
      </c>
    </row>
    <row r="7260">
      <c r="A7260" s="9" t="n">
        <v>7256</v>
      </c>
      <c r="B7260" s="9" t="inlineStr">
        <is>
          <t>Meridian</t>
        </is>
      </c>
      <c r="C7260" s="9" t="inlineStr">
        <is>
          <t>21/50 MA cross, 250-period confirm filter, VWAP</t>
        </is>
      </c>
      <c r="D7260" s="9" t="inlineStr">
        <is>
          <t>Short</t>
        </is>
      </c>
      <c r="E7260" s="10" t="n">
        <v>46220.23611111111</v>
      </c>
      <c r="F7260" s="10" t="n">
        <v>46220.25</v>
      </c>
      <c r="G7260" s="11" t="n">
        <v>-11.93</v>
      </c>
      <c r="H7260" s="11">
        <f>H7259+G7260</f>
        <v/>
      </c>
    </row>
    <row r="7261">
      <c r="A7261" s="9" t="n">
        <v>7257</v>
      </c>
      <c r="B7261" s="9" t="inlineStr">
        <is>
          <t>Meridian</t>
        </is>
      </c>
      <c r="C7261" s="9" t="inlineStr">
        <is>
          <t>21/50 MA cross, 250-period confirm filter, VWAP</t>
        </is>
      </c>
      <c r="D7261" s="9" t="inlineStr">
        <is>
          <t>Short</t>
        </is>
      </c>
      <c r="E7261" s="10" t="n">
        <v>46220.33333333334</v>
      </c>
      <c r="F7261" s="10" t="n">
        <v>46220.36805555555</v>
      </c>
      <c r="G7261" s="11" t="n">
        <v>-9.59</v>
      </c>
      <c r="H7261" s="11">
        <f>H7260+G7261</f>
        <v/>
      </c>
    </row>
    <row r="7262">
      <c r="A7262" s="9" t="n">
        <v>7258</v>
      </c>
      <c r="B7262" s="9" t="inlineStr">
        <is>
          <t>Aurelius_M5</t>
        </is>
      </c>
      <c r="C7262" s="9" t="inlineStr">
        <is>
          <t>MA alignment (EMA21&gt;EMA50&gt;SMA250&gt;SMMA500 vs EMA2400 trend filter)</t>
        </is>
      </c>
      <c r="D7262" s="9" t="inlineStr">
        <is>
          <t>Short</t>
        </is>
      </c>
      <c r="E7262" s="10" t="n">
        <v>46220.35763888889</v>
      </c>
      <c r="F7262" s="10" t="n">
        <v>46220.37847222222</v>
      </c>
      <c r="G7262" s="11" t="n">
        <v>-10.62</v>
      </c>
      <c r="H7262" s="11">
        <f>H7261+G7262</f>
        <v/>
      </c>
    </row>
    <row r="7263">
      <c r="A7263" s="9" t="n">
        <v>7259</v>
      </c>
      <c r="B7263" s="9" t="inlineStr">
        <is>
          <t>Vanguard_M5</t>
        </is>
      </c>
      <c r="C7263" s="9" t="inlineStr">
        <is>
          <t>Trendline breakout (fractal swing line) + VWAP/S-R distance gate</t>
        </is>
      </c>
      <c r="D7263" s="9" t="inlineStr">
        <is>
          <t>Short</t>
        </is>
      </c>
      <c r="E7263" s="10" t="n">
        <v>46219.21527777778</v>
      </c>
      <c r="F7263" s="10" t="n">
        <v>46220.39583333334</v>
      </c>
      <c r="G7263" s="11" t="n">
        <v>28.05</v>
      </c>
      <c r="H7263" s="11">
        <f>H7262+G7263</f>
        <v/>
      </c>
    </row>
    <row r="7264">
      <c r="A7264" s="9" t="n">
        <v>7260</v>
      </c>
      <c r="B7264" s="9" t="inlineStr">
        <is>
          <t>Aurelius_M15</t>
        </is>
      </c>
      <c r="C7264" s="9" t="inlineStr">
        <is>
          <t>MA alignment (EMA21&gt;EMA50&gt;SMA250&gt;SMMA500 vs EMA2400 trend filter) - M15 chart</t>
        </is>
      </c>
      <c r="D7264" s="9" t="inlineStr">
        <is>
          <t>Short</t>
        </is>
      </c>
      <c r="E7264" s="10" t="n">
        <v>46219.64583333334</v>
      </c>
      <c r="F7264" s="10" t="n">
        <v>46220.45833333334</v>
      </c>
      <c r="G7264" s="11" t="n">
        <v>32.3</v>
      </c>
      <c r="H7264" s="11">
        <f>H7263+G7264</f>
        <v/>
      </c>
    </row>
    <row r="7265">
      <c r="A7265" s="9" t="n">
        <v>7261</v>
      </c>
      <c r="B7265" s="9" t="inlineStr">
        <is>
          <t>Vanguard_M15</t>
        </is>
      </c>
      <c r="C7265" s="9" t="inlineStr">
        <is>
          <t>Trendline breakout (fractal swing line) + VWAP/S-R distance gate - M15 chart</t>
        </is>
      </c>
      <c r="D7265" s="9" t="inlineStr">
        <is>
          <t>Short</t>
        </is>
      </c>
      <c r="E7265" s="10" t="n">
        <v>46213.28125</v>
      </c>
      <c r="F7265" s="10" t="n">
        <v>46220.5</v>
      </c>
      <c r="G7265" s="11" t="n">
        <v>123.37</v>
      </c>
      <c r="H7265" s="11">
        <f>H7264+G7265</f>
        <v/>
      </c>
    </row>
    <row r="7266">
      <c r="A7266" s="9" t="n">
        <v>7262</v>
      </c>
      <c r="B7266" s="9" t="inlineStr">
        <is>
          <t>Vanguard_M5</t>
        </is>
      </c>
      <c r="C7266" s="9" t="inlineStr">
        <is>
          <t>Trendline breakout (fractal swing line) + VWAP/S-R distance gate</t>
        </is>
      </c>
      <c r="D7266" s="9" t="inlineStr">
        <is>
          <t>Long</t>
        </is>
      </c>
      <c r="E7266" s="10" t="n">
        <v>46220.39930555555</v>
      </c>
      <c r="F7266" s="10" t="n">
        <v>46220.63888888889</v>
      </c>
      <c r="G7266" s="11" t="n">
        <v>-20.31</v>
      </c>
      <c r="H7266" s="11">
        <f>H7265+G7266</f>
        <v/>
      </c>
    </row>
    <row r="7267">
      <c r="A7267" s="9" t="n">
        <v>7263</v>
      </c>
      <c r="B7267" s="9" t="inlineStr">
        <is>
          <t>Vanguard_M15</t>
        </is>
      </c>
      <c r="C7267" s="9" t="inlineStr">
        <is>
          <t>Trendline breakout (fractal swing line) + VWAP/S-R distance gate - M15 chart</t>
        </is>
      </c>
      <c r="D7267" s="9" t="inlineStr">
        <is>
          <t>Long</t>
        </is>
      </c>
      <c r="E7267" s="10" t="n">
        <v>46220.51041666666</v>
      </c>
      <c r="F7267" s="10" t="n">
        <v>46220.64583333334</v>
      </c>
      <c r="G7267" s="11" t="n">
        <v>-22.77</v>
      </c>
      <c r="H7267" s="11">
        <f>H7266+G7267</f>
        <v/>
      </c>
    </row>
    <row r="7268">
      <c r="A7268" s="9" t="n">
        <v>7264</v>
      </c>
      <c r="B7268" s="9" t="inlineStr">
        <is>
          <t>Meridian</t>
        </is>
      </c>
      <c r="C7268" s="9" t="inlineStr">
        <is>
          <t>21/50 MA cross, 250-period confirm filter, VWAP</t>
        </is>
      </c>
      <c r="D7268" s="9" t="inlineStr">
        <is>
          <t>Long</t>
        </is>
      </c>
      <c r="E7268" s="10" t="n">
        <v>46220.72569444445</v>
      </c>
      <c r="F7268" s="10" t="n">
        <v>46220.91666666666</v>
      </c>
      <c r="G7268" s="11" t="n">
        <v>8.25</v>
      </c>
      <c r="H7268" s="11">
        <f>H7267+G7268</f>
        <v/>
      </c>
    </row>
    <row r="7269">
      <c r="A7269" s="9" t="n">
        <v>7265</v>
      </c>
      <c r="B7269" s="9" t="inlineStr">
        <is>
          <t>Meridian</t>
        </is>
      </c>
      <c r="C7269" s="9" t="inlineStr">
        <is>
          <t>21/50 MA cross, 250-period confirm filter, VWAP</t>
        </is>
      </c>
      <c r="D7269" s="9" t="inlineStr">
        <is>
          <t>Long</t>
        </is>
      </c>
      <c r="E7269" s="10" t="n">
        <v>46223.17361111111</v>
      </c>
      <c r="F7269" s="10" t="n">
        <v>46223.18055555555</v>
      </c>
      <c r="G7269" s="11" t="n">
        <v>-14.47</v>
      </c>
      <c r="H7269" s="11">
        <f>H7268+G7269</f>
        <v/>
      </c>
    </row>
    <row r="7270">
      <c r="A7270" s="9" t="n">
        <v>7266</v>
      </c>
      <c r="B7270" s="9" t="inlineStr">
        <is>
          <t>MSG</t>
        </is>
      </c>
      <c r="C7270" s="9" t="inlineStr">
        <is>
          <t>Session-range breakout + Fibonacci retracement-zone entry</t>
        </is>
      </c>
      <c r="D7270" s="9" t="inlineStr">
        <is>
          <t>Long</t>
        </is>
      </c>
      <c r="E7270" s="10" t="n">
        <v>46223.62569444445</v>
      </c>
      <c r="F7270" s="10" t="n">
        <v>46223.63541666666</v>
      </c>
      <c r="G7270" s="11" t="n">
        <v>-26.23</v>
      </c>
      <c r="H7270" s="11">
        <f>H7269+G7270</f>
        <v/>
      </c>
    </row>
    <row r="7271">
      <c r="A7271" s="9" t="n">
        <v>7267</v>
      </c>
      <c r="B7271" s="9" t="inlineStr">
        <is>
          <t>Vanguard_M5</t>
        </is>
      </c>
      <c r="C7271" s="9" t="inlineStr">
        <is>
          <t>Trendline breakout (fractal swing line) + VWAP/S-R distance gate</t>
        </is>
      </c>
      <c r="D7271" s="9" t="inlineStr">
        <is>
          <t>Long</t>
        </is>
      </c>
      <c r="E7271" s="10" t="n">
        <v>46220.69444444445</v>
      </c>
      <c r="F7271" s="10" t="n">
        <v>46223.63888888889</v>
      </c>
      <c r="G7271" s="11" t="n">
        <v>13.74</v>
      </c>
      <c r="H7271" s="11">
        <f>H7270+G7271</f>
        <v/>
      </c>
    </row>
    <row r="7272">
      <c r="A7272" s="9" t="n">
        <v>7268</v>
      </c>
      <c r="B7272" s="9" t="inlineStr">
        <is>
          <t>Meridian</t>
        </is>
      </c>
      <c r="C7272" s="9" t="inlineStr">
        <is>
          <t>21/50 MA cross, 250-period confirm filter, VWAP</t>
        </is>
      </c>
      <c r="D7272" s="9" t="inlineStr">
        <is>
          <t>Long</t>
        </is>
      </c>
      <c r="E7272" s="10" t="n">
        <v>46223.45833333334</v>
      </c>
      <c r="F7272" s="10" t="n">
        <v>46223.63888888889</v>
      </c>
      <c r="G7272" s="11" t="n">
        <v>-9.539999999999999</v>
      </c>
      <c r="H7272" s="11">
        <f>H7271+G7272</f>
        <v/>
      </c>
    </row>
    <row r="7273">
      <c r="A7273" s="9" t="n">
        <v>7269</v>
      </c>
      <c r="B7273" s="9" t="inlineStr">
        <is>
          <t>Vanguard_M5</t>
        </is>
      </c>
      <c r="C7273" s="9" t="inlineStr">
        <is>
          <t>Trendline breakout (fractal swing line) + VWAP/S-R distance gate</t>
        </is>
      </c>
      <c r="D7273" s="9" t="inlineStr">
        <is>
          <t>Short</t>
        </is>
      </c>
      <c r="E7273" s="10" t="n">
        <v>46223.64236111111</v>
      </c>
      <c r="F7273" s="10" t="n">
        <v>46224.17013888889</v>
      </c>
      <c r="G7273" s="11" t="n">
        <v>-20.53</v>
      </c>
      <c r="H7273" s="11">
        <f>H7272+G7273</f>
        <v/>
      </c>
    </row>
    <row r="7274">
      <c r="A7274" s="9" t="n">
        <v>7270</v>
      </c>
      <c r="B7274" s="9" t="inlineStr">
        <is>
          <t>Vanguard_M15</t>
        </is>
      </c>
      <c r="C7274" s="9" t="inlineStr">
        <is>
          <t>Trendline breakout (fractal swing line) + VWAP/S-R distance gate - M15 chart</t>
        </is>
      </c>
      <c r="D7274" s="9" t="inlineStr">
        <is>
          <t>Short</t>
        </is>
      </c>
      <c r="E7274" s="10" t="n">
        <v>46223.65625</v>
      </c>
      <c r="F7274" s="10" t="n">
        <v>46224.17708333334</v>
      </c>
      <c r="G7274" s="11" t="n">
        <v>-22.54</v>
      </c>
      <c r="H7274" s="11">
        <f>H7273+G7274</f>
        <v/>
      </c>
    </row>
    <row r="7275">
      <c r="A7275" s="9" t="n">
        <v>7271</v>
      </c>
      <c r="B7275" s="9" t="inlineStr">
        <is>
          <t>Ratchet</t>
        </is>
      </c>
      <c r="C7275" s="9" t="inlineStr">
        <is>
          <t>Stochastic scalp with give-back trail exit</t>
        </is>
      </c>
      <c r="D7275" s="9" t="inlineStr">
        <is>
          <t>Long</t>
        </is>
      </c>
      <c r="E7275" s="10" t="n">
        <v>46224.25694444445</v>
      </c>
      <c r="F7275" s="10" t="n">
        <v>46224.27777777778</v>
      </c>
      <c r="G7275" s="11" t="n">
        <v>1.91</v>
      </c>
      <c r="H7275" s="11">
        <f>H7274+G7275</f>
        <v/>
      </c>
    </row>
    <row r="7276">
      <c r="A7276" s="9" t="n">
        <v>7272</v>
      </c>
      <c r="B7276" s="9" t="inlineStr">
        <is>
          <t>Ratchet</t>
        </is>
      </c>
      <c r="C7276" s="9" t="inlineStr">
        <is>
          <t>Stochastic scalp with give-back trail exit</t>
        </is>
      </c>
      <c r="D7276" s="9" t="inlineStr">
        <is>
          <t>Long</t>
        </is>
      </c>
      <c r="E7276" s="10" t="n">
        <v>46224.28819444445</v>
      </c>
      <c r="F7276" s="10" t="n">
        <v>46224.29861111111</v>
      </c>
      <c r="G7276" s="11" t="n">
        <v>0.8100000000000001</v>
      </c>
      <c r="H7276" s="11">
        <f>H7275+G7276</f>
        <v/>
      </c>
    </row>
    <row r="7277">
      <c r="A7277" s="9" t="n">
        <v>7273</v>
      </c>
      <c r="B7277" s="9" t="inlineStr">
        <is>
          <t>Meridian</t>
        </is>
      </c>
      <c r="C7277" s="9" t="inlineStr">
        <is>
          <t>21/50 MA cross, 250-period confirm filter, VWAP</t>
        </is>
      </c>
      <c r="D7277" s="9" t="inlineStr">
        <is>
          <t>Long</t>
        </is>
      </c>
      <c r="E7277" s="10" t="n">
        <v>46224.13888888889</v>
      </c>
      <c r="F7277" s="10" t="n">
        <v>46224.59375</v>
      </c>
      <c r="G7277" s="11" t="n">
        <v>42.42</v>
      </c>
      <c r="H7277" s="11">
        <f>H7276+G7277</f>
        <v/>
      </c>
    </row>
    <row r="7278">
      <c r="A7278" s="9" t="n">
        <v>7274</v>
      </c>
      <c r="B7278" s="9" t="inlineStr">
        <is>
          <t>Ratchet</t>
        </is>
      </c>
      <c r="C7278" s="9" t="inlineStr">
        <is>
          <t>Stochastic scalp with give-back trail exit</t>
        </is>
      </c>
      <c r="D7278" s="9" t="inlineStr">
        <is>
          <t>Long</t>
        </is>
      </c>
      <c r="E7278" s="10" t="n">
        <v>46224.75694444445</v>
      </c>
      <c r="F7278" s="10" t="n">
        <v>46224.78125</v>
      </c>
      <c r="G7278" s="11" t="n">
        <v>3.52</v>
      </c>
      <c r="H7278" s="11">
        <f>H7277+G7278</f>
        <v/>
      </c>
    </row>
    <row r="7279">
      <c r="A7279" s="9" t="n">
        <v>7275</v>
      </c>
      <c r="B7279" s="9" t="inlineStr">
        <is>
          <t>Aurelius_M5</t>
        </is>
      </c>
      <c r="C7279" s="9" t="inlineStr">
        <is>
          <t>MA alignment (EMA21&gt;EMA50&gt;SMA250&gt;SMMA500 vs EMA2400 trend filter)</t>
        </is>
      </c>
      <c r="D7279" s="9" t="inlineStr">
        <is>
          <t>Long</t>
        </is>
      </c>
      <c r="E7279" s="10" t="n">
        <v>46224.89583333334</v>
      </c>
      <c r="F7279" s="10" t="n">
        <v>46225.04166666666</v>
      </c>
      <c r="G7279" s="11" t="n">
        <v>-6.32</v>
      </c>
      <c r="H7279" s="11">
        <f>H7278+G7279</f>
        <v/>
      </c>
    </row>
    <row r="7280">
      <c r="A7280" s="9" t="n">
        <v>7276</v>
      </c>
      <c r="B7280" s="9" t="inlineStr">
        <is>
          <t>Ratchet</t>
        </is>
      </c>
      <c r="C7280" s="9" t="inlineStr">
        <is>
          <t>Stochastic scalp with give-back trail exit</t>
        </is>
      </c>
      <c r="D7280" s="9" t="inlineStr">
        <is>
          <t>Long</t>
        </is>
      </c>
      <c r="E7280" s="10" t="n">
        <v>46225.06944444445</v>
      </c>
      <c r="F7280" s="10" t="n">
        <v>46225.07638888889</v>
      </c>
      <c r="G7280" s="11" t="n">
        <v>-3.98</v>
      </c>
      <c r="H7280" s="11">
        <f>H7279+G7280</f>
        <v/>
      </c>
    </row>
    <row r="7281">
      <c r="A7281" s="9" t="n">
        <v>7277</v>
      </c>
      <c r="B7281" s="9" t="inlineStr">
        <is>
          <t>Ratchet</t>
        </is>
      </c>
      <c r="C7281" s="9" t="inlineStr">
        <is>
          <t>Stochastic scalp with give-back trail exit</t>
        </is>
      </c>
      <c r="D7281" s="9" t="inlineStr">
        <is>
          <t>Long</t>
        </is>
      </c>
      <c r="E7281" s="10" t="n">
        <v>46225.12847222222</v>
      </c>
      <c r="F7281" s="10" t="n">
        <v>46225.40625</v>
      </c>
      <c r="G7281" s="11" t="n">
        <v>35.62</v>
      </c>
      <c r="H7281" s="11">
        <f>H7280+G7281</f>
        <v/>
      </c>
    </row>
    <row r="7282">
      <c r="A7282" s="9" t="n">
        <v>7278</v>
      </c>
      <c r="B7282" s="9" t="inlineStr">
        <is>
          <t>Aurelius_M5</t>
        </is>
      </c>
      <c r="C7282" s="9" t="inlineStr">
        <is>
          <t>MA alignment (EMA21&gt;EMA50&gt;SMA250&gt;SMMA500 vs EMA2400 trend filter)</t>
        </is>
      </c>
      <c r="D7282" s="9" t="inlineStr">
        <is>
          <t>Long</t>
        </is>
      </c>
      <c r="E7282" s="10" t="n">
        <v>46225.125</v>
      </c>
      <c r="F7282" s="10" t="n">
        <v>46225.41666666666</v>
      </c>
      <c r="G7282" s="11" t="n">
        <v>35.53</v>
      </c>
      <c r="H7282" s="11">
        <f>H7281+G7282</f>
        <v/>
      </c>
    </row>
    <row r="7283">
      <c r="A7283" s="9" t="n">
        <v>7279</v>
      </c>
      <c r="B7283" s="9" t="inlineStr">
        <is>
          <t>Meridian</t>
        </is>
      </c>
      <c r="C7283" s="9" t="inlineStr">
        <is>
          <t>21/50 MA cross, 250-period confirm filter, VWAP</t>
        </is>
      </c>
      <c r="D7283" s="9" t="inlineStr">
        <is>
          <t>Long</t>
        </is>
      </c>
      <c r="E7283" s="10" t="n">
        <v>46225.60763888889</v>
      </c>
      <c r="F7283" s="10" t="n">
        <v>46225.61111111111</v>
      </c>
      <c r="G7283" s="11" t="n">
        <v>-7.44</v>
      </c>
      <c r="H7283" s="11">
        <f>H7282+G7283</f>
        <v/>
      </c>
    </row>
    <row r="7284">
      <c r="A7284" s="9" t="n">
        <v>7280</v>
      </c>
      <c r="B7284" s="9" t="inlineStr">
        <is>
          <t>Aurelius_M15</t>
        </is>
      </c>
      <c r="C7284" s="9" t="inlineStr">
        <is>
          <t>MA alignment (EMA21&gt;EMA50&gt;SMA250&gt;SMMA500 vs EMA2400 trend filter) - M15 chart</t>
        </is>
      </c>
      <c r="D7284" s="9" t="inlineStr">
        <is>
          <t>Long</t>
        </is>
      </c>
      <c r="E7284" s="10" t="n">
        <v>46225.64583333334</v>
      </c>
      <c r="F7284" s="10" t="n">
        <v>46225.65625</v>
      </c>
      <c r="G7284" s="11" t="n">
        <v>-15.63</v>
      </c>
      <c r="H7284" s="11">
        <f>H7283+G7284</f>
        <v/>
      </c>
    </row>
    <row r="7285">
      <c r="A7285" s="9" t="n">
        <v>7281</v>
      </c>
      <c r="B7285" s="9" t="inlineStr">
        <is>
          <t>Meridian</t>
        </is>
      </c>
      <c r="C7285" s="9" t="inlineStr">
        <is>
          <t>21/50 MA cross, 250-period confirm filter, VWAP</t>
        </is>
      </c>
      <c r="D7285" s="9" t="inlineStr">
        <is>
          <t>Long</t>
        </is>
      </c>
      <c r="E7285" s="10" t="n">
        <v>46225.62152777778</v>
      </c>
      <c r="F7285" s="10" t="n">
        <v>46225.66319444445</v>
      </c>
      <c r="G7285" s="11" t="n">
        <v>-8.449999999999999</v>
      </c>
      <c r="H7285" s="11">
        <f>H7284+G7285</f>
        <v/>
      </c>
    </row>
    <row r="7286">
      <c r="A7286" s="9" t="n">
        <v>7282</v>
      </c>
      <c r="B7286" s="9" t="inlineStr">
        <is>
          <t>Ratchet</t>
        </is>
      </c>
      <c r="C7286" s="9" t="inlineStr">
        <is>
          <t>Stochastic scalp with give-back trail exit</t>
        </is>
      </c>
      <c r="D7286" s="9" t="inlineStr">
        <is>
          <t>Long</t>
        </is>
      </c>
      <c r="E7286" s="10" t="n">
        <v>46225.75</v>
      </c>
      <c r="F7286" s="10" t="n">
        <v>46225.79861111111</v>
      </c>
      <c r="G7286" s="11" t="n">
        <v>4.7</v>
      </c>
      <c r="H7286" s="11">
        <f>H7285+G7286</f>
        <v/>
      </c>
    </row>
    <row r="7287">
      <c r="A7287" s="9" t="n">
        <v>7283</v>
      </c>
      <c r="B7287" s="9" t="inlineStr">
        <is>
          <t>Aurelius_M5</t>
        </is>
      </c>
      <c r="C7287" s="9" t="inlineStr">
        <is>
          <t>MA alignment (EMA21&gt;EMA50&gt;SMA250&gt;SMMA500 vs EMA2400 trend filter)</t>
        </is>
      </c>
      <c r="D7287" s="9" t="inlineStr">
        <is>
          <t>Long</t>
        </is>
      </c>
      <c r="E7287" s="10" t="n">
        <v>46225.69097222222</v>
      </c>
      <c r="F7287" s="10" t="n">
        <v>46225.83680555555</v>
      </c>
      <c r="G7287" s="11" t="n">
        <v>4.53</v>
      </c>
      <c r="H7287" s="11">
        <f>H7286+G7287</f>
        <v/>
      </c>
    </row>
    <row r="7288">
      <c r="A7288" s="9" t="n">
        <v>7284</v>
      </c>
      <c r="B7288" s="9" t="inlineStr">
        <is>
          <t>Aurelius_M15</t>
        </is>
      </c>
      <c r="C7288" s="9" t="inlineStr">
        <is>
          <t>MA alignment (EMA21&gt;EMA50&gt;SMA250&gt;SMMA500 vs EMA2400 trend filter) - M15 chart</t>
        </is>
      </c>
      <c r="D7288" s="9" t="inlineStr">
        <is>
          <t>Long</t>
        </is>
      </c>
      <c r="E7288" s="10" t="n">
        <v>46225.70833333334</v>
      </c>
      <c r="F7288" s="10" t="n">
        <v>46225.89583333334</v>
      </c>
      <c r="G7288" s="11" t="n">
        <v>-22.31</v>
      </c>
      <c r="H7288" s="11">
        <f>H7287+G7288</f>
        <v/>
      </c>
    </row>
    <row r="7289">
      <c r="A7289" s="9" t="n">
        <v>7285</v>
      </c>
      <c r="B7289" s="9" t="inlineStr">
        <is>
          <t>Meridian</t>
        </is>
      </c>
      <c r="C7289" s="9" t="inlineStr">
        <is>
          <t>21/50 MA cross, 250-period confirm filter, VWAP</t>
        </is>
      </c>
      <c r="D7289" s="9" t="inlineStr">
        <is>
          <t>Long</t>
        </is>
      </c>
      <c r="E7289" s="10" t="n">
        <v>46226.18055555555</v>
      </c>
      <c r="F7289" s="10" t="n">
        <v>46226.19097222222</v>
      </c>
      <c r="G7289" s="11" t="n">
        <v>-11.5</v>
      </c>
      <c r="H7289" s="11">
        <f>H7288+G7289</f>
        <v/>
      </c>
    </row>
    <row r="7290">
      <c r="A7290" s="9" t="n">
        <v>7286</v>
      </c>
      <c r="B7290" s="9" t="inlineStr">
        <is>
          <t>Meridian</t>
        </is>
      </c>
      <c r="C7290" s="9" t="inlineStr">
        <is>
          <t>21/50 MA cross, 250-period confirm filter, VWAP</t>
        </is>
      </c>
      <c r="D7290" s="9" t="inlineStr">
        <is>
          <t>Short</t>
        </is>
      </c>
      <c r="E7290" s="10" t="n">
        <v>46226.20138888889</v>
      </c>
      <c r="F7290" s="10" t="n">
        <v>46226.28125</v>
      </c>
      <c r="G7290" s="11" t="n">
        <v>-7.65</v>
      </c>
      <c r="H7290" s="11">
        <f>H7289+G7290</f>
        <v/>
      </c>
    </row>
    <row r="7291">
      <c r="A7291" s="9" t="n">
        <v>7287</v>
      </c>
      <c r="B7291" s="9" t="inlineStr">
        <is>
          <t>Meridian</t>
        </is>
      </c>
      <c r="C7291" s="9" t="inlineStr">
        <is>
          <t>21/50 MA cross, 250-period confirm filter, VWAP</t>
        </is>
      </c>
      <c r="D7291" s="9" t="inlineStr">
        <is>
          <t>Short</t>
        </is>
      </c>
      <c r="E7291" s="10" t="n">
        <v>46226.28472222222</v>
      </c>
      <c r="F7291" s="10" t="n">
        <v>46226.3125</v>
      </c>
      <c r="G7291" s="11" t="n">
        <v>-4.33</v>
      </c>
      <c r="H7291" s="11">
        <f>H7290+G7291</f>
        <v/>
      </c>
    </row>
    <row r="7292">
      <c r="A7292" s="9" t="n">
        <v>7288</v>
      </c>
      <c r="B7292" s="9" t="inlineStr">
        <is>
          <t>Ratchet</t>
        </is>
      </c>
      <c r="C7292" s="9" t="inlineStr">
        <is>
          <t>Stochastic scalp with give-back trail exit</t>
        </is>
      </c>
      <c r="D7292" s="9" t="inlineStr">
        <is>
          <t>Short</t>
        </is>
      </c>
      <c r="E7292" s="10" t="n">
        <v>46226.69791666666</v>
      </c>
      <c r="F7292" s="10" t="n">
        <v>46226.70138888889</v>
      </c>
      <c r="G7292" s="11" t="n">
        <v>-0</v>
      </c>
      <c r="H7292" s="11">
        <f>H7291+G7292</f>
        <v/>
      </c>
    </row>
    <row r="7293">
      <c r="A7293" s="9" t="n">
        <v>7289</v>
      </c>
      <c r="B7293" s="9" t="inlineStr">
        <is>
          <t>Ratchet</t>
        </is>
      </c>
      <c r="C7293" s="9" t="inlineStr">
        <is>
          <t>Stochastic scalp with give-back trail exit</t>
        </is>
      </c>
      <c r="D7293" s="9" t="inlineStr">
        <is>
          <t>Short</t>
        </is>
      </c>
      <c r="E7293" s="10" t="n">
        <v>46226.76041666666</v>
      </c>
      <c r="F7293" s="10" t="n">
        <v>46226.77430555555</v>
      </c>
      <c r="G7293" s="11" t="n">
        <v>1.56</v>
      </c>
      <c r="H7293" s="11">
        <f>H7292+G7293</f>
        <v/>
      </c>
    </row>
    <row r="7294">
      <c r="A7294" s="9" t="n">
        <v>7290</v>
      </c>
      <c r="B7294" s="9" t="inlineStr">
        <is>
          <t>Ratchet</t>
        </is>
      </c>
      <c r="C7294" s="9" t="inlineStr">
        <is>
          <t>Stochastic scalp with give-back trail exit</t>
        </is>
      </c>
      <c r="D7294" s="9" t="inlineStr">
        <is>
          <t>Short</t>
        </is>
      </c>
      <c r="E7294" s="10" t="n">
        <v>46226.78125</v>
      </c>
      <c r="F7294" s="10" t="n">
        <v>46226.89583333334</v>
      </c>
      <c r="G7294" s="11" t="n">
        <v>1.8</v>
      </c>
      <c r="H7294" s="11">
        <f>H7293+G7294</f>
        <v/>
      </c>
    </row>
    <row r="7295">
      <c r="A7295" s="9" t="n">
        <v>7291</v>
      </c>
      <c r="B7295" s="9" t="inlineStr">
        <is>
          <t>Ratchet</t>
        </is>
      </c>
      <c r="C7295" s="9" t="inlineStr">
        <is>
          <t>Stochastic scalp with give-back trail exit</t>
        </is>
      </c>
      <c r="D7295" s="9" t="inlineStr">
        <is>
          <t>Short</t>
        </is>
      </c>
      <c r="E7295" s="10" t="n">
        <v>46226.92708333334</v>
      </c>
      <c r="F7295" s="10" t="n">
        <v>46226.93055555555</v>
      </c>
      <c r="G7295" s="11" t="n">
        <v>-4.8</v>
      </c>
      <c r="H7295" s="11">
        <f>H7294+G7295</f>
        <v/>
      </c>
    </row>
    <row r="7296">
      <c r="A7296" s="9" t="n">
        <v>7292</v>
      </c>
      <c r="B7296" s="9" t="inlineStr">
        <is>
          <t>Meridian</t>
        </is>
      </c>
      <c r="C7296" s="9" t="inlineStr">
        <is>
          <t>21/50 MA cross, 250-period confirm filter, VWAP</t>
        </is>
      </c>
      <c r="D7296" s="9" t="inlineStr">
        <is>
          <t>Short</t>
        </is>
      </c>
      <c r="E7296" s="10" t="n">
        <v>46226.32291666666</v>
      </c>
      <c r="F7296" s="10" t="n">
        <v>46227.05902777778</v>
      </c>
      <c r="G7296" s="11" t="n">
        <v>72.86</v>
      </c>
      <c r="H7296" s="11">
        <f>H7295+G7296</f>
        <v/>
      </c>
    </row>
    <row r="7297">
      <c r="A7297" s="9" t="n">
        <v>7293</v>
      </c>
      <c r="B7297" s="9" t="inlineStr">
        <is>
          <t>Aurelius_M5</t>
        </is>
      </c>
      <c r="C7297" s="9" t="inlineStr">
        <is>
          <t>MA alignment (EMA21&gt;EMA50&gt;SMA250&gt;SMMA500 vs EMA2400 trend filter)</t>
        </is>
      </c>
      <c r="D7297" s="9" t="inlineStr">
        <is>
          <t>Short</t>
        </is>
      </c>
      <c r="E7297" s="10" t="n">
        <v>46227.17708333334</v>
      </c>
      <c r="F7297" s="10" t="n">
        <v>46227.19444444445</v>
      </c>
      <c r="G7297" s="11" t="n">
        <v>-7.8</v>
      </c>
      <c r="H7297" s="11">
        <f>H7296+G7297</f>
        <v/>
      </c>
    </row>
    <row r="7298">
      <c r="A7298" s="9" t="n">
        <v>7294</v>
      </c>
      <c r="B7298" s="9" t="inlineStr">
        <is>
          <t>Ratchet</t>
        </is>
      </c>
      <c r="C7298" s="9" t="inlineStr">
        <is>
          <t>Stochastic scalp with give-back trail exit</t>
        </is>
      </c>
      <c r="D7298" s="9" t="inlineStr">
        <is>
          <t>Short</t>
        </is>
      </c>
      <c r="E7298" s="10" t="n">
        <v>46227.17708333334</v>
      </c>
      <c r="F7298" s="10" t="n">
        <v>46227.19444444445</v>
      </c>
      <c r="G7298" s="11" t="n">
        <v>-6.53</v>
      </c>
      <c r="H7298" s="11">
        <f>H7297+G7298</f>
        <v/>
      </c>
    </row>
    <row r="7299">
      <c r="A7299" s="9" t="n">
        <v>7295</v>
      </c>
      <c r="B7299" s="9" t="inlineStr">
        <is>
          <t>Ratchet</t>
        </is>
      </c>
      <c r="C7299" s="9" t="inlineStr">
        <is>
          <t>Stochastic scalp with give-back trail exit</t>
        </is>
      </c>
      <c r="D7299" s="9" t="inlineStr">
        <is>
          <t>Short</t>
        </is>
      </c>
      <c r="E7299" s="10" t="n">
        <v>46227.21180555555</v>
      </c>
      <c r="F7299" s="10" t="n">
        <v>46227.25</v>
      </c>
      <c r="G7299" s="11" t="n">
        <v>17.61</v>
      </c>
      <c r="H7299" s="11">
        <f>H7298+G7299</f>
        <v/>
      </c>
    </row>
    <row r="7300">
      <c r="A7300" s="9" t="n">
        <v>7296</v>
      </c>
      <c r="B7300" s="9" t="inlineStr">
        <is>
          <t>Ratchet</t>
        </is>
      </c>
      <c r="C7300" s="9" t="inlineStr">
        <is>
          <t>Stochastic scalp with give-back trail exit</t>
        </is>
      </c>
      <c r="D7300" s="9" t="inlineStr">
        <is>
          <t>Short</t>
        </is>
      </c>
      <c r="E7300" s="10" t="n">
        <v>46227.34375</v>
      </c>
      <c r="F7300" s="10" t="n">
        <v>46227.34722222222</v>
      </c>
      <c r="G7300" s="11" t="n">
        <v>0.9</v>
      </c>
      <c r="H7300" s="11">
        <f>H7299+G7300</f>
        <v/>
      </c>
    </row>
    <row r="7301">
      <c r="A7301" s="9" t="n">
        <v>7297</v>
      </c>
      <c r="B7301" s="9" t="inlineStr">
        <is>
          <t>Ratchet</t>
        </is>
      </c>
      <c r="C7301" s="9" t="inlineStr">
        <is>
          <t>Stochastic scalp with give-back trail exit</t>
        </is>
      </c>
      <c r="D7301" s="9" t="inlineStr">
        <is>
          <t>Short</t>
        </is>
      </c>
      <c r="E7301" s="10" t="n">
        <v>46227.36458333334</v>
      </c>
      <c r="F7301" s="10" t="n">
        <v>46227.375</v>
      </c>
      <c r="G7301" s="11" t="n">
        <v>-0</v>
      </c>
      <c r="H7301" s="11">
        <f>H7300+G7301</f>
        <v/>
      </c>
    </row>
    <row r="7302">
      <c r="A7302" s="9" t="n">
        <v>7298</v>
      </c>
      <c r="B7302" s="9" t="inlineStr">
        <is>
          <t>Aurelius_M5</t>
        </is>
      </c>
      <c r="C7302" s="9" t="inlineStr">
        <is>
          <t>MA alignment (EMA21&gt;EMA50&gt;SMA250&gt;SMMA500 vs EMA2400 trend filter)</t>
        </is>
      </c>
      <c r="D7302" s="9" t="inlineStr">
        <is>
          <t>Short</t>
        </is>
      </c>
      <c r="E7302" s="10" t="n">
        <v>46227.22569444445</v>
      </c>
      <c r="F7302" s="10" t="n">
        <v>46227.40972222222</v>
      </c>
      <c r="G7302" s="11" t="n">
        <v>11.96</v>
      </c>
      <c r="H7302" s="11">
        <f>H7301+G7302</f>
        <v/>
      </c>
    </row>
    <row r="7303">
      <c r="A7303" s="9" t="n">
        <v>7299</v>
      </c>
      <c r="B7303" s="9" t="inlineStr">
        <is>
          <t>Meridian</t>
        </is>
      </c>
      <c r="C7303" s="9" t="inlineStr">
        <is>
          <t>21/50 MA cross, 250-period confirm filter, VWAP</t>
        </is>
      </c>
      <c r="D7303" s="9" t="inlineStr">
        <is>
          <t>Short</t>
        </is>
      </c>
      <c r="E7303" s="10" t="n">
        <v>46227.12152777778</v>
      </c>
      <c r="F7303" s="10" t="n">
        <v>46227.42361111111</v>
      </c>
      <c r="G7303" s="11" t="n">
        <v>1.62</v>
      </c>
      <c r="H7303" s="11">
        <f>H7302+G7303</f>
        <v/>
      </c>
    </row>
    <row r="7304">
      <c r="A7304" s="9" t="n">
        <v>7300</v>
      </c>
      <c r="B7304" s="9" t="inlineStr">
        <is>
          <t>Meridian</t>
        </is>
      </c>
      <c r="C7304" s="9" t="inlineStr">
        <is>
          <t>21/50 MA cross, 250-period confirm filter, VWAP</t>
        </is>
      </c>
      <c r="D7304" s="9" t="inlineStr">
        <is>
          <t>Long</t>
        </is>
      </c>
      <c r="E7304" s="10" t="n">
        <v>46227.70833333334</v>
      </c>
      <c r="F7304" s="10" t="n">
        <v>46227.88888888889</v>
      </c>
      <c r="G7304" s="11" t="n">
        <v>-7.33</v>
      </c>
      <c r="H7304" s="11">
        <f>H7303+G7304</f>
        <v/>
      </c>
    </row>
    <row r="7305">
      <c r="A7305" s="9" t="n">
        <v>7301</v>
      </c>
      <c r="B7305" s="9" t="inlineStr">
        <is>
          <t>Ratchet</t>
        </is>
      </c>
      <c r="C7305" s="9" t="inlineStr">
        <is>
          <t>Stochastic scalp with give-back trail exit</t>
        </is>
      </c>
      <c r="D7305" s="9" t="inlineStr">
        <is>
          <t>Long</t>
        </is>
      </c>
      <c r="E7305" s="10" t="n">
        <v>46230.40625</v>
      </c>
      <c r="F7305" s="10" t="n">
        <v>46230.44097222222</v>
      </c>
      <c r="G7305" s="11" t="n">
        <v>1.77</v>
      </c>
      <c r="H7305" s="11">
        <f>H7304+G7305</f>
        <v/>
      </c>
    </row>
    <row r="7306">
      <c r="A7306" s="9" t="n">
        <v>7302</v>
      </c>
      <c r="B7306" s="9" t="inlineStr">
        <is>
          <t>Meridian</t>
        </is>
      </c>
      <c r="C7306" s="9" t="inlineStr">
        <is>
          <t>21/50 MA cross, 250-period confirm filter, VWAP</t>
        </is>
      </c>
      <c r="D7306" s="9" t="inlineStr">
        <is>
          <t>Long</t>
        </is>
      </c>
      <c r="E7306" s="10" t="n">
        <v>46230.53819444445</v>
      </c>
      <c r="F7306" s="10" t="n">
        <v>46230.54861111111</v>
      </c>
      <c r="G7306" s="11" t="n">
        <v>-8.039999999999999</v>
      </c>
      <c r="H7306" s="11">
        <f>H7305+G7306</f>
        <v/>
      </c>
    </row>
    <row r="7307">
      <c r="A7307" s="9" t="n">
        <v>7303</v>
      </c>
      <c r="B7307" s="9" t="inlineStr">
        <is>
          <t>Ratchet</t>
        </is>
      </c>
      <c r="C7307" s="9" t="inlineStr">
        <is>
          <t>Stochastic scalp with give-back trail exit</t>
        </is>
      </c>
      <c r="D7307" s="9" t="inlineStr">
        <is>
          <t>Long</t>
        </is>
      </c>
      <c r="E7307" s="10" t="n">
        <v>46230.53819444445</v>
      </c>
      <c r="F7307" s="10" t="n">
        <v>46230.54861111111</v>
      </c>
      <c r="G7307" s="11" t="n">
        <v>-5.37</v>
      </c>
      <c r="H7307" s="11">
        <f>H7306+G7307</f>
        <v/>
      </c>
    </row>
    <row r="7308">
      <c r="A7308" s="9" t="n">
        <v>7304</v>
      </c>
      <c r="B7308" s="9" t="inlineStr">
        <is>
          <t>Meridian</t>
        </is>
      </c>
      <c r="C7308" s="9" t="inlineStr">
        <is>
          <t>21/50 MA cross, 250-period confirm filter, VWAP</t>
        </is>
      </c>
      <c r="D7308" s="9" t="inlineStr">
        <is>
          <t>Long</t>
        </is>
      </c>
      <c r="E7308" s="10" t="n">
        <v>46230.56944444445</v>
      </c>
      <c r="F7308" s="10" t="n">
        <v>46230.63194444445</v>
      </c>
      <c r="G7308" s="11" t="n">
        <v>-8.300000000000001</v>
      </c>
      <c r="H7308" s="11">
        <f>H7307+G7308</f>
        <v/>
      </c>
    </row>
    <row r="7309">
      <c r="A7309" s="9" t="n">
        <v>7305</v>
      </c>
      <c r="B7309" s="9" t="inlineStr">
        <is>
          <t>Aurelius_M5</t>
        </is>
      </c>
      <c r="C7309" s="9" t="inlineStr">
        <is>
          <t>MA alignment (EMA21&gt;EMA50&gt;SMA250&gt;SMMA500 vs EMA2400 trend filter)</t>
        </is>
      </c>
      <c r="D7309" s="9" t="inlineStr">
        <is>
          <t>Long</t>
        </is>
      </c>
      <c r="E7309" s="10" t="n">
        <v>46230.60763888889</v>
      </c>
      <c r="F7309" s="10" t="n">
        <v>46230.63194444445</v>
      </c>
      <c r="G7309" s="11" t="n">
        <v>-8.52</v>
      </c>
      <c r="H7309" s="11">
        <f>H7308+G7309</f>
        <v/>
      </c>
    </row>
    <row r="7310">
      <c r="A7310" s="9" t="n">
        <v>7306</v>
      </c>
      <c r="B7310" s="9" t="inlineStr">
        <is>
          <t>Meridian</t>
        </is>
      </c>
      <c r="C7310" s="9" t="inlineStr">
        <is>
          <t>21/50 MA cross, 250-period confirm filter, VWAP</t>
        </is>
      </c>
      <c r="D7310" s="9" t="inlineStr">
        <is>
          <t>Short</t>
        </is>
      </c>
      <c r="E7310" s="10" t="n">
        <v>46230.63888888889</v>
      </c>
      <c r="F7310" s="10" t="n">
        <v>46230.81597222222</v>
      </c>
      <c r="G7310" s="11" t="n">
        <v>-9.51</v>
      </c>
      <c r="H7310" s="11">
        <f>H7309+G7310</f>
        <v/>
      </c>
    </row>
    <row r="7311">
      <c r="A7311" s="9" t="n">
        <v>7307</v>
      </c>
      <c r="B7311" s="9" t="inlineStr">
        <is>
          <t>Meridian</t>
        </is>
      </c>
      <c r="C7311" s="9" t="inlineStr">
        <is>
          <t>21/50 MA cross, 250-period confirm filter, VWAP</t>
        </is>
      </c>
      <c r="D7311" s="9" t="inlineStr">
        <is>
          <t>Short</t>
        </is>
      </c>
      <c r="E7311" s="10" t="n">
        <v>46230.83680555555</v>
      </c>
      <c r="F7311" s="10" t="n">
        <v>46230.93055555555</v>
      </c>
      <c r="G7311" s="11" t="n">
        <v>-10.74</v>
      </c>
      <c r="H7311" s="11">
        <f>H7310+G7311</f>
        <v/>
      </c>
    </row>
    <row r="7312">
      <c r="A7312" s="9" t="n">
        <v>7308</v>
      </c>
      <c r="B7312" s="9" t="inlineStr">
        <is>
          <t>Meridian</t>
        </is>
      </c>
      <c r="C7312" s="9" t="inlineStr">
        <is>
          <t>21/50 MA cross, 250-period confirm filter, VWAP</t>
        </is>
      </c>
      <c r="D7312" s="9" t="inlineStr">
        <is>
          <t>Short</t>
        </is>
      </c>
      <c r="E7312" s="10" t="n">
        <v>46230.99652777778</v>
      </c>
      <c r="F7312" s="10" t="n">
        <v>46231.04166666666</v>
      </c>
      <c r="G7312" s="11" t="n">
        <v>-5.81</v>
      </c>
      <c r="H7312" s="11">
        <f>H7311+G7312</f>
        <v/>
      </c>
    </row>
    <row r="7313">
      <c r="A7313" s="9" t="n">
        <v>7309</v>
      </c>
      <c r="B7313" s="9" t="inlineStr">
        <is>
          <t>Ratchet</t>
        </is>
      </c>
      <c r="C7313" s="9" t="inlineStr">
        <is>
          <t>Stochastic scalp with give-back trail exit</t>
        </is>
      </c>
      <c r="D7313" s="9" t="inlineStr">
        <is>
          <t>Short</t>
        </is>
      </c>
      <c r="E7313" s="10" t="n">
        <v>46231.70138888889</v>
      </c>
      <c r="F7313" s="10" t="n">
        <v>46231.70833333334</v>
      </c>
      <c r="G7313" s="11" t="n">
        <v>-0</v>
      </c>
      <c r="H7313" s="11">
        <f>H7312+G7313</f>
        <v/>
      </c>
    </row>
    <row r="7314">
      <c r="A7314" s="9" t="n">
        <v>7310</v>
      </c>
      <c r="B7314" s="9" t="inlineStr">
        <is>
          <t>Ratchet</t>
        </is>
      </c>
      <c r="C7314" s="9" t="inlineStr">
        <is>
          <t>Stochastic scalp with give-back trail exit</t>
        </is>
      </c>
      <c r="D7314" s="9" t="inlineStr">
        <is>
          <t>Short</t>
        </is>
      </c>
      <c r="E7314" s="10" t="n">
        <v>46231.73263888889</v>
      </c>
      <c r="F7314" s="10" t="n">
        <v>46231.75694444445</v>
      </c>
      <c r="G7314" s="11" t="n">
        <v>-11.35</v>
      </c>
      <c r="H7314" s="11">
        <f>H7313+G7314</f>
        <v/>
      </c>
    </row>
    <row r="7315">
      <c r="A7315" s="9" t="n">
        <v>7311</v>
      </c>
      <c r="B7315" s="9" t="inlineStr">
        <is>
          <t>MSG</t>
        </is>
      </c>
      <c r="C7315" s="9" t="inlineStr">
        <is>
          <t>Session-range breakout + Fibonacci retracement-zone entry</t>
        </is>
      </c>
      <c r="D7315" s="9" t="inlineStr">
        <is>
          <t>Short</t>
        </is>
      </c>
      <c r="E7315" s="10" t="n">
        <v>46231.65833333333</v>
      </c>
      <c r="F7315" s="10" t="n">
        <v>46231.75833333333</v>
      </c>
      <c r="G7315" s="11" t="n">
        <v>15.5</v>
      </c>
      <c r="H7315" s="11">
        <f>H7314+G7315</f>
        <v/>
      </c>
    </row>
    <row r="7316">
      <c r="A7316" s="9" t="n">
        <v>7312</v>
      </c>
      <c r="B7316" s="9" t="inlineStr">
        <is>
          <t>Meridian</t>
        </is>
      </c>
      <c r="C7316" s="9" t="inlineStr">
        <is>
          <t>21/50 MA cross, 250-period confirm filter, VWAP</t>
        </is>
      </c>
      <c r="D7316" s="9" t="inlineStr">
        <is>
          <t>Short</t>
        </is>
      </c>
      <c r="E7316" s="10" t="n">
        <v>46231.48611111111</v>
      </c>
      <c r="F7316" s="10" t="n">
        <v>46231.77777777778</v>
      </c>
      <c r="G7316" s="11" t="n">
        <v>5.46</v>
      </c>
      <c r="H7316" s="11">
        <f>H7315+G7316</f>
        <v/>
      </c>
    </row>
    <row r="7317">
      <c r="A7317" s="9" t="n">
        <v>7313</v>
      </c>
      <c r="B7317" s="9" t="inlineStr">
        <is>
          <t>Ratchet</t>
        </is>
      </c>
      <c r="C7317" s="9" t="inlineStr">
        <is>
          <t>Stochastic scalp with give-back trail exit</t>
        </is>
      </c>
      <c r="D7317" s="9" t="inlineStr">
        <is>
          <t>Short</t>
        </is>
      </c>
      <c r="E7317" s="10" t="n">
        <v>46231.96527777778</v>
      </c>
      <c r="F7317" s="10" t="n">
        <v>46231.96875</v>
      </c>
      <c r="G7317" s="11" t="n">
        <v>-3.79</v>
      </c>
      <c r="H7317" s="11">
        <f>H7316+G7317</f>
        <v/>
      </c>
    </row>
    <row r="7318">
      <c r="A7318" s="9" t="n">
        <v>7314</v>
      </c>
      <c r="B7318" s="9" t="inlineStr">
        <is>
          <t>Ratchet</t>
        </is>
      </c>
      <c r="C7318" s="9" t="inlineStr">
        <is>
          <t>Stochastic scalp with give-back trail exit</t>
        </is>
      </c>
      <c r="D7318" s="9" t="inlineStr">
        <is>
          <t>Short</t>
        </is>
      </c>
      <c r="E7318" s="10" t="n">
        <v>46232.10763888889</v>
      </c>
      <c r="F7318" s="10" t="n">
        <v>46232.12152777778</v>
      </c>
      <c r="G7318" s="11" t="n">
        <v>-6.66</v>
      </c>
      <c r="H7318" s="11">
        <f>H7317+G7318</f>
        <v/>
      </c>
    </row>
    <row r="7319">
      <c r="A7319" s="9" t="n">
        <v>7315</v>
      </c>
      <c r="B7319" s="9" t="inlineStr">
        <is>
          <t>Aurelius_M5</t>
        </is>
      </c>
      <c r="C7319" s="9" t="inlineStr">
        <is>
          <t>MA alignment (EMA21&gt;EMA50&gt;SMA250&gt;SMMA500 vs EMA2400 trend filter)</t>
        </is>
      </c>
      <c r="D7319" s="9" t="inlineStr">
        <is>
          <t>Short</t>
        </is>
      </c>
      <c r="E7319" s="10" t="n">
        <v>46232.13194444445</v>
      </c>
      <c r="F7319" s="10" t="n">
        <v>46232.13888888889</v>
      </c>
      <c r="G7319" s="11" t="n">
        <v>-10.12</v>
      </c>
      <c r="H7319" s="11">
        <f>H7318+G7319</f>
        <v/>
      </c>
    </row>
    <row r="7320">
      <c r="A7320" s="9" t="n">
        <v>7316</v>
      </c>
      <c r="B7320" s="9" t="inlineStr">
        <is>
          <t>Meridian</t>
        </is>
      </c>
      <c r="C7320" s="9" t="inlineStr">
        <is>
          <t>21/50 MA cross, 250-period confirm filter, VWAP</t>
        </is>
      </c>
      <c r="D7320" s="9" t="inlineStr">
        <is>
          <t>Short</t>
        </is>
      </c>
      <c r="E7320" s="10" t="n">
        <v>46231.875</v>
      </c>
      <c r="F7320" s="10" t="n">
        <v>46232.21180555555</v>
      </c>
      <c r="G7320" s="11" t="n">
        <v>0.16</v>
      </c>
      <c r="H7320" s="11">
        <f>H7319+G7320</f>
        <v/>
      </c>
    </row>
    <row r="7321">
      <c r="A7321" s="9" t="n">
        <v>7317</v>
      </c>
      <c r="B7321" s="9" t="inlineStr">
        <is>
          <t>Ratchet</t>
        </is>
      </c>
      <c r="C7321" s="9" t="inlineStr">
        <is>
          <t>Stochastic scalp with give-back trail exit</t>
        </is>
      </c>
      <c r="D7321" s="9" t="inlineStr">
        <is>
          <t>Short</t>
        </is>
      </c>
      <c r="E7321" s="10" t="n">
        <v>46232.3125</v>
      </c>
      <c r="F7321" s="10" t="n">
        <v>46232.31944444445</v>
      </c>
      <c r="G7321" s="11" t="n">
        <v>-4</v>
      </c>
      <c r="H7321" s="11">
        <f>H7320+G7321</f>
        <v/>
      </c>
    </row>
    <row r="7322">
      <c r="A7322" s="9" t="n">
        <v>7318</v>
      </c>
      <c r="B7322" s="9" t="inlineStr">
        <is>
          <t>Meridian</t>
        </is>
      </c>
      <c r="C7322" s="9" t="inlineStr">
        <is>
          <t>21/50 MA cross, 250-period confirm filter, VWAP</t>
        </is>
      </c>
      <c r="D7322" s="9" t="inlineStr">
        <is>
          <t>Short</t>
        </is>
      </c>
      <c r="E7322" s="10" t="n">
        <v>46232.30555555555</v>
      </c>
      <c r="F7322" s="10" t="n">
        <v>46232.32291666666</v>
      </c>
      <c r="G7322" s="11" t="n">
        <v>-5.61</v>
      </c>
      <c r="H7322" s="11">
        <f>H7321+G7322</f>
        <v/>
      </c>
    </row>
    <row r="7323">
      <c r="A7323" s="9" t="n">
        <v>7319</v>
      </c>
      <c r="B7323" s="9" t="inlineStr">
        <is>
          <t>Meridian</t>
        </is>
      </c>
      <c r="C7323" s="9" t="inlineStr">
        <is>
          <t>21/50 MA cross, 250-period confirm filter, VWAP</t>
        </is>
      </c>
      <c r="D7323" s="9" t="inlineStr">
        <is>
          <t>Short</t>
        </is>
      </c>
      <c r="E7323" s="10" t="n">
        <v>46232.32638888889</v>
      </c>
      <c r="F7323" s="10" t="n">
        <v>46232.32986111111</v>
      </c>
      <c r="G7323" s="11" t="n">
        <v>-2.89</v>
      </c>
      <c r="H7323" s="11">
        <f>H7322+G7323</f>
        <v/>
      </c>
    </row>
    <row r="7324">
      <c r="A7324" s="9" t="n">
        <v>7320</v>
      </c>
      <c r="B7324" s="9" t="inlineStr">
        <is>
          <t>Ratchet</t>
        </is>
      </c>
      <c r="C7324" s="9" t="inlineStr">
        <is>
          <t>Stochastic scalp with give-back trail exit</t>
        </is>
      </c>
      <c r="D7324" s="9" t="inlineStr">
        <is>
          <t>Short</t>
        </is>
      </c>
      <c r="E7324" s="10" t="n">
        <v>46232.65972222222</v>
      </c>
      <c r="F7324" s="10" t="n">
        <v>46232.68055555555</v>
      </c>
      <c r="G7324" s="11" t="n">
        <v>1.32</v>
      </c>
      <c r="H7324" s="11">
        <f>H7323+G7324</f>
        <v/>
      </c>
    </row>
    <row r="7325">
      <c r="A7325" s="9" t="n">
        <v>7321</v>
      </c>
      <c r="B7325" s="9" t="inlineStr">
        <is>
          <t>Aurelius_M15</t>
        </is>
      </c>
      <c r="C7325" s="9" t="inlineStr">
        <is>
          <t>MA alignment (EMA21&gt;EMA50&gt;SMA250&gt;SMMA500 vs EMA2400 trend filter) - M15 chart</t>
        </is>
      </c>
      <c r="D7325" s="9" t="inlineStr">
        <is>
          <t>Short</t>
        </is>
      </c>
      <c r="E7325" s="10" t="n">
        <v>46232.71875</v>
      </c>
      <c r="F7325" s="10" t="n">
        <v>46232.8125</v>
      </c>
      <c r="G7325" s="11" t="n">
        <v>-18.97</v>
      </c>
      <c r="H7325" s="11">
        <f>H7324+G7325</f>
        <v/>
      </c>
    </row>
    <row r="7326">
      <c r="A7326" s="9" t="n">
        <v>7322</v>
      </c>
      <c r="B7326" s="9" t="inlineStr">
        <is>
          <t>Ratchet</t>
        </is>
      </c>
      <c r="C7326" s="9" t="inlineStr">
        <is>
          <t>Stochastic scalp with give-back trail exit</t>
        </is>
      </c>
      <c r="D7326" s="9" t="inlineStr">
        <is>
          <t>Long</t>
        </is>
      </c>
      <c r="E7326" s="10" t="n">
        <v>46233.05902777778</v>
      </c>
      <c r="F7326" s="10" t="n">
        <v>46233.125</v>
      </c>
      <c r="G7326" s="11" t="n">
        <v>6.33</v>
      </c>
      <c r="H7326" s="11">
        <f>H7325+G7326</f>
        <v/>
      </c>
    </row>
    <row r="7327">
      <c r="A7327" s="9" t="n">
        <v>7323</v>
      </c>
      <c r="B7327" s="9" t="inlineStr">
        <is>
          <t>Meridian</t>
        </is>
      </c>
      <c r="C7327" s="9" t="inlineStr">
        <is>
          <t>21/50 MA cross, 250-period confirm filter, VWAP</t>
        </is>
      </c>
      <c r="D7327" s="9" t="inlineStr">
        <is>
          <t>Long</t>
        </is>
      </c>
      <c r="E7327" s="10" t="n">
        <v>46232.83333333334</v>
      </c>
      <c r="F7327" s="10" t="n">
        <v>46233.25347222222</v>
      </c>
      <c r="G7327" s="11" t="n">
        <v>41.9</v>
      </c>
      <c r="H7327" s="11">
        <f>H7326+G7327</f>
        <v/>
      </c>
    </row>
    <row r="7328">
      <c r="A7328" s="9" t="n">
        <v>7324</v>
      </c>
      <c r="B7328" s="9" t="inlineStr">
        <is>
          <t>Ratchet</t>
        </is>
      </c>
      <c r="C7328" s="9" t="inlineStr">
        <is>
          <t>Stochastic scalp with give-back trail exit</t>
        </is>
      </c>
      <c r="D7328" s="9" t="inlineStr">
        <is>
          <t>Long</t>
        </is>
      </c>
      <c r="E7328" s="10" t="n">
        <v>46233.53125</v>
      </c>
      <c r="F7328" s="10" t="n">
        <v>46233.53819444445</v>
      </c>
      <c r="G7328" s="11" t="n">
        <v>1.06</v>
      </c>
      <c r="H7328" s="11">
        <f>H7327+G7328</f>
        <v/>
      </c>
    </row>
    <row r="7329">
      <c r="A7329" s="9" t="n">
        <v>7325</v>
      </c>
      <c r="B7329" s="9" t="inlineStr">
        <is>
          <t>Ratchet</t>
        </is>
      </c>
      <c r="C7329" s="9" t="inlineStr">
        <is>
          <t>Stochastic scalp with give-back trail exit</t>
        </is>
      </c>
      <c r="D7329" s="9" t="inlineStr">
        <is>
          <t>Long</t>
        </is>
      </c>
      <c r="E7329" s="10" t="n">
        <v>46233.5625</v>
      </c>
      <c r="F7329" s="10" t="n">
        <v>46233.57638888889</v>
      </c>
      <c r="G7329" s="11" t="n">
        <v>1.33</v>
      </c>
      <c r="H7329" s="11">
        <f>H7328+G7329</f>
        <v/>
      </c>
    </row>
    <row r="7330">
      <c r="A7330" s="9" t="n">
        <v>7326</v>
      </c>
      <c r="B7330" s="9" t="inlineStr">
        <is>
          <t>Ratchet</t>
        </is>
      </c>
      <c r="C7330" s="9" t="inlineStr">
        <is>
          <t>Stochastic scalp with give-back trail exit</t>
        </is>
      </c>
      <c r="D7330" s="9" t="inlineStr">
        <is>
          <t>Long</t>
        </is>
      </c>
      <c r="E7330" s="10" t="n">
        <v>46233.78472222222</v>
      </c>
      <c r="F7330" s="10" t="n">
        <v>46233.81944444445</v>
      </c>
      <c r="G7330" s="11" t="n">
        <v>3.71</v>
      </c>
      <c r="H7330" s="11">
        <f>H7329+G7330</f>
        <v/>
      </c>
    </row>
    <row r="7331">
      <c r="A7331" s="9" t="n">
        <v>7327</v>
      </c>
      <c r="B7331" s="9" t="inlineStr">
        <is>
          <t>Aurelius_M5</t>
        </is>
      </c>
      <c r="C7331" s="9" t="inlineStr">
        <is>
          <t>MA alignment (EMA21&gt;EMA50&gt;SMA250&gt;SMMA500 vs EMA2400 trend filter)</t>
        </is>
      </c>
      <c r="D7331" s="9" t="inlineStr">
        <is>
          <t>Long</t>
        </is>
      </c>
      <c r="E7331" s="10" t="n">
        <v>46233.67361111111</v>
      </c>
      <c r="F7331" s="10" t="n">
        <v>46234.04166666666</v>
      </c>
      <c r="G7331" s="11" t="n">
        <v>30.02</v>
      </c>
      <c r="H7331" s="11">
        <f>H7330+G7331</f>
        <v/>
      </c>
    </row>
    <row r="7332">
      <c r="A7332" s="9" t="n">
        <v>7328</v>
      </c>
      <c r="B7332" s="9" t="inlineStr">
        <is>
          <t>Ratchet</t>
        </is>
      </c>
      <c r="C7332" s="9" t="inlineStr">
        <is>
          <t>Stochastic scalp with give-back trail exit</t>
        </is>
      </c>
      <c r="D7332" s="9" t="inlineStr">
        <is>
          <t>Long</t>
        </is>
      </c>
      <c r="E7332" s="10" t="n">
        <v>46234.07638888889</v>
      </c>
      <c r="F7332" s="10" t="n">
        <v>46234.09375</v>
      </c>
      <c r="G7332" s="11" t="n">
        <v>-4.51</v>
      </c>
      <c r="H7332" s="11">
        <f>H7331+G7332</f>
        <v/>
      </c>
    </row>
    <row r="7333">
      <c r="A7333" s="9" t="n">
        <v>7329</v>
      </c>
      <c r="B7333" s="9" t="inlineStr">
        <is>
          <t>Meridian</t>
        </is>
      </c>
      <c r="C7333" s="9" t="inlineStr">
        <is>
          <t>21/50 MA cross, 250-period confirm filter, VWAP</t>
        </is>
      </c>
      <c r="D7333" s="9" t="inlineStr">
        <is>
          <t>Long</t>
        </is>
      </c>
      <c r="E7333" s="10" t="n">
        <v>46233.47916666666</v>
      </c>
      <c r="F7333" s="10" t="n">
        <v>46234.13194444445</v>
      </c>
      <c r="G7333" s="11" t="n">
        <v>38.42</v>
      </c>
      <c r="H7333" s="11">
        <f>H7332+G7333</f>
        <v/>
      </c>
    </row>
    <row r="7334">
      <c r="A7334" s="9" t="n">
        <v>7330</v>
      </c>
      <c r="B7334" s="9" t="inlineStr">
        <is>
          <t>Aurelius_M15</t>
        </is>
      </c>
      <c r="C7334" s="9" t="inlineStr">
        <is>
          <t>MA alignment (EMA21&gt;EMA50&gt;SMA250&gt;SMMA500 vs EMA2400 trend filter) - M15 chart</t>
        </is>
      </c>
      <c r="D7334" s="9" t="inlineStr">
        <is>
          <t>Long</t>
        </is>
      </c>
      <c r="E7334" s="10" t="n">
        <v>46233.72916666666</v>
      </c>
      <c r="F7334" s="10" t="n">
        <v>46234.19791666666</v>
      </c>
      <c r="G7334" s="11" t="n">
        <v>-10.78</v>
      </c>
      <c r="H7334" s="11">
        <f>H7333+G7334</f>
        <v/>
      </c>
    </row>
    <row r="7335">
      <c r="A7335" s="9" t="n">
        <v>7331</v>
      </c>
      <c r="B7335" s="9" t="inlineStr">
        <is>
          <t>Vanguard_M5</t>
        </is>
      </c>
      <c r="C7335" s="9" t="inlineStr">
        <is>
          <t>Trendline breakout (fractal swing line) + VWAP/S-R distance gate</t>
        </is>
      </c>
      <c r="D7335" s="9" t="inlineStr">
        <is>
          <t>Long</t>
        </is>
      </c>
      <c r="E7335" s="10" t="n">
        <v>46232.83680555555</v>
      </c>
      <c r="F7335" s="10" t="n">
        <v>46234.25</v>
      </c>
      <c r="G7335" s="11" t="n">
        <v>36.29</v>
      </c>
      <c r="H7335" s="11">
        <f>H7334+G7335</f>
        <v/>
      </c>
    </row>
    <row r="7336">
      <c r="A7336" s="9" t="n">
        <v>7332</v>
      </c>
      <c r="B7336" s="9" t="inlineStr">
        <is>
          <t>Vanguard_M15</t>
        </is>
      </c>
      <c r="C7336" s="9" t="inlineStr">
        <is>
          <t>Trendline breakout (fractal swing line) + VWAP/S-R distance gate - M15 chart</t>
        </is>
      </c>
      <c r="D7336" s="9" t="inlineStr">
        <is>
          <t>Long</t>
        </is>
      </c>
      <c r="E7336" s="10" t="n">
        <v>46232.84375</v>
      </c>
      <c r="F7336" s="10" t="n">
        <v>46234.25</v>
      </c>
      <c r="G7336" s="11" t="n">
        <v>31.13</v>
      </c>
      <c r="H7336" s="11">
        <f>H7335+G7336</f>
        <v/>
      </c>
    </row>
    <row r="7337">
      <c r="A7337" s="9" t="n">
        <v>7333</v>
      </c>
      <c r="B7337" s="9" t="inlineStr">
        <is>
          <t>Ratchet</t>
        </is>
      </c>
      <c r="C7337" s="9" t="inlineStr">
        <is>
          <t>Stochastic scalp with give-back trail exit</t>
        </is>
      </c>
      <c r="D7337" s="9" t="inlineStr">
        <is>
          <t>Short</t>
        </is>
      </c>
      <c r="E7337" s="10" t="n">
        <v>46234.67013888889</v>
      </c>
      <c r="F7337" s="10" t="n">
        <v>46234.67708333334</v>
      </c>
      <c r="G7337" s="11" t="n">
        <v>0.91</v>
      </c>
      <c r="H7337" s="11">
        <f>H7336+G7337</f>
        <v/>
      </c>
    </row>
    <row r="7338">
      <c r="A7338" s="9" t="n">
        <v>7334</v>
      </c>
      <c r="B7338" s="9" t="inlineStr">
        <is>
          <t>Meridian</t>
        </is>
      </c>
      <c r="C7338" s="9" t="inlineStr">
        <is>
          <t>21/50 MA cross, 250-period confirm filter, VWAP</t>
        </is>
      </c>
      <c r="D7338" s="9" t="inlineStr">
        <is>
          <t>Short</t>
        </is>
      </c>
      <c r="E7338" s="10" t="n">
        <v>46234.82291666666</v>
      </c>
      <c r="F7338" s="10" t="n">
        <v>46234.85069444445</v>
      </c>
      <c r="G7338" s="11" t="n">
        <v>-5.26</v>
      </c>
      <c r="H7338" s="11">
        <f>H7337+G7338</f>
        <v/>
      </c>
    </row>
    <row r="7339">
      <c r="A7339" s="9" t="n">
        <v>7335</v>
      </c>
      <c r="B7339" s="9" t="inlineStr">
        <is>
          <t>Vanguard_M15</t>
        </is>
      </c>
      <c r="C7339" s="9" t="inlineStr">
        <is>
          <t>Trendline breakout (fractal swing line) + VWAP/S-R distance gate - M15 chart</t>
        </is>
      </c>
      <c r="D7339" s="9" t="inlineStr">
        <is>
          <t>Short</t>
        </is>
      </c>
      <c r="E7339" s="10" t="n">
        <v>46234.26041666666</v>
      </c>
      <c r="F7339" s="10" t="n">
        <v>46237.11458333334</v>
      </c>
      <c r="G7339" s="11" t="n">
        <v>-1.8</v>
      </c>
      <c r="H7339" s="11">
        <f>H7338+G7339</f>
        <v/>
      </c>
    </row>
    <row r="7340">
      <c r="A7340" s="9" t="n">
        <v>7336</v>
      </c>
      <c r="B7340" s="9" t="inlineStr">
        <is>
          <t>Vanguard_M5</t>
        </is>
      </c>
      <c r="C7340" s="9" t="inlineStr">
        <is>
          <t>Trendline breakout (fractal swing line) + VWAP/S-R distance gate</t>
        </is>
      </c>
      <c r="D7340" s="9" t="inlineStr">
        <is>
          <t>Short</t>
        </is>
      </c>
      <c r="E7340" s="10" t="n">
        <v>46234.25347222222</v>
      </c>
      <c r="F7340" s="10" t="n">
        <v>46237.12152777778</v>
      </c>
      <c r="G7340" s="11" t="n">
        <v>-1.83</v>
      </c>
      <c r="H7340" s="11">
        <f>H7339+G7340</f>
        <v/>
      </c>
    </row>
    <row r="7341">
      <c r="A7341" s="9" t="n">
        <v>7337</v>
      </c>
      <c r="B7341" s="9" t="inlineStr">
        <is>
          <t>Meridian</t>
        </is>
      </c>
      <c r="C7341" s="9" t="inlineStr">
        <is>
          <t>21/50 MA cross, 250-period confirm filter, VWAP</t>
        </is>
      </c>
      <c r="D7341" s="9" t="inlineStr">
        <is>
          <t>Short</t>
        </is>
      </c>
      <c r="E7341" s="10" t="n">
        <v>46237.18402777778</v>
      </c>
      <c r="F7341" s="10" t="n">
        <v>46237.23958333334</v>
      </c>
      <c r="G7341" s="11" t="n">
        <v>-13.1</v>
      </c>
      <c r="H7341" s="11">
        <f>H7340+G7341</f>
        <v/>
      </c>
    </row>
    <row r="7342">
      <c r="A7342" s="9" t="n">
        <v>7338</v>
      </c>
      <c r="B7342" s="9" t="inlineStr">
        <is>
          <t>Meridian</t>
        </is>
      </c>
      <c r="C7342" s="9" t="inlineStr">
        <is>
          <t>21/50 MA cross, 250-period confirm filter, VWAP</t>
        </is>
      </c>
      <c r="D7342" s="9" t="inlineStr">
        <is>
          <t>Long</t>
        </is>
      </c>
      <c r="E7342" s="10" t="n">
        <v>46237.25694444445</v>
      </c>
      <c r="F7342" s="10" t="n">
        <v>46237.36111111111</v>
      </c>
      <c r="G7342" s="11" t="n">
        <v>-7.29</v>
      </c>
      <c r="H7342" s="11">
        <f>H7341+G7342</f>
        <v/>
      </c>
    </row>
    <row r="7343">
      <c r="A7343" s="9" t="n">
        <v>7339</v>
      </c>
      <c r="B7343" s="9" t="inlineStr">
        <is>
          <t>Meridian</t>
        </is>
      </c>
      <c r="C7343" s="9" t="inlineStr">
        <is>
          <t>21/50 MA cross, 250-period confirm filter, VWAP</t>
        </is>
      </c>
      <c r="D7343" s="9" t="inlineStr">
        <is>
          <t>Long</t>
        </is>
      </c>
      <c r="E7343" s="10" t="n">
        <v>46237.375</v>
      </c>
      <c r="F7343" s="10" t="n">
        <v>46237.42708333334</v>
      </c>
      <c r="G7343" s="11" t="n">
        <v>-10.64</v>
      </c>
      <c r="H7343" s="11">
        <f>H7342+G7343</f>
        <v/>
      </c>
    </row>
    <row r="7344">
      <c r="A7344" s="9" t="n">
        <v>7340</v>
      </c>
      <c r="B7344" s="9" t="inlineStr">
        <is>
          <t>MSG</t>
        </is>
      </c>
      <c r="C7344" s="9" t="inlineStr">
        <is>
          <t>Session-range breakout + Fibonacci retracement-zone entry</t>
        </is>
      </c>
      <c r="D7344" s="9" t="inlineStr">
        <is>
          <t>Short</t>
        </is>
      </c>
      <c r="E7344" s="10" t="n">
        <v>46237.61805555555</v>
      </c>
      <c r="F7344" s="10" t="n">
        <v>46237.63888888889</v>
      </c>
      <c r="G7344" s="11" t="n">
        <v>24.16</v>
      </c>
      <c r="H7344" s="11">
        <f>H7343+G7344</f>
        <v/>
      </c>
    </row>
    <row r="7345">
      <c r="A7345" s="9" t="n">
        <v>7341</v>
      </c>
      <c r="B7345" s="9" t="inlineStr">
        <is>
          <t>Aurelius_M5</t>
        </is>
      </c>
      <c r="C7345" s="9" t="inlineStr">
        <is>
          <t>MA alignment (EMA21&gt;EMA50&gt;SMA250&gt;SMMA500 vs EMA2400 trend filter)</t>
        </is>
      </c>
      <c r="D7345" s="9" t="inlineStr">
        <is>
          <t>Short</t>
        </is>
      </c>
      <c r="E7345" s="10" t="n">
        <v>46237.64236111111</v>
      </c>
      <c r="F7345" s="10" t="n">
        <v>46237.91319444445</v>
      </c>
      <c r="G7345" s="11" t="n">
        <v>8.32</v>
      </c>
      <c r="H7345" s="11">
        <f>H7344+G7345</f>
        <v/>
      </c>
    </row>
    <row r="7346">
      <c r="A7346" s="9" t="n">
        <v>7342</v>
      </c>
      <c r="B7346" s="9" t="inlineStr">
        <is>
          <t>Aurelius_M15</t>
        </is>
      </c>
      <c r="C7346" s="9" t="inlineStr">
        <is>
          <t>MA alignment (EMA21&gt;EMA50&gt;SMA250&gt;SMMA500 vs EMA2400 trend filter) - M15 chart</t>
        </is>
      </c>
      <c r="D7346" s="9" t="inlineStr">
        <is>
          <t>Short</t>
        </is>
      </c>
      <c r="E7346" s="10" t="n">
        <v>46237.67708333334</v>
      </c>
      <c r="F7346" s="10" t="n">
        <v>46237.97916666666</v>
      </c>
      <c r="G7346" s="11" t="n">
        <v>-18.62</v>
      </c>
      <c r="H7346" s="11">
        <f>H7345+G7346</f>
        <v/>
      </c>
    </row>
    <row r="7347">
      <c r="A7347" s="9" t="n">
        <v>7343</v>
      </c>
      <c r="B7347" s="9" t="inlineStr">
        <is>
          <t>Vanguard_M5</t>
        </is>
      </c>
      <c r="C7347" s="9" t="inlineStr">
        <is>
          <t>Trendline breakout (fractal swing line) + VWAP/S-R distance gate</t>
        </is>
      </c>
      <c r="D7347" s="9" t="inlineStr">
        <is>
          <t>Long</t>
        </is>
      </c>
      <c r="E7347" s="10" t="n">
        <v>46237.95138888889</v>
      </c>
      <c r="F7347" s="10" t="n">
        <v>46238.17013888889</v>
      </c>
      <c r="G7347" s="11" t="n">
        <v>-11.58</v>
      </c>
      <c r="H7347" s="11">
        <f>H7346+G7347</f>
        <v/>
      </c>
    </row>
    <row r="7348">
      <c r="A7348" s="9" t="n">
        <v>7344</v>
      </c>
      <c r="B7348" s="9" t="inlineStr">
        <is>
          <t>MSG</t>
        </is>
      </c>
      <c r="C7348" s="9" t="inlineStr">
        <is>
          <t>Session-range breakout + Fibonacci retracement-zone entry</t>
        </is>
      </c>
      <c r="D7348" s="9" t="inlineStr">
        <is>
          <t>Short</t>
        </is>
      </c>
      <c r="E7348" s="10" t="n">
        <v>46238.575</v>
      </c>
      <c r="F7348" s="10" t="n">
        <v>46238.61388888889</v>
      </c>
      <c r="G7348" s="11" t="n">
        <v>-22.8</v>
      </c>
      <c r="H7348" s="11">
        <f>H7347+G7348</f>
        <v/>
      </c>
    </row>
    <row r="7349">
      <c r="A7349" s="9" t="n">
        <v>7345</v>
      </c>
      <c r="B7349" s="9" t="inlineStr">
        <is>
          <t>Ratchet</t>
        </is>
      </c>
      <c r="C7349" s="9" t="inlineStr">
        <is>
          <t>Stochastic scalp with give-back trail exit</t>
        </is>
      </c>
      <c r="D7349" s="9" t="inlineStr">
        <is>
          <t>Long</t>
        </is>
      </c>
      <c r="E7349" s="10" t="n">
        <v>46238.8125</v>
      </c>
      <c r="F7349" s="10" t="n">
        <v>46238.85416666666</v>
      </c>
      <c r="G7349" s="11" t="n">
        <v>4.34</v>
      </c>
      <c r="H7349" s="11">
        <f>H7348+G7349</f>
        <v/>
      </c>
    </row>
    <row r="7350">
      <c r="A7350" s="9" t="n">
        <v>7346</v>
      </c>
      <c r="B7350" s="9" t="inlineStr">
        <is>
          <t>Ratchet</t>
        </is>
      </c>
      <c r="C7350" s="9" t="inlineStr">
        <is>
          <t>Stochastic scalp with give-back trail exit</t>
        </is>
      </c>
      <c r="D7350" s="9" t="inlineStr">
        <is>
          <t>Long</t>
        </is>
      </c>
      <c r="E7350" s="10" t="n">
        <v>46238.86458333334</v>
      </c>
      <c r="F7350" s="10" t="n">
        <v>46238.87152777778</v>
      </c>
      <c r="G7350" s="11" t="n">
        <v>-7.46</v>
      </c>
      <c r="H7350" s="11">
        <f>H7349+G7350</f>
        <v/>
      </c>
    </row>
    <row r="7351">
      <c r="A7351" s="9" t="n">
        <v>7347</v>
      </c>
      <c r="B7351" s="9" t="inlineStr">
        <is>
          <t>Meridian</t>
        </is>
      </c>
      <c r="C7351" s="9" t="inlineStr">
        <is>
          <t>21/50 MA cross, 250-period confirm filter, VWAP</t>
        </is>
      </c>
      <c r="D7351" s="9" t="inlineStr">
        <is>
          <t>Long</t>
        </is>
      </c>
      <c r="E7351" s="10" t="n">
        <v>46238.61458333334</v>
      </c>
      <c r="F7351" s="10" t="n">
        <v>46238.91666666666</v>
      </c>
      <c r="G7351" s="11" t="n">
        <v>9.890000000000001</v>
      </c>
      <c r="H7351" s="11">
        <f>H7350+G7351</f>
        <v/>
      </c>
    </row>
    <row r="7352">
      <c r="A7352" s="9" t="n">
        <v>7348</v>
      </c>
      <c r="B7352" s="9" t="inlineStr">
        <is>
          <t>Ratchet</t>
        </is>
      </c>
      <c r="C7352" s="9" t="inlineStr">
        <is>
          <t>Stochastic scalp with give-back trail exit</t>
        </is>
      </c>
      <c r="D7352" s="9" t="inlineStr">
        <is>
          <t>Long</t>
        </is>
      </c>
      <c r="E7352" s="10" t="n">
        <v>46239.19097222222</v>
      </c>
      <c r="F7352" s="10" t="n">
        <v>46239.20833333334</v>
      </c>
      <c r="G7352" s="11" t="n">
        <v>16.35</v>
      </c>
      <c r="H7352" s="11">
        <f>H7351+G7352</f>
        <v/>
      </c>
    </row>
    <row r="7353">
      <c r="A7353" s="9" t="n">
        <v>7349</v>
      </c>
      <c r="B7353" s="9" t="inlineStr">
        <is>
          <t>Aurelius_M5</t>
        </is>
      </c>
      <c r="C7353" s="9" t="inlineStr">
        <is>
          <t>MA alignment (EMA21&gt;EMA50&gt;SMA250&gt;SMMA500 vs EMA2400 trend filter)</t>
        </is>
      </c>
      <c r="D7353" s="9" t="inlineStr">
        <is>
          <t>Long</t>
        </is>
      </c>
      <c r="E7353" s="10" t="n">
        <v>46239.1875</v>
      </c>
      <c r="F7353" s="10" t="n">
        <v>46239.53819444445</v>
      </c>
      <c r="G7353" s="11" t="n">
        <v>72.90000000000001</v>
      </c>
      <c r="H7353" s="11">
        <f>H7352+G7353</f>
        <v/>
      </c>
    </row>
    <row r="7354">
      <c r="A7354" s="9" t="n">
        <v>7350</v>
      </c>
      <c r="B7354" s="9" t="inlineStr">
        <is>
          <t>Meridian</t>
        </is>
      </c>
      <c r="C7354" s="9" t="inlineStr">
        <is>
          <t>21/50 MA cross, 250-period confirm filter, VWAP</t>
        </is>
      </c>
      <c r="D7354" s="9" t="inlineStr">
        <is>
          <t>Long</t>
        </is>
      </c>
      <c r="E7354" s="10" t="n">
        <v>46239.17361111111</v>
      </c>
      <c r="F7354" s="10" t="n">
        <v>46239.57291666666</v>
      </c>
      <c r="G7354" s="11" t="n">
        <v>73.16</v>
      </c>
      <c r="H7354" s="11">
        <f>H7353+G7354</f>
        <v/>
      </c>
    </row>
    <row r="7355">
      <c r="A7355" s="9" t="n">
        <v>7351</v>
      </c>
      <c r="B7355" s="9" t="inlineStr">
        <is>
          <t>MSG</t>
        </is>
      </c>
      <c r="C7355" s="9" t="inlineStr">
        <is>
          <t>Session-range breakout + Fibonacci retracement-zone entry</t>
        </is>
      </c>
      <c r="D7355" s="9" t="inlineStr">
        <is>
          <t>Short</t>
        </is>
      </c>
      <c r="E7355" s="10" t="n">
        <v>46239.58888888889</v>
      </c>
      <c r="F7355" s="10" t="n">
        <v>46239.59444444445</v>
      </c>
      <c r="G7355" s="11" t="n">
        <v>-25.06</v>
      </c>
      <c r="H7355" s="11">
        <f>H7354+G7355</f>
        <v/>
      </c>
    </row>
    <row r="7356">
      <c r="A7356" s="9" t="n">
        <v>7352</v>
      </c>
      <c r="B7356" s="9" t="inlineStr">
        <is>
          <t>Ratchet</t>
        </is>
      </c>
      <c r="C7356" s="9" t="inlineStr">
        <is>
          <t>Stochastic scalp with give-back trail exit</t>
        </is>
      </c>
      <c r="D7356" s="9" t="inlineStr">
        <is>
          <t>Long</t>
        </is>
      </c>
      <c r="E7356" s="10" t="n">
        <v>46239.92708333334</v>
      </c>
      <c r="F7356" s="10" t="n">
        <v>46239.9375</v>
      </c>
      <c r="G7356" s="11" t="n">
        <v>-7.95</v>
      </c>
      <c r="H7356" s="11">
        <f>H7355+G7356</f>
        <v/>
      </c>
    </row>
    <row r="7357">
      <c r="A7357" s="9" t="n">
        <v>7353</v>
      </c>
      <c r="B7357" s="9" t="inlineStr">
        <is>
          <t>Aurelius_M5</t>
        </is>
      </c>
      <c r="C7357" s="9" t="inlineStr">
        <is>
          <t>MA alignment (EMA21&gt;EMA50&gt;SMA250&gt;SMMA500 vs EMA2400 trend filter)</t>
        </is>
      </c>
      <c r="D7357" s="9" t="inlineStr">
        <is>
          <t>Long</t>
        </is>
      </c>
      <c r="E7357" s="10" t="n">
        <v>46239.60763888889</v>
      </c>
      <c r="F7357" s="10" t="n">
        <v>46240.04166666666</v>
      </c>
      <c r="G7357" s="11" t="n">
        <v>65.70999999999999</v>
      </c>
      <c r="H7357" s="11">
        <f>H7356+G7357</f>
        <v/>
      </c>
    </row>
    <row r="7358">
      <c r="A7358" s="9" t="n">
        <v>7354</v>
      </c>
      <c r="B7358" s="9" t="inlineStr">
        <is>
          <t>Meridian</t>
        </is>
      </c>
      <c r="C7358" s="9" t="inlineStr">
        <is>
          <t>21/50 MA cross, 250-period confirm filter, VWAP</t>
        </is>
      </c>
      <c r="D7358" s="9" t="inlineStr">
        <is>
          <t>Long</t>
        </is>
      </c>
      <c r="E7358" s="10" t="n">
        <v>46239.58333333334</v>
      </c>
      <c r="F7358" s="10" t="n">
        <v>46240.28125</v>
      </c>
      <c r="G7358" s="11" t="n">
        <v>101.44</v>
      </c>
      <c r="H7358" s="11">
        <f>H7357+G7358</f>
        <v/>
      </c>
    </row>
    <row r="7359">
      <c r="A7359" s="9" t="n">
        <v>7355</v>
      </c>
      <c r="B7359" s="9" t="inlineStr">
        <is>
          <t>Aurelius_M15</t>
        </is>
      </c>
      <c r="C7359" s="9" t="inlineStr">
        <is>
          <t>MA alignment (EMA21&gt;EMA50&gt;SMA250&gt;SMMA500 vs EMA2400 trend filter) - M15 chart</t>
        </is>
      </c>
      <c r="D7359" s="9" t="inlineStr">
        <is>
          <t>Long</t>
        </is>
      </c>
      <c r="E7359" s="10" t="n">
        <v>46238.77083333334</v>
      </c>
      <c r="F7359" s="10" t="n">
        <v>46240.33333333334</v>
      </c>
      <c r="G7359" s="11" t="n">
        <v>183.64</v>
      </c>
      <c r="H7359" s="11">
        <f>H7358+G7359</f>
        <v/>
      </c>
    </row>
    <row r="7360">
      <c r="A7360" s="9" t="n">
        <v>7356</v>
      </c>
      <c r="B7360" s="9" t="inlineStr">
        <is>
          <t>Ratchet</t>
        </is>
      </c>
      <c r="C7360" s="9" t="inlineStr">
        <is>
          <t>Stochastic scalp with give-back trail exit</t>
        </is>
      </c>
      <c r="D7360" s="9" t="inlineStr">
        <is>
          <t>Long</t>
        </is>
      </c>
      <c r="E7360" s="10" t="n">
        <v>46240.49305555555</v>
      </c>
      <c r="F7360" s="10" t="n">
        <v>46240.52430555555</v>
      </c>
      <c r="G7360" s="11" t="n">
        <v>2.91</v>
      </c>
      <c r="H7360" s="11">
        <f>H7359+G7360</f>
        <v/>
      </c>
    </row>
    <row r="7361">
      <c r="A7361" s="9" t="n">
        <v>7357</v>
      </c>
      <c r="B7361" s="9" t="inlineStr">
        <is>
          <t>Meridian</t>
        </is>
      </c>
      <c r="C7361" s="9" t="inlineStr">
        <is>
          <t>21/50 MA cross, 250-period confirm filter, VWAP</t>
        </is>
      </c>
      <c r="D7361" s="9" t="inlineStr">
        <is>
          <t>Long</t>
        </is>
      </c>
      <c r="E7361" s="10" t="n">
        <v>46240.48263888889</v>
      </c>
      <c r="F7361" s="10" t="n">
        <v>46240.59722222222</v>
      </c>
      <c r="G7361" s="11" t="n">
        <v>-11.88</v>
      </c>
      <c r="H7361" s="11">
        <f>H7360+G7361</f>
        <v/>
      </c>
    </row>
    <row r="7362">
      <c r="A7362" s="9" t="n">
        <v>7358</v>
      </c>
      <c r="B7362" s="9" t="inlineStr">
        <is>
          <t>MSG</t>
        </is>
      </c>
      <c r="C7362" s="9" t="inlineStr">
        <is>
          <t>Session-range breakout + Fibonacci retracement-zone entry</t>
        </is>
      </c>
      <c r="D7362" s="9" t="inlineStr">
        <is>
          <t>Long</t>
        </is>
      </c>
      <c r="E7362" s="10" t="n">
        <v>46240.57083333333</v>
      </c>
      <c r="F7362" s="10" t="n">
        <v>46240.61458333334</v>
      </c>
      <c r="G7362" s="11" t="n">
        <v>-25.97</v>
      </c>
      <c r="H7362" s="11">
        <f>H7361+G7362</f>
        <v/>
      </c>
    </row>
    <row r="7363">
      <c r="A7363" s="9" t="n">
        <v>7359</v>
      </c>
      <c r="B7363" s="9" t="inlineStr">
        <is>
          <t>Ratchet</t>
        </is>
      </c>
      <c r="C7363" s="9" t="inlineStr">
        <is>
          <t>Stochastic scalp with give-back trail exit</t>
        </is>
      </c>
      <c r="D7363" s="9" t="inlineStr">
        <is>
          <t>Long</t>
        </is>
      </c>
      <c r="E7363" s="10" t="n">
        <v>46240.75</v>
      </c>
      <c r="F7363" s="10" t="n">
        <v>46240.76041666666</v>
      </c>
      <c r="G7363" s="11" t="n">
        <v>-12.5</v>
      </c>
      <c r="H7363" s="11">
        <f>H7362+G7363</f>
        <v/>
      </c>
    </row>
    <row r="7364">
      <c r="A7364" s="9" t="n">
        <v>7360</v>
      </c>
      <c r="B7364" s="9" t="inlineStr">
        <is>
          <t>Meridian</t>
        </is>
      </c>
      <c r="C7364" s="9" t="inlineStr">
        <is>
          <t>21/50 MA cross, 250-period confirm filter, VWAP</t>
        </is>
      </c>
      <c r="D7364" s="9" t="inlineStr">
        <is>
          <t>Long</t>
        </is>
      </c>
      <c r="E7364" s="10" t="n">
        <v>46240.73263888889</v>
      </c>
      <c r="F7364" s="10" t="n">
        <v>46240.76388888889</v>
      </c>
      <c r="G7364" s="11" t="n">
        <v>-19.65</v>
      </c>
      <c r="H7364" s="11">
        <f>H7363+G7364</f>
        <v/>
      </c>
    </row>
    <row r="7365">
      <c r="A7365" s="9" t="n">
        <v>7361</v>
      </c>
      <c r="B7365" s="9" t="inlineStr">
        <is>
          <t>Meridian</t>
        </is>
      </c>
      <c r="C7365" s="9" t="inlineStr">
        <is>
          <t>21/50 MA cross, 250-period confirm filter, VWAP</t>
        </is>
      </c>
      <c r="D7365" s="9" t="inlineStr">
        <is>
          <t>Short</t>
        </is>
      </c>
      <c r="E7365" s="10" t="n">
        <v>46240.77430555555</v>
      </c>
      <c r="F7365" s="10" t="n">
        <v>46241.10763888889</v>
      </c>
      <c r="G7365" s="11" t="n">
        <v>1.59</v>
      </c>
      <c r="H7365" s="11">
        <f>H7364+G7365</f>
        <v/>
      </c>
    </row>
    <row r="7366">
      <c r="A7366" s="9" t="n">
        <v>7362</v>
      </c>
      <c r="B7366" s="9" t="inlineStr">
        <is>
          <t>Meridian</t>
        </is>
      </c>
      <c r="C7366" s="9" t="inlineStr">
        <is>
          <t>21/50 MA cross, 250-period confirm filter, VWAP</t>
        </is>
      </c>
      <c r="D7366" s="9" t="inlineStr">
        <is>
          <t>Short</t>
        </is>
      </c>
      <c r="E7366" s="10" t="n">
        <v>46241.15625</v>
      </c>
      <c r="F7366" s="10" t="n">
        <v>46241.17013888889</v>
      </c>
      <c r="G7366" s="11" t="n">
        <v>-9.859999999999999</v>
      </c>
      <c r="H7366" s="11">
        <f>H7365+G7366</f>
        <v/>
      </c>
    </row>
    <row r="7367">
      <c r="A7367" s="9" t="n">
        <v>7363</v>
      </c>
      <c r="B7367" s="9" t="inlineStr">
        <is>
          <t>Vanguard_M15</t>
        </is>
      </c>
      <c r="C7367" s="9" t="inlineStr">
        <is>
          <t>Trendline breakout (fractal swing line) + VWAP/S-R distance gate - M15 chart</t>
        </is>
      </c>
      <c r="D7367" s="9" t="inlineStr">
        <is>
          <t>Long</t>
        </is>
      </c>
      <c r="E7367" s="10" t="n">
        <v>46237.97916666666</v>
      </c>
      <c r="F7367" s="10" t="n">
        <v>46241.19791666666</v>
      </c>
      <c r="G7367" s="11" t="n">
        <v>202.17</v>
      </c>
      <c r="H7367" s="11">
        <f>H7366+G7367</f>
        <v/>
      </c>
    </row>
    <row r="7368">
      <c r="A7368" s="9" t="n">
        <v>7364</v>
      </c>
      <c r="B7368" s="9" t="inlineStr">
        <is>
          <t>Ratchet</t>
        </is>
      </c>
      <c r="C7368" s="9" t="inlineStr">
        <is>
          <t>Stochastic scalp with give-back trail exit</t>
        </is>
      </c>
      <c r="D7368" s="9" t="inlineStr">
        <is>
          <t>Long</t>
        </is>
      </c>
      <c r="E7368" s="10" t="n">
        <v>46241.28125</v>
      </c>
      <c r="F7368" s="10" t="n">
        <v>46241.29166666666</v>
      </c>
      <c r="G7368" s="11" t="n">
        <v>1.56</v>
      </c>
      <c r="H7368" s="11">
        <f>H7367+G7368</f>
        <v/>
      </c>
    </row>
    <row r="7369">
      <c r="A7369" s="9" t="n">
        <v>7365</v>
      </c>
      <c r="B7369" s="9" t="inlineStr">
        <is>
          <t>Ratchet</t>
        </is>
      </c>
      <c r="C7369" s="9" t="inlineStr">
        <is>
          <t>Stochastic scalp with give-back trail exit</t>
        </is>
      </c>
      <c r="D7369" s="9" t="inlineStr">
        <is>
          <t>Long</t>
        </is>
      </c>
      <c r="E7369" s="10" t="n">
        <v>46241.32638888889</v>
      </c>
      <c r="F7369" s="10" t="n">
        <v>46241.32986111111</v>
      </c>
      <c r="G7369" s="11" t="n">
        <v>0.76</v>
      </c>
      <c r="H7369" s="11">
        <f>H7368+G7369</f>
        <v/>
      </c>
    </row>
    <row r="7370">
      <c r="A7370" s="9" t="n">
        <v>7366</v>
      </c>
      <c r="B7370" s="9" t="inlineStr">
        <is>
          <t>Ratchet</t>
        </is>
      </c>
      <c r="C7370" s="9" t="inlineStr">
        <is>
          <t>Stochastic scalp with give-back trail exit</t>
        </is>
      </c>
      <c r="D7370" s="9" t="inlineStr">
        <is>
          <t>Long</t>
        </is>
      </c>
      <c r="E7370" s="10" t="n">
        <v>46241.33680555555</v>
      </c>
      <c r="F7370" s="10" t="n">
        <v>46241.34722222222</v>
      </c>
      <c r="G7370" s="11" t="n">
        <v>0.96</v>
      </c>
      <c r="H7370" s="11">
        <f>H7369+G7370</f>
        <v/>
      </c>
    </row>
    <row r="7371">
      <c r="A7371" s="9" t="n">
        <v>7367</v>
      </c>
      <c r="B7371" s="9" t="inlineStr">
        <is>
          <t>Meridian</t>
        </is>
      </c>
      <c r="C7371" s="9" t="inlineStr">
        <is>
          <t>21/50 MA cross, 250-period confirm filter, VWAP</t>
        </is>
      </c>
      <c r="D7371" s="9" t="inlineStr">
        <is>
          <t>Long</t>
        </is>
      </c>
      <c r="E7371" s="10" t="n">
        <v>46241.19791666666</v>
      </c>
      <c r="F7371" s="10" t="n">
        <v>46241.83680555555</v>
      </c>
      <c r="G7371" s="11" t="n">
        <v>77.98999999999999</v>
      </c>
      <c r="H7371" s="11">
        <f>H7370+G7371</f>
        <v/>
      </c>
    </row>
    <row r="7372">
      <c r="A7372" s="9" t="n">
        <v>7368</v>
      </c>
      <c r="B7372" s="9" t="inlineStr">
        <is>
          <t>Ratchet</t>
        </is>
      </c>
      <c r="C7372" s="9" t="inlineStr">
        <is>
          <t>Stochastic scalp with give-back trail exit</t>
        </is>
      </c>
      <c r="D7372" s="9" t="inlineStr">
        <is>
          <t>Long</t>
        </is>
      </c>
      <c r="E7372" s="10" t="n">
        <v>46244.09375</v>
      </c>
      <c r="F7372" s="10" t="n">
        <v>46244.10069444445</v>
      </c>
      <c r="G7372" s="11" t="n">
        <v>0</v>
      </c>
      <c r="H7372" s="11">
        <f>H7371+G7372</f>
        <v/>
      </c>
    </row>
    <row r="7373">
      <c r="A7373" s="9" t="n">
        <v>7369</v>
      </c>
      <c r="B7373" s="9" t="inlineStr">
        <is>
          <t>Aurelius_M15</t>
        </is>
      </c>
      <c r="C7373" s="9" t="inlineStr">
        <is>
          <t>MA alignment (EMA21&gt;EMA50&gt;SMA250&gt;SMMA500 vs EMA2400 trend filter) - M15 chart</t>
        </is>
      </c>
      <c r="D7373" s="9" t="inlineStr">
        <is>
          <t>Long</t>
        </is>
      </c>
      <c r="E7373" s="10" t="n">
        <v>46244.13541666666</v>
      </c>
      <c r="F7373" s="10" t="n">
        <v>46244.16666666666</v>
      </c>
      <c r="G7373" s="11" t="n">
        <v>-22.01</v>
      </c>
      <c r="H7373" s="11">
        <f>H7372+G7373</f>
        <v/>
      </c>
    </row>
    <row r="7374">
      <c r="A7374" s="9" t="n">
        <v>7370</v>
      </c>
      <c r="B7374" s="9" t="inlineStr">
        <is>
          <t>Ratchet</t>
        </is>
      </c>
      <c r="C7374" s="9" t="inlineStr">
        <is>
          <t>Stochastic scalp with give-back trail exit</t>
        </is>
      </c>
      <c r="D7374" s="9" t="inlineStr">
        <is>
          <t>Long</t>
        </is>
      </c>
      <c r="E7374" s="10" t="n">
        <v>46244.36111111111</v>
      </c>
      <c r="F7374" s="10" t="n">
        <v>46244.36458333334</v>
      </c>
      <c r="G7374" s="11" t="n">
        <v>0</v>
      </c>
      <c r="H7374" s="11">
        <f>H7373+G7374</f>
        <v/>
      </c>
    </row>
    <row r="7375">
      <c r="A7375" s="9" t="n">
        <v>7371</v>
      </c>
      <c r="B7375" s="9" t="inlineStr">
        <is>
          <t>Vanguard_M5</t>
        </is>
      </c>
      <c r="C7375" s="9" t="inlineStr">
        <is>
          <t>Trendline breakout (fractal swing line) + VWAP/S-R distance gate</t>
        </is>
      </c>
      <c r="D7375" s="9" t="inlineStr">
        <is>
          <t>Short</t>
        </is>
      </c>
      <c r="E7375" s="10" t="n">
        <v>46244.125</v>
      </c>
      <c r="F7375" s="10" t="n">
        <v>46244.36805555555</v>
      </c>
      <c r="G7375" s="11" t="n">
        <v>-15.54</v>
      </c>
      <c r="H7375" s="11">
        <f>H7374+G7375</f>
        <v/>
      </c>
    </row>
    <row r="7376">
      <c r="A7376" s="9" t="n">
        <v>7372</v>
      </c>
      <c r="B7376" s="9" t="inlineStr">
        <is>
          <t>Vanguard_M15</t>
        </is>
      </c>
      <c r="C7376" s="9" t="inlineStr">
        <is>
          <t>Trendline breakout (fractal swing line) + VWAP/S-R distance gate - M15 chart</t>
        </is>
      </c>
      <c r="D7376" s="9" t="inlineStr">
        <is>
          <t>Short</t>
        </is>
      </c>
      <c r="E7376" s="10" t="n">
        <v>46244.125</v>
      </c>
      <c r="F7376" s="10" t="n">
        <v>46244.40625</v>
      </c>
      <c r="G7376" s="11" t="n">
        <v>-25.1</v>
      </c>
      <c r="H7376" s="11">
        <f>H7375+G7376</f>
        <v/>
      </c>
    </row>
    <row r="7377">
      <c r="A7377" s="9" t="n">
        <v>7373</v>
      </c>
      <c r="B7377" s="9" t="inlineStr">
        <is>
          <t>Ratchet</t>
        </is>
      </c>
      <c r="C7377" s="9" t="inlineStr">
        <is>
          <t>Stochastic scalp with give-back trail exit</t>
        </is>
      </c>
      <c r="D7377" s="9" t="inlineStr">
        <is>
          <t>Long</t>
        </is>
      </c>
      <c r="E7377" s="10" t="n">
        <v>46244.46180555555</v>
      </c>
      <c r="F7377" s="10" t="n">
        <v>46244.48263888889</v>
      </c>
      <c r="G7377" s="11" t="n">
        <v>-7.47</v>
      </c>
      <c r="H7377" s="11">
        <f>H7376+G7377</f>
        <v/>
      </c>
    </row>
    <row r="7378">
      <c r="A7378" s="9" t="n">
        <v>7374</v>
      </c>
      <c r="B7378" s="9" t="inlineStr">
        <is>
          <t>Meridian</t>
        </is>
      </c>
      <c r="C7378" s="9" t="inlineStr">
        <is>
          <t>21/50 MA cross, 250-period confirm filter, VWAP</t>
        </is>
      </c>
      <c r="D7378" s="9" t="inlineStr">
        <is>
          <t>Long</t>
        </is>
      </c>
      <c r="E7378" s="10" t="n">
        <v>46244.31944444445</v>
      </c>
      <c r="F7378" s="10" t="n">
        <v>46244.54166666666</v>
      </c>
      <c r="G7378" s="11" t="n">
        <v>7.07</v>
      </c>
      <c r="H7378" s="11">
        <f>H7377+G7378</f>
        <v/>
      </c>
    </row>
    <row r="7379">
      <c r="A7379" s="9" t="n">
        <v>7375</v>
      </c>
      <c r="B7379" s="9" t="inlineStr">
        <is>
          <t>Ratchet</t>
        </is>
      </c>
      <c r="C7379" s="9" t="inlineStr">
        <is>
          <t>Stochastic scalp with give-back trail exit</t>
        </is>
      </c>
      <c r="D7379" s="9" t="inlineStr">
        <is>
          <t>Long</t>
        </is>
      </c>
      <c r="E7379" s="10" t="n">
        <v>46244.84722222222</v>
      </c>
      <c r="F7379" s="10" t="n">
        <v>46244.86458333334</v>
      </c>
      <c r="G7379" s="11" t="n">
        <v>1.95</v>
      </c>
      <c r="H7379" s="11">
        <f>H7378+G7379</f>
        <v/>
      </c>
    </row>
    <row r="7380">
      <c r="A7380" s="9" t="n">
        <v>7376</v>
      </c>
      <c r="B7380" s="9" t="inlineStr">
        <is>
          <t>Ratchet</t>
        </is>
      </c>
      <c r="C7380" s="9" t="inlineStr">
        <is>
          <t>Stochastic scalp with give-back trail exit</t>
        </is>
      </c>
      <c r="D7380" s="9" t="inlineStr">
        <is>
          <t>Long</t>
        </is>
      </c>
      <c r="E7380" s="10" t="n">
        <v>46244.86805555555</v>
      </c>
      <c r="F7380" s="10" t="n">
        <v>46244.88541666666</v>
      </c>
      <c r="G7380" s="11" t="n">
        <v>0.9</v>
      </c>
      <c r="H7380" s="11">
        <f>H7379+G7380</f>
        <v/>
      </c>
    </row>
    <row r="7381">
      <c r="A7381" s="9" t="n">
        <v>7377</v>
      </c>
      <c r="B7381" s="9" t="inlineStr">
        <is>
          <t>Ratchet</t>
        </is>
      </c>
      <c r="C7381" s="9" t="inlineStr">
        <is>
          <t>Stochastic scalp with give-back trail exit</t>
        </is>
      </c>
      <c r="D7381" s="9" t="inlineStr">
        <is>
          <t>Long</t>
        </is>
      </c>
      <c r="E7381" s="10" t="n">
        <v>46245.18055555555</v>
      </c>
      <c r="F7381" s="10" t="n">
        <v>46245.19444444445</v>
      </c>
      <c r="G7381" s="11" t="n">
        <v>1.33</v>
      </c>
      <c r="H7381" s="11">
        <f>H7380+G7381</f>
        <v/>
      </c>
    </row>
    <row r="7382">
      <c r="A7382" s="9" t="n">
        <v>7378</v>
      </c>
      <c r="B7382" s="9" t="inlineStr">
        <is>
          <t>Aurelius_M5</t>
        </is>
      </c>
      <c r="C7382" s="9" t="inlineStr">
        <is>
          <t>MA alignment (EMA21&gt;EMA50&gt;SMA250&gt;SMMA500 vs EMA2400 trend filter)</t>
        </is>
      </c>
      <c r="D7382" s="9" t="inlineStr">
        <is>
          <t>Long</t>
        </is>
      </c>
      <c r="E7382" s="10" t="n">
        <v>46245.31597222222</v>
      </c>
      <c r="F7382" s="10" t="n">
        <v>46245.32986111111</v>
      </c>
      <c r="G7382" s="11" t="n">
        <v>-11.68</v>
      </c>
      <c r="H7382" s="11">
        <f>H7381+G7382</f>
        <v/>
      </c>
    </row>
    <row r="7383">
      <c r="A7383" s="9" t="n">
        <v>7379</v>
      </c>
      <c r="B7383" s="9" t="inlineStr">
        <is>
          <t>Meridian</t>
        </is>
      </c>
      <c r="C7383" s="9" t="inlineStr">
        <is>
          <t>21/50 MA cross, 250-period confirm filter, VWAP</t>
        </is>
      </c>
      <c r="D7383" s="9" t="inlineStr">
        <is>
          <t>Long</t>
        </is>
      </c>
      <c r="E7383" s="10" t="n">
        <v>46244.73958333334</v>
      </c>
      <c r="F7383" s="10" t="n">
        <v>46245.34027777778</v>
      </c>
      <c r="G7383" s="11" t="n">
        <v>56.09</v>
      </c>
      <c r="H7383" s="11">
        <f>H7382+G7383</f>
        <v/>
      </c>
    </row>
    <row r="7384">
      <c r="A7384" s="9" t="n">
        <v>7380</v>
      </c>
      <c r="B7384" s="9" t="inlineStr">
        <is>
          <t>Aurelius_M15</t>
        </is>
      </c>
      <c r="C7384" s="9" t="inlineStr">
        <is>
          <t>MA alignment (EMA21&gt;EMA50&gt;SMA250&gt;SMMA500 vs EMA2400 trend filter) - M15 chart</t>
        </is>
      </c>
      <c r="D7384" s="9" t="inlineStr">
        <is>
          <t>Long</t>
        </is>
      </c>
      <c r="E7384" s="10" t="n">
        <v>46244.82291666666</v>
      </c>
      <c r="F7384" s="10" t="n">
        <v>46245.39583333334</v>
      </c>
      <c r="G7384" s="11" t="n">
        <v>11.46</v>
      </c>
      <c r="H7384" s="11">
        <f>H7383+G7384</f>
        <v/>
      </c>
    </row>
    <row r="7385">
      <c r="A7385" s="9" t="n">
        <v>7381</v>
      </c>
      <c r="B7385" s="9" t="inlineStr">
        <is>
          <t>Ratchet</t>
        </is>
      </c>
      <c r="C7385" s="9" t="inlineStr">
        <is>
          <t>Stochastic scalp with give-back trail exit</t>
        </is>
      </c>
      <c r="D7385" s="9" t="inlineStr">
        <is>
          <t>Long</t>
        </is>
      </c>
      <c r="E7385" s="10" t="n">
        <v>46245.69791666666</v>
      </c>
      <c r="F7385" s="10" t="n">
        <v>46245.70138888889</v>
      </c>
      <c r="G7385" s="11" t="n">
        <v>-10.84</v>
      </c>
      <c r="H7385" s="11">
        <f>H7384+G7385</f>
        <v/>
      </c>
    </row>
    <row r="7386">
      <c r="A7386" s="9" t="n">
        <v>7382</v>
      </c>
      <c r="B7386" s="9" t="inlineStr">
        <is>
          <t>Meridian</t>
        </is>
      </c>
      <c r="C7386" s="9" t="inlineStr">
        <is>
          <t>21/50 MA cross, 250-period confirm filter, VWAP</t>
        </is>
      </c>
      <c r="D7386" s="9" t="inlineStr">
        <is>
          <t>Short</t>
        </is>
      </c>
      <c r="E7386" s="10" t="n">
        <v>46245.77777777778</v>
      </c>
      <c r="F7386" s="10" t="n">
        <v>46246.07638888889</v>
      </c>
      <c r="G7386" s="11" t="n">
        <v>-3.67</v>
      </c>
      <c r="H7386" s="11">
        <f>H7385+G7386</f>
        <v/>
      </c>
    </row>
    <row r="7387">
      <c r="A7387" s="9" t="n">
        <v>7383</v>
      </c>
      <c r="B7387" s="9" t="inlineStr">
        <is>
          <t>Meridian</t>
        </is>
      </c>
      <c r="C7387" s="9" t="inlineStr">
        <is>
          <t>21/50 MA cross, 250-period confirm filter, VWAP</t>
        </is>
      </c>
      <c r="D7387" s="9" t="inlineStr">
        <is>
          <t>Short</t>
        </is>
      </c>
      <c r="E7387" s="10" t="n">
        <v>46246.08333333334</v>
      </c>
      <c r="F7387" s="10" t="n">
        <v>46246.13194444445</v>
      </c>
      <c r="G7387" s="11" t="n">
        <v>-7.31</v>
      </c>
      <c r="H7387" s="11">
        <f>H7386+G7387</f>
        <v/>
      </c>
    </row>
    <row r="7388">
      <c r="A7388" s="9" t="n">
        <v>7384</v>
      </c>
      <c r="B7388" s="9" t="inlineStr">
        <is>
          <t>Vanguard_M5</t>
        </is>
      </c>
      <c r="C7388" s="9" t="inlineStr">
        <is>
          <t>Trendline breakout (fractal swing line) + VWAP/S-R distance gate</t>
        </is>
      </c>
      <c r="D7388" s="9" t="inlineStr">
        <is>
          <t>Short</t>
        </is>
      </c>
      <c r="E7388" s="10" t="n">
        <v>46245.85763888889</v>
      </c>
      <c r="F7388" s="10" t="n">
        <v>46246.13541666666</v>
      </c>
      <c r="G7388" s="11" t="n">
        <v>-3.24</v>
      </c>
      <c r="H7388" s="11">
        <f>H7387+G7388</f>
        <v/>
      </c>
    </row>
    <row r="7389">
      <c r="A7389" s="9" t="n">
        <v>7385</v>
      </c>
      <c r="B7389" s="9" t="inlineStr">
        <is>
          <t>Vanguard_M15</t>
        </is>
      </c>
      <c r="C7389" s="9" t="inlineStr">
        <is>
          <t>Trendline breakout (fractal swing line) + VWAP/S-R distance gate - M15 chart</t>
        </is>
      </c>
      <c r="D7389" s="9" t="inlineStr">
        <is>
          <t>Short</t>
        </is>
      </c>
      <c r="E7389" s="10" t="n">
        <v>46245.86458333334</v>
      </c>
      <c r="F7389" s="10" t="n">
        <v>46246.13541666666</v>
      </c>
      <c r="G7389" s="11" t="n">
        <v>-4.74</v>
      </c>
      <c r="H7389" s="11">
        <f>H7388+G7389</f>
        <v/>
      </c>
    </row>
    <row r="7390">
      <c r="A7390" s="9" t="n">
        <v>7386</v>
      </c>
      <c r="B7390" s="9" t="inlineStr">
        <is>
          <t>Vanguard_M5</t>
        </is>
      </c>
      <c r="C7390" s="9" t="inlineStr">
        <is>
          <t>Trendline breakout (fractal swing line) + VWAP/S-R distance gate</t>
        </is>
      </c>
      <c r="D7390" s="9" t="inlineStr">
        <is>
          <t>Long</t>
        </is>
      </c>
      <c r="E7390" s="10" t="n">
        <v>46246.13888888889</v>
      </c>
      <c r="F7390" s="10" t="n">
        <v>46246.22916666666</v>
      </c>
      <c r="G7390" s="11" t="n">
        <v>18.66</v>
      </c>
      <c r="H7390" s="11">
        <f>H7389+G7390</f>
        <v/>
      </c>
    </row>
    <row r="7391">
      <c r="A7391" s="9" t="n">
        <v>7387</v>
      </c>
      <c r="B7391" s="9" t="inlineStr">
        <is>
          <t>Ratchet</t>
        </is>
      </c>
      <c r="C7391" s="9" t="inlineStr">
        <is>
          <t>Stochastic scalp with give-back trail exit</t>
        </is>
      </c>
      <c r="D7391" s="9" t="inlineStr">
        <is>
          <t>Long</t>
        </is>
      </c>
      <c r="E7391" s="10" t="n">
        <v>46246.19444444445</v>
      </c>
      <c r="F7391" s="10" t="n">
        <v>46246.30208333334</v>
      </c>
      <c r="G7391" s="11" t="n">
        <v>7.73</v>
      </c>
      <c r="H7391" s="11">
        <f>H7390+G7391</f>
        <v/>
      </c>
    </row>
    <row r="7392">
      <c r="A7392" s="9" t="n">
        <v>7388</v>
      </c>
      <c r="B7392" s="9" t="inlineStr">
        <is>
          <t>Meridian</t>
        </is>
      </c>
      <c r="C7392" s="9" t="inlineStr">
        <is>
          <t>21/50 MA cross, 250-period confirm filter, VWAP</t>
        </is>
      </c>
      <c r="D7392" s="9" t="inlineStr">
        <is>
          <t>Long</t>
        </is>
      </c>
      <c r="E7392" s="10" t="n">
        <v>46246.42013888889</v>
      </c>
      <c r="F7392" s="10" t="n">
        <v>46246.64583333334</v>
      </c>
      <c r="G7392" s="11" t="n">
        <v>-10.5</v>
      </c>
      <c r="H7392" s="11">
        <f>H7391+G7392</f>
        <v/>
      </c>
    </row>
    <row r="7393">
      <c r="A7393" s="9" t="n">
        <v>7389</v>
      </c>
      <c r="B7393" s="9" t="inlineStr">
        <is>
          <t>MSG</t>
        </is>
      </c>
      <c r="C7393" s="9" t="inlineStr">
        <is>
          <t>Session-range breakout + Fibonacci retracement-zone entry</t>
        </is>
      </c>
      <c r="D7393" s="9" t="inlineStr">
        <is>
          <t>Long</t>
        </is>
      </c>
      <c r="E7393" s="10" t="n">
        <v>46246.64722222222</v>
      </c>
      <c r="F7393" s="10" t="n">
        <v>46246.65625</v>
      </c>
      <c r="G7393" s="11" t="n">
        <v>58.36</v>
      </c>
      <c r="H7393" s="11">
        <f>H7392+G7393</f>
        <v/>
      </c>
    </row>
    <row r="7394">
      <c r="A7394" s="9" t="n">
        <v>7390</v>
      </c>
      <c r="B7394" s="9" t="inlineStr">
        <is>
          <t>Ratchet</t>
        </is>
      </c>
      <c r="C7394" s="9" t="inlineStr">
        <is>
          <t>Stochastic scalp with give-back trail exit</t>
        </is>
      </c>
      <c r="D7394" s="9" t="inlineStr">
        <is>
          <t>Long</t>
        </is>
      </c>
      <c r="E7394" s="10" t="n">
        <v>46246.80902777778</v>
      </c>
      <c r="F7394" s="10" t="n">
        <v>46246.8125</v>
      </c>
      <c r="G7394" s="11" t="n">
        <v>-9.130000000000001</v>
      </c>
      <c r="H7394" s="11">
        <f>H7393+G7394</f>
        <v/>
      </c>
    </row>
    <row r="7395">
      <c r="A7395" s="9" t="n">
        <v>7391</v>
      </c>
      <c r="B7395" s="9" t="inlineStr">
        <is>
          <t>Aurelius_M5</t>
        </is>
      </c>
      <c r="C7395" s="9" t="inlineStr">
        <is>
          <t>MA alignment (EMA21&gt;EMA50&gt;SMA250&gt;SMMA500 vs EMA2400 trend filter)</t>
        </is>
      </c>
      <c r="D7395" s="9" t="inlineStr">
        <is>
          <t>Long</t>
        </is>
      </c>
      <c r="E7395" s="10" t="n">
        <v>46246.68402777778</v>
      </c>
      <c r="F7395" s="10" t="n">
        <v>46246.82291666666</v>
      </c>
      <c r="G7395" s="11" t="n">
        <v>-6.49</v>
      </c>
      <c r="H7395" s="11">
        <f>H7394+G7395</f>
        <v/>
      </c>
    </row>
    <row r="7396">
      <c r="A7396" s="9" t="n">
        <v>7392</v>
      </c>
      <c r="B7396" s="9" t="inlineStr">
        <is>
          <t>Aurelius_M5</t>
        </is>
      </c>
      <c r="C7396" s="9" t="inlineStr">
        <is>
          <t>MA alignment (EMA21&gt;EMA50&gt;SMA250&gt;SMMA500 vs EMA2400 trend filter)</t>
        </is>
      </c>
      <c r="D7396" s="9" t="inlineStr">
        <is>
          <t>Long</t>
        </is>
      </c>
      <c r="E7396" s="10" t="n">
        <v>46247.14236111111</v>
      </c>
      <c r="F7396" s="10" t="n">
        <v>46247.14583333334</v>
      </c>
      <c r="G7396" s="11" t="n">
        <v>-9.539999999999999</v>
      </c>
      <c r="H7396" s="11">
        <f>H7395+G7396</f>
        <v/>
      </c>
    </row>
    <row r="7397">
      <c r="A7397" s="9" t="n">
        <v>7393</v>
      </c>
      <c r="B7397" s="9" t="inlineStr">
        <is>
          <t>Ratchet</t>
        </is>
      </c>
      <c r="C7397" s="9" t="inlineStr">
        <is>
          <t>Stochastic scalp with give-back trail exit</t>
        </is>
      </c>
      <c r="D7397" s="9" t="inlineStr">
        <is>
          <t>Long</t>
        </is>
      </c>
      <c r="E7397" s="10" t="n">
        <v>46247.17361111111</v>
      </c>
      <c r="F7397" s="10" t="n">
        <v>46247.18055555555</v>
      </c>
      <c r="G7397" s="11" t="n">
        <v>-14.71</v>
      </c>
      <c r="H7397" s="11">
        <f>H7396+G7397</f>
        <v/>
      </c>
    </row>
    <row r="7398">
      <c r="A7398" s="9" t="n">
        <v>7394</v>
      </c>
      <c r="B7398" s="9" t="inlineStr">
        <is>
          <t>Meridian</t>
        </is>
      </c>
      <c r="C7398" s="9" t="inlineStr">
        <is>
          <t>21/50 MA cross, 250-period confirm filter, VWAP</t>
        </is>
      </c>
      <c r="D7398" s="9" t="inlineStr">
        <is>
          <t>Long</t>
        </is>
      </c>
      <c r="E7398" s="10" t="n">
        <v>46247.13194444445</v>
      </c>
      <c r="F7398" s="10" t="n">
        <v>46247.19791666666</v>
      </c>
      <c r="G7398" s="11" t="n">
        <v>-7.25</v>
      </c>
      <c r="H7398" s="11">
        <f>H7397+G7398</f>
        <v/>
      </c>
    </row>
    <row r="7399">
      <c r="A7399" s="9" t="n">
        <v>7395</v>
      </c>
      <c r="B7399" s="9" t="inlineStr">
        <is>
          <t>Vanguard_M15</t>
        </is>
      </c>
      <c r="C7399" s="9" t="inlineStr">
        <is>
          <t>Trendline breakout (fractal swing line) + VWAP/S-R distance gate - M15 chart</t>
        </is>
      </c>
      <c r="D7399" s="9" t="inlineStr">
        <is>
          <t>Long</t>
        </is>
      </c>
      <c r="E7399" s="10" t="n">
        <v>46246.14583333334</v>
      </c>
      <c r="F7399" s="10" t="n">
        <v>46247.28125</v>
      </c>
      <c r="G7399" s="11" t="n">
        <v>19.05</v>
      </c>
      <c r="H7399" s="11">
        <f>H7398+G7399</f>
        <v/>
      </c>
    </row>
    <row r="7400">
      <c r="A7400" s="9" t="n">
        <v>7396</v>
      </c>
      <c r="B7400" s="9" t="inlineStr">
        <is>
          <t>Aurelius_M15</t>
        </is>
      </c>
      <c r="C7400" s="9" t="inlineStr">
        <is>
          <t>MA alignment (EMA21&gt;EMA50&gt;SMA250&gt;SMMA500 vs EMA2400 trend filter) - M15 chart</t>
        </is>
      </c>
      <c r="D7400" s="9" t="inlineStr">
        <is>
          <t>Long</t>
        </is>
      </c>
      <c r="E7400" s="10" t="n">
        <v>46247.19791666666</v>
      </c>
      <c r="F7400" s="10" t="n">
        <v>46247.28125</v>
      </c>
      <c r="G7400" s="11" t="n">
        <v>-13.63</v>
      </c>
      <c r="H7400" s="11">
        <f>H7399+G7400</f>
        <v/>
      </c>
    </row>
    <row r="7401">
      <c r="A7401" s="9" t="n">
        <v>7397</v>
      </c>
      <c r="B7401" s="9" t="inlineStr">
        <is>
          <t>Meridian</t>
        </is>
      </c>
      <c r="C7401" s="9" t="inlineStr">
        <is>
          <t>21/50 MA cross, 250-period confirm filter, VWAP</t>
        </is>
      </c>
      <c r="D7401" s="9" t="inlineStr">
        <is>
          <t>Short</t>
        </is>
      </c>
      <c r="E7401" s="10" t="n">
        <v>46247.22916666666</v>
      </c>
      <c r="F7401" s="10" t="n">
        <v>46247.56597222222</v>
      </c>
      <c r="G7401" s="11" t="n">
        <v>20.68</v>
      </c>
      <c r="H7401" s="11">
        <f>H7400+G7401</f>
        <v/>
      </c>
    </row>
    <row r="7402">
      <c r="A7402" s="9" t="n">
        <v>7398</v>
      </c>
      <c r="B7402" s="9" t="inlineStr">
        <is>
          <t>MSG</t>
        </is>
      </c>
      <c r="C7402" s="9" t="inlineStr">
        <is>
          <t>Session-range breakout + Fibonacci retracement-zone entry</t>
        </is>
      </c>
      <c r="D7402" s="9" t="inlineStr">
        <is>
          <t>Long</t>
        </is>
      </c>
      <c r="E7402" s="10" t="n">
        <v>46247.64791666667</v>
      </c>
      <c r="F7402" s="10" t="n">
        <v>46247.66736111111</v>
      </c>
      <c r="G7402" s="11" t="n">
        <v>40.69</v>
      </c>
      <c r="H7402" s="11">
        <f>H7401+G7402</f>
        <v/>
      </c>
    </row>
    <row r="7403">
      <c r="A7403" s="9" t="n">
        <v>7399</v>
      </c>
      <c r="B7403" s="9" t="inlineStr">
        <is>
          <t>Meridian</t>
        </is>
      </c>
      <c r="C7403" s="9" t="inlineStr">
        <is>
          <t>21/50 MA cross, 250-period confirm filter, VWAP</t>
        </is>
      </c>
      <c r="D7403" s="9" t="inlineStr">
        <is>
          <t>Short</t>
        </is>
      </c>
      <c r="E7403" s="10" t="n">
        <v>46247.70486111111</v>
      </c>
      <c r="F7403" s="10" t="n">
        <v>46248.10416666666</v>
      </c>
      <c r="G7403" s="11" t="n">
        <v>12.94</v>
      </c>
      <c r="H7403" s="11">
        <f>H7402+G7403</f>
        <v/>
      </c>
    </row>
    <row r="7404">
      <c r="A7404" s="9" t="n">
        <v>7400</v>
      </c>
      <c r="B7404" s="9" t="inlineStr">
        <is>
          <t>Meridian</t>
        </is>
      </c>
      <c r="C7404" s="9" t="inlineStr">
        <is>
          <t>21/50 MA cross, 250-period confirm filter, VWAP</t>
        </is>
      </c>
      <c r="D7404" s="9" t="inlineStr">
        <is>
          <t>Short</t>
        </is>
      </c>
      <c r="E7404" s="10" t="n">
        <v>46248.13888888889</v>
      </c>
      <c r="F7404" s="10" t="n">
        <v>46248.39236111111</v>
      </c>
      <c r="G7404" s="11" t="n">
        <v>17.62</v>
      </c>
      <c r="H7404" s="11">
        <f>H7403+G7404</f>
        <v/>
      </c>
    </row>
    <row r="7405">
      <c r="A7405" s="9" t="n">
        <v>7401</v>
      </c>
      <c r="B7405" s="9" t="inlineStr">
        <is>
          <t>Vanguard_M15</t>
        </is>
      </c>
      <c r="C7405" s="9" t="inlineStr">
        <is>
          <t>Trendline breakout (fractal swing line) + VWAP/S-R distance gate - M15 chart</t>
        </is>
      </c>
      <c r="D7405" s="9" t="inlineStr">
        <is>
          <t>Short</t>
        </is>
      </c>
      <c r="E7405" s="10" t="n">
        <v>46247.29166666666</v>
      </c>
      <c r="F7405" s="10" t="n">
        <v>46248.98958333334</v>
      </c>
      <c r="G7405" s="11" t="n">
        <v>24.12</v>
      </c>
      <c r="H7405" s="11">
        <f>H7404+G7405</f>
        <v/>
      </c>
    </row>
    <row r="7406">
      <c r="A7406" s="9" t="n">
        <v>7402</v>
      </c>
      <c r="B7406" s="9" t="inlineStr">
        <is>
          <t>Vanguard_M5</t>
        </is>
      </c>
      <c r="C7406" s="9" t="inlineStr">
        <is>
          <t>Trendline breakout (fractal swing line) + VWAP/S-R distance gate</t>
        </is>
      </c>
      <c r="D7406" s="9" t="inlineStr">
        <is>
          <t>Short</t>
        </is>
      </c>
      <c r="E7406" s="10" t="n">
        <v>46247.29166666666</v>
      </c>
      <c r="F7406" s="10" t="n">
        <v>46248.99652777778</v>
      </c>
      <c r="G7406" s="11" t="n">
        <v>24.14</v>
      </c>
      <c r="H7406" s="11">
        <f>H7405+G7406</f>
        <v/>
      </c>
    </row>
  </sheetData>
  <autoFilter ref="A4:H7406"/>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14" customWidth="1" min="1" max="1"/>
    <col width="46" customWidth="1" min="2" max="2"/>
    <col width="9" customWidth="1" min="3" max="3"/>
    <col width="8" customWidth="1" min="4" max="4"/>
    <col width="11" customWidth="1" min="5" max="5"/>
    <col width="16" customWidth="1" min="6" max="6"/>
    <col width="16" customWidth="1" min="7" max="7"/>
    <col width="12" customWidth="1" min="8" max="8"/>
    <col width="18" customWidth="1" min="9" max="9"/>
    <col width="14" customWidth="1" min="10" max="10"/>
  </cols>
  <sheetData>
    <row r="1">
      <c r="A1" s="4" t="inlineStr">
        <is>
          <t>Combined 7-EA Portfolio - Summary / Attribution (Full history: 2023-01-03 .. 2026-08-14)</t>
        </is>
      </c>
    </row>
    <row r="4">
      <c r="A4" s="8" t="inlineStr">
        <is>
          <t>System</t>
        </is>
      </c>
      <c r="B4" s="8" t="inlineStr">
        <is>
          <t>Core Indicator / Signal Family</t>
        </is>
      </c>
      <c r="C4" s="8" t="inlineStr">
        <is>
          <t>Trades</t>
        </is>
      </c>
      <c r="D4" s="8" t="inlineStr">
        <is>
          <t>Wins</t>
        </is>
      </c>
      <c r="E4" s="8" t="inlineStr">
        <is>
          <t>Win Rate %</t>
        </is>
      </c>
      <c r="F4" s="8" t="inlineStr">
        <is>
          <t>Gross Profit (USD)</t>
        </is>
      </c>
      <c r="G4" s="8" t="inlineStr">
        <is>
          <t>Gross Loss (USD)</t>
        </is>
      </c>
      <c r="H4" s="8" t="inlineStr">
        <is>
          <t>Profit Factor</t>
        </is>
      </c>
      <c r="I4" s="8" t="inlineStr">
        <is>
          <t>Net Contribution (USD)</t>
        </is>
      </c>
      <c r="J4" s="8" t="inlineStr">
        <is>
          <t>% of Portfolio Net Profit</t>
        </is>
      </c>
    </row>
    <row r="5">
      <c r="A5" s="9" t="inlineStr">
        <is>
          <t>Aurelius_M5</t>
        </is>
      </c>
      <c r="B5" s="9" t="inlineStr">
        <is>
          <t>MA alignment (EMA21&gt;EMA50&gt;SMA250&gt;SMMA500 vs EMA2400 trend filter)</t>
        </is>
      </c>
      <c r="C5" s="9">
        <f>COUNTIF('Trade Ledger'!$B$5:$B$7406,A5)</f>
        <v/>
      </c>
      <c r="D5" s="9">
        <f>COUNTIFS('Trade Ledger'!$B$5:$B$7406,A5,'Trade Ledger'!$G$5:$G$7406,"&gt;0")</f>
        <v/>
      </c>
      <c r="E5" s="12">
        <f>IFERROR(D5/C5,0)</f>
        <v/>
      </c>
      <c r="F5" s="11">
        <f>SUMIFS('Trade Ledger'!$G$5:$G$7406,'Trade Ledger'!$B$5:$B$7406,A5,'Trade Ledger'!$G$5:$G$7406,"&gt;0")</f>
        <v/>
      </c>
      <c r="G5" s="11">
        <f>-SUMIFS('Trade Ledger'!$G$5:$G$7406,'Trade Ledger'!$B$5:$B$7406,A5,'Trade Ledger'!$G$5:$G$7406,"&lt;0")</f>
        <v/>
      </c>
      <c r="H5" s="9">
        <f>IFERROR(F5/G5,"")</f>
        <v/>
      </c>
      <c r="I5" s="11">
        <f>SUMIF('Trade Ledger'!$B$5:$B$7406,A5,'Trade Ledger'!$G$5:$G$7406)</f>
        <v/>
      </c>
      <c r="J5" s="12">
        <f>IFERROR(I5/$I$12,0)</f>
        <v/>
      </c>
    </row>
    <row r="6">
      <c r="A6" s="9" t="inlineStr">
        <is>
          <t>Aurelius_M15</t>
        </is>
      </c>
      <c r="B6" s="9" t="inlineStr">
        <is>
          <t>MA alignment (EMA21&gt;EMA50&gt;SMA250&gt;SMMA500 vs EMA2400 trend filter) - M15 chart</t>
        </is>
      </c>
      <c r="C6" s="9">
        <f>COUNTIF('Trade Ledger'!$B$5:$B$7406,A6)</f>
        <v/>
      </c>
      <c r="D6" s="9">
        <f>COUNTIFS('Trade Ledger'!$B$5:$B$7406,A6,'Trade Ledger'!$G$5:$G$7406,"&gt;0")</f>
        <v/>
      </c>
      <c r="E6" s="12">
        <f>IFERROR(D6/C6,0)</f>
        <v/>
      </c>
      <c r="F6" s="11">
        <f>SUMIFS('Trade Ledger'!$G$5:$G$7406,'Trade Ledger'!$B$5:$B$7406,A6,'Trade Ledger'!$G$5:$G$7406,"&gt;0")</f>
        <v/>
      </c>
      <c r="G6" s="11">
        <f>-SUMIFS('Trade Ledger'!$G$5:$G$7406,'Trade Ledger'!$B$5:$B$7406,A6,'Trade Ledger'!$G$5:$G$7406,"&lt;0")</f>
        <v/>
      </c>
      <c r="H6" s="9">
        <f>IFERROR(F6/G6,"")</f>
        <v/>
      </c>
      <c r="I6" s="11">
        <f>SUMIF('Trade Ledger'!$B$5:$B$7406,A6,'Trade Ledger'!$G$5:$G$7406)</f>
        <v/>
      </c>
      <c r="J6" s="12">
        <f>IFERROR(I6/$I$12,0)</f>
        <v/>
      </c>
    </row>
    <row r="7">
      <c r="A7" s="9" t="inlineStr">
        <is>
          <t>Vanguard_M5</t>
        </is>
      </c>
      <c r="B7" s="9" t="inlineStr">
        <is>
          <t>Trendline breakout (fractal swing line) + VWAP/S-R distance gate</t>
        </is>
      </c>
      <c r="C7" s="9">
        <f>COUNTIF('Trade Ledger'!$B$5:$B$7406,A7)</f>
        <v/>
      </c>
      <c r="D7" s="9">
        <f>COUNTIFS('Trade Ledger'!$B$5:$B$7406,A7,'Trade Ledger'!$G$5:$G$7406,"&gt;0")</f>
        <v/>
      </c>
      <c r="E7" s="12">
        <f>IFERROR(D7/C7,0)</f>
        <v/>
      </c>
      <c r="F7" s="11">
        <f>SUMIFS('Trade Ledger'!$G$5:$G$7406,'Trade Ledger'!$B$5:$B$7406,A7,'Trade Ledger'!$G$5:$G$7406,"&gt;0")</f>
        <v/>
      </c>
      <c r="G7" s="11">
        <f>-SUMIFS('Trade Ledger'!$G$5:$G$7406,'Trade Ledger'!$B$5:$B$7406,A7,'Trade Ledger'!$G$5:$G$7406,"&lt;0")</f>
        <v/>
      </c>
      <c r="H7" s="9">
        <f>IFERROR(F7/G7,"")</f>
        <v/>
      </c>
      <c r="I7" s="11">
        <f>SUMIF('Trade Ledger'!$B$5:$B$7406,A7,'Trade Ledger'!$G$5:$G$7406)</f>
        <v/>
      </c>
      <c r="J7" s="12">
        <f>IFERROR(I7/$I$12,0)</f>
        <v/>
      </c>
    </row>
    <row r="8">
      <c r="A8" s="9" t="inlineStr">
        <is>
          <t>Vanguard_M15</t>
        </is>
      </c>
      <c r="B8" s="9" t="inlineStr">
        <is>
          <t>Trendline breakout (fractal swing line) + VWAP/S-R distance gate - M15 chart</t>
        </is>
      </c>
      <c r="C8" s="9">
        <f>COUNTIF('Trade Ledger'!$B$5:$B$7406,A8)</f>
        <v/>
      </c>
      <c r="D8" s="9">
        <f>COUNTIFS('Trade Ledger'!$B$5:$B$7406,A8,'Trade Ledger'!$G$5:$G$7406,"&gt;0")</f>
        <v/>
      </c>
      <c r="E8" s="12">
        <f>IFERROR(D8/C8,0)</f>
        <v/>
      </c>
      <c r="F8" s="11">
        <f>SUMIFS('Trade Ledger'!$G$5:$G$7406,'Trade Ledger'!$B$5:$B$7406,A8,'Trade Ledger'!$G$5:$G$7406,"&gt;0")</f>
        <v/>
      </c>
      <c r="G8" s="11">
        <f>-SUMIFS('Trade Ledger'!$G$5:$G$7406,'Trade Ledger'!$B$5:$B$7406,A8,'Trade Ledger'!$G$5:$G$7406,"&lt;0")</f>
        <v/>
      </c>
      <c r="H8" s="9">
        <f>IFERROR(F8/G8,"")</f>
        <v/>
      </c>
      <c r="I8" s="11">
        <f>SUMIF('Trade Ledger'!$B$5:$B$7406,A8,'Trade Ledger'!$G$5:$G$7406)</f>
        <v/>
      </c>
      <c r="J8" s="12">
        <f>IFERROR(I8/$I$12,0)</f>
        <v/>
      </c>
    </row>
    <row r="9">
      <c r="A9" s="9" t="inlineStr">
        <is>
          <t>Meridian</t>
        </is>
      </c>
      <c r="B9" s="9" t="inlineStr">
        <is>
          <t>21/50 MA cross, 250-period confirm filter, VWAP</t>
        </is>
      </c>
      <c r="C9" s="9">
        <f>COUNTIF('Trade Ledger'!$B$5:$B$7406,A9)</f>
        <v/>
      </c>
      <c r="D9" s="9">
        <f>COUNTIFS('Trade Ledger'!$B$5:$B$7406,A9,'Trade Ledger'!$G$5:$G$7406,"&gt;0")</f>
        <v/>
      </c>
      <c r="E9" s="12">
        <f>IFERROR(D9/C9,0)</f>
        <v/>
      </c>
      <c r="F9" s="11">
        <f>SUMIFS('Trade Ledger'!$G$5:$G$7406,'Trade Ledger'!$B$5:$B$7406,A9,'Trade Ledger'!$G$5:$G$7406,"&gt;0")</f>
        <v/>
      </c>
      <c r="G9" s="11">
        <f>-SUMIFS('Trade Ledger'!$G$5:$G$7406,'Trade Ledger'!$B$5:$B$7406,A9,'Trade Ledger'!$G$5:$G$7406,"&lt;0")</f>
        <v/>
      </c>
      <c r="H9" s="9">
        <f>IFERROR(F9/G9,"")</f>
        <v/>
      </c>
      <c r="I9" s="11">
        <f>SUMIF('Trade Ledger'!$B$5:$B$7406,A9,'Trade Ledger'!$G$5:$G$7406)</f>
        <v/>
      </c>
      <c r="J9" s="12">
        <f>IFERROR(I9/$I$12,0)</f>
        <v/>
      </c>
    </row>
    <row r="10">
      <c r="A10" s="9" t="inlineStr">
        <is>
          <t>Ratchet</t>
        </is>
      </c>
      <c r="B10" s="9" t="inlineStr">
        <is>
          <t>Stochastic scalp with give-back trail exit</t>
        </is>
      </c>
      <c r="C10" s="9">
        <f>COUNTIF('Trade Ledger'!$B$5:$B$7406,A10)</f>
        <v/>
      </c>
      <c r="D10" s="9">
        <f>COUNTIFS('Trade Ledger'!$B$5:$B$7406,A10,'Trade Ledger'!$G$5:$G$7406,"&gt;0")</f>
        <v/>
      </c>
      <c r="E10" s="12">
        <f>IFERROR(D10/C10,0)</f>
        <v/>
      </c>
      <c r="F10" s="11">
        <f>SUMIFS('Trade Ledger'!$G$5:$G$7406,'Trade Ledger'!$B$5:$B$7406,A10,'Trade Ledger'!$G$5:$G$7406,"&gt;0")</f>
        <v/>
      </c>
      <c r="G10" s="11">
        <f>-SUMIFS('Trade Ledger'!$G$5:$G$7406,'Trade Ledger'!$B$5:$B$7406,A10,'Trade Ledger'!$G$5:$G$7406,"&lt;0")</f>
        <v/>
      </c>
      <c r="H10" s="9">
        <f>IFERROR(F10/G10,"")</f>
        <v/>
      </c>
      <c r="I10" s="11">
        <f>SUMIF('Trade Ledger'!$B$5:$B$7406,A10,'Trade Ledger'!$G$5:$G$7406)</f>
        <v/>
      </c>
      <c r="J10" s="12">
        <f>IFERROR(I10/$I$12,0)</f>
        <v/>
      </c>
    </row>
    <row r="11">
      <c r="A11" s="9" t="inlineStr">
        <is>
          <t>MSG</t>
        </is>
      </c>
      <c r="B11" s="9" t="inlineStr">
        <is>
          <t>Session-range breakout + Fibonacci retracement-zone entry</t>
        </is>
      </c>
      <c r="C11" s="9">
        <f>COUNTIF('Trade Ledger'!$B$5:$B$7406,A11)</f>
        <v/>
      </c>
      <c r="D11" s="9">
        <f>COUNTIFS('Trade Ledger'!$B$5:$B$7406,A11,'Trade Ledger'!$G$5:$G$7406,"&gt;0")</f>
        <v/>
      </c>
      <c r="E11" s="12">
        <f>IFERROR(D11/C11,0)</f>
        <v/>
      </c>
      <c r="F11" s="11">
        <f>SUMIFS('Trade Ledger'!$G$5:$G$7406,'Trade Ledger'!$B$5:$B$7406,A11,'Trade Ledger'!$G$5:$G$7406,"&gt;0")</f>
        <v/>
      </c>
      <c r="G11" s="11">
        <f>-SUMIFS('Trade Ledger'!$G$5:$G$7406,'Trade Ledger'!$B$5:$B$7406,A11,'Trade Ledger'!$G$5:$G$7406,"&lt;0")</f>
        <v/>
      </c>
      <c r="H11" s="9">
        <f>IFERROR(F11/G11,"")</f>
        <v/>
      </c>
      <c r="I11" s="11">
        <f>SUMIF('Trade Ledger'!$B$5:$B$7406,A11,'Trade Ledger'!$G$5:$G$7406)</f>
        <v/>
      </c>
      <c r="J11" s="12">
        <f>IFERROR(I11/$I$12,0)</f>
        <v/>
      </c>
    </row>
    <row r="12">
      <c r="A12" s="13" t="inlineStr">
        <is>
          <t>PORTFOLIO TOTAL</t>
        </is>
      </c>
      <c r="B12" s="13" t="inlineStr">
        <is>
          <t>All 7 systems combined</t>
        </is>
      </c>
      <c r="C12" s="13">
        <f>SUM(C5:C11)</f>
        <v/>
      </c>
      <c r="D12" s="13">
        <f>SUM(D5:D11)</f>
        <v/>
      </c>
      <c r="E12" s="14">
        <f>IFERROR(D12/C12,0)</f>
        <v/>
      </c>
      <c r="F12" s="15">
        <f>SUM(F5:F11)</f>
        <v/>
      </c>
      <c r="G12" s="15">
        <f>SUM(G5:G11)</f>
        <v/>
      </c>
      <c r="H12" s="13">
        <f>IFERROR(F12/G12,"")</f>
        <v/>
      </c>
      <c r="I12" s="15">
        <f>SUM(I5:I11)</f>
        <v/>
      </c>
      <c r="J12" s="14" t="n">
        <v>1</v>
      </c>
    </row>
    <row r="14">
      <c r="A14" s="5" t="inlineStr">
        <is>
          <t>Starting Balance (USD):</t>
        </is>
      </c>
      <c r="C14" s="16">
        <f>'Trade Ledger'!$C$2</f>
        <v/>
      </c>
    </row>
    <row r="15">
      <c r="A15" s="5" t="inlineStr">
        <is>
          <t>Final Balance (USD):</t>
        </is>
      </c>
      <c r="C15" s="16">
        <f>'Trade Ledger'!$C$2+I12</f>
        <v/>
      </c>
    </row>
    <row r="16">
      <c r="A16" s="5" t="inlineStr">
        <is>
          <t>Total Net Profit (USD):</t>
        </is>
      </c>
      <c r="C16" s="16">
        <f>I12</f>
        <v/>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2026-09-24T09:58:41Z</dcterms:created>
  <dcterms:modified xsi:type="dcterms:W3CDTF">2026-09-24T09:58:42Z</dcterms:modified>
</cp:coreProperties>
</file>